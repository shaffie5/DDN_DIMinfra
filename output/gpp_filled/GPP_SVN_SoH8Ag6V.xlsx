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2.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4.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theme/themeOverride3.xml" ContentType="application/vnd.openxmlformats-officedocument.themeOverrid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drawings/drawing7.xml" ContentType="application/vnd.openxmlformats-officedocument.drawing+xml"/>
  <Override PartName="/xl/comments2.xml" ContentType="application/vnd.openxmlformats-officedocument.spreadsheetml.comments+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hidePivotFieldList="1"/>
  <mc:AlternateContent xmlns:mc="http://schemas.openxmlformats.org/markup-compatibility/2006">
    <mc:Choice Requires="x15">
      <x15ac:absPath xmlns:x15ac="http://schemas.microsoft.com/office/spreadsheetml/2010/11/ac" url="C:\Repositories\DDN_DIMinfra_New\output\gpp_filled\"/>
    </mc:Choice>
  </mc:AlternateContent>
  <xr:revisionPtr revIDLastSave="0" documentId="8_{EB9C1C3E-88B6-4820-A17D-45FBBE7E276F}" xr6:coauthVersionLast="47" xr6:coauthVersionMax="47" xr10:uidLastSave="{00000000-0000-0000-0000-000000000000}"/>
  <bookViews>
    <workbookView xWindow="-110" yWindow="-110" windowWidth="23260" windowHeight="14860" tabRatio="941" firstSheet="1" activeTab="1" xr2:uid="{07609FDD-E3D4-4BD2-801B-B0AC708E2592}"/>
  </bookViews>
  <sheets>
    <sheet name="ReadMe" sheetId="41" r:id="rId1"/>
    <sheet name="Input" sheetId="1" r:id="rId2"/>
    <sheet name="Result Dashboard" sheetId="35" r:id="rId3"/>
    <sheet name="Aux - Check" sheetId="40" r:id="rId4"/>
    <sheet name="Results" sheetId="20" r:id="rId5"/>
    <sheet name="DDN_Results_TP" sheetId="43" r:id="rId6"/>
    <sheet name="A1 - Raw Material Supply" sheetId="5" r:id="rId7"/>
    <sheet name="C3' - Secondary Raw Material " sheetId="18" r:id="rId8"/>
    <sheet name="A2 - Transport" sheetId="10" r:id="rId9"/>
    <sheet name="C2'- Transport Secondary" sheetId="42" r:id="rId10"/>
    <sheet name="A3 - Production " sheetId="12" r:id="rId11"/>
    <sheet name="A4 - Transport" sheetId="21" r:id="rId12"/>
    <sheet name="A5 - Construction" sheetId="14" r:id="rId13"/>
    <sheet name="C1 - Deconstruction" sheetId="19" r:id="rId14"/>
    <sheet name="D- Benefits &amp; Burdens" sheetId="26" r:id="rId15"/>
    <sheet name="LCI" sheetId="9" r:id="rId16"/>
    <sheet name="Aux - Emissions" sheetId="38" r:id="rId17"/>
    <sheet name="Aux - Lists" sheetId="11" r:id="rId18"/>
  </sheets>
  <definedNames>
    <definedName name="Barge">'Aux - Lists'!$D$5</definedName>
    <definedName name="Barge_tanker">'Aux - Lists'!$E$5</definedName>
    <definedName name="Crusher_types_RAP">'Aux - Lists'!$A$48:$A$49</definedName>
    <definedName name="Crusher_types_RCA">'Aux - Lists'!$A$58:$A$59</definedName>
    <definedName name="Electric_component">'Aux - Lists'!$A$169:$A$170</definedName>
    <definedName name="Excavator_Hitachi_ZX1357_160kW">'Aux - Lists'!$C$146:$C$153</definedName>
    <definedName name="Excavator_types">'Aux - Lists'!$A$145:$A$146</definedName>
    <definedName name="Milling_large_scale_project_Wirtgen_W250Fi_753kW">'Aux - Lists'!$E$135:$E$142</definedName>
    <definedName name="Milling_medium_scale_project_Wirtgen_W210XPi_571kW">'Aux - Lists'!$D$135:$D$142</definedName>
    <definedName name="Milling_small_scale_project_Wirtgen_W35Ri_45kW">'Aux - Lists'!$C$135:$C$142</definedName>
    <definedName name="Milling_types">'Aux - Lists'!$A$134:$A$137</definedName>
    <definedName name="Mobile_jaw_crusher_400tph_RAP">'Aux - Lists'!$C$48:$C$55</definedName>
    <definedName name="Mobile_jaw_crusher_400tph_RCA">'Aux - Lists'!$C$58:$C$65</definedName>
    <definedName name="Mobile_screener_500tph_RAP">'Aux - Lists'!$C$91:$C$98</definedName>
    <definedName name="Mobile_screener_500tph_RCA">'Aux - Lists'!$C$101:$C$108</definedName>
    <definedName name="No">'Aux - Lists'!$B$5</definedName>
    <definedName name="No_crusher_RAP">'Aux - Lists'!$B$48</definedName>
    <definedName name="No_crusher_RCA">'Aux - Lists'!$B$58</definedName>
    <definedName name="No_excavator">'Aux - Lists'!$B$145</definedName>
    <definedName name="No_milling_machine">'Aux - Lists'!$B$134</definedName>
    <definedName name="No_paver">'Aux - Lists'!$B$112</definedName>
    <definedName name="No_roller">'Aux - Lists'!$B$123</definedName>
    <definedName name="No_screener_RAP">'Aux - Lists'!$B$91</definedName>
    <definedName name="No_screener_RCA">'Aux - Lists'!$B$101</definedName>
    <definedName name="No_stacker_RAP">'Aux - Lists'!$B$68</definedName>
    <definedName name="No_stacker_RCA">'Aux - Lists'!$B$80</definedName>
    <definedName name="No_sweeper_truck">'Aux - Lists'!$B$156</definedName>
    <definedName name="No_wheel_loader">'Aux - Lists'!$B$17</definedName>
    <definedName name="Paver_large_scale_project_354kW">'Aux - Lists'!$E$112:$E$119</definedName>
    <definedName name="Paver_medium_scale_project_129kW">'Aux - Lists'!$D$112:$D$119</definedName>
    <definedName name="Paver_small_scale_project_25kW">'Aux - Lists'!$C$112:$C$119</definedName>
    <definedName name="Paver_types">'Aux - Lists'!$A$112:$A$115</definedName>
    <definedName name="Roller_large_scale_project_100kW">'Aux - Lists'!$E$124:$E$131</definedName>
    <definedName name="Roller_medium_scale_project_55kW">'Aux - Lists'!$D$124:$D$131</definedName>
    <definedName name="Roller_small_scale_project_30kW">'Aux - Lists'!$C$124:$C$131</definedName>
    <definedName name="Roller_types">'Aux - Lists'!$A$123:$A$126</definedName>
    <definedName name="Screener_types_RAP">'Aux - Lists'!$A$91:$A$92</definedName>
    <definedName name="Screener_types_RCA">'Aux - Lists'!$A$101:$A$102</definedName>
    <definedName name="Ship">'Aux - Lists'!$F$5</definedName>
    <definedName name="Stacker_types_RAP">'Aux - Lists'!$A$68:$A$69</definedName>
    <definedName name="Stacker_types_RCA">'Aux - Lists'!$A$80:$A$81</definedName>
    <definedName name="Sweeper_truck_volvo_186kW">'Aux - Lists'!$C$157:$C$164</definedName>
    <definedName name="Tracked_stacker_500tph_RAP">'Aux - Lists'!$C$68:$C$75</definedName>
    <definedName name="Tracked_stacker_500tph_RCA">'Aux - Lists'!$C$80:$C$87</definedName>
    <definedName name="Train">'Aux - Lists'!$G$5:$G$6</definedName>
    <definedName name="Transport_mode">'Aux - Lists'!$A$5:$A$10</definedName>
    <definedName name="Truck">'Aux - Lists'!$C$5:$C$13</definedName>
    <definedName name="Types_sweeper_truck">'Aux - Lists'!$A$156:$A$157</definedName>
    <definedName name="Wheel_loader_338tph_Komatsu_WA500">'Aux - Lists'!$C$17:$C$24</definedName>
    <definedName name="Wheel_loader_338tph_Komatsu_WA500_RAP">'Aux - Lists'!$C$28:$C$35</definedName>
    <definedName name="Wheel_loader_338tph_Komatsu_WA500_RCA">'Aux - Lists'!$C$38:$C$45</definedName>
    <definedName name="Wheel_loader_types">'Aux - Lists'!$A$17:$A$18</definedName>
    <definedName name="Wheel_loader_types_RAP">'Aux - Lists'!$A$28:$A$29</definedName>
    <definedName name="Wheel_loader_types_RCA">'Aux - Lists'!$A$38:$A$39</definedName>
    <definedName name="Yes">'Aux - Lists'!$B$169:$B$170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29" i="43" l="1"/>
  <c r="F63" i="1"/>
  <c r="B2" i="43" s="1"/>
  <c r="C6" i="43" s="1"/>
  <c r="B3" i="43"/>
  <c r="B6" i="43" s="1"/>
  <c r="B54" i="18"/>
  <c r="D74" i="1"/>
  <c r="D75" i="1"/>
  <c r="D76" i="1"/>
  <c r="D73" i="1"/>
  <c r="D70" i="1"/>
  <c r="D68" i="1"/>
  <c r="D69" i="1"/>
  <c r="B29" i="43" l="1"/>
  <c r="G77" i="19"/>
  <c r="D77" i="19"/>
  <c r="B77" i="19"/>
  <c r="D84" i="1"/>
  <c r="D131" i="14"/>
  <c r="D130" i="14"/>
  <c r="B130" i="14"/>
  <c r="G130" i="14" s="1"/>
  <c r="B131" i="14"/>
  <c r="G131" i="14" s="1"/>
  <c r="U85" i="1"/>
  <c r="U83" i="1"/>
  <c r="U82" i="1"/>
  <c r="U74" i="1"/>
  <c r="U73" i="1"/>
  <c r="U70" i="1"/>
  <c r="U69" i="1"/>
  <c r="U68" i="1"/>
  <c r="U63" i="1"/>
  <c r="D85" i="1"/>
  <c r="D83" i="1"/>
  <c r="D82" i="1"/>
  <c r="D19" i="1"/>
  <c r="U26" i="1" l="1"/>
  <c r="U86" i="1" s="1"/>
  <c r="D26" i="1"/>
  <c r="B5" i="40"/>
  <c r="D198" i="12"/>
  <c r="U39" i="1" l="1"/>
  <c r="U57" i="1"/>
  <c r="T57" i="1"/>
  <c r="U56" i="1"/>
  <c r="T56" i="1"/>
  <c r="U55" i="1"/>
  <c r="T55" i="1"/>
  <c r="U54" i="1"/>
  <c r="T54" i="1"/>
  <c r="U53" i="1"/>
  <c r="T53" i="1"/>
  <c r="U52" i="1"/>
  <c r="U51" i="1"/>
  <c r="U50" i="1"/>
  <c r="T50" i="1"/>
  <c r="U49" i="1"/>
  <c r="T49" i="1"/>
  <c r="U48" i="1"/>
  <c r="U47" i="1"/>
  <c r="U46" i="1"/>
  <c r="U45" i="1"/>
  <c r="U44" i="1"/>
  <c r="U43" i="1"/>
  <c r="U42" i="1"/>
  <c r="U41" i="1"/>
  <c r="U40" i="1"/>
  <c r="U58" i="1" l="1"/>
  <c r="L58" i="1" l="1"/>
  <c r="D17" i="1"/>
  <c r="C111" i="20"/>
  <c r="B311" i="18"/>
  <c r="C311" i="18"/>
  <c r="D311" i="18"/>
  <c r="B312" i="18"/>
  <c r="C312" i="18"/>
  <c r="D312" i="18"/>
  <c r="C15" i="42"/>
  <c r="AB132" i="20"/>
  <c r="AC132" i="20"/>
  <c r="B205" i="18"/>
  <c r="B207" i="18" s="1"/>
  <c r="B208" i="18"/>
  <c r="G241" i="18" s="1"/>
  <c r="B219" i="18"/>
  <c r="B220" i="18" s="1"/>
  <c r="B221" i="18"/>
  <c r="G256" i="18" s="1"/>
  <c r="G231" i="18"/>
  <c r="F267" i="18" s="1"/>
  <c r="G232" i="18"/>
  <c r="F268" i="18" s="1"/>
  <c r="G233" i="18"/>
  <c r="F269" i="18" s="1"/>
  <c r="G237" i="18"/>
  <c r="F270" i="18" s="1"/>
  <c r="G238" i="18"/>
  <c r="F271" i="18" s="1"/>
  <c r="G245" i="18"/>
  <c r="F272" i="18" s="1"/>
  <c r="G246" i="18"/>
  <c r="F273" i="18" s="1"/>
  <c r="G250" i="18"/>
  <c r="F274" i="18" s="1"/>
  <c r="G251" i="18"/>
  <c r="F275" i="18" s="1"/>
  <c r="G252" i="18"/>
  <c r="F276" i="18" s="1"/>
  <c r="G253" i="18"/>
  <c r="F277" i="18" s="1"/>
  <c r="B263" i="18"/>
  <c r="C263" i="18"/>
  <c r="D263" i="18"/>
  <c r="E263" i="18"/>
  <c r="F263" i="18"/>
  <c r="C267" i="18"/>
  <c r="D267" i="18"/>
  <c r="E267" i="18"/>
  <c r="T274" i="18" s="1" a="1"/>
  <c r="T274" i="18" s="1"/>
  <c r="P296" i="18" s="1"/>
  <c r="C268" i="18"/>
  <c r="D268" i="18"/>
  <c r="E268" i="18"/>
  <c r="C269" i="18"/>
  <c r="D269" i="18"/>
  <c r="E269" i="18"/>
  <c r="C270" i="18"/>
  <c r="D270" i="18"/>
  <c r="E270" i="18"/>
  <c r="C271" i="18"/>
  <c r="D271" i="18"/>
  <c r="E271" i="18"/>
  <c r="C272" i="18"/>
  <c r="D272" i="18"/>
  <c r="E272" i="18"/>
  <c r="C273" i="18"/>
  <c r="D273" i="18"/>
  <c r="E273" i="18"/>
  <c r="C274" i="18"/>
  <c r="D274" i="18"/>
  <c r="E274" i="18"/>
  <c r="C275" i="18"/>
  <c r="D275" i="18"/>
  <c r="E275" i="18"/>
  <c r="C276" i="18"/>
  <c r="D276" i="18"/>
  <c r="E276" i="18"/>
  <c r="C277" i="18"/>
  <c r="D277" i="18"/>
  <c r="E277" i="18"/>
  <c r="E281" i="18"/>
  <c r="E282" i="18"/>
  <c r="F282" i="18"/>
  <c r="B288" i="18"/>
  <c r="C49" i="42"/>
  <c r="B49" i="42"/>
  <c r="C48" i="42"/>
  <c r="B48" i="42"/>
  <c r="C47" i="42"/>
  <c r="B47" i="42"/>
  <c r="C46" i="42"/>
  <c r="B46" i="42"/>
  <c r="F38" i="42"/>
  <c r="E38" i="42"/>
  <c r="D38" i="42"/>
  <c r="C38" i="42"/>
  <c r="B38" i="42"/>
  <c r="F37" i="42"/>
  <c r="E37" i="42"/>
  <c r="D37" i="42"/>
  <c r="C37" i="42"/>
  <c r="B37" i="42"/>
  <c r="F36" i="42"/>
  <c r="E36" i="42"/>
  <c r="D36" i="42"/>
  <c r="C36" i="42"/>
  <c r="B36" i="42"/>
  <c r="F35" i="42"/>
  <c r="E35" i="42"/>
  <c r="D35" i="42"/>
  <c r="C35" i="42"/>
  <c r="B35" i="42"/>
  <c r="F28" i="42"/>
  <c r="E28" i="42"/>
  <c r="D28" i="42"/>
  <c r="C28" i="42"/>
  <c r="B28" i="42"/>
  <c r="F27" i="42"/>
  <c r="E27" i="42"/>
  <c r="D27" i="42"/>
  <c r="C27" i="42"/>
  <c r="B27" i="42"/>
  <c r="F26" i="42"/>
  <c r="E26" i="42"/>
  <c r="D26" i="42"/>
  <c r="C26" i="42"/>
  <c r="B26" i="42"/>
  <c r="F25" i="42"/>
  <c r="E25" i="42"/>
  <c r="D25" i="42"/>
  <c r="C25" i="42"/>
  <c r="B25" i="42"/>
  <c r="F18" i="42"/>
  <c r="E18" i="42"/>
  <c r="D18" i="42"/>
  <c r="C18" i="42"/>
  <c r="B18" i="42"/>
  <c r="F17" i="42"/>
  <c r="E17" i="42"/>
  <c r="D17" i="42"/>
  <c r="C17" i="42"/>
  <c r="B17" i="42"/>
  <c r="F16" i="42"/>
  <c r="E16" i="42"/>
  <c r="D16" i="42"/>
  <c r="C16" i="42"/>
  <c r="B16" i="42"/>
  <c r="F15" i="42"/>
  <c r="E15" i="42"/>
  <c r="D15" i="42"/>
  <c r="B15" i="42"/>
  <c r="B6" i="42"/>
  <c r="D331" i="18" l="1" a="1"/>
  <c r="D331" i="18" s="1"/>
  <c r="I311" i="18" a="1"/>
  <c r="I311" i="18" s="1"/>
  <c r="Q311" i="18" a="1"/>
  <c r="Q311" i="18" s="1"/>
  <c r="D321" i="18" a="1"/>
  <c r="D321" i="18" s="1"/>
  <c r="D329" i="18" a="1"/>
  <c r="D329" i="18" s="1"/>
  <c r="T311" i="18" a="1"/>
  <c r="T311" i="18" s="1"/>
  <c r="D332" i="18" a="1"/>
  <c r="D332" i="18" s="1"/>
  <c r="E311" i="18" a="1"/>
  <c r="E311" i="18" s="1"/>
  <c r="U311" i="18" a="1"/>
  <c r="U311" i="18" s="1"/>
  <c r="D333" i="18" a="1"/>
  <c r="D333" i="18" s="1"/>
  <c r="N311" i="18" a="1"/>
  <c r="N311" i="18" s="1"/>
  <c r="D334" i="18" a="1"/>
  <c r="D334" i="18" s="1"/>
  <c r="G311" i="18" a="1"/>
  <c r="G311" i="18" s="1"/>
  <c r="O311" i="18" a="1"/>
  <c r="O311" i="18" s="1"/>
  <c r="W311" i="18" a="1"/>
  <c r="W311" i="18" s="1"/>
  <c r="D327" i="18" a="1"/>
  <c r="D327" i="18" s="1"/>
  <c r="D335" i="18" a="1"/>
  <c r="D335" i="18" s="1"/>
  <c r="L311" i="18" a="1"/>
  <c r="L311" i="18" s="1"/>
  <c r="D324" i="18" a="1"/>
  <c r="D324" i="18" s="1"/>
  <c r="M311" i="18" a="1"/>
  <c r="M311" i="18" s="1"/>
  <c r="D325" i="18" a="1"/>
  <c r="D325" i="18" s="1"/>
  <c r="F311" i="18" a="1"/>
  <c r="F311" i="18" s="1"/>
  <c r="V311" i="18" a="1"/>
  <c r="V311" i="18" s="1"/>
  <c r="D326" i="18" a="1"/>
  <c r="D326" i="18" s="1"/>
  <c r="H311" i="18" a="1"/>
  <c r="H311" i="18" s="1"/>
  <c r="P311" i="18" a="1"/>
  <c r="P311" i="18" s="1"/>
  <c r="D320" i="18" a="1"/>
  <c r="D320" i="18" s="1"/>
  <c r="D328" i="18" a="1"/>
  <c r="D328" i="18" s="1"/>
  <c r="D336" i="18" a="1"/>
  <c r="D336" i="18" s="1"/>
  <c r="D337" i="18" a="1"/>
  <c r="D337" i="18" s="1"/>
  <c r="D338" i="18" a="1"/>
  <c r="D338" i="18" s="1"/>
  <c r="J311" i="18" a="1"/>
  <c r="J311" i="18" s="1"/>
  <c r="R311" i="18" a="1"/>
  <c r="R311" i="18" s="1"/>
  <c r="D322" i="18" a="1"/>
  <c r="D322" i="18" s="1"/>
  <c r="D330" i="18" a="1"/>
  <c r="D330" i="18" s="1"/>
  <c r="K311" i="18" a="1"/>
  <c r="K311" i="18" s="1"/>
  <c r="S311" i="18" a="1"/>
  <c r="S311" i="18" s="1"/>
  <c r="D323" i="18" a="1"/>
  <c r="D323" i="18" s="1"/>
  <c r="F281" i="18"/>
  <c r="L268" i="18" a="1"/>
  <c r="L268" i="18" s="1"/>
  <c r="H290" i="18" s="1"/>
  <c r="G274" i="18" a="1"/>
  <c r="G274" i="18" s="1"/>
  <c r="C296" i="18" s="1"/>
  <c r="U276" i="18" a="1"/>
  <c r="U276" i="18" s="1"/>
  <c r="Q298" i="18" s="1"/>
  <c r="K276" i="18" a="1"/>
  <c r="K276" i="18" s="1"/>
  <c r="G298" i="18" s="1"/>
  <c r="K275" i="18" a="1"/>
  <c r="K275" i="18" s="1"/>
  <c r="G297" i="18" s="1"/>
  <c r="O274" i="18" a="1"/>
  <c r="O274" i="18" s="1"/>
  <c r="K296" i="18" s="1"/>
  <c r="U269" i="18" a="1"/>
  <c r="U269" i="18" s="1"/>
  <c r="Q291" i="18" s="1"/>
  <c r="O273" i="18" a="1"/>
  <c r="O273" i="18" s="1"/>
  <c r="K295" i="18" s="1"/>
  <c r="T276" i="18" a="1"/>
  <c r="T276" i="18" s="1"/>
  <c r="P298" i="18" s="1"/>
  <c r="J275" i="18" a="1"/>
  <c r="J275" i="18" s="1"/>
  <c r="F297" i="18" s="1"/>
  <c r="N274" i="18" a="1"/>
  <c r="N274" i="18" s="1"/>
  <c r="J296" i="18" s="1"/>
  <c r="O269" i="18" a="1"/>
  <c r="O269" i="18" s="1"/>
  <c r="K291" i="18" s="1"/>
  <c r="I267" i="18" a="1"/>
  <c r="I267" i="18" s="1"/>
  <c r="E289" i="18" s="1"/>
  <c r="X272" i="18" a="1"/>
  <c r="X272" i="18" s="1"/>
  <c r="T294" i="18" s="1"/>
  <c r="X276" i="18" a="1"/>
  <c r="X276" i="18" s="1"/>
  <c r="T298" i="18" s="1"/>
  <c r="S276" i="18" a="1"/>
  <c r="S276" i="18" s="1"/>
  <c r="O298" i="18" s="1"/>
  <c r="I275" i="18" a="1"/>
  <c r="I275" i="18" s="1"/>
  <c r="E297" i="18" s="1"/>
  <c r="M274" i="18" a="1"/>
  <c r="M274" i="18" s="1"/>
  <c r="I296" i="18" s="1"/>
  <c r="I269" i="18" a="1"/>
  <c r="I269" i="18" s="1"/>
  <c r="E291" i="18" s="1"/>
  <c r="R276" i="18" a="1"/>
  <c r="R276" i="18" s="1"/>
  <c r="N298" i="18" s="1"/>
  <c r="H275" i="18" a="1"/>
  <c r="H275" i="18" s="1"/>
  <c r="D297" i="18" s="1"/>
  <c r="K274" i="18" a="1"/>
  <c r="K274" i="18" s="1"/>
  <c r="G296" i="18" s="1"/>
  <c r="Q276" i="18" a="1"/>
  <c r="Q276" i="18" s="1"/>
  <c r="M298" i="18" s="1"/>
  <c r="X275" i="18" a="1"/>
  <c r="X275" i="18" s="1"/>
  <c r="T297" i="18" s="1"/>
  <c r="I274" i="18" a="1"/>
  <c r="I274" i="18" s="1"/>
  <c r="E296" i="18" s="1"/>
  <c r="O277" i="18" a="1"/>
  <c r="O277" i="18" s="1"/>
  <c r="K299" i="18" s="1"/>
  <c r="O276" i="18" a="1"/>
  <c r="O276" i="18" s="1"/>
  <c r="K298" i="18" s="1"/>
  <c r="W275" i="18" a="1"/>
  <c r="W275" i="18" s="1"/>
  <c r="S297" i="18" s="1"/>
  <c r="H274" i="18" a="1"/>
  <c r="H274" i="18" s="1"/>
  <c r="D296" i="18" s="1"/>
  <c r="N276" i="18" a="1"/>
  <c r="N276" i="18" s="1"/>
  <c r="J298" i="18" s="1"/>
  <c r="V275" i="18" a="1"/>
  <c r="V275" i="18" s="1"/>
  <c r="R297" i="18" s="1"/>
  <c r="G275" i="18" a="1"/>
  <c r="G275" i="18" s="1"/>
  <c r="C297" i="18" s="1"/>
  <c r="M276" i="18" a="1"/>
  <c r="M276" i="18" s="1"/>
  <c r="I298" i="18" s="1"/>
  <c r="U275" i="18" a="1"/>
  <c r="U275" i="18" s="1"/>
  <c r="Q297" i="18" s="1"/>
  <c r="Y274" i="18" a="1"/>
  <c r="Y274" i="18" s="1"/>
  <c r="U296" i="18" s="1"/>
  <c r="X270" i="18" a="1"/>
  <c r="X270" i="18" s="1"/>
  <c r="T292" i="18" s="1"/>
  <c r="L276" i="18" a="1"/>
  <c r="L276" i="18" s="1"/>
  <c r="H298" i="18" s="1"/>
  <c r="R275" i="18" a="1"/>
  <c r="R275" i="18" s="1"/>
  <c r="N297" i="18" s="1"/>
  <c r="W274" i="18" a="1"/>
  <c r="W274" i="18" s="1"/>
  <c r="S296" i="18" s="1"/>
  <c r="R270" i="18" a="1"/>
  <c r="R270" i="18" s="1"/>
  <c r="N292" i="18" s="1"/>
  <c r="L277" i="18" a="1"/>
  <c r="L277" i="18" s="1"/>
  <c r="H299" i="18" s="1"/>
  <c r="I276" i="18" a="1"/>
  <c r="I276" i="18" s="1"/>
  <c r="E298" i="18" s="1"/>
  <c r="Q275" i="18" a="1"/>
  <c r="Q275" i="18" s="1"/>
  <c r="M297" i="18" s="1"/>
  <c r="U274" i="18" a="1"/>
  <c r="U274" i="18" s="1"/>
  <c r="Q296" i="18" s="1"/>
  <c r="L274" i="18" a="1"/>
  <c r="L274" i="18" s="1"/>
  <c r="H296" i="18" s="1"/>
  <c r="G276" i="18" a="1"/>
  <c r="G276" i="18" s="1"/>
  <c r="C298" i="18" s="1"/>
  <c r="O275" i="18" a="1"/>
  <c r="O275" i="18" s="1"/>
  <c r="K297" i="18" s="1"/>
  <c r="Q274" i="18" a="1"/>
  <c r="Q274" i="18" s="1"/>
  <c r="M296" i="18" s="1"/>
  <c r="Y276" i="18" a="1"/>
  <c r="Y276" i="18" s="1"/>
  <c r="U298" i="18" s="1"/>
  <c r="H276" i="18" a="1"/>
  <c r="H276" i="18" s="1"/>
  <c r="D298" i="18" s="1"/>
  <c r="P275" i="18" a="1"/>
  <c r="P275" i="18" s="1"/>
  <c r="L297" i="18" s="1"/>
  <c r="L275" i="18" a="1"/>
  <c r="L275" i="18" s="1"/>
  <c r="H297" i="18" s="1"/>
  <c r="I268" i="18" a="1"/>
  <c r="I268" i="18" s="1"/>
  <c r="E290" i="18" s="1"/>
  <c r="J267" i="18" a="1"/>
  <c r="J267" i="18" s="1"/>
  <c r="F289" i="18" s="1"/>
  <c r="O271" i="18" a="1"/>
  <c r="O271" i="18" s="1"/>
  <c r="K293" i="18" s="1"/>
  <c r="W276" i="18" a="1"/>
  <c r="W276" i="18" s="1"/>
  <c r="S298" i="18" s="1"/>
  <c r="S274" i="18" a="1"/>
  <c r="S274" i="18" s="1"/>
  <c r="O296" i="18" s="1"/>
  <c r="T275" i="18" a="1"/>
  <c r="T275" i="18" s="1"/>
  <c r="P297" i="18" s="1"/>
  <c r="R274" i="18" a="1"/>
  <c r="R274" i="18" s="1"/>
  <c r="N296" i="18" s="1"/>
  <c r="X267" i="18" a="1"/>
  <c r="X267" i="18" s="1"/>
  <c r="T289" i="18" s="1"/>
  <c r="X268" i="18" a="1"/>
  <c r="X268" i="18" s="1"/>
  <c r="T290" i="18" s="1"/>
  <c r="U267" i="18" a="1"/>
  <c r="U267" i="18" s="1"/>
  <c r="Q289" i="18" s="1"/>
  <c r="U268" i="18" a="1"/>
  <c r="U268" i="18" s="1"/>
  <c r="Q290" i="18" s="1"/>
  <c r="R267" i="18" a="1"/>
  <c r="R267" i="18" s="1"/>
  <c r="N289" i="18" s="1"/>
  <c r="T268" i="18" a="1"/>
  <c r="T268" i="18" s="1"/>
  <c r="P290" i="18" s="1"/>
  <c r="O267" i="18" a="1"/>
  <c r="O267" i="18" s="1"/>
  <c r="K289" i="18" s="1"/>
  <c r="I273" i="18" a="1"/>
  <c r="I273" i="18" s="1"/>
  <c r="E295" i="18" s="1"/>
  <c r="R268" i="18" a="1"/>
  <c r="R268" i="18" s="1"/>
  <c r="N290" i="18" s="1"/>
  <c r="L267" i="18" a="1"/>
  <c r="L267" i="18" s="1"/>
  <c r="H289" i="18" s="1"/>
  <c r="O268" i="18" a="1"/>
  <c r="O268" i="18" s="1"/>
  <c r="K290" i="18" s="1"/>
  <c r="J276" i="18" a="1"/>
  <c r="J276" i="18" s="1"/>
  <c r="F298" i="18" s="1"/>
  <c r="N275" i="18" a="1"/>
  <c r="N275" i="18" s="1"/>
  <c r="J297" i="18" s="1"/>
  <c r="X274" i="18" a="1"/>
  <c r="X274" i="18" s="1"/>
  <c r="T296" i="18" s="1"/>
  <c r="P277" i="18" a="1"/>
  <c r="P277" i="18" s="1"/>
  <c r="L299" i="18" s="1"/>
  <c r="X277" i="18" a="1"/>
  <c r="X277" i="18" s="1"/>
  <c r="T299" i="18" s="1"/>
  <c r="U271" i="18" a="1"/>
  <c r="U271" i="18" s="1"/>
  <c r="Q293" i="18" s="1"/>
  <c r="M270" i="18" a="1"/>
  <c r="M270" i="18" s="1"/>
  <c r="I292" i="18" s="1"/>
  <c r="S270" i="18" a="1"/>
  <c r="S270" i="18" s="1"/>
  <c r="O292" i="18" s="1"/>
  <c r="H270" i="18" a="1"/>
  <c r="H270" i="18" s="1"/>
  <c r="D292" i="18" s="1"/>
  <c r="T270" i="18" a="1"/>
  <c r="T270" i="18" s="1"/>
  <c r="P292" i="18" s="1"/>
  <c r="N270" i="18" a="1"/>
  <c r="N270" i="18" s="1"/>
  <c r="J292" i="18" s="1"/>
  <c r="O270" i="18" a="1"/>
  <c r="O270" i="18" s="1"/>
  <c r="K292" i="18" s="1"/>
  <c r="I270" i="18" a="1"/>
  <c r="I270" i="18" s="1"/>
  <c r="E292" i="18" s="1"/>
  <c r="U270" i="18" a="1"/>
  <c r="U270" i="18" s="1"/>
  <c r="Q292" i="18" s="1"/>
  <c r="K270" i="18" a="1"/>
  <c r="K270" i="18" s="1"/>
  <c r="G292" i="18" s="1"/>
  <c r="Q270" i="18" a="1"/>
  <c r="Q270" i="18" s="1"/>
  <c r="M292" i="18" s="1"/>
  <c r="W270" i="18" a="1"/>
  <c r="W270" i="18" s="1"/>
  <c r="S292" i="18" s="1"/>
  <c r="G270" i="18" a="1"/>
  <c r="G270" i="18" s="1"/>
  <c r="C292" i="18" s="1"/>
  <c r="Y270" i="18" a="1"/>
  <c r="Y270" i="18" s="1"/>
  <c r="U292" i="18" s="1"/>
  <c r="M277" i="18" a="1"/>
  <c r="M277" i="18" s="1"/>
  <c r="I299" i="18" s="1"/>
  <c r="Y277" i="18" a="1"/>
  <c r="Y277" i="18" s="1"/>
  <c r="U299" i="18" s="1"/>
  <c r="G277" i="18" a="1"/>
  <c r="G277" i="18" s="1"/>
  <c r="C299" i="18" s="1"/>
  <c r="S277" i="18" a="1"/>
  <c r="S277" i="18" s="1"/>
  <c r="O299" i="18" s="1"/>
  <c r="W277" i="18" a="1"/>
  <c r="W277" i="18" s="1"/>
  <c r="S299" i="18" s="1"/>
  <c r="K277" i="18" a="1"/>
  <c r="K277" i="18" s="1"/>
  <c r="G299" i="18" s="1"/>
  <c r="L270" i="18" a="1"/>
  <c r="L270" i="18" s="1"/>
  <c r="H292" i="18" s="1"/>
  <c r="J269" i="18" a="1"/>
  <c r="J269" i="18" s="1"/>
  <c r="F291" i="18" s="1"/>
  <c r="P269" i="18" a="1"/>
  <c r="P269" i="18" s="1"/>
  <c r="L291" i="18" s="1"/>
  <c r="V269" i="18" a="1"/>
  <c r="V269" i="18" s="1"/>
  <c r="R291" i="18" s="1"/>
  <c r="Q269" i="18" a="1"/>
  <c r="Q269" i="18" s="1"/>
  <c r="M291" i="18" s="1"/>
  <c r="K269" i="18" a="1"/>
  <c r="K269" i="18" s="1"/>
  <c r="G291" i="18" s="1"/>
  <c r="W269" i="18" a="1"/>
  <c r="W269" i="18" s="1"/>
  <c r="S291" i="18" s="1"/>
  <c r="L269" i="18" a="1"/>
  <c r="L269" i="18" s="1"/>
  <c r="H291" i="18" s="1"/>
  <c r="X269" i="18" a="1"/>
  <c r="X269" i="18" s="1"/>
  <c r="T291" i="18" s="1"/>
  <c r="R269" i="18" a="1"/>
  <c r="R269" i="18" s="1"/>
  <c r="N291" i="18" s="1"/>
  <c r="T269" i="18" a="1"/>
  <c r="T269" i="18" s="1"/>
  <c r="P291" i="18" s="1"/>
  <c r="V277" i="18" a="1"/>
  <c r="V277" i="18" s="1"/>
  <c r="R299" i="18" s="1"/>
  <c r="J277" i="18" a="1"/>
  <c r="J277" i="18" s="1"/>
  <c r="F299" i="18" s="1"/>
  <c r="V273" i="18" a="1"/>
  <c r="V273" i="18" s="1"/>
  <c r="R295" i="18" s="1"/>
  <c r="Q273" i="18" a="1"/>
  <c r="Q273" i="18" s="1"/>
  <c r="M295" i="18" s="1"/>
  <c r="K273" i="18" a="1"/>
  <c r="K273" i="18" s="1"/>
  <c r="G295" i="18" s="1"/>
  <c r="W273" i="18" a="1"/>
  <c r="W273" i="18" s="1"/>
  <c r="S295" i="18" s="1"/>
  <c r="L273" i="18" a="1"/>
  <c r="L273" i="18" s="1"/>
  <c r="H295" i="18" s="1"/>
  <c r="X273" i="18" a="1"/>
  <c r="X273" i="18" s="1"/>
  <c r="T295" i="18" s="1"/>
  <c r="R273" i="18" a="1"/>
  <c r="R273" i="18" s="1"/>
  <c r="N295" i="18" s="1"/>
  <c r="N273" i="18" a="1"/>
  <c r="N273" i="18" s="1"/>
  <c r="J295" i="18" s="1"/>
  <c r="H273" i="18" a="1"/>
  <c r="H273" i="18" s="1"/>
  <c r="D295" i="18" s="1"/>
  <c r="T273" i="18" a="1"/>
  <c r="T273" i="18" s="1"/>
  <c r="P295" i="18" s="1"/>
  <c r="J273" i="18" a="1"/>
  <c r="J273" i="18" s="1"/>
  <c r="F295" i="18" s="1"/>
  <c r="P273" i="18" a="1"/>
  <c r="P273" i="18" s="1"/>
  <c r="L295" i="18" s="1"/>
  <c r="N277" i="18" a="1"/>
  <c r="N277" i="18" s="1"/>
  <c r="J299" i="18" s="1"/>
  <c r="I277" i="18" a="1"/>
  <c r="I277" i="18" s="1"/>
  <c r="E299" i="18" s="1"/>
  <c r="J271" i="18" a="1"/>
  <c r="J271" i="18" s="1"/>
  <c r="F293" i="18" s="1"/>
  <c r="V271" i="18" a="1"/>
  <c r="V271" i="18" s="1"/>
  <c r="R293" i="18" s="1"/>
  <c r="Q271" i="18" a="1"/>
  <c r="Q271" i="18" s="1"/>
  <c r="M293" i="18" s="1"/>
  <c r="K271" i="18" a="1"/>
  <c r="K271" i="18" s="1"/>
  <c r="G293" i="18" s="1"/>
  <c r="W271" i="18" a="1"/>
  <c r="W271" i="18" s="1"/>
  <c r="S293" i="18" s="1"/>
  <c r="L271" i="18" a="1"/>
  <c r="L271" i="18" s="1"/>
  <c r="H293" i="18" s="1"/>
  <c r="X271" i="18" a="1"/>
  <c r="X271" i="18" s="1"/>
  <c r="T293" i="18" s="1"/>
  <c r="R271" i="18" a="1"/>
  <c r="R271" i="18" s="1"/>
  <c r="N293" i="18" s="1"/>
  <c r="H271" i="18" a="1"/>
  <c r="H271" i="18" s="1"/>
  <c r="D293" i="18" s="1"/>
  <c r="N271" i="18" a="1"/>
  <c r="N271" i="18" s="1"/>
  <c r="J293" i="18" s="1"/>
  <c r="T271" i="18" a="1"/>
  <c r="T271" i="18" s="1"/>
  <c r="P293" i="18" s="1"/>
  <c r="P271" i="18" a="1"/>
  <c r="P271" i="18" s="1"/>
  <c r="L293" i="18" s="1"/>
  <c r="U277" i="18" a="1"/>
  <c r="U277" i="18" s="1"/>
  <c r="Q299" i="18" s="1"/>
  <c r="I271" i="18" a="1"/>
  <c r="I271" i="18" s="1"/>
  <c r="E293" i="18" s="1"/>
  <c r="M272" i="18" a="1"/>
  <c r="M272" i="18" s="1"/>
  <c r="I294" i="18" s="1"/>
  <c r="Y272" i="18" a="1"/>
  <c r="Y272" i="18" s="1"/>
  <c r="U294" i="18" s="1"/>
  <c r="H272" i="18" a="1"/>
  <c r="H272" i="18" s="1"/>
  <c r="D294" i="18" s="1"/>
  <c r="T272" i="18" a="1"/>
  <c r="T272" i="18" s="1"/>
  <c r="P294" i="18" s="1"/>
  <c r="N272" i="18" a="1"/>
  <c r="N272" i="18" s="1"/>
  <c r="J294" i="18" s="1"/>
  <c r="O272" i="18" a="1"/>
  <c r="O272" i="18" s="1"/>
  <c r="K294" i="18" s="1"/>
  <c r="I272" i="18" a="1"/>
  <c r="I272" i="18" s="1"/>
  <c r="E294" i="18" s="1"/>
  <c r="U272" i="18" a="1"/>
  <c r="U272" i="18" s="1"/>
  <c r="Q294" i="18" s="1"/>
  <c r="K272" i="18" a="1"/>
  <c r="K272" i="18" s="1"/>
  <c r="G294" i="18" s="1"/>
  <c r="W272" i="18" a="1"/>
  <c r="W272" i="18" s="1"/>
  <c r="S294" i="18" s="1"/>
  <c r="Q272" i="18" a="1"/>
  <c r="Q272" i="18" s="1"/>
  <c r="M294" i="18" s="1"/>
  <c r="G272" i="18" a="1"/>
  <c r="G272" i="18" s="1"/>
  <c r="C294" i="18" s="1"/>
  <c r="S272" i="18" a="1"/>
  <c r="S272" i="18" s="1"/>
  <c r="O294" i="18" s="1"/>
  <c r="T277" i="18" a="1"/>
  <c r="T277" i="18" s="1"/>
  <c r="P299" i="18" s="1"/>
  <c r="H277" i="18" a="1"/>
  <c r="H277" i="18" s="1"/>
  <c r="D299" i="18" s="1"/>
  <c r="R272" i="18" a="1"/>
  <c r="R272" i="18" s="1"/>
  <c r="N294" i="18" s="1"/>
  <c r="R277" i="18" a="1"/>
  <c r="R277" i="18" s="1"/>
  <c r="N299" i="18" s="1"/>
  <c r="U273" i="18" a="1"/>
  <c r="U273" i="18" s="1"/>
  <c r="Q295" i="18" s="1"/>
  <c r="Q277" i="18" a="1"/>
  <c r="Q277" i="18" s="1"/>
  <c r="M299" i="18" s="1"/>
  <c r="L272" i="18" a="1"/>
  <c r="L272" i="18" s="1"/>
  <c r="H294" i="18" s="1"/>
  <c r="N269" i="18" a="1"/>
  <c r="N269" i="18" s="1"/>
  <c r="J291" i="18" s="1"/>
  <c r="H269" i="18" a="1"/>
  <c r="H269" i="18" s="1"/>
  <c r="D291" i="18" s="1"/>
  <c r="W268" i="18" a="1"/>
  <c r="W268" i="18" s="1"/>
  <c r="S290" i="18" s="1"/>
  <c r="Q268" i="18" a="1"/>
  <c r="Q268" i="18" s="1"/>
  <c r="M290" i="18" s="1"/>
  <c r="K268" i="18" a="1"/>
  <c r="K268" i="18" s="1"/>
  <c r="G290" i="18" s="1"/>
  <c r="T267" i="18" a="1"/>
  <c r="T267" i="18" s="1"/>
  <c r="P289" i="18" s="1"/>
  <c r="N267" i="18" a="1"/>
  <c r="N267" i="18" s="1"/>
  <c r="J289" i="18" s="1"/>
  <c r="H267" i="18" a="1"/>
  <c r="H267" i="18" s="1"/>
  <c r="D289" i="18" s="1"/>
  <c r="P276" i="18" a="1"/>
  <c r="P276" i="18" s="1"/>
  <c r="L298" i="18" s="1"/>
  <c r="Y275" i="18" a="1"/>
  <c r="Y275" i="18" s="1"/>
  <c r="U297" i="18" s="1"/>
  <c r="S275" i="18" a="1"/>
  <c r="S275" i="18" s="1"/>
  <c r="O297" i="18" s="1"/>
  <c r="M275" i="18" a="1"/>
  <c r="M275" i="18" s="1"/>
  <c r="I297" i="18" s="1"/>
  <c r="V274" i="18" a="1"/>
  <c r="V274" i="18" s="1"/>
  <c r="R296" i="18" s="1"/>
  <c r="P274" i="18" a="1"/>
  <c r="P274" i="18" s="1"/>
  <c r="L296" i="18" s="1"/>
  <c r="J274" i="18" a="1"/>
  <c r="J274" i="18" s="1"/>
  <c r="F296" i="18" s="1"/>
  <c r="Y273" i="18" a="1"/>
  <c r="Y273" i="18" s="1"/>
  <c r="U295" i="18" s="1"/>
  <c r="S273" i="18" a="1"/>
  <c r="S273" i="18" s="1"/>
  <c r="O295" i="18" s="1"/>
  <c r="M273" i="18" a="1"/>
  <c r="M273" i="18" s="1"/>
  <c r="I295" i="18" s="1"/>
  <c r="G273" i="18" a="1"/>
  <c r="G273" i="18" s="1"/>
  <c r="C295" i="18" s="1"/>
  <c r="V272" i="18" a="1"/>
  <c r="V272" i="18" s="1"/>
  <c r="R294" i="18" s="1"/>
  <c r="P272" i="18" a="1"/>
  <c r="P272" i="18" s="1"/>
  <c r="L294" i="18" s="1"/>
  <c r="J272" i="18" a="1"/>
  <c r="J272" i="18" s="1"/>
  <c r="F294" i="18" s="1"/>
  <c r="Y271" i="18" a="1"/>
  <c r="Y271" i="18" s="1"/>
  <c r="U293" i="18" s="1"/>
  <c r="S271" i="18" a="1"/>
  <c r="S271" i="18" s="1"/>
  <c r="O293" i="18" s="1"/>
  <c r="M271" i="18" a="1"/>
  <c r="M271" i="18" s="1"/>
  <c r="I293" i="18" s="1"/>
  <c r="G271" i="18" a="1"/>
  <c r="G271" i="18" s="1"/>
  <c r="C293" i="18" s="1"/>
  <c r="V270" i="18" a="1"/>
  <c r="V270" i="18" s="1"/>
  <c r="R292" i="18" s="1"/>
  <c r="P270" i="18" a="1"/>
  <c r="P270" i="18" s="1"/>
  <c r="L292" i="18" s="1"/>
  <c r="J270" i="18" a="1"/>
  <c r="J270" i="18" s="1"/>
  <c r="F292" i="18" s="1"/>
  <c r="Y269" i="18" a="1"/>
  <c r="Y269" i="18" s="1"/>
  <c r="U291" i="18" s="1"/>
  <c r="S269" i="18" a="1"/>
  <c r="S269" i="18" s="1"/>
  <c r="O291" i="18" s="1"/>
  <c r="M269" i="18" a="1"/>
  <c r="M269" i="18" s="1"/>
  <c r="I291" i="18" s="1"/>
  <c r="G269" i="18" a="1"/>
  <c r="G269" i="18" s="1"/>
  <c r="C291" i="18" s="1"/>
  <c r="V268" i="18" a="1"/>
  <c r="V268" i="18" s="1"/>
  <c r="R290" i="18" s="1"/>
  <c r="P268" i="18" a="1"/>
  <c r="P268" i="18" s="1"/>
  <c r="L290" i="18" s="1"/>
  <c r="J268" i="18" a="1"/>
  <c r="J268" i="18" s="1"/>
  <c r="F290" i="18" s="1"/>
  <c r="Y267" i="18" a="1"/>
  <c r="Y267" i="18" s="1"/>
  <c r="U289" i="18" s="1"/>
  <c r="S267" i="18" a="1"/>
  <c r="S267" i="18" s="1"/>
  <c r="O289" i="18" s="1"/>
  <c r="M267" i="18" a="1"/>
  <c r="M267" i="18" s="1"/>
  <c r="I289" i="18" s="1"/>
  <c r="G267" i="18" a="1"/>
  <c r="G267" i="18" s="1"/>
  <c r="C289" i="18" s="1"/>
  <c r="V276" i="18" a="1"/>
  <c r="V276" i="18" s="1"/>
  <c r="R298" i="18" s="1"/>
  <c r="N268" i="18" a="1"/>
  <c r="N268" i="18" s="1"/>
  <c r="J290" i="18" s="1"/>
  <c r="H268" i="18" a="1"/>
  <c r="H268" i="18" s="1"/>
  <c r="D290" i="18" s="1"/>
  <c r="W267" i="18" a="1"/>
  <c r="W267" i="18" s="1"/>
  <c r="S289" i="18" s="1"/>
  <c r="Q267" i="18" a="1"/>
  <c r="Q267" i="18" s="1"/>
  <c r="M289" i="18" s="1"/>
  <c r="K267" i="18" a="1"/>
  <c r="K267" i="18" s="1"/>
  <c r="G289" i="18" s="1"/>
  <c r="Y268" i="18" a="1"/>
  <c r="Y268" i="18" s="1"/>
  <c r="U290" i="18" s="1"/>
  <c r="S268" i="18" a="1"/>
  <c r="S268" i="18" s="1"/>
  <c r="O290" i="18" s="1"/>
  <c r="M268" i="18" a="1"/>
  <c r="M268" i="18" s="1"/>
  <c r="I290" i="18" s="1"/>
  <c r="G268" i="18" a="1"/>
  <c r="G268" i="18" s="1"/>
  <c r="C290" i="18" s="1"/>
  <c r="V267" i="18" a="1"/>
  <c r="V267" i="18" s="1"/>
  <c r="R289" i="18" s="1"/>
  <c r="P267" i="18" a="1"/>
  <c r="P267" i="18" s="1"/>
  <c r="L289" i="18" s="1"/>
  <c r="D49" i="42"/>
  <c r="D48" i="42"/>
  <c r="D47" i="42"/>
  <c r="D46" i="42"/>
  <c r="U177" i="12"/>
  <c r="U179" i="12" s="1"/>
  <c r="T177" i="12"/>
  <c r="T180" i="12" s="1"/>
  <c r="S177" i="12"/>
  <c r="S179" i="12" s="1"/>
  <c r="D164" i="12"/>
  <c r="C172" i="12"/>
  <c r="C171" i="12"/>
  <c r="C170" i="12"/>
  <c r="C92" i="10"/>
  <c r="C93" i="10"/>
  <c r="C94" i="10"/>
  <c r="C95" i="10"/>
  <c r="C96" i="10"/>
  <c r="C97" i="10"/>
  <c r="C98" i="10"/>
  <c r="C99" i="10"/>
  <c r="C100" i="10"/>
  <c r="C101" i="10"/>
  <c r="C102" i="10"/>
  <c r="C107" i="10"/>
  <c r="C108" i="10"/>
  <c r="C109" i="10"/>
  <c r="B129" i="18"/>
  <c r="B128" i="18"/>
  <c r="B112" i="18"/>
  <c r="B111" i="18"/>
  <c r="B78" i="18"/>
  <c r="B65" i="18"/>
  <c r="B52" i="18"/>
  <c r="B146" i="18"/>
  <c r="B145" i="18"/>
  <c r="E109" i="35"/>
  <c r="B116" i="35"/>
  <c r="B114" i="35"/>
  <c r="B113" i="35"/>
  <c r="B112" i="35"/>
  <c r="B111" i="35"/>
  <c r="B110" i="35"/>
  <c r="B109" i="35"/>
  <c r="B108" i="35"/>
  <c r="C59" i="1" l="1"/>
  <c r="S180" i="12"/>
  <c r="T179" i="12"/>
  <c r="U180" i="12"/>
  <c r="B2" i="40"/>
  <c r="L179" i="12"/>
  <c r="K179" i="12"/>
  <c r="I179" i="12"/>
  <c r="F179" i="12"/>
  <c r="E179" i="12"/>
  <c r="B3" i="40" l="1"/>
  <c r="E167" i="12"/>
  <c r="E168" i="12"/>
  <c r="E169" i="12"/>
  <c r="E170" i="12"/>
  <c r="E171" i="12"/>
  <c r="E172" i="12"/>
  <c r="E155" i="12"/>
  <c r="E156" i="12"/>
  <c r="E157" i="12"/>
  <c r="E158" i="12"/>
  <c r="E159" i="12"/>
  <c r="E160" i="12"/>
  <c r="E161" i="12"/>
  <c r="E162" i="12"/>
  <c r="E163" i="12"/>
  <c r="E164" i="12"/>
  <c r="E165" i="12"/>
  <c r="E166" i="12"/>
  <c r="D155" i="12"/>
  <c r="F155" i="12" s="1" a="1"/>
  <c r="F155" i="12" s="1"/>
  <c r="D156" i="12"/>
  <c r="F156" i="12" s="1" a="1"/>
  <c r="F156" i="12" s="1"/>
  <c r="D157" i="12"/>
  <c r="D158" i="12"/>
  <c r="F158" i="12" s="1" a="1"/>
  <c r="F158" i="12" s="1"/>
  <c r="G182" i="12" s="1"/>
  <c r="D159" i="12"/>
  <c r="D160" i="12"/>
  <c r="D161" i="12"/>
  <c r="D162" i="12"/>
  <c r="D163" i="12"/>
  <c r="D165" i="12"/>
  <c r="D166" i="12"/>
  <c r="F166" i="12" s="1" a="1"/>
  <c r="F166" i="12" s="1"/>
  <c r="D167" i="12"/>
  <c r="F167" i="12" s="1" a="1"/>
  <c r="F167" i="12" s="1"/>
  <c r="D168" i="12"/>
  <c r="D169" i="12"/>
  <c r="D170" i="12"/>
  <c r="F170" i="12" s="1" a="1"/>
  <c r="F170" i="12" s="1"/>
  <c r="D171" i="12"/>
  <c r="D172" i="12"/>
  <c r="D154" i="12"/>
  <c r="F163" i="12" l="1" a="1"/>
  <c r="F163" i="12" s="1"/>
  <c r="L182" i="12" s="1"/>
  <c r="F161" i="12" a="1"/>
  <c r="F161" i="12" s="1"/>
  <c r="J178" i="12" s="1"/>
  <c r="F162" i="12" a="1"/>
  <c r="F162" i="12" s="1"/>
  <c r="K182" i="12" s="1"/>
  <c r="F160" i="12" a="1"/>
  <c r="F160" i="12" s="1"/>
  <c r="I178" i="12" s="1"/>
  <c r="F159" i="12" a="1"/>
  <c r="F159" i="12" s="1"/>
  <c r="H178" i="12" s="1"/>
  <c r="F157" i="12" a="1"/>
  <c r="F157" i="12" s="1"/>
  <c r="F182" i="12" s="1"/>
  <c r="F171" i="12" a="1"/>
  <c r="F171" i="12" s="1"/>
  <c r="T182" i="12" s="1"/>
  <c r="F172" i="12" a="1"/>
  <c r="F172" i="12" s="1"/>
  <c r="U182" i="12" s="1"/>
  <c r="S182" i="12"/>
  <c r="S178" i="12"/>
  <c r="B4" i="40"/>
  <c r="D66" i="10"/>
  <c r="D67" i="10"/>
  <c r="D68" i="10"/>
  <c r="D69" i="10"/>
  <c r="D70" i="10"/>
  <c r="D71" i="10"/>
  <c r="D72" i="10"/>
  <c r="D73" i="10"/>
  <c r="D74" i="10"/>
  <c r="D75" i="10"/>
  <c r="D76" i="10"/>
  <c r="D81" i="10"/>
  <c r="D82" i="10"/>
  <c r="D83" i="10"/>
  <c r="D41" i="10"/>
  <c r="D42" i="10"/>
  <c r="D43" i="10"/>
  <c r="D44" i="10"/>
  <c r="D45" i="10"/>
  <c r="D46" i="10"/>
  <c r="D47" i="10"/>
  <c r="D48" i="10"/>
  <c r="D49" i="10"/>
  <c r="D50" i="10"/>
  <c r="D51" i="10"/>
  <c r="D56" i="10"/>
  <c r="D57" i="10"/>
  <c r="D58" i="10"/>
  <c r="D16" i="10"/>
  <c r="D17" i="10"/>
  <c r="D18" i="10"/>
  <c r="D19" i="10"/>
  <c r="D20" i="10"/>
  <c r="D21" i="10"/>
  <c r="D22" i="10"/>
  <c r="D23" i="10"/>
  <c r="D24" i="10"/>
  <c r="D25" i="10"/>
  <c r="D26" i="10"/>
  <c r="D31" i="10"/>
  <c r="D32" i="10"/>
  <c r="D33" i="10"/>
  <c r="C66" i="10"/>
  <c r="C67" i="10"/>
  <c r="C68" i="10"/>
  <c r="C69" i="10"/>
  <c r="C70" i="10"/>
  <c r="C71" i="10"/>
  <c r="C72" i="10"/>
  <c r="C73" i="10"/>
  <c r="C74" i="10"/>
  <c r="C75" i="10"/>
  <c r="C76" i="10"/>
  <c r="C81" i="10"/>
  <c r="C82" i="10"/>
  <c r="C83" i="10"/>
  <c r="C41" i="10"/>
  <c r="C42" i="10"/>
  <c r="C43" i="10"/>
  <c r="C44" i="10"/>
  <c r="C45" i="10"/>
  <c r="C46" i="10"/>
  <c r="C47" i="10"/>
  <c r="C48" i="10"/>
  <c r="C49" i="10"/>
  <c r="C50" i="10"/>
  <c r="C51" i="10"/>
  <c r="C56" i="10"/>
  <c r="C57" i="10"/>
  <c r="C58" i="10"/>
  <c r="C16" i="10"/>
  <c r="C17" i="10"/>
  <c r="C18" i="10"/>
  <c r="C19" i="10"/>
  <c r="C20" i="10"/>
  <c r="C21" i="10"/>
  <c r="C22" i="10"/>
  <c r="C23" i="10"/>
  <c r="C24" i="10"/>
  <c r="C25" i="10"/>
  <c r="C26" i="10"/>
  <c r="C31" i="10"/>
  <c r="C32" i="10"/>
  <c r="C33" i="10"/>
  <c r="B92" i="10"/>
  <c r="B93" i="10"/>
  <c r="B94" i="10"/>
  <c r="B95" i="10"/>
  <c r="B96" i="10"/>
  <c r="B97" i="10"/>
  <c r="B98" i="10"/>
  <c r="B99" i="10"/>
  <c r="B100" i="10"/>
  <c r="B101" i="10"/>
  <c r="B102" i="10"/>
  <c r="B103" i="10"/>
  <c r="B104" i="10"/>
  <c r="B105" i="10"/>
  <c r="B106" i="10"/>
  <c r="B107" i="10"/>
  <c r="B108" i="10"/>
  <c r="B109" i="10"/>
  <c r="B91" i="10"/>
  <c r="F66" i="10"/>
  <c r="F67" i="10"/>
  <c r="F68" i="10"/>
  <c r="F69" i="10"/>
  <c r="F70" i="10"/>
  <c r="F71" i="10"/>
  <c r="F72" i="10"/>
  <c r="F73" i="10"/>
  <c r="F74" i="10"/>
  <c r="F75" i="10"/>
  <c r="F76" i="10"/>
  <c r="F81" i="10"/>
  <c r="F82" i="10"/>
  <c r="F83" i="10"/>
  <c r="E66" i="10"/>
  <c r="E67" i="10"/>
  <c r="E68" i="10"/>
  <c r="E69" i="10"/>
  <c r="E70" i="10"/>
  <c r="E71" i="10"/>
  <c r="E72" i="10"/>
  <c r="E73" i="10"/>
  <c r="E74" i="10"/>
  <c r="E75" i="10"/>
  <c r="E76" i="10"/>
  <c r="E81" i="10"/>
  <c r="E82" i="10"/>
  <c r="E83" i="10"/>
  <c r="F41" i="10"/>
  <c r="F42" i="10"/>
  <c r="F43" i="10"/>
  <c r="F44" i="10"/>
  <c r="F45" i="10"/>
  <c r="F46" i="10"/>
  <c r="F47" i="10"/>
  <c r="F48" i="10"/>
  <c r="F49" i="10"/>
  <c r="F50" i="10"/>
  <c r="F51" i="10"/>
  <c r="F56" i="10"/>
  <c r="F57" i="10"/>
  <c r="F58" i="10"/>
  <c r="E41" i="10"/>
  <c r="E42" i="10"/>
  <c r="E43" i="10"/>
  <c r="E44" i="10"/>
  <c r="E45" i="10"/>
  <c r="E46" i="10"/>
  <c r="E47" i="10"/>
  <c r="E48" i="10"/>
  <c r="E49" i="10"/>
  <c r="E50" i="10"/>
  <c r="E51" i="10"/>
  <c r="E56" i="10"/>
  <c r="E57" i="10"/>
  <c r="E58" i="10"/>
  <c r="F18" i="10"/>
  <c r="F19" i="10"/>
  <c r="F20" i="10"/>
  <c r="F21" i="10"/>
  <c r="F22" i="10"/>
  <c r="F23" i="10"/>
  <c r="F24" i="10"/>
  <c r="F25" i="10"/>
  <c r="F26" i="10"/>
  <c r="F31" i="10"/>
  <c r="F32" i="10"/>
  <c r="F33" i="10"/>
  <c r="E19" i="10"/>
  <c r="E20" i="10"/>
  <c r="E21" i="10"/>
  <c r="E22" i="10"/>
  <c r="E23" i="10"/>
  <c r="E24" i="10"/>
  <c r="E25" i="10"/>
  <c r="E26" i="10"/>
  <c r="E31" i="10"/>
  <c r="E32" i="10"/>
  <c r="E33" i="10"/>
  <c r="E18" i="10"/>
  <c r="B82" i="10"/>
  <c r="B83" i="10"/>
  <c r="B81" i="10"/>
  <c r="B80" i="10"/>
  <c r="B79" i="10"/>
  <c r="B78" i="10"/>
  <c r="B77" i="10"/>
  <c r="B76" i="10"/>
  <c r="B75" i="10"/>
  <c r="B74" i="10"/>
  <c r="B73" i="10"/>
  <c r="B72" i="10"/>
  <c r="B71" i="10"/>
  <c r="B70" i="10"/>
  <c r="B69" i="10"/>
  <c r="B68" i="10"/>
  <c r="B67" i="10"/>
  <c r="B66" i="10"/>
  <c r="B65" i="10"/>
  <c r="B58" i="10"/>
  <c r="B57" i="10"/>
  <c r="B56" i="10"/>
  <c r="B55" i="10"/>
  <c r="B54" i="10"/>
  <c r="B53" i="10"/>
  <c r="B52" i="10"/>
  <c r="B51" i="10"/>
  <c r="B50" i="10"/>
  <c r="B49" i="10"/>
  <c r="B48" i="10"/>
  <c r="B47" i="10"/>
  <c r="B46" i="10"/>
  <c r="B45" i="10"/>
  <c r="B44" i="10"/>
  <c r="B43" i="10"/>
  <c r="B42" i="10"/>
  <c r="B41" i="10"/>
  <c r="B40" i="10"/>
  <c r="B15" i="10"/>
  <c r="B33" i="10"/>
  <c r="B32" i="10"/>
  <c r="B31" i="10"/>
  <c r="B30" i="10"/>
  <c r="B29" i="10"/>
  <c r="B28" i="10"/>
  <c r="B27" i="10"/>
  <c r="B26" i="10"/>
  <c r="B25" i="10"/>
  <c r="B24" i="10"/>
  <c r="B23" i="10"/>
  <c r="B22" i="10"/>
  <c r="B20" i="10"/>
  <c r="B21" i="10"/>
  <c r="B19" i="10"/>
  <c r="B18" i="10"/>
  <c r="B17" i="10"/>
  <c r="B16" i="10"/>
  <c r="I55" i="9"/>
  <c r="I263" i="18" s="1" a="1"/>
  <c r="I263" i="18" s="1"/>
  <c r="D288" i="18" s="1"/>
  <c r="J55" i="9"/>
  <c r="J263" i="18" s="1" a="1"/>
  <c r="J263" i="18" s="1"/>
  <c r="E288" i="18" s="1"/>
  <c r="K55" i="9"/>
  <c r="K263" i="18" s="1" a="1"/>
  <c r="K263" i="18" s="1"/>
  <c r="F288" i="18" s="1"/>
  <c r="L55" i="9"/>
  <c r="L263" i="18" s="1" a="1"/>
  <c r="L263" i="18" s="1"/>
  <c r="G288" i="18" s="1"/>
  <c r="M55" i="9"/>
  <c r="M263" i="18" s="1" a="1"/>
  <c r="M263" i="18" s="1"/>
  <c r="H288" i="18" s="1"/>
  <c r="N55" i="9"/>
  <c r="N263" i="18" s="1" a="1"/>
  <c r="N263" i="18" s="1"/>
  <c r="I288" i="18" s="1"/>
  <c r="O55" i="9"/>
  <c r="O263" i="18" s="1" a="1"/>
  <c r="O263" i="18" s="1"/>
  <c r="J288" i="18" s="1"/>
  <c r="P55" i="9"/>
  <c r="P263" i="18" s="1" a="1"/>
  <c r="P263" i="18" s="1"/>
  <c r="K288" i="18" s="1"/>
  <c r="Q55" i="9"/>
  <c r="Q263" i="18" s="1" a="1"/>
  <c r="Q263" i="18" s="1"/>
  <c r="L288" i="18" s="1"/>
  <c r="R55" i="9"/>
  <c r="R263" i="18" s="1" a="1"/>
  <c r="R263" i="18" s="1"/>
  <c r="M288" i="18" s="1"/>
  <c r="S55" i="9"/>
  <c r="S263" i="18" s="1" a="1"/>
  <c r="S263" i="18" s="1"/>
  <c r="N288" i="18" s="1"/>
  <c r="T55" i="9"/>
  <c r="T263" i="18" s="1" a="1"/>
  <c r="T263" i="18" s="1"/>
  <c r="O288" i="18" s="1"/>
  <c r="U55" i="9"/>
  <c r="U263" i="18" s="1" a="1"/>
  <c r="U263" i="18" s="1"/>
  <c r="P288" i="18" s="1"/>
  <c r="V55" i="9"/>
  <c r="V263" i="18" s="1" a="1"/>
  <c r="V263" i="18" s="1"/>
  <c r="Q288" i="18" s="1"/>
  <c r="W55" i="9"/>
  <c r="W263" i="18" s="1" a="1"/>
  <c r="W263" i="18" s="1"/>
  <c r="R288" i="18" s="1"/>
  <c r="X55" i="9"/>
  <c r="X263" i="18" s="1" a="1"/>
  <c r="X263" i="18" s="1"/>
  <c r="S288" i="18" s="1"/>
  <c r="Y55" i="9"/>
  <c r="Y263" i="18" s="1" a="1"/>
  <c r="Y263" i="18" s="1"/>
  <c r="T288" i="18" s="1"/>
  <c r="Z55" i="9"/>
  <c r="Z263" i="18" s="1" a="1"/>
  <c r="Z263" i="18" s="1"/>
  <c r="U288" i="18" s="1"/>
  <c r="H55" i="9"/>
  <c r="H263" i="18" s="1" a="1"/>
  <c r="H263" i="18" s="1"/>
  <c r="F178" i="12" l="1"/>
  <c r="F190" i="12" s="1"/>
  <c r="K178" i="12"/>
  <c r="K190" i="12" s="1"/>
  <c r="I182" i="12"/>
  <c r="I190" i="12" s="1"/>
  <c r="L178" i="12"/>
  <c r="L190" i="12" s="1"/>
  <c r="C288" i="18"/>
  <c r="R133" i="5"/>
  <c r="R84" i="5"/>
  <c r="O49" i="10" a="1"/>
  <c r="O49" i="10" s="1"/>
  <c r="I74" i="10" a="1"/>
  <c r="I74" i="10" s="1"/>
  <c r="M73" i="10" a="1"/>
  <c r="M73" i="10" s="1"/>
  <c r="S72" i="10" a="1"/>
  <c r="S72" i="10" s="1"/>
  <c r="L48" i="10" a="1"/>
  <c r="L48" i="10" s="1"/>
  <c r="Q47" i="10" a="1"/>
  <c r="Q47" i="10" s="1"/>
  <c r="S190" i="12"/>
  <c r="S68" i="10" a="1"/>
  <c r="S68" i="10" s="1"/>
  <c r="U18" i="10" a="1"/>
  <c r="U18" i="10" s="1"/>
  <c r="K23" i="10" a="1"/>
  <c r="K23" i="10" s="1"/>
  <c r="I43" i="10" a="1"/>
  <c r="I43" i="10" s="1"/>
  <c r="K42" i="10" a="1"/>
  <c r="K42" i="10" s="1"/>
  <c r="V23" i="10" a="1"/>
  <c r="V23" i="10" s="1"/>
  <c r="D100" i="10"/>
  <c r="J43" i="10" a="1"/>
  <c r="J43" i="10" s="1"/>
  <c r="D101" i="10"/>
  <c r="D93" i="10"/>
  <c r="W42" i="10" a="1"/>
  <c r="W42" i="10" s="1"/>
  <c r="I22" i="10" a="1"/>
  <c r="I22" i="10" s="1"/>
  <c r="L43" i="10" a="1"/>
  <c r="L43" i="10" s="1"/>
  <c r="J66" i="10" a="1"/>
  <c r="J66" i="10" s="1"/>
  <c r="S48" i="10" a="1"/>
  <c r="S48" i="10" s="1"/>
  <c r="U49" i="10" a="1"/>
  <c r="U49" i="10" s="1"/>
  <c r="M42" i="10" a="1"/>
  <c r="M42" i="10" s="1"/>
  <c r="R18" i="10" a="1"/>
  <c r="R18" i="10" s="1"/>
  <c r="Q49" i="10" a="1"/>
  <c r="Q49" i="10" s="1"/>
  <c r="R47" i="10" a="1"/>
  <c r="R47" i="10" s="1"/>
  <c r="D92" i="10"/>
  <c r="G68" i="10" a="1"/>
  <c r="G68" i="10" s="1"/>
  <c r="N47" i="10" a="1"/>
  <c r="N47" i="10" s="1"/>
  <c r="O23" i="10" a="1"/>
  <c r="O23" i="10" s="1"/>
  <c r="M49" i="10" a="1"/>
  <c r="M49" i="10" s="1"/>
  <c r="H43" i="10" a="1"/>
  <c r="H43" i="10" s="1"/>
  <c r="X43" i="10" a="1"/>
  <c r="X43" i="10" s="1"/>
  <c r="J49" i="10" a="1"/>
  <c r="J49" i="10" s="1"/>
  <c r="G48" i="10" a="1"/>
  <c r="G48" i="10" s="1"/>
  <c r="I49" i="10" a="1"/>
  <c r="I49" i="10" s="1"/>
  <c r="U43" i="10" a="1"/>
  <c r="U43" i="10" s="1"/>
  <c r="N49" i="10" a="1"/>
  <c r="N49" i="10" s="1"/>
  <c r="L49" i="10" a="1"/>
  <c r="L49" i="10" s="1"/>
  <c r="G47" i="10" a="1"/>
  <c r="G47" i="10" s="1"/>
  <c r="T48" i="10" a="1"/>
  <c r="T48" i="10" s="1"/>
  <c r="T43" i="10" a="1"/>
  <c r="T43" i="10" s="1"/>
  <c r="D108" i="10"/>
  <c r="D96" i="10"/>
  <c r="D102" i="10"/>
  <c r="G49" i="10" a="1"/>
  <c r="G49" i="10" s="1"/>
  <c r="G43" i="10" a="1"/>
  <c r="G43" i="10" s="1"/>
  <c r="P67" i="10" a="1"/>
  <c r="P67" i="10" s="1"/>
  <c r="L73" i="10" a="1"/>
  <c r="L73" i="10" s="1"/>
  <c r="R74" i="10" a="1"/>
  <c r="R74" i="10" s="1"/>
  <c r="P23" i="10" a="1"/>
  <c r="P23" i="10" s="1"/>
  <c r="S43" i="10" a="1"/>
  <c r="S43" i="10" s="1"/>
  <c r="K18" i="10" a="1"/>
  <c r="K18" i="10" s="1"/>
  <c r="X49" i="10" a="1"/>
  <c r="X49" i="10" s="1"/>
  <c r="H48" i="10" a="1"/>
  <c r="H48" i="10" s="1"/>
  <c r="P43" i="10" a="1"/>
  <c r="P43" i="10" s="1"/>
  <c r="I48" i="10" a="1"/>
  <c r="I48" i="10" s="1"/>
  <c r="R23" i="10" a="1"/>
  <c r="R23" i="10" s="1"/>
  <c r="W23" i="10" a="1"/>
  <c r="W23" i="10" s="1"/>
  <c r="Y49" i="10" a="1"/>
  <c r="Y49" i="10" s="1"/>
  <c r="P48" i="10" a="1"/>
  <c r="P48" i="10" s="1"/>
  <c r="Q43" i="10" a="1"/>
  <c r="Q43" i="10" s="1"/>
  <c r="J41" i="10" a="1"/>
  <c r="J41" i="10" s="1"/>
  <c r="H47" i="10" a="1"/>
  <c r="H47" i="10" s="1"/>
  <c r="U23" i="10" a="1"/>
  <c r="U23" i="10" s="1"/>
  <c r="V49" i="10" a="1"/>
  <c r="V49" i="10" s="1"/>
  <c r="Y47" i="10" a="1"/>
  <c r="Y47" i="10" s="1"/>
  <c r="R48" i="10" a="1"/>
  <c r="R48" i="10" s="1"/>
  <c r="V47" i="10" a="1"/>
  <c r="V47" i="10" s="1"/>
  <c r="W49" i="10" a="1"/>
  <c r="W49" i="10" s="1"/>
  <c r="K49" i="10" a="1"/>
  <c r="K49" i="10" s="1"/>
  <c r="Q48" i="10" a="1"/>
  <c r="Q48" i="10" s="1"/>
  <c r="S47" i="10" a="1"/>
  <c r="S47" i="10" s="1"/>
  <c r="R43" i="10" a="1"/>
  <c r="R43" i="10" s="1"/>
  <c r="X42" i="10" a="1"/>
  <c r="X42" i="10" s="1"/>
  <c r="L42" i="10" a="1"/>
  <c r="L42" i="10" s="1"/>
  <c r="J68" i="10" a="1"/>
  <c r="J68" i="10" s="1"/>
  <c r="Q23" i="10" a="1"/>
  <c r="Q23" i="10" s="1"/>
  <c r="N23" i="10" a="1"/>
  <c r="N23" i="10" s="1"/>
  <c r="G41" i="10" a="1"/>
  <c r="G41" i="10" s="1"/>
  <c r="T49" i="10" a="1"/>
  <c r="T49" i="10" s="1"/>
  <c r="H49" i="10" a="1"/>
  <c r="H49" i="10" s="1"/>
  <c r="N48" i="10" a="1"/>
  <c r="N48" i="10" s="1"/>
  <c r="P47" i="10" a="1"/>
  <c r="P47" i="10" s="1"/>
  <c r="O43" i="10" a="1"/>
  <c r="O43" i="10" s="1"/>
  <c r="U42" i="10" a="1"/>
  <c r="U42" i="10" s="1"/>
  <c r="I42" i="10" a="1"/>
  <c r="I42" i="10" s="1"/>
  <c r="Y73" i="10" a="1"/>
  <c r="Y73" i="10" s="1"/>
  <c r="H68" i="10" a="1"/>
  <c r="H68" i="10" s="1"/>
  <c r="D99" i="10"/>
  <c r="V42" i="10" a="1"/>
  <c r="V42" i="10" s="1"/>
  <c r="J42" i="10" a="1"/>
  <c r="J42" i="10" s="1"/>
  <c r="M18" i="10" a="1"/>
  <c r="M18" i="10" s="1"/>
  <c r="M22" i="10" a="1"/>
  <c r="M22" i="10" s="1"/>
  <c r="M23" i="10" a="1"/>
  <c r="M23" i="10" s="1"/>
  <c r="J18" i="10" a="1"/>
  <c r="J18" i="10" s="1"/>
  <c r="S49" i="10" a="1"/>
  <c r="S49" i="10" s="1"/>
  <c r="Y48" i="10" a="1"/>
  <c r="Y48" i="10" s="1"/>
  <c r="M48" i="10" a="1"/>
  <c r="M48" i="10" s="1"/>
  <c r="O47" i="10" a="1"/>
  <c r="O47" i="10" s="1"/>
  <c r="N43" i="10" a="1"/>
  <c r="N43" i="10" s="1"/>
  <c r="T42" i="10" a="1"/>
  <c r="T42" i="10" s="1"/>
  <c r="H42" i="10" a="1"/>
  <c r="H42" i="10" s="1"/>
  <c r="X73" i="10" a="1"/>
  <c r="X73" i="10" s="1"/>
  <c r="Y67" i="10" a="1"/>
  <c r="Y67" i="10" s="1"/>
  <c r="D98" i="10"/>
  <c r="P24" i="10" a="1"/>
  <c r="P24" i="10" s="1"/>
  <c r="L23" i="10" a="1"/>
  <c r="L23" i="10" s="1"/>
  <c r="R49" i="10" a="1"/>
  <c r="R49" i="10" s="1"/>
  <c r="X48" i="10" a="1"/>
  <c r="X48" i="10" s="1"/>
  <c r="Y43" i="10" a="1"/>
  <c r="Y43" i="10" s="1"/>
  <c r="M43" i="10" a="1"/>
  <c r="M43" i="10" s="1"/>
  <c r="S42" i="10" a="1"/>
  <c r="S42" i="10" s="1"/>
  <c r="Y41" i="10" a="1"/>
  <c r="Y41" i="10" s="1"/>
  <c r="N67" i="10" a="1"/>
  <c r="N67" i="10" s="1"/>
  <c r="D109" i="10"/>
  <c r="D97" i="10"/>
  <c r="W48" i="10" a="1"/>
  <c r="W48" i="10" s="1"/>
  <c r="K48" i="10" a="1"/>
  <c r="K48" i="10" s="1"/>
  <c r="M47" i="10" a="1"/>
  <c r="M47" i="10" s="1"/>
  <c r="M67" i="10" a="1"/>
  <c r="M67" i="10" s="1"/>
  <c r="G42" i="10" a="1"/>
  <c r="G42" i="10" s="1"/>
  <c r="R42" i="10" a="1"/>
  <c r="R42" i="10" s="1"/>
  <c r="J23" i="10" a="1"/>
  <c r="J23" i="10" s="1"/>
  <c r="P49" i="10" a="1"/>
  <c r="P49" i="10" s="1"/>
  <c r="V48" i="10" a="1"/>
  <c r="V48" i="10" s="1"/>
  <c r="J48" i="10" a="1"/>
  <c r="J48" i="10" s="1"/>
  <c r="J47" i="10" a="1"/>
  <c r="J47" i="10" s="1"/>
  <c r="W43" i="10" a="1"/>
  <c r="W43" i="10" s="1"/>
  <c r="K43" i="10" a="1"/>
  <c r="K43" i="10" s="1"/>
  <c r="Q42" i="10" a="1"/>
  <c r="Q42" i="10" s="1"/>
  <c r="P41" i="10" a="1"/>
  <c r="P41" i="10" s="1"/>
  <c r="O73" i="10" a="1"/>
  <c r="O73" i="10" s="1"/>
  <c r="T66" i="10" a="1"/>
  <c r="T66" i="10" s="1"/>
  <c r="D107" i="10"/>
  <c r="D95" i="10"/>
  <c r="O48" i="10" a="1"/>
  <c r="O48" i="10" s="1"/>
  <c r="Q41" i="10" a="1"/>
  <c r="Q41" i="10" s="1"/>
  <c r="Y23" i="10" a="1"/>
  <c r="Y23" i="10" s="1"/>
  <c r="J22" i="10" a="1"/>
  <c r="J22" i="10" s="1"/>
  <c r="U48" i="10" a="1"/>
  <c r="U48" i="10" s="1"/>
  <c r="V43" i="10" a="1"/>
  <c r="V43" i="10" s="1"/>
  <c r="P42" i="10" a="1"/>
  <c r="P42" i="10" s="1"/>
  <c r="H41" i="10" a="1"/>
  <c r="H41" i="10" s="1"/>
  <c r="I72" i="10" a="1"/>
  <c r="I72" i="10" s="1"/>
  <c r="R72" i="10" a="1"/>
  <c r="R72" i="10" s="1"/>
  <c r="S66" i="10" a="1"/>
  <c r="S66" i="10" s="1"/>
  <c r="D94" i="10"/>
  <c r="O42" i="10" a="1"/>
  <c r="O42" i="10" s="1"/>
  <c r="H66" i="10" a="1"/>
  <c r="H66" i="10" s="1"/>
  <c r="N42" i="10" a="1"/>
  <c r="N42" i="10" s="1"/>
  <c r="Y42" i="10" a="1"/>
  <c r="Y42" i="10" s="1"/>
  <c r="I24" i="10" a="1"/>
  <c r="I24" i="10" s="1"/>
  <c r="N22" i="10" a="1"/>
  <c r="N22" i="10" s="1"/>
  <c r="Y22" i="10" a="1"/>
  <c r="Y22" i="10" s="1"/>
  <c r="P22" i="10" a="1"/>
  <c r="P22" i="10" s="1"/>
  <c r="S22" i="10" a="1"/>
  <c r="S22" i="10" s="1"/>
  <c r="H22" i="10" a="1"/>
  <c r="H22" i="10" s="1"/>
  <c r="T22" i="10" a="1"/>
  <c r="T22" i="10" s="1"/>
  <c r="O24" i="10" a="1"/>
  <c r="O24" i="10" s="1"/>
  <c r="X22" i="10" a="1"/>
  <c r="X22" i="10" s="1"/>
  <c r="W22" i="10" a="1"/>
  <c r="W22" i="10" s="1"/>
  <c r="O18" i="10" a="1"/>
  <c r="O18" i="10" s="1"/>
  <c r="Q18" i="10" a="1"/>
  <c r="Q18" i="10" s="1"/>
  <c r="G18" i="10" a="1"/>
  <c r="G18" i="10" s="1"/>
  <c r="H18" i="10" a="1"/>
  <c r="H18" i="10" s="1"/>
  <c r="S18" i="10" a="1"/>
  <c r="S18" i="10" s="1"/>
  <c r="I18" i="10" a="1"/>
  <c r="I18" i="10" s="1"/>
  <c r="T18" i="10" a="1"/>
  <c r="T18" i="10" s="1"/>
  <c r="L18" i="10" a="1"/>
  <c r="L18" i="10" s="1"/>
  <c r="W18" i="10" a="1"/>
  <c r="W18" i="10" s="1"/>
  <c r="V24" i="10" a="1"/>
  <c r="V24" i="10" s="1"/>
  <c r="V22" i="10" a="1"/>
  <c r="V22" i="10" s="1"/>
  <c r="J24" i="10" a="1"/>
  <c r="J24" i="10" s="1"/>
  <c r="H24" i="10" a="1"/>
  <c r="H24" i="10" s="1"/>
  <c r="U22" i="10" a="1"/>
  <c r="U22" i="10" s="1"/>
  <c r="G22" i="10" a="1"/>
  <c r="G22" i="10" s="1"/>
  <c r="T24" i="10" a="1"/>
  <c r="T24" i="10" s="1"/>
  <c r="R22" i="10" a="1"/>
  <c r="R22" i="10" s="1"/>
  <c r="U24" i="10" a="1"/>
  <c r="U24" i="10" s="1"/>
  <c r="K24" i="10" a="1"/>
  <c r="K24" i="10" s="1"/>
  <c r="W24" i="10" a="1"/>
  <c r="W24" i="10" s="1"/>
  <c r="L24" i="10" a="1"/>
  <c r="L24" i="10" s="1"/>
  <c r="X24" i="10" a="1"/>
  <c r="X24" i="10" s="1"/>
  <c r="M24" i="10" a="1"/>
  <c r="M24" i="10" s="1"/>
  <c r="Y24" i="10" a="1"/>
  <c r="Y24" i="10" s="1"/>
  <c r="N24" i="10" a="1"/>
  <c r="N24" i="10" s="1"/>
  <c r="R24" i="10" a="1"/>
  <c r="R24" i="10" s="1"/>
  <c r="S24" i="10" a="1"/>
  <c r="S24" i="10" s="1"/>
  <c r="Q22" i="10" a="1"/>
  <c r="Q22" i="10" s="1"/>
  <c r="V18" i="10" a="1"/>
  <c r="V18" i="10" s="1"/>
  <c r="G24" i="10" a="1"/>
  <c r="G24" i="10" s="1"/>
  <c r="Q24" i="10" a="1"/>
  <c r="Q24" i="10" s="1"/>
  <c r="L22" i="10" a="1"/>
  <c r="L22" i="10" s="1"/>
  <c r="K22" i="10" a="1"/>
  <c r="K22" i="10" s="1"/>
  <c r="R41" i="10" a="1"/>
  <c r="R41" i="10" s="1"/>
  <c r="S74" i="10" a="1"/>
  <c r="S74" i="10" s="1"/>
  <c r="H74" i="10" a="1"/>
  <c r="H74" i="10" s="1"/>
  <c r="N73" i="10" a="1"/>
  <c r="N73" i="10" s="1"/>
  <c r="T72" i="10" a="1"/>
  <c r="T72" i="10" s="1"/>
  <c r="H72" i="10" a="1"/>
  <c r="H72" i="10" s="1"/>
  <c r="T68" i="10" a="1"/>
  <c r="T68" i="10" s="1"/>
  <c r="I68" i="10" a="1"/>
  <c r="I68" i="10" s="1"/>
  <c r="O67" i="10" a="1"/>
  <c r="O67" i="10" s="1"/>
  <c r="U66" i="10" a="1"/>
  <c r="U66" i="10" s="1"/>
  <c r="I66" i="10" a="1"/>
  <c r="I66" i="10" s="1"/>
  <c r="X23" i="10" a="1"/>
  <c r="X23" i="10" s="1"/>
  <c r="L41" i="10" a="1"/>
  <c r="L41" i="10" s="1"/>
  <c r="G67" i="10" a="1"/>
  <c r="G67" i="10" s="1"/>
  <c r="Q74" i="10" a="1"/>
  <c r="Q74" i="10" s="1"/>
  <c r="W73" i="10" a="1"/>
  <c r="W73" i="10" s="1"/>
  <c r="K73" i="10" a="1"/>
  <c r="K73" i="10" s="1"/>
  <c r="Q72" i="10" a="1"/>
  <c r="Q72" i="10" s="1"/>
  <c r="R68" i="10" a="1"/>
  <c r="R68" i="10" s="1"/>
  <c r="X67" i="10" a="1"/>
  <c r="X67" i="10" s="1"/>
  <c r="L67" i="10" a="1"/>
  <c r="L67" i="10" s="1"/>
  <c r="R66" i="10" a="1"/>
  <c r="R66" i="10" s="1"/>
  <c r="K41" i="10" a="1"/>
  <c r="K41" i="10" s="1"/>
  <c r="G66" i="10" a="1"/>
  <c r="G66" i="10" s="1"/>
  <c r="P74" i="10" a="1"/>
  <c r="P74" i="10" s="1"/>
  <c r="V73" i="10" a="1"/>
  <c r="V73" i="10" s="1"/>
  <c r="J73" i="10" a="1"/>
  <c r="J73" i="10" s="1"/>
  <c r="P72" i="10" a="1"/>
  <c r="P72" i="10" s="1"/>
  <c r="Q68" i="10" a="1"/>
  <c r="Q68" i="10" s="1"/>
  <c r="W67" i="10" a="1"/>
  <c r="W67" i="10" s="1"/>
  <c r="K67" i="10" a="1"/>
  <c r="K67" i="10" s="1"/>
  <c r="Q66" i="10" a="1"/>
  <c r="Q66" i="10" s="1"/>
  <c r="I41" i="10" a="1"/>
  <c r="I41" i="10" s="1"/>
  <c r="O74" i="10" a="1"/>
  <c r="O74" i="10" s="1"/>
  <c r="U73" i="10" a="1"/>
  <c r="U73" i="10" s="1"/>
  <c r="I73" i="10" a="1"/>
  <c r="I73" i="10" s="1"/>
  <c r="O72" i="10" a="1"/>
  <c r="O72" i="10" s="1"/>
  <c r="P68" i="10" a="1"/>
  <c r="P68" i="10" s="1"/>
  <c r="V67" i="10" a="1"/>
  <c r="V67" i="10" s="1"/>
  <c r="J67" i="10" a="1"/>
  <c r="J67" i="10" s="1"/>
  <c r="P66" i="10" a="1"/>
  <c r="P66" i="10" s="1"/>
  <c r="Y74" i="10" a="1"/>
  <c r="Y74" i="10" s="1"/>
  <c r="N74" i="10" a="1"/>
  <c r="N74" i="10" s="1"/>
  <c r="T73" i="10" a="1"/>
  <c r="T73" i="10" s="1"/>
  <c r="H73" i="10" a="1"/>
  <c r="H73" i="10" s="1"/>
  <c r="N72" i="10" a="1"/>
  <c r="N72" i="10" s="1"/>
  <c r="O68" i="10" a="1"/>
  <c r="O68" i="10" s="1"/>
  <c r="U67" i="10" a="1"/>
  <c r="U67" i="10" s="1"/>
  <c r="I67" i="10" a="1"/>
  <c r="I67" i="10" s="1"/>
  <c r="O66" i="10" a="1"/>
  <c r="O66" i="10" s="1"/>
  <c r="T23" i="10" a="1"/>
  <c r="T23" i="10" s="1"/>
  <c r="I23" i="10" a="1"/>
  <c r="I23" i="10" s="1"/>
  <c r="X47" i="10" a="1"/>
  <c r="X47" i="10" s="1"/>
  <c r="L47" i="10" a="1"/>
  <c r="L47" i="10" s="1"/>
  <c r="X41" i="10" a="1"/>
  <c r="X41" i="10" s="1"/>
  <c r="X74" i="10" a="1"/>
  <c r="X74" i="10" s="1"/>
  <c r="M74" i="10" a="1"/>
  <c r="M74" i="10" s="1"/>
  <c r="S73" i="10" a="1"/>
  <c r="S73" i="10" s="1"/>
  <c r="Y72" i="10" a="1"/>
  <c r="Y72" i="10" s="1"/>
  <c r="M72" i="10" a="1"/>
  <c r="M72" i="10" s="1"/>
  <c r="Y68" i="10" a="1"/>
  <c r="Y68" i="10" s="1"/>
  <c r="N68" i="10" a="1"/>
  <c r="N68" i="10" s="1"/>
  <c r="T67" i="10" a="1"/>
  <c r="T67" i="10" s="1"/>
  <c r="H67" i="10" a="1"/>
  <c r="H67" i="10" s="1"/>
  <c r="N66" i="10" a="1"/>
  <c r="N66" i="10" s="1"/>
  <c r="S23" i="10" a="1"/>
  <c r="S23" i="10" s="1"/>
  <c r="H23" i="10" a="1"/>
  <c r="H23" i="10" s="1"/>
  <c r="O22" i="10" a="1"/>
  <c r="O22" i="10" s="1"/>
  <c r="P18" i="10" a="1"/>
  <c r="P18" i="10" s="1"/>
  <c r="W47" i="10" a="1"/>
  <c r="W47" i="10" s="1"/>
  <c r="K47" i="10" a="1"/>
  <c r="K47" i="10" s="1"/>
  <c r="W41" i="10" a="1"/>
  <c r="W41" i="10" s="1"/>
  <c r="G74" i="10" a="1"/>
  <c r="G74" i="10" s="1"/>
  <c r="W74" i="10" a="1"/>
  <c r="W74" i="10" s="1"/>
  <c r="L74" i="10" a="1"/>
  <c r="L74" i="10" s="1"/>
  <c r="R73" i="10" a="1"/>
  <c r="R73" i="10" s="1"/>
  <c r="X72" i="10" a="1"/>
  <c r="X72" i="10" s="1"/>
  <c r="L72" i="10" a="1"/>
  <c r="L72" i="10" s="1"/>
  <c r="X68" i="10" a="1"/>
  <c r="X68" i="10" s="1"/>
  <c r="M68" i="10" a="1"/>
  <c r="M68" i="10" s="1"/>
  <c r="S67" i="10" a="1"/>
  <c r="S67" i="10" s="1"/>
  <c r="Y66" i="10" a="1"/>
  <c r="Y66" i="10" s="1"/>
  <c r="M66" i="10" a="1"/>
  <c r="M66" i="10" s="1"/>
  <c r="V41" i="10" a="1"/>
  <c r="V41" i="10" s="1"/>
  <c r="G73" i="10" a="1"/>
  <c r="G73" i="10" s="1"/>
  <c r="V74" i="10" a="1"/>
  <c r="V74" i="10" s="1"/>
  <c r="K74" i="10" a="1"/>
  <c r="K74" i="10" s="1"/>
  <c r="Q73" i="10" a="1"/>
  <c r="Q73" i="10" s="1"/>
  <c r="W72" i="10" a="1"/>
  <c r="W72" i="10" s="1"/>
  <c r="K72" i="10" a="1"/>
  <c r="K72" i="10" s="1"/>
  <c r="W68" i="10" a="1"/>
  <c r="W68" i="10" s="1"/>
  <c r="L68" i="10" a="1"/>
  <c r="L68" i="10" s="1"/>
  <c r="R67" i="10" a="1"/>
  <c r="R67" i="10" s="1"/>
  <c r="X66" i="10" a="1"/>
  <c r="X66" i="10" s="1"/>
  <c r="L66" i="10" a="1"/>
  <c r="L66" i="10" s="1"/>
  <c r="G23" i="10" a="1"/>
  <c r="G23" i="10" s="1"/>
  <c r="Y18" i="10" a="1"/>
  <c r="Y18" i="10" s="1"/>
  <c r="N18" i="10" a="1"/>
  <c r="N18" i="10" s="1"/>
  <c r="U47" i="10" a="1"/>
  <c r="U47" i="10" s="1"/>
  <c r="I47" i="10" a="1"/>
  <c r="I47" i="10" s="1"/>
  <c r="U41" i="10" a="1"/>
  <c r="U41" i="10" s="1"/>
  <c r="G72" i="10" a="1"/>
  <c r="G72" i="10" s="1"/>
  <c r="U74" i="10" a="1"/>
  <c r="U74" i="10" s="1"/>
  <c r="J74" i="10" a="1"/>
  <c r="J74" i="10" s="1"/>
  <c r="P73" i="10" a="1"/>
  <c r="P73" i="10" s="1"/>
  <c r="V72" i="10" a="1"/>
  <c r="V72" i="10" s="1"/>
  <c r="J72" i="10" a="1"/>
  <c r="J72" i="10" s="1"/>
  <c r="V68" i="10" a="1"/>
  <c r="V68" i="10" s="1"/>
  <c r="K68" i="10" a="1"/>
  <c r="K68" i="10" s="1"/>
  <c r="Q67" i="10" a="1"/>
  <c r="Q67" i="10" s="1"/>
  <c r="W66" i="10" a="1"/>
  <c r="W66" i="10" s="1"/>
  <c r="K66" i="10" a="1"/>
  <c r="K66" i="10" s="1"/>
  <c r="X18" i="10" a="1"/>
  <c r="X18" i="10" s="1"/>
  <c r="T47" i="10" a="1"/>
  <c r="T47" i="10" s="1"/>
  <c r="T41" i="10" a="1"/>
  <c r="T41" i="10" s="1"/>
  <c r="T74" i="10" a="1"/>
  <c r="T74" i="10" s="1"/>
  <c r="U72" i="10" a="1"/>
  <c r="U72" i="10" s="1"/>
  <c r="U68" i="10" a="1"/>
  <c r="U68" i="10" s="1"/>
  <c r="V66" i="10" a="1"/>
  <c r="V66" i="10" s="1"/>
  <c r="S41" i="10" a="1"/>
  <c r="S41" i="10" s="1"/>
  <c r="O41" i="10" a="1"/>
  <c r="O41" i="10" s="1"/>
  <c r="N41" i="10" a="1"/>
  <c r="N41" i="10" s="1"/>
  <c r="M41" i="10" a="1"/>
  <c r="M41" i="10" s="1"/>
  <c r="O98" i="10" l="1"/>
  <c r="R100" i="10"/>
  <c r="I99" i="10"/>
  <c r="I100" i="10"/>
  <c r="L99" i="10"/>
  <c r="G94" i="10"/>
  <c r="X99" i="10"/>
  <c r="N94" i="10"/>
  <c r="J94" i="10"/>
  <c r="H94" i="10"/>
  <c r="P94" i="10"/>
  <c r="T99" i="10"/>
  <c r="W100" i="10"/>
  <c r="R98" i="10"/>
  <c r="G98" i="10"/>
  <c r="Y98" i="10"/>
  <c r="W99" i="10"/>
  <c r="X100" i="10"/>
  <c r="S94" i="10"/>
  <c r="S98" i="10"/>
  <c r="Y94" i="10"/>
  <c r="V94" i="10"/>
  <c r="L100" i="10"/>
  <c r="J100" i="10"/>
  <c r="X98" i="10"/>
  <c r="P98" i="10"/>
  <c r="J99" i="10"/>
  <c r="P100" i="10"/>
  <c r="M99" i="10"/>
  <c r="U99" i="10"/>
  <c r="V99" i="10"/>
  <c r="Q100" i="10"/>
  <c r="Q98" i="10"/>
  <c r="K100" i="10"/>
  <c r="T100" i="10"/>
  <c r="V98" i="10"/>
  <c r="Q94" i="10"/>
  <c r="O100" i="10"/>
  <c r="N98" i="10"/>
  <c r="J98" i="10"/>
  <c r="Q99" i="10"/>
  <c r="R99" i="10"/>
  <c r="K94" i="10"/>
  <c r="P99" i="10"/>
  <c r="K99" i="10"/>
  <c r="G99" i="10"/>
  <c r="S100" i="10"/>
  <c r="V100" i="10"/>
  <c r="W94" i="10"/>
  <c r="O94" i="10"/>
  <c r="W98" i="10"/>
  <c r="Y99" i="10"/>
  <c r="K98" i="10"/>
  <c r="L98" i="10"/>
  <c r="H99" i="10"/>
  <c r="G100" i="10"/>
  <c r="N100" i="10"/>
  <c r="U100" i="10"/>
  <c r="L94" i="10"/>
  <c r="R94" i="10"/>
  <c r="U94" i="10"/>
  <c r="S99" i="10"/>
  <c r="Y100" i="10"/>
  <c r="T94" i="10"/>
  <c r="T98" i="10"/>
  <c r="M98" i="10"/>
  <c r="N99" i="10"/>
  <c r="O99" i="10"/>
  <c r="I98" i="10"/>
  <c r="X94" i="10"/>
  <c r="M100" i="10"/>
  <c r="U98" i="10"/>
  <c r="H100" i="10"/>
  <c r="I94" i="10"/>
  <c r="H98" i="10"/>
  <c r="M94" i="10"/>
  <c r="J123" i="10"/>
  <c r="K126" i="10"/>
  <c r="K129" i="10"/>
  <c r="K127" i="10"/>
  <c r="K123" i="10"/>
  <c r="K118" i="10"/>
  <c r="K125" i="10"/>
  <c r="K133" i="10"/>
  <c r="K121" i="10"/>
  <c r="K128" i="10"/>
  <c r="K130" i="10"/>
  <c r="K132" i="10"/>
  <c r="K135" i="10"/>
  <c r="K120" i="10"/>
  <c r="K119" i="10"/>
  <c r="K122" i="10"/>
  <c r="K131" i="10"/>
  <c r="K134" i="10"/>
  <c r="K136" i="10"/>
  <c r="K124" i="10"/>
  <c r="E132" i="10"/>
  <c r="J121" i="10"/>
  <c r="J135" i="10"/>
  <c r="J126" i="10"/>
  <c r="J118" i="10"/>
  <c r="J133" i="10"/>
  <c r="J124" i="10"/>
  <c r="J120" i="10"/>
  <c r="J129" i="10"/>
  <c r="J136" i="10"/>
  <c r="J132" i="10"/>
  <c r="J122" i="10"/>
  <c r="J127" i="10"/>
  <c r="J134" i="10"/>
  <c r="J119" i="10"/>
  <c r="J125" i="10"/>
  <c r="J131" i="10"/>
  <c r="J130" i="10"/>
  <c r="J128" i="10"/>
  <c r="I119" i="10"/>
  <c r="I123" i="10"/>
  <c r="I136" i="10"/>
  <c r="I132" i="10"/>
  <c r="I133" i="10"/>
  <c r="I125" i="10"/>
  <c r="I130" i="10"/>
  <c r="I122" i="10"/>
  <c r="I127" i="10"/>
  <c r="I118" i="10"/>
  <c r="I120" i="10"/>
  <c r="I134" i="10"/>
  <c r="I121" i="10"/>
  <c r="I126" i="10"/>
  <c r="I128" i="10"/>
  <c r="I135" i="10"/>
  <c r="I129" i="10"/>
  <c r="I131" i="10"/>
  <c r="I124" i="10"/>
  <c r="E131" i="10"/>
  <c r="E124" i="10"/>
  <c r="E134" i="10"/>
  <c r="E120" i="10"/>
  <c r="E122" i="10"/>
  <c r="E123" i="10"/>
  <c r="E130" i="10"/>
  <c r="E121" i="10"/>
  <c r="E136" i="10"/>
  <c r="E119" i="10"/>
  <c r="E135" i="10"/>
  <c r="E118" i="10"/>
  <c r="E127" i="10"/>
  <c r="E128" i="10"/>
  <c r="E125" i="10"/>
  <c r="E126" i="10"/>
  <c r="E133" i="10"/>
  <c r="E129" i="10"/>
  <c r="C6" i="5" l="1"/>
  <c r="C7" i="5"/>
  <c r="C8" i="5"/>
  <c r="C9" i="5"/>
  <c r="C10" i="5"/>
  <c r="C11" i="5"/>
  <c r="C12" i="5"/>
  <c r="C13" i="5"/>
  <c r="C14" i="5"/>
  <c r="C15" i="5"/>
  <c r="C20" i="5"/>
  <c r="C21" i="5"/>
  <c r="C22" i="5"/>
  <c r="C5" i="5"/>
  <c r="D14" i="5"/>
  <c r="B5" i="5"/>
  <c r="B6" i="5"/>
  <c r="B7" i="5"/>
  <c r="B8" i="5"/>
  <c r="B9" i="5"/>
  <c r="B10" i="5"/>
  <c r="B11" i="5"/>
  <c r="B12" i="5"/>
  <c r="B13" i="5"/>
  <c r="B14" i="5"/>
  <c r="B15" i="5"/>
  <c r="B16" i="5"/>
  <c r="B17" i="5"/>
  <c r="B18" i="5"/>
  <c r="B19" i="5"/>
  <c r="B20" i="5"/>
  <c r="B21" i="5"/>
  <c r="B22" i="5"/>
  <c r="B29" i="5"/>
  <c r="B30" i="5"/>
  <c r="B31" i="5"/>
  <c r="B32" i="5"/>
  <c r="B33" i="5"/>
  <c r="B34" i="5"/>
  <c r="B35" i="5"/>
  <c r="B36" i="5"/>
  <c r="B37" i="5"/>
  <c r="B38" i="5"/>
  <c r="B39" i="5"/>
  <c r="B40" i="5"/>
  <c r="B41" i="5"/>
  <c r="B42" i="5"/>
  <c r="B43" i="5"/>
  <c r="B44" i="5"/>
  <c r="B45" i="5"/>
  <c r="B46" i="5"/>
  <c r="I47" i="1"/>
  <c r="I48" i="1"/>
  <c r="I45" i="1"/>
  <c r="I42" i="1"/>
  <c r="G100" i="38"/>
  <c r="H100" i="38"/>
  <c r="I100" i="38"/>
  <c r="J100" i="38"/>
  <c r="K100" i="38"/>
  <c r="L100" i="38"/>
  <c r="M100" i="38"/>
  <c r="N100" i="38"/>
  <c r="O100" i="38"/>
  <c r="P100" i="38"/>
  <c r="Q100" i="38"/>
  <c r="R100" i="38"/>
  <c r="S100" i="38"/>
  <c r="T100" i="38"/>
  <c r="U100" i="38"/>
  <c r="V100" i="38"/>
  <c r="W100" i="38"/>
  <c r="F100" i="38"/>
  <c r="E100" i="38"/>
  <c r="W119" i="38"/>
  <c r="V119" i="38"/>
  <c r="U119" i="38"/>
  <c r="T119" i="38"/>
  <c r="S119" i="38"/>
  <c r="R119" i="38"/>
  <c r="Q119" i="38"/>
  <c r="P119" i="38"/>
  <c r="O119" i="38"/>
  <c r="N119" i="38"/>
  <c r="M119" i="38"/>
  <c r="L119" i="38"/>
  <c r="K119" i="38"/>
  <c r="J119" i="38"/>
  <c r="I119" i="38"/>
  <c r="H119" i="38"/>
  <c r="G119" i="38"/>
  <c r="F119" i="38"/>
  <c r="E119" i="38"/>
  <c r="W118" i="38"/>
  <c r="V118" i="38"/>
  <c r="U118" i="38"/>
  <c r="T118" i="38"/>
  <c r="S118" i="38"/>
  <c r="R118" i="38"/>
  <c r="Q118" i="38"/>
  <c r="P118" i="38"/>
  <c r="O118" i="38"/>
  <c r="N118" i="38"/>
  <c r="M118" i="38"/>
  <c r="L118" i="38"/>
  <c r="K118" i="38"/>
  <c r="J118" i="38"/>
  <c r="I118" i="38"/>
  <c r="H118" i="38"/>
  <c r="G118" i="38"/>
  <c r="F118" i="38"/>
  <c r="E118" i="38"/>
  <c r="W117" i="38"/>
  <c r="V117" i="38"/>
  <c r="U117" i="38"/>
  <c r="T117" i="38"/>
  <c r="S117" i="38"/>
  <c r="R117" i="38"/>
  <c r="Q117" i="38"/>
  <c r="P117" i="38"/>
  <c r="O117" i="38"/>
  <c r="N117" i="38"/>
  <c r="M117" i="38"/>
  <c r="L117" i="38"/>
  <c r="K117" i="38"/>
  <c r="J117" i="38"/>
  <c r="I117" i="38"/>
  <c r="H117" i="38"/>
  <c r="G117" i="38"/>
  <c r="F117" i="38"/>
  <c r="E117" i="38"/>
  <c r="W116" i="38"/>
  <c r="V116" i="38"/>
  <c r="U116" i="38"/>
  <c r="T116" i="38"/>
  <c r="S116" i="38"/>
  <c r="R116" i="38"/>
  <c r="Q116" i="38"/>
  <c r="P116" i="38"/>
  <c r="O116" i="38"/>
  <c r="N116" i="38"/>
  <c r="M116" i="38"/>
  <c r="L116" i="38"/>
  <c r="K116" i="38"/>
  <c r="J116" i="38"/>
  <c r="I116" i="38"/>
  <c r="H116" i="38"/>
  <c r="G116" i="38"/>
  <c r="F116" i="38"/>
  <c r="E116" i="38"/>
  <c r="W115" i="38"/>
  <c r="V115" i="38"/>
  <c r="U115" i="38"/>
  <c r="T115" i="38"/>
  <c r="S115" i="38"/>
  <c r="R115" i="38"/>
  <c r="Q115" i="38"/>
  <c r="P115" i="38"/>
  <c r="O115" i="38"/>
  <c r="N115" i="38"/>
  <c r="M115" i="38"/>
  <c r="L115" i="38"/>
  <c r="K115" i="38"/>
  <c r="J115" i="38"/>
  <c r="I115" i="38"/>
  <c r="H115" i="38"/>
  <c r="G115" i="38"/>
  <c r="F115" i="38"/>
  <c r="E115" i="38"/>
  <c r="W114" i="38"/>
  <c r="V114" i="38"/>
  <c r="U114" i="38"/>
  <c r="T114" i="38"/>
  <c r="S114" i="38"/>
  <c r="R114" i="38"/>
  <c r="Q114" i="38"/>
  <c r="P114" i="38"/>
  <c r="O114" i="38"/>
  <c r="N114" i="38"/>
  <c r="M114" i="38"/>
  <c r="L114" i="38"/>
  <c r="K114" i="38"/>
  <c r="J114" i="38"/>
  <c r="I114" i="38"/>
  <c r="H114" i="38"/>
  <c r="G114" i="38"/>
  <c r="F114" i="38"/>
  <c r="E114" i="38"/>
  <c r="W113" i="38"/>
  <c r="V113" i="38"/>
  <c r="U113" i="38"/>
  <c r="T113" i="38"/>
  <c r="S113" i="38"/>
  <c r="R113" i="38"/>
  <c r="Q113" i="38"/>
  <c r="P113" i="38"/>
  <c r="O113" i="38"/>
  <c r="N113" i="38"/>
  <c r="M113" i="38"/>
  <c r="L113" i="38"/>
  <c r="K113" i="38"/>
  <c r="J113" i="38"/>
  <c r="I113" i="38"/>
  <c r="H113" i="38"/>
  <c r="G113" i="38"/>
  <c r="F113" i="38"/>
  <c r="E113" i="38"/>
  <c r="E99" i="38"/>
  <c r="F99" i="38"/>
  <c r="G99" i="38"/>
  <c r="H99" i="38"/>
  <c r="I99" i="38"/>
  <c r="J99" i="38"/>
  <c r="K99" i="38"/>
  <c r="L99" i="38"/>
  <c r="M99" i="38"/>
  <c r="N99" i="38"/>
  <c r="O99" i="38"/>
  <c r="P99" i="38"/>
  <c r="Q99" i="38"/>
  <c r="R99" i="38"/>
  <c r="S99" i="38"/>
  <c r="T99" i="38"/>
  <c r="U99" i="38"/>
  <c r="V99" i="38"/>
  <c r="W99" i="38"/>
  <c r="E80" i="38"/>
  <c r="F80" i="38"/>
  <c r="G80" i="38"/>
  <c r="H80" i="38"/>
  <c r="I80" i="38"/>
  <c r="J80" i="38"/>
  <c r="K80" i="38"/>
  <c r="L80" i="38"/>
  <c r="M80" i="38"/>
  <c r="N80" i="38"/>
  <c r="O80" i="38"/>
  <c r="P80" i="38"/>
  <c r="Q80" i="38"/>
  <c r="R80" i="38"/>
  <c r="S80" i="38"/>
  <c r="T80" i="38"/>
  <c r="U80" i="38"/>
  <c r="V80" i="38"/>
  <c r="W80" i="38"/>
  <c r="E81" i="5" l="1"/>
  <c r="E130" i="5" s="1"/>
  <c r="E69" i="5"/>
  <c r="E118" i="5" s="1"/>
  <c r="E74" i="5"/>
  <c r="E123" i="5" s="1"/>
  <c r="E75" i="5"/>
  <c r="E124" i="5" s="1"/>
  <c r="E79" i="5"/>
  <c r="E128" i="5" s="1"/>
  <c r="E67" i="5"/>
  <c r="E116" i="5" s="1"/>
  <c r="E72" i="5"/>
  <c r="E121" i="5" s="1"/>
  <c r="E77" i="5"/>
  <c r="E126" i="5" s="1"/>
  <c r="E65" i="5"/>
  <c r="E114" i="5" s="1"/>
  <c r="E82" i="5"/>
  <c r="E131" i="5" s="1"/>
  <c r="E70" i="5"/>
  <c r="E119" i="5" s="1"/>
  <c r="E80" i="5"/>
  <c r="E129" i="5" s="1"/>
  <c r="E68" i="5"/>
  <c r="E117" i="5" s="1"/>
  <c r="E76" i="5"/>
  <c r="E125" i="5" s="1"/>
  <c r="E73" i="5"/>
  <c r="E122" i="5" s="1"/>
  <c r="E78" i="5"/>
  <c r="E127" i="5" s="1"/>
  <c r="E66" i="5"/>
  <c r="E115" i="5" s="1"/>
  <c r="E83" i="5"/>
  <c r="E132" i="5" s="1"/>
  <c r="E71" i="5"/>
  <c r="E120" i="5" s="1"/>
  <c r="F74" i="5"/>
  <c r="F123" i="5" s="1"/>
  <c r="F79" i="5"/>
  <c r="F128" i="5" s="1"/>
  <c r="F67" i="5"/>
  <c r="F116" i="5" s="1"/>
  <c r="F72" i="5"/>
  <c r="F121" i="5" s="1"/>
  <c r="F77" i="5"/>
  <c r="F126" i="5" s="1"/>
  <c r="F65" i="5"/>
  <c r="F114" i="5" s="1"/>
  <c r="F80" i="5"/>
  <c r="F129" i="5" s="1"/>
  <c r="F82" i="5"/>
  <c r="F131" i="5" s="1"/>
  <c r="F70" i="5"/>
  <c r="F119" i="5" s="1"/>
  <c r="F75" i="5"/>
  <c r="F124" i="5" s="1"/>
  <c r="F68" i="5"/>
  <c r="F117" i="5" s="1"/>
  <c r="F73" i="5"/>
  <c r="F122" i="5" s="1"/>
  <c r="F81" i="5"/>
  <c r="F130" i="5" s="1"/>
  <c r="F69" i="5"/>
  <c r="F118" i="5" s="1"/>
  <c r="F78" i="5"/>
  <c r="F127" i="5" s="1"/>
  <c r="F66" i="5"/>
  <c r="F115" i="5" s="1"/>
  <c r="F83" i="5"/>
  <c r="F132" i="5" s="1"/>
  <c r="F71" i="5"/>
  <c r="F120" i="5" s="1"/>
  <c r="F76" i="5"/>
  <c r="F125" i="5" s="1"/>
  <c r="D76" i="5"/>
  <c r="D125" i="5" s="1"/>
  <c r="D70" i="5"/>
  <c r="D119" i="5" s="1"/>
  <c r="D81" i="5"/>
  <c r="D130" i="5" s="1"/>
  <c r="D69" i="5"/>
  <c r="D118" i="5" s="1"/>
  <c r="D74" i="5"/>
  <c r="D123" i="5" s="1"/>
  <c r="D79" i="5"/>
  <c r="D128" i="5" s="1"/>
  <c r="D67" i="5"/>
  <c r="D116" i="5" s="1"/>
  <c r="D82" i="5"/>
  <c r="D131" i="5" s="1"/>
  <c r="D72" i="5"/>
  <c r="D121" i="5" s="1"/>
  <c r="D77" i="5"/>
  <c r="D126" i="5" s="1"/>
  <c r="D65" i="5"/>
  <c r="D114" i="5" s="1"/>
  <c r="D75" i="5"/>
  <c r="D124" i="5" s="1"/>
  <c r="D80" i="5"/>
  <c r="D129" i="5" s="1"/>
  <c r="D68" i="5"/>
  <c r="D117" i="5" s="1"/>
  <c r="D71" i="5"/>
  <c r="D120" i="5" s="1"/>
  <c r="D73" i="5"/>
  <c r="D122" i="5" s="1"/>
  <c r="D78" i="5"/>
  <c r="D127" i="5" s="1"/>
  <c r="D66" i="5"/>
  <c r="D115" i="5" s="1"/>
  <c r="D83" i="5"/>
  <c r="D132" i="5" s="1"/>
  <c r="L78" i="5" a="1"/>
  <c r="L78" i="5" s="1"/>
  <c r="L72" i="5" a="1"/>
  <c r="L72" i="5" s="1"/>
  <c r="L66" i="5" a="1"/>
  <c r="L66" i="5" s="1"/>
  <c r="I14" i="5" a="1"/>
  <c r="I14" i="5" s="1"/>
  <c r="U14" i="5" a="1"/>
  <c r="U14" i="5" s="1"/>
  <c r="L69" i="5" a="1"/>
  <c r="L69" i="5" s="1"/>
  <c r="J14" i="5" a="1"/>
  <c r="J14" i="5" s="1"/>
  <c r="V14" i="5" a="1"/>
  <c r="V14" i="5" s="1"/>
  <c r="L83" i="5" a="1"/>
  <c r="L83" i="5" s="1"/>
  <c r="L77" i="5" a="1"/>
  <c r="L77" i="5" s="1"/>
  <c r="L71" i="5" a="1"/>
  <c r="L71" i="5" s="1"/>
  <c r="L65" i="5" a="1"/>
  <c r="L65" i="5" s="1"/>
  <c r="K14" i="5" a="1"/>
  <c r="K14" i="5" s="1"/>
  <c r="W14" i="5" a="1"/>
  <c r="W14" i="5" s="1"/>
  <c r="L14" i="5" a="1"/>
  <c r="L14" i="5" s="1"/>
  <c r="O14" i="5" a="1"/>
  <c r="O14" i="5" s="1"/>
  <c r="L82" i="5" a="1"/>
  <c r="L82" i="5" s="1"/>
  <c r="L76" i="5" a="1"/>
  <c r="L76" i="5" s="1"/>
  <c r="L70" i="5" a="1"/>
  <c r="L70" i="5" s="1"/>
  <c r="M14" i="5" a="1"/>
  <c r="M14" i="5" s="1"/>
  <c r="E14" i="5" a="1"/>
  <c r="E14" i="5" s="1"/>
  <c r="L81" i="5" a="1"/>
  <c r="L81" i="5" s="1"/>
  <c r="N14" i="5" a="1"/>
  <c r="N14" i="5" s="1"/>
  <c r="L75" i="5" a="1"/>
  <c r="L75" i="5" s="1"/>
  <c r="P14" i="5" a="1"/>
  <c r="P14" i="5" s="1"/>
  <c r="L80" i="5" a="1"/>
  <c r="L80" i="5" s="1"/>
  <c r="L74" i="5" a="1"/>
  <c r="L74" i="5" s="1"/>
  <c r="L68" i="5" a="1"/>
  <c r="L68" i="5" s="1"/>
  <c r="Q14" i="5" a="1"/>
  <c r="Q14" i="5" s="1"/>
  <c r="T14" i="5" a="1"/>
  <c r="T14" i="5" s="1"/>
  <c r="F14" i="5" a="1"/>
  <c r="F14" i="5" s="1"/>
  <c r="R14" i="5" a="1"/>
  <c r="R14" i="5" s="1"/>
  <c r="H14" i="5" a="1"/>
  <c r="H14" i="5" s="1"/>
  <c r="L79" i="5" a="1"/>
  <c r="L79" i="5" s="1"/>
  <c r="L73" i="5" a="1"/>
  <c r="L73" i="5" s="1"/>
  <c r="L67" i="5" a="1"/>
  <c r="L67" i="5" s="1"/>
  <c r="G14" i="5" a="1"/>
  <c r="G14" i="5" s="1"/>
  <c r="S14" i="5" a="1"/>
  <c r="S14" i="5" s="1"/>
  <c r="J82" i="5"/>
  <c r="J131" i="5" s="1"/>
  <c r="J70" i="5"/>
  <c r="J119" i="5" s="1"/>
  <c r="J75" i="5"/>
  <c r="J124" i="5" s="1"/>
  <c r="J80" i="5"/>
  <c r="J129" i="5" s="1"/>
  <c r="J68" i="5"/>
  <c r="J117" i="5" s="1"/>
  <c r="J76" i="5"/>
  <c r="J125" i="5" s="1"/>
  <c r="J73" i="5"/>
  <c r="J122" i="5" s="1"/>
  <c r="J78" i="5"/>
  <c r="J127" i="5" s="1"/>
  <c r="J66" i="5"/>
  <c r="J115" i="5" s="1"/>
  <c r="J83" i="5"/>
  <c r="J132" i="5" s="1"/>
  <c r="J71" i="5"/>
  <c r="J120" i="5" s="1"/>
  <c r="J81" i="5"/>
  <c r="J130" i="5" s="1"/>
  <c r="J69" i="5"/>
  <c r="J118" i="5" s="1"/>
  <c r="J74" i="5"/>
  <c r="J123" i="5" s="1"/>
  <c r="J77" i="5"/>
  <c r="J126" i="5" s="1"/>
  <c r="J79" i="5"/>
  <c r="J128" i="5" s="1"/>
  <c r="J67" i="5"/>
  <c r="J116" i="5" s="1"/>
  <c r="J65" i="5"/>
  <c r="J114" i="5" s="1"/>
  <c r="J72" i="5"/>
  <c r="J121" i="5" s="1"/>
  <c r="I77" i="5"/>
  <c r="I126" i="5" s="1"/>
  <c r="I65" i="5"/>
  <c r="I114" i="5" s="1"/>
  <c r="I82" i="5"/>
  <c r="I131" i="5" s="1"/>
  <c r="I70" i="5"/>
  <c r="I119" i="5" s="1"/>
  <c r="I75" i="5"/>
  <c r="I124" i="5" s="1"/>
  <c r="I80" i="5"/>
  <c r="I129" i="5" s="1"/>
  <c r="I68" i="5"/>
  <c r="I117" i="5" s="1"/>
  <c r="I71" i="5"/>
  <c r="I120" i="5" s="1"/>
  <c r="I73" i="5"/>
  <c r="I122" i="5" s="1"/>
  <c r="I78" i="5"/>
  <c r="I127" i="5" s="1"/>
  <c r="I66" i="5"/>
  <c r="I115" i="5" s="1"/>
  <c r="I83" i="5"/>
  <c r="I132" i="5" s="1"/>
  <c r="I76" i="5"/>
  <c r="I125" i="5" s="1"/>
  <c r="I81" i="5"/>
  <c r="I130" i="5" s="1"/>
  <c r="I69" i="5"/>
  <c r="I118" i="5" s="1"/>
  <c r="I74" i="5"/>
  <c r="I123" i="5" s="1"/>
  <c r="I72" i="5"/>
  <c r="I121" i="5" s="1"/>
  <c r="I79" i="5"/>
  <c r="I128" i="5" s="1"/>
  <c r="I67" i="5"/>
  <c r="I116" i="5" s="1"/>
  <c r="H72" i="5"/>
  <c r="H121" i="5" s="1"/>
  <c r="H77" i="5"/>
  <c r="H126" i="5" s="1"/>
  <c r="H65" i="5"/>
  <c r="H114" i="5" s="1"/>
  <c r="H82" i="5"/>
  <c r="H131" i="5" s="1"/>
  <c r="H70" i="5"/>
  <c r="H119" i="5" s="1"/>
  <c r="H66" i="5"/>
  <c r="H115" i="5" s="1"/>
  <c r="H75" i="5"/>
  <c r="H124" i="5" s="1"/>
  <c r="H80" i="5"/>
  <c r="H129" i="5" s="1"/>
  <c r="H68" i="5"/>
  <c r="H117" i="5" s="1"/>
  <c r="H73" i="5"/>
  <c r="H122" i="5" s="1"/>
  <c r="H78" i="5"/>
  <c r="H127" i="5" s="1"/>
  <c r="H83" i="5"/>
  <c r="H132" i="5" s="1"/>
  <c r="H71" i="5"/>
  <c r="H120" i="5" s="1"/>
  <c r="H76" i="5"/>
  <c r="H125" i="5" s="1"/>
  <c r="H81" i="5"/>
  <c r="H130" i="5" s="1"/>
  <c r="H69" i="5"/>
  <c r="H118" i="5" s="1"/>
  <c r="H79" i="5"/>
  <c r="H128" i="5" s="1"/>
  <c r="H74" i="5"/>
  <c r="H123" i="5" s="1"/>
  <c r="H67" i="5"/>
  <c r="H116" i="5" s="1"/>
  <c r="G79" i="5"/>
  <c r="G128" i="5" s="1"/>
  <c r="G67" i="5"/>
  <c r="G116" i="5" s="1"/>
  <c r="G72" i="5"/>
  <c r="G121" i="5" s="1"/>
  <c r="G77" i="5"/>
  <c r="G126" i="5" s="1"/>
  <c r="G65" i="5"/>
  <c r="G114" i="5" s="1"/>
  <c r="G82" i="5"/>
  <c r="G131" i="5" s="1"/>
  <c r="G70" i="5"/>
  <c r="G119" i="5" s="1"/>
  <c r="G75" i="5"/>
  <c r="G124" i="5" s="1"/>
  <c r="G73" i="5"/>
  <c r="G122" i="5" s="1"/>
  <c r="G80" i="5"/>
  <c r="G129" i="5" s="1"/>
  <c r="G68" i="5"/>
  <c r="G117" i="5" s="1"/>
  <c r="G78" i="5"/>
  <c r="G127" i="5" s="1"/>
  <c r="G66" i="5"/>
  <c r="G115" i="5" s="1"/>
  <c r="G83" i="5"/>
  <c r="G132" i="5" s="1"/>
  <c r="G71" i="5"/>
  <c r="G120" i="5" s="1"/>
  <c r="G76" i="5"/>
  <c r="G125" i="5" s="1"/>
  <c r="G81" i="5"/>
  <c r="G130" i="5" s="1"/>
  <c r="G69" i="5"/>
  <c r="G118" i="5" s="1"/>
  <c r="G74" i="5"/>
  <c r="G123" i="5" s="1"/>
  <c r="C66" i="5"/>
  <c r="C115" i="5" s="1"/>
  <c r="C81" i="5"/>
  <c r="C130" i="5" s="1"/>
  <c r="C78" i="5"/>
  <c r="C127" i="5" s="1"/>
  <c r="C75" i="5"/>
  <c r="C124" i="5" s="1"/>
  <c r="C72" i="5"/>
  <c r="C121" i="5" s="1"/>
  <c r="C69" i="5"/>
  <c r="C118" i="5" s="1"/>
  <c r="C73" i="5"/>
  <c r="C122" i="5" s="1"/>
  <c r="C79" i="5"/>
  <c r="C128" i="5" s="1"/>
  <c r="C67" i="5"/>
  <c r="C116" i="5" s="1"/>
  <c r="C76" i="5"/>
  <c r="C125" i="5" s="1"/>
  <c r="C82" i="5"/>
  <c r="C131" i="5" s="1"/>
  <c r="C70" i="5"/>
  <c r="C119" i="5" s="1"/>
  <c r="C77" i="5"/>
  <c r="C126" i="5" s="1"/>
  <c r="C83" i="5"/>
  <c r="C132" i="5" s="1"/>
  <c r="C80" i="5"/>
  <c r="C129" i="5" s="1"/>
  <c r="C74" i="5"/>
  <c r="C123" i="5" s="1"/>
  <c r="C71" i="5"/>
  <c r="C120" i="5" s="1"/>
  <c r="C68" i="5"/>
  <c r="C117" i="5" s="1"/>
  <c r="C65" i="5"/>
  <c r="C114" i="5" s="1"/>
  <c r="B81" i="5"/>
  <c r="B77" i="5"/>
  <c r="B73" i="5"/>
  <c r="B69" i="5"/>
  <c r="B65" i="5"/>
  <c r="B74" i="5"/>
  <c r="B70" i="5"/>
  <c r="B68" i="5"/>
  <c r="B78" i="5"/>
  <c r="B80" i="5"/>
  <c r="B82" i="5"/>
  <c r="B66" i="5"/>
  <c r="B72" i="5"/>
  <c r="B83" i="5"/>
  <c r="B79" i="5"/>
  <c r="B75" i="5"/>
  <c r="B71" i="5"/>
  <c r="B67" i="5"/>
  <c r="B76" i="5"/>
  <c r="F9" i="5"/>
  <c r="R9" i="5"/>
  <c r="G9" i="5"/>
  <c r="S9" i="5"/>
  <c r="H9" i="5"/>
  <c r="T9" i="5"/>
  <c r="J9" i="5"/>
  <c r="I9" i="5"/>
  <c r="U9" i="5"/>
  <c r="V9" i="5"/>
  <c r="K9" i="5"/>
  <c r="W9" i="5"/>
  <c r="L9" i="5"/>
  <c r="M9" i="5"/>
  <c r="N9" i="5"/>
  <c r="O9" i="5"/>
  <c r="E9" i="5"/>
  <c r="P9" i="5"/>
  <c r="Q9" i="5"/>
  <c r="L8" i="5"/>
  <c r="M8" i="5"/>
  <c r="P8" i="5"/>
  <c r="N8" i="5"/>
  <c r="O8" i="5"/>
  <c r="Q8" i="5"/>
  <c r="F8" i="5"/>
  <c r="R8" i="5"/>
  <c r="G8" i="5"/>
  <c r="S8" i="5"/>
  <c r="K8" i="5"/>
  <c r="H8" i="5"/>
  <c r="T8" i="5"/>
  <c r="E8" i="5"/>
  <c r="I8" i="5"/>
  <c r="U8" i="5"/>
  <c r="W8" i="5"/>
  <c r="J8" i="5"/>
  <c r="V8" i="5"/>
  <c r="F7" i="5"/>
  <c r="R7" i="5"/>
  <c r="V7" i="5"/>
  <c r="G7" i="5"/>
  <c r="S7" i="5"/>
  <c r="J7" i="5"/>
  <c r="H7" i="5"/>
  <c r="T7" i="5"/>
  <c r="I7" i="5"/>
  <c r="U7" i="5"/>
  <c r="K7" i="5"/>
  <c r="W7" i="5"/>
  <c r="L7" i="5"/>
  <c r="M7" i="5"/>
  <c r="E7" i="5"/>
  <c r="Q7" i="5"/>
  <c r="N7" i="5"/>
  <c r="O7" i="5"/>
  <c r="P7" i="5"/>
  <c r="L6" i="5"/>
  <c r="M6" i="5"/>
  <c r="N6" i="5"/>
  <c r="P6" i="5"/>
  <c r="O6" i="5"/>
  <c r="Q6" i="5"/>
  <c r="F6" i="5"/>
  <c r="R6" i="5"/>
  <c r="G6" i="5"/>
  <c r="S6" i="5"/>
  <c r="H6" i="5"/>
  <c r="T6" i="5"/>
  <c r="W6" i="5"/>
  <c r="I6" i="5"/>
  <c r="U6" i="5"/>
  <c r="K6" i="5"/>
  <c r="J6" i="5"/>
  <c r="V6" i="5"/>
  <c r="E6" i="5"/>
  <c r="F5" i="5"/>
  <c r="R5" i="5"/>
  <c r="G5" i="5"/>
  <c r="S5" i="5"/>
  <c r="H5" i="5"/>
  <c r="T5" i="5"/>
  <c r="E5" i="5"/>
  <c r="I5" i="5"/>
  <c r="U5" i="5"/>
  <c r="V5" i="5"/>
  <c r="J5" i="5"/>
  <c r="K5" i="5"/>
  <c r="W5" i="5"/>
  <c r="L5" i="5"/>
  <c r="M5" i="5"/>
  <c r="N5" i="5"/>
  <c r="O5" i="5"/>
  <c r="P5" i="5"/>
  <c r="Q5" i="5"/>
  <c r="F13" i="5"/>
  <c r="R13" i="5"/>
  <c r="G13" i="5"/>
  <c r="S13" i="5"/>
  <c r="E13" i="5"/>
  <c r="V13" i="5"/>
  <c r="H13" i="5"/>
  <c r="T13" i="5"/>
  <c r="I13" i="5"/>
  <c r="U13" i="5"/>
  <c r="J13" i="5"/>
  <c r="K13" i="5"/>
  <c r="W13" i="5"/>
  <c r="M13" i="5"/>
  <c r="Q13" i="5"/>
  <c r="N13" i="5"/>
  <c r="L13" i="5"/>
  <c r="O13" i="5"/>
  <c r="P13" i="5"/>
  <c r="L12" i="5"/>
  <c r="E12" i="5"/>
  <c r="P12" i="5"/>
  <c r="F12" i="5"/>
  <c r="M12" i="5"/>
  <c r="N12" i="5"/>
  <c r="R12" i="5"/>
  <c r="O12" i="5"/>
  <c r="Q12" i="5"/>
  <c r="G12" i="5"/>
  <c r="S12" i="5"/>
  <c r="H12" i="5"/>
  <c r="T12" i="5"/>
  <c r="I12" i="5"/>
  <c r="U12" i="5"/>
  <c r="K12" i="5"/>
  <c r="J12" i="5"/>
  <c r="V12" i="5"/>
  <c r="W12" i="5"/>
  <c r="F11" i="5"/>
  <c r="R11" i="5"/>
  <c r="G11" i="5"/>
  <c r="S11" i="5"/>
  <c r="J11" i="5"/>
  <c r="L11" i="5"/>
  <c r="H11" i="5"/>
  <c r="T11" i="5"/>
  <c r="V11" i="5"/>
  <c r="I11" i="5"/>
  <c r="U11" i="5"/>
  <c r="K11" i="5"/>
  <c r="W11" i="5"/>
  <c r="M11" i="5"/>
  <c r="N11" i="5"/>
  <c r="Q11" i="5"/>
  <c r="E11" i="5"/>
  <c r="O11" i="5"/>
  <c r="P11" i="5"/>
  <c r="L10" i="5"/>
  <c r="P10" i="5"/>
  <c r="M10" i="5"/>
  <c r="N10" i="5"/>
  <c r="O10" i="5"/>
  <c r="Q10" i="5"/>
  <c r="R10" i="5"/>
  <c r="G10" i="5"/>
  <c r="S10" i="5"/>
  <c r="W10" i="5"/>
  <c r="F10" i="5"/>
  <c r="H10" i="5"/>
  <c r="T10" i="5"/>
  <c r="K10" i="5"/>
  <c r="I10" i="5"/>
  <c r="U10" i="5"/>
  <c r="J10" i="5"/>
  <c r="V10" i="5"/>
  <c r="E10" i="5"/>
  <c r="B7" i="40"/>
  <c r="B8" i="40"/>
  <c r="B79" i="1"/>
  <c r="E57" i="35"/>
  <c r="B59" i="35"/>
  <c r="J123" i="9"/>
  <c r="I62" i="9"/>
  <c r="J62" i="9"/>
  <c r="K62" i="9"/>
  <c r="L62" i="9"/>
  <c r="M62" i="9"/>
  <c r="N62" i="9"/>
  <c r="O62" i="9"/>
  <c r="P62" i="9"/>
  <c r="Q62" i="9"/>
  <c r="R62" i="9"/>
  <c r="S62" i="9"/>
  <c r="T62" i="9"/>
  <c r="U62" i="9"/>
  <c r="V62" i="9"/>
  <c r="W62" i="9"/>
  <c r="X62" i="9"/>
  <c r="Y62" i="9"/>
  <c r="Z62" i="9"/>
  <c r="H62" i="9"/>
  <c r="F81" i="38"/>
  <c r="I96" i="9" s="1"/>
  <c r="G81" i="38"/>
  <c r="J96" i="9" s="1"/>
  <c r="H81" i="38"/>
  <c r="K96" i="9" s="1"/>
  <c r="I81" i="38"/>
  <c r="L123" i="9" s="1"/>
  <c r="J81" i="38"/>
  <c r="M123" i="9" s="1"/>
  <c r="K81" i="38"/>
  <c r="N123" i="9" s="1"/>
  <c r="L81" i="38"/>
  <c r="O105" i="9" s="1"/>
  <c r="M81" i="38"/>
  <c r="P105" i="9" s="1"/>
  <c r="N81" i="38"/>
  <c r="Q114" i="9" s="1"/>
  <c r="O81" i="38"/>
  <c r="R52" i="9" s="1"/>
  <c r="P81" i="38"/>
  <c r="S52" i="9" s="1"/>
  <c r="Q81" i="38"/>
  <c r="T96" i="9" s="1"/>
  <c r="R81" i="38"/>
  <c r="U96" i="9" s="1"/>
  <c r="S81" i="38"/>
  <c r="V96" i="9" s="1"/>
  <c r="T81" i="38"/>
  <c r="W96" i="9" s="1"/>
  <c r="U81" i="38"/>
  <c r="X123" i="9" s="1"/>
  <c r="V81" i="38"/>
  <c r="Y123" i="9" s="1"/>
  <c r="W81" i="38"/>
  <c r="Z123" i="9" s="1"/>
  <c r="E81" i="38"/>
  <c r="H105" i="9" s="1"/>
  <c r="V114" i="9" l="1"/>
  <c r="Q52" i="9"/>
  <c r="H114" i="9"/>
  <c r="Z105" i="9"/>
  <c r="P114" i="9"/>
  <c r="J114" i="9"/>
  <c r="Y105" i="9"/>
  <c r="N105" i="9"/>
  <c r="V123" i="9"/>
  <c r="O114" i="9"/>
  <c r="M105" i="9"/>
  <c r="Y96" i="9"/>
  <c r="S96" i="9"/>
  <c r="Q123" i="9"/>
  <c r="T105" i="9"/>
  <c r="M96" i="9"/>
  <c r="K123" i="9"/>
  <c r="L114" i="5"/>
  <c r="L122" i="5"/>
  <c r="L120" i="5"/>
  <c r="L128" i="5"/>
  <c r="L130" i="5"/>
  <c r="L126" i="5"/>
  <c r="L116" i="5"/>
  <c r="L132" i="5"/>
  <c r="L124" i="5"/>
  <c r="L125" i="5"/>
  <c r="L118" i="5"/>
  <c r="L119" i="5"/>
  <c r="L131" i="5"/>
  <c r="L117" i="5"/>
  <c r="L123" i="5"/>
  <c r="L115" i="5"/>
  <c r="L129" i="5"/>
  <c r="L121" i="5"/>
  <c r="L127" i="5"/>
  <c r="B124" i="5"/>
  <c r="K75" i="5"/>
  <c r="K124" i="5" s="1"/>
  <c r="C77" i="20" s="1"/>
  <c r="B122" i="5"/>
  <c r="K73" i="5"/>
  <c r="K122" i="5" s="1"/>
  <c r="C75" i="20" s="1"/>
  <c r="B132" i="5"/>
  <c r="K83" i="5"/>
  <c r="K132" i="5" s="1"/>
  <c r="C85" i="20" s="1"/>
  <c r="B115" i="5"/>
  <c r="K66" i="5"/>
  <c r="K115" i="5" s="1"/>
  <c r="C68" i="20" s="1"/>
  <c r="B116" i="5"/>
  <c r="K67" i="5"/>
  <c r="K116" i="5" s="1"/>
  <c r="C69" i="20" s="1"/>
  <c r="B121" i="5"/>
  <c r="K72" i="5"/>
  <c r="K121" i="5" s="1"/>
  <c r="C74" i="20" s="1"/>
  <c r="B131" i="5"/>
  <c r="K82" i="5"/>
  <c r="K131" i="5" s="1"/>
  <c r="C84" i="20" s="1"/>
  <c r="B120" i="5"/>
  <c r="K71" i="5"/>
  <c r="K120" i="5" s="1"/>
  <c r="C73" i="20" s="1"/>
  <c r="B128" i="5"/>
  <c r="K79" i="5"/>
  <c r="K128" i="5" s="1"/>
  <c r="C81" i="20" s="1"/>
  <c r="B126" i="5"/>
  <c r="K77" i="5"/>
  <c r="K126" i="5" s="1"/>
  <c r="C79" i="20" s="1"/>
  <c r="B129" i="5"/>
  <c r="K80" i="5"/>
  <c r="K129" i="5" s="1"/>
  <c r="C82" i="20" s="1"/>
  <c r="B127" i="5"/>
  <c r="K78" i="5"/>
  <c r="K127" i="5" s="1"/>
  <c r="C80" i="20" s="1"/>
  <c r="B125" i="5"/>
  <c r="K76" i="5"/>
  <c r="K125" i="5" s="1"/>
  <c r="C78" i="20" s="1"/>
  <c r="B117" i="5"/>
  <c r="K68" i="5"/>
  <c r="K117" i="5" s="1"/>
  <c r="C70" i="20" s="1"/>
  <c r="B119" i="5"/>
  <c r="K70" i="5"/>
  <c r="K119" i="5" s="1"/>
  <c r="C72" i="20" s="1"/>
  <c r="B123" i="5"/>
  <c r="K74" i="5"/>
  <c r="K123" i="5" s="1"/>
  <c r="C76" i="20" s="1"/>
  <c r="K65" i="5"/>
  <c r="B114" i="5"/>
  <c r="B118" i="5"/>
  <c r="K69" i="5"/>
  <c r="K118" i="5" s="1"/>
  <c r="C71" i="20" s="1"/>
  <c r="B130" i="5"/>
  <c r="K81" i="5"/>
  <c r="K130" i="5" s="1"/>
  <c r="C83" i="20" s="1"/>
  <c r="Q96" i="9"/>
  <c r="X105" i="9"/>
  <c r="L105" i="9"/>
  <c r="Z114" i="9"/>
  <c r="N114" i="9"/>
  <c r="U123" i="9"/>
  <c r="I123" i="9"/>
  <c r="P52" i="9"/>
  <c r="P96" i="9"/>
  <c r="W105" i="9"/>
  <c r="K105" i="9"/>
  <c r="Y114" i="9"/>
  <c r="M114" i="9"/>
  <c r="T123" i="9"/>
  <c r="H52" i="9"/>
  <c r="O52" i="9"/>
  <c r="R96" i="9"/>
  <c r="H96" i="9"/>
  <c r="O96" i="9"/>
  <c r="V105" i="9"/>
  <c r="J105" i="9"/>
  <c r="X114" i="9"/>
  <c r="L114" i="9"/>
  <c r="S123" i="9"/>
  <c r="Z52" i="9"/>
  <c r="N52" i="9"/>
  <c r="Z96" i="9"/>
  <c r="N96" i="9"/>
  <c r="U105" i="9"/>
  <c r="I105" i="9"/>
  <c r="W114" i="9"/>
  <c r="K114" i="9"/>
  <c r="R123" i="9"/>
  <c r="Y52" i="9"/>
  <c r="M52" i="9"/>
  <c r="W123" i="9"/>
  <c r="X96" i="9"/>
  <c r="L96" i="9"/>
  <c r="S105" i="9"/>
  <c r="U114" i="9"/>
  <c r="I114" i="9"/>
  <c r="P123" i="9"/>
  <c r="W52" i="9"/>
  <c r="K52" i="9"/>
  <c r="L52" i="9"/>
  <c r="R105" i="9"/>
  <c r="T114" i="9"/>
  <c r="H123" i="9"/>
  <c r="O123" i="9"/>
  <c r="V52" i="9"/>
  <c r="J52" i="9"/>
  <c r="Q105" i="9"/>
  <c r="S114" i="9"/>
  <c r="U52" i="9"/>
  <c r="I52" i="9"/>
  <c r="R114" i="9"/>
  <c r="T52" i="9"/>
  <c r="X52" i="9"/>
  <c r="C60" i="20" l="1"/>
  <c r="K114" i="5"/>
  <c r="C67" i="20" l="1"/>
  <c r="K133" i="5"/>
  <c r="B7" i="35"/>
  <c r="B7" i="14"/>
  <c r="B11" i="12"/>
  <c r="B61" i="12"/>
  <c r="T181" i="12" l="1"/>
  <c r="U181" i="12"/>
  <c r="Q181" i="12"/>
  <c r="I181" i="12"/>
  <c r="J181" i="12"/>
  <c r="F181" i="12"/>
  <c r="S181" i="12"/>
  <c r="K181" i="12"/>
  <c r="P181" i="12"/>
  <c r="L181" i="12"/>
  <c r="R181" i="12"/>
  <c r="M181" i="12"/>
  <c r="N181" i="12"/>
  <c r="O181" i="12"/>
  <c r="I44" i="9"/>
  <c r="J44" i="9"/>
  <c r="K44" i="9"/>
  <c r="L44" i="9"/>
  <c r="M44" i="9"/>
  <c r="N44" i="9"/>
  <c r="O44" i="9"/>
  <c r="P44" i="9"/>
  <c r="Q44" i="9"/>
  <c r="R44" i="9"/>
  <c r="S44" i="9"/>
  <c r="T44" i="9"/>
  <c r="U44" i="9"/>
  <c r="V44" i="9"/>
  <c r="W44" i="9"/>
  <c r="X44" i="9"/>
  <c r="Y44" i="9"/>
  <c r="Z44" i="9"/>
  <c r="H44" i="9"/>
  <c r="G76" i="19"/>
  <c r="B53" i="19"/>
  <c r="C68" i="19" s="1"/>
  <c r="B44" i="19"/>
  <c r="B30" i="19"/>
  <c r="B15" i="19"/>
  <c r="P282" i="18" l="1" a="1"/>
  <c r="P282" i="18" s="1"/>
  <c r="L301" i="18" s="1"/>
  <c r="P281" i="18" a="1"/>
  <c r="P281" i="18" s="1"/>
  <c r="L300" i="18" s="1"/>
  <c r="O282" i="18" a="1"/>
  <c r="O282" i="18" s="1"/>
  <c r="K301" i="18" s="1"/>
  <c r="O281" i="18" a="1"/>
  <c r="O281" i="18" s="1"/>
  <c r="K300" i="18" s="1"/>
  <c r="G282" i="18" a="1"/>
  <c r="G282" i="18" s="1"/>
  <c r="C301" i="18" s="1"/>
  <c r="G281" i="18" a="1"/>
  <c r="G281" i="18" s="1"/>
  <c r="N281" i="18" a="1"/>
  <c r="N281" i="18" s="1"/>
  <c r="J300" i="18" s="1"/>
  <c r="N282" i="18" a="1"/>
  <c r="N282" i="18" s="1"/>
  <c r="J301" i="18" s="1"/>
  <c r="Y281" i="18" a="1"/>
  <c r="Y281" i="18" s="1"/>
  <c r="U300" i="18" s="1"/>
  <c r="Y282" i="18" a="1"/>
  <c r="Y282" i="18" s="1"/>
  <c r="U301" i="18" s="1"/>
  <c r="M282" i="18" a="1"/>
  <c r="M282" i="18" s="1"/>
  <c r="I301" i="18" s="1"/>
  <c r="M281" i="18" a="1"/>
  <c r="M281" i="18" s="1"/>
  <c r="I300" i="18" s="1"/>
  <c r="Q281" i="18" a="1"/>
  <c r="Q281" i="18" s="1"/>
  <c r="M300" i="18" s="1"/>
  <c r="Q282" i="18" a="1"/>
  <c r="Q282" i="18" s="1"/>
  <c r="M301" i="18" s="1"/>
  <c r="X282" i="18" a="1"/>
  <c r="X282" i="18" s="1"/>
  <c r="T301" i="18" s="1"/>
  <c r="X281" i="18" a="1"/>
  <c r="X281" i="18" s="1"/>
  <c r="T300" i="18" s="1"/>
  <c r="L281" i="18" a="1"/>
  <c r="L281" i="18" s="1"/>
  <c r="H300" i="18" s="1"/>
  <c r="L282" i="18" a="1"/>
  <c r="L282" i="18" s="1"/>
  <c r="H301" i="18" s="1"/>
  <c r="W282" i="18" a="1"/>
  <c r="W282" i="18" s="1"/>
  <c r="S301" i="18" s="1"/>
  <c r="W281" i="18" a="1"/>
  <c r="W281" i="18" s="1"/>
  <c r="S300" i="18" s="1"/>
  <c r="V281" i="18" a="1"/>
  <c r="V281" i="18" s="1"/>
  <c r="R300" i="18" s="1"/>
  <c r="V282" i="18" a="1"/>
  <c r="V282" i="18" s="1"/>
  <c r="R301" i="18" s="1"/>
  <c r="J281" i="18" a="1"/>
  <c r="J281" i="18" s="1"/>
  <c r="F300" i="18" s="1"/>
  <c r="J282" i="18" a="1"/>
  <c r="J282" i="18" s="1"/>
  <c r="F301" i="18" s="1"/>
  <c r="U282" i="18" a="1"/>
  <c r="U282" i="18" s="1"/>
  <c r="Q301" i="18" s="1"/>
  <c r="U281" i="18" a="1"/>
  <c r="U281" i="18" s="1"/>
  <c r="Q300" i="18" s="1"/>
  <c r="T282" i="18" a="1"/>
  <c r="T282" i="18" s="1"/>
  <c r="P301" i="18" s="1"/>
  <c r="T281" i="18" a="1"/>
  <c r="T281" i="18" s="1"/>
  <c r="P300" i="18" s="1"/>
  <c r="H282" i="18" a="1"/>
  <c r="H282" i="18" s="1"/>
  <c r="D301" i="18" s="1"/>
  <c r="H281" i="18" a="1"/>
  <c r="H281" i="18" s="1"/>
  <c r="D300" i="18" s="1"/>
  <c r="K282" i="18" a="1"/>
  <c r="K282" i="18" s="1"/>
  <c r="G301" i="18" s="1"/>
  <c r="K281" i="18" a="1"/>
  <c r="K281" i="18" s="1"/>
  <c r="G300" i="18" s="1"/>
  <c r="S281" i="18" a="1"/>
  <c r="S281" i="18" s="1"/>
  <c r="O300" i="18" s="1"/>
  <c r="S282" i="18" a="1"/>
  <c r="S282" i="18" s="1"/>
  <c r="O301" i="18" s="1"/>
  <c r="I281" i="18" a="1"/>
  <c r="I281" i="18" s="1"/>
  <c r="E300" i="18" s="1"/>
  <c r="I282" i="18" a="1"/>
  <c r="I282" i="18" s="1"/>
  <c r="E301" i="18" s="1"/>
  <c r="R281" i="18" a="1"/>
  <c r="R281" i="18" s="1"/>
  <c r="N300" i="18" s="1"/>
  <c r="R282" i="18" a="1"/>
  <c r="R282" i="18" s="1"/>
  <c r="N301" i="18" s="1"/>
  <c r="Q113" i="9"/>
  <c r="X113" i="9"/>
  <c r="B150" i="18"/>
  <c r="B133" i="18"/>
  <c r="B116" i="18"/>
  <c r="B80" i="18"/>
  <c r="B67" i="18"/>
  <c r="B99" i="18"/>
  <c r="B41" i="18"/>
  <c r="T95" i="9"/>
  <c r="H95" i="9"/>
  <c r="E110" i="14"/>
  <c r="E108" i="14"/>
  <c r="E107" i="14"/>
  <c r="E106" i="14"/>
  <c r="E105" i="14"/>
  <c r="E104" i="14"/>
  <c r="E103" i="14"/>
  <c r="E23" i="12"/>
  <c r="G28" i="12" s="1"/>
  <c r="I51" i="9"/>
  <c r="J51" i="9"/>
  <c r="K51" i="9"/>
  <c r="M51" i="9"/>
  <c r="U51" i="9"/>
  <c r="V51" i="9"/>
  <c r="I104" i="9"/>
  <c r="J104" i="9"/>
  <c r="K104" i="9"/>
  <c r="L104" i="9"/>
  <c r="M104" i="9"/>
  <c r="N104" i="9"/>
  <c r="O104" i="9"/>
  <c r="Q104" i="9"/>
  <c r="R104" i="9"/>
  <c r="S104" i="9"/>
  <c r="T104" i="9"/>
  <c r="U104" i="9"/>
  <c r="V104" i="9"/>
  <c r="W104" i="9"/>
  <c r="X104" i="9"/>
  <c r="Y104" i="9"/>
  <c r="Z104" i="9"/>
  <c r="H104" i="9"/>
  <c r="B92" i="14"/>
  <c r="C108" i="14" s="1"/>
  <c r="B83" i="14"/>
  <c r="C107" i="14" s="1"/>
  <c r="B74" i="14"/>
  <c r="C106" i="14" s="1"/>
  <c r="B58" i="14"/>
  <c r="C110" i="14" s="1"/>
  <c r="B44" i="14"/>
  <c r="C105" i="14" s="1"/>
  <c r="B30" i="14"/>
  <c r="C104" i="14" s="1"/>
  <c r="B16" i="14"/>
  <c r="C103" i="14" s="1"/>
  <c r="F97" i="38"/>
  <c r="I59" i="9" s="1"/>
  <c r="G97" i="38"/>
  <c r="J59" i="9" s="1"/>
  <c r="H97" i="38"/>
  <c r="K59" i="9" s="1"/>
  <c r="I97" i="38"/>
  <c r="L59" i="9" s="1"/>
  <c r="J97" i="38"/>
  <c r="M59" i="9" s="1"/>
  <c r="K97" i="38"/>
  <c r="N59" i="9" s="1"/>
  <c r="L97" i="38"/>
  <c r="O59" i="9" s="1"/>
  <c r="M97" i="38"/>
  <c r="P59" i="9" s="1"/>
  <c r="N97" i="38"/>
  <c r="Q59" i="9" s="1"/>
  <c r="O97" i="38"/>
  <c r="R59" i="9" s="1"/>
  <c r="P97" i="38"/>
  <c r="S59" i="9" s="1"/>
  <c r="Q97" i="38"/>
  <c r="T59" i="9" s="1"/>
  <c r="R97" i="38"/>
  <c r="U59" i="9" s="1"/>
  <c r="S97" i="38"/>
  <c r="V59" i="9" s="1"/>
  <c r="T97" i="38"/>
  <c r="W59" i="9" s="1"/>
  <c r="U97" i="38"/>
  <c r="X59" i="9" s="1"/>
  <c r="V97" i="38"/>
  <c r="Y59" i="9" s="1"/>
  <c r="W97" i="38"/>
  <c r="Z59" i="9" s="1"/>
  <c r="E97" i="38"/>
  <c r="H59" i="9" s="1"/>
  <c r="F96" i="38"/>
  <c r="I58" i="9" s="1"/>
  <c r="G96" i="38"/>
  <c r="J58" i="9" s="1"/>
  <c r="H96" i="38"/>
  <c r="K58" i="9" s="1"/>
  <c r="I96" i="38"/>
  <c r="L58" i="9" s="1"/>
  <c r="J96" i="38"/>
  <c r="M58" i="9" s="1"/>
  <c r="K96" i="38"/>
  <c r="N58" i="9" s="1"/>
  <c r="L96" i="38"/>
  <c r="O58" i="9" s="1"/>
  <c r="M96" i="38"/>
  <c r="P58" i="9" s="1"/>
  <c r="N96" i="38"/>
  <c r="Q58" i="9" s="1"/>
  <c r="O96" i="38"/>
  <c r="R58" i="9" s="1"/>
  <c r="P96" i="38"/>
  <c r="S58" i="9" s="1"/>
  <c r="Q96" i="38"/>
  <c r="T58" i="9" s="1"/>
  <c r="R96" i="38"/>
  <c r="U58" i="9" s="1"/>
  <c r="S96" i="38"/>
  <c r="V58" i="9" s="1"/>
  <c r="T96" i="38"/>
  <c r="W58" i="9" s="1"/>
  <c r="U96" i="38"/>
  <c r="X58" i="9" s="1"/>
  <c r="V96" i="38"/>
  <c r="Y58" i="9" s="1"/>
  <c r="W96" i="38"/>
  <c r="Z58" i="9" s="1"/>
  <c r="E96" i="38"/>
  <c r="H58" i="9" s="1"/>
  <c r="F95" i="38"/>
  <c r="I57" i="9" s="1"/>
  <c r="G95" i="38"/>
  <c r="J57" i="9" s="1"/>
  <c r="H95" i="38"/>
  <c r="K57" i="9" s="1"/>
  <c r="I95" i="38"/>
  <c r="L57" i="9" s="1"/>
  <c r="J95" i="38"/>
  <c r="M57" i="9" s="1"/>
  <c r="K95" i="38"/>
  <c r="N57" i="9" s="1"/>
  <c r="L95" i="38"/>
  <c r="O57" i="9" s="1"/>
  <c r="M95" i="38"/>
  <c r="P57" i="9" s="1"/>
  <c r="N95" i="38"/>
  <c r="Q57" i="9" s="1"/>
  <c r="O95" i="38"/>
  <c r="R57" i="9" s="1"/>
  <c r="P95" i="38"/>
  <c r="S57" i="9" s="1"/>
  <c r="Q95" i="38"/>
  <c r="T57" i="9" s="1"/>
  <c r="R95" i="38"/>
  <c r="U57" i="9" s="1"/>
  <c r="S95" i="38"/>
  <c r="V57" i="9" s="1"/>
  <c r="T95" i="38"/>
  <c r="W57" i="9" s="1"/>
  <c r="U95" i="38"/>
  <c r="X57" i="9" s="1"/>
  <c r="V95" i="38"/>
  <c r="Y57" i="9" s="1"/>
  <c r="W95" i="38"/>
  <c r="Z57" i="9" s="1"/>
  <c r="E95" i="38"/>
  <c r="H57" i="9" s="1"/>
  <c r="G94" i="38"/>
  <c r="J56" i="9" s="1"/>
  <c r="H94" i="38"/>
  <c r="K56" i="9" s="1"/>
  <c r="I94" i="38"/>
  <c r="L56" i="9" s="1"/>
  <c r="J94" i="38"/>
  <c r="M56" i="9" s="1"/>
  <c r="K94" i="38"/>
  <c r="N56" i="9" s="1"/>
  <c r="L94" i="38"/>
  <c r="O56" i="9" s="1"/>
  <c r="M94" i="38"/>
  <c r="P56" i="9" s="1"/>
  <c r="N94" i="38"/>
  <c r="Q56" i="9" s="1"/>
  <c r="O94" i="38"/>
  <c r="R56" i="9" s="1"/>
  <c r="P94" i="38"/>
  <c r="S56" i="9" s="1"/>
  <c r="Q94" i="38"/>
  <c r="T56" i="9" s="1"/>
  <c r="R94" i="38"/>
  <c r="U56" i="9" s="1"/>
  <c r="S94" i="38"/>
  <c r="V56" i="9" s="1"/>
  <c r="T94" i="38"/>
  <c r="W56" i="9" s="1"/>
  <c r="U94" i="38"/>
  <c r="X56" i="9" s="1"/>
  <c r="V94" i="38"/>
  <c r="Y56" i="9" s="1"/>
  <c r="W94" i="38"/>
  <c r="Z56" i="9" s="1"/>
  <c r="F94" i="38"/>
  <c r="I56" i="9" s="1"/>
  <c r="E94" i="38"/>
  <c r="H56" i="9" s="1"/>
  <c r="I61" i="9"/>
  <c r="J61" i="9"/>
  <c r="K61" i="9"/>
  <c r="L61" i="9"/>
  <c r="M61" i="9"/>
  <c r="N61" i="9"/>
  <c r="O61" i="9"/>
  <c r="P61" i="9"/>
  <c r="Q61" i="9"/>
  <c r="R61" i="9"/>
  <c r="S61" i="9"/>
  <c r="T61" i="9"/>
  <c r="U61" i="9"/>
  <c r="V61" i="9"/>
  <c r="W61" i="9"/>
  <c r="X61" i="9"/>
  <c r="Y61" i="9"/>
  <c r="Z61" i="9"/>
  <c r="H61" i="9"/>
  <c r="F93" i="38"/>
  <c r="I54" i="9" s="1"/>
  <c r="G93" i="38"/>
  <c r="J54" i="9" s="1"/>
  <c r="H93" i="38"/>
  <c r="K54" i="9" s="1"/>
  <c r="I93" i="38"/>
  <c r="L54" i="9" s="1"/>
  <c r="J93" i="38"/>
  <c r="M54" i="9" s="1"/>
  <c r="K93" i="38"/>
  <c r="N54" i="9" s="1"/>
  <c r="L93" i="38"/>
  <c r="O54" i="9" s="1"/>
  <c r="M93" i="38"/>
  <c r="P54" i="9" s="1"/>
  <c r="N93" i="38"/>
  <c r="Q54" i="9" s="1"/>
  <c r="O93" i="38"/>
  <c r="R54" i="9" s="1"/>
  <c r="P93" i="38"/>
  <c r="S54" i="9" s="1"/>
  <c r="Q93" i="38"/>
  <c r="T54" i="9" s="1"/>
  <c r="R93" i="38"/>
  <c r="U54" i="9" s="1"/>
  <c r="S93" i="38"/>
  <c r="V54" i="9" s="1"/>
  <c r="T93" i="38"/>
  <c r="W54" i="9" s="1"/>
  <c r="U93" i="38"/>
  <c r="X54" i="9" s="1"/>
  <c r="V93" i="38"/>
  <c r="Y54" i="9" s="1"/>
  <c r="W93" i="38"/>
  <c r="Z54" i="9" s="1"/>
  <c r="E93" i="38"/>
  <c r="H54" i="9" s="1"/>
  <c r="F98" i="38"/>
  <c r="I60" i="9" s="1"/>
  <c r="G98" i="38"/>
  <c r="J60" i="9" s="1"/>
  <c r="H98" i="38"/>
  <c r="K60" i="9" s="1"/>
  <c r="I98" i="38"/>
  <c r="L60" i="9" s="1"/>
  <c r="J98" i="38"/>
  <c r="M60" i="9" s="1"/>
  <c r="K98" i="38"/>
  <c r="N60" i="9" s="1"/>
  <c r="L98" i="38"/>
  <c r="O60" i="9" s="1"/>
  <c r="M98" i="38"/>
  <c r="P60" i="9" s="1"/>
  <c r="N98" i="38"/>
  <c r="Q60" i="9" s="1"/>
  <c r="O98" i="38"/>
  <c r="R60" i="9" s="1"/>
  <c r="P98" i="38"/>
  <c r="S60" i="9" s="1"/>
  <c r="Q98" i="38"/>
  <c r="T60" i="9" s="1"/>
  <c r="R98" i="38"/>
  <c r="U60" i="9" s="1"/>
  <c r="S98" i="38"/>
  <c r="V60" i="9" s="1"/>
  <c r="T98" i="38"/>
  <c r="W60" i="9" s="1"/>
  <c r="U98" i="38"/>
  <c r="X60" i="9" s="1"/>
  <c r="V98" i="38"/>
  <c r="Y60" i="9" s="1"/>
  <c r="W98" i="38"/>
  <c r="Z60" i="9" s="1"/>
  <c r="E98" i="38"/>
  <c r="H60" i="9" s="1"/>
  <c r="B17" i="12"/>
  <c r="C23" i="12" s="1"/>
  <c r="I25" i="42" l="1" a="1"/>
  <c r="I25" i="42" s="1"/>
  <c r="I15" i="42" a="1"/>
  <c r="I15" i="42" s="1"/>
  <c r="I26" i="42" a="1"/>
  <c r="I26" i="42" s="1"/>
  <c r="I35" i="42" a="1"/>
  <c r="I35" i="42" s="1"/>
  <c r="I16" i="42" a="1"/>
  <c r="I16" i="42" s="1"/>
  <c r="I36" i="42" a="1"/>
  <c r="I36" i="42" s="1"/>
  <c r="E302" i="18"/>
  <c r="E303" i="18" s="1"/>
  <c r="F302" i="18"/>
  <c r="F303" i="18" s="1"/>
  <c r="I302" i="18"/>
  <c r="I303" i="18" s="1"/>
  <c r="U35" i="42" a="1"/>
  <c r="U35" i="42" s="1"/>
  <c r="U25" i="42" a="1"/>
  <c r="U25" i="42" s="1"/>
  <c r="U26" i="42" a="1"/>
  <c r="U26" i="42" s="1"/>
  <c r="U36" i="42" a="1"/>
  <c r="U36" i="42" s="1"/>
  <c r="U16" i="42" a="1"/>
  <c r="U16" i="42" s="1"/>
  <c r="U15" i="42" a="1"/>
  <c r="U15" i="42" s="1"/>
  <c r="Q38" i="42" a="1"/>
  <c r="Q38" i="42" s="1"/>
  <c r="Q37" i="42" a="1"/>
  <c r="Q37" i="42" s="1"/>
  <c r="Q17" i="42" a="1"/>
  <c r="Q17" i="42" s="1"/>
  <c r="Q18" i="42" a="1"/>
  <c r="Q18" i="42" s="1"/>
  <c r="Q27" i="42" a="1"/>
  <c r="Q27" i="42" s="1"/>
  <c r="Q28" i="42" a="1"/>
  <c r="Q28" i="42" s="1"/>
  <c r="T25" i="42" a="1"/>
  <c r="T25" i="42" s="1"/>
  <c r="T36" i="42" a="1"/>
  <c r="T36" i="42" s="1"/>
  <c r="T26" i="42" a="1"/>
  <c r="T26" i="42" s="1"/>
  <c r="T35" i="42" a="1"/>
  <c r="T35" i="42" s="1"/>
  <c r="T16" i="42" a="1"/>
  <c r="T16" i="42" s="1"/>
  <c r="T15" i="42" a="1"/>
  <c r="T15" i="42" s="1"/>
  <c r="H25" i="42" a="1"/>
  <c r="H25" i="42" s="1"/>
  <c r="H26" i="42" a="1"/>
  <c r="H26" i="42" s="1"/>
  <c r="H35" i="42" a="1"/>
  <c r="H35" i="42" s="1"/>
  <c r="H16" i="42" a="1"/>
  <c r="H16" i="42" s="1"/>
  <c r="H15" i="42" a="1"/>
  <c r="H15" i="42" s="1"/>
  <c r="H36" i="42" a="1"/>
  <c r="H36" i="42" s="1"/>
  <c r="P28" i="42" a="1"/>
  <c r="P28" i="42" s="1"/>
  <c r="P38" i="42" a="1"/>
  <c r="P38" i="42" s="1"/>
  <c r="P27" i="42" a="1"/>
  <c r="P27" i="42" s="1"/>
  <c r="P17" i="42" a="1"/>
  <c r="P17" i="42" s="1"/>
  <c r="P37" i="42" a="1"/>
  <c r="P37" i="42" s="1"/>
  <c r="P18" i="42" a="1"/>
  <c r="P18" i="42" s="1"/>
  <c r="U302" i="18"/>
  <c r="R26" i="42" a="1"/>
  <c r="R26" i="42" s="1"/>
  <c r="R25" i="42" a="1"/>
  <c r="R25" i="42" s="1"/>
  <c r="R16" i="42" a="1"/>
  <c r="R16" i="42" s="1"/>
  <c r="R36" i="42" a="1"/>
  <c r="R36" i="42" s="1"/>
  <c r="R15" i="42" a="1"/>
  <c r="R15" i="42" s="1"/>
  <c r="R35" i="42" a="1"/>
  <c r="R35" i="42" s="1"/>
  <c r="H37" i="42" a="1"/>
  <c r="H37" i="42" s="1"/>
  <c r="H17" i="42" a="1"/>
  <c r="H17" i="42" s="1"/>
  <c r="H18" i="42" a="1"/>
  <c r="H18" i="42" s="1"/>
  <c r="H27" i="42" a="1"/>
  <c r="H27" i="42" s="1"/>
  <c r="H38" i="42" a="1"/>
  <c r="H38" i="42" s="1"/>
  <c r="H28" i="42" a="1"/>
  <c r="H28" i="42" s="1"/>
  <c r="N28" i="42" a="1"/>
  <c r="N28" i="42" s="1"/>
  <c r="N37" i="42" a="1"/>
  <c r="N37" i="42" s="1"/>
  <c r="N38" i="42" a="1"/>
  <c r="N38" i="42" s="1"/>
  <c r="N17" i="42" a="1"/>
  <c r="N17" i="42" s="1"/>
  <c r="N27" i="42" a="1"/>
  <c r="N27" i="42" s="1"/>
  <c r="N18" i="42" a="1"/>
  <c r="N18" i="42" s="1"/>
  <c r="G302" i="18"/>
  <c r="G303" i="18" s="1"/>
  <c r="S302" i="18"/>
  <c r="S303" i="18" s="1"/>
  <c r="R302" i="18"/>
  <c r="R303" i="18" s="1"/>
  <c r="Q36" i="42" a="1"/>
  <c r="Q36" i="42" s="1"/>
  <c r="Q16" i="42" a="1"/>
  <c r="Q16" i="42" s="1"/>
  <c r="Q35" i="42" a="1"/>
  <c r="Q35" i="42" s="1"/>
  <c r="Q15" i="42" a="1"/>
  <c r="Q15" i="42" s="1"/>
  <c r="Q26" i="42" a="1"/>
  <c r="Q26" i="42" s="1"/>
  <c r="Q25" i="42" a="1"/>
  <c r="Q25" i="42" s="1"/>
  <c r="Y37" i="42" a="1"/>
  <c r="Y37" i="42" s="1"/>
  <c r="Y18" i="42" a="1"/>
  <c r="Y18" i="42" s="1"/>
  <c r="Y28" i="42" a="1"/>
  <c r="Y28" i="42" s="1"/>
  <c r="Y17" i="42" a="1"/>
  <c r="Y17" i="42" s="1"/>
  <c r="Y27" i="42" a="1"/>
  <c r="Y27" i="42" s="1"/>
  <c r="Y38" i="42" a="1"/>
  <c r="Y38" i="42" s="1"/>
  <c r="M27" i="42" a="1"/>
  <c r="M27" i="42" s="1"/>
  <c r="M18" i="42" a="1"/>
  <c r="M18" i="42" s="1"/>
  <c r="M28" i="42" a="1"/>
  <c r="M28" i="42" s="1"/>
  <c r="M37" i="42" a="1"/>
  <c r="M37" i="42" s="1"/>
  <c r="M17" i="42" a="1"/>
  <c r="M17" i="42" s="1"/>
  <c r="M38" i="42" a="1"/>
  <c r="M38" i="42" s="1"/>
  <c r="J302" i="18"/>
  <c r="J303" i="18" s="1"/>
  <c r="O18" i="42" a="1"/>
  <c r="O18" i="42" s="1"/>
  <c r="O17" i="42" a="1"/>
  <c r="O17" i="42" s="1"/>
  <c r="O27" i="42" a="1"/>
  <c r="O27" i="42" s="1"/>
  <c r="O37" i="42" a="1"/>
  <c r="O37" i="42" s="1"/>
  <c r="O38" i="42" a="1"/>
  <c r="O38" i="42" s="1"/>
  <c r="O28" i="42" a="1"/>
  <c r="O28" i="42" s="1"/>
  <c r="P36" i="42" a="1"/>
  <c r="P36" i="42" s="1"/>
  <c r="P35" i="42" a="1"/>
  <c r="P35" i="42" s="1"/>
  <c r="P25" i="42" a="1"/>
  <c r="P25" i="42" s="1"/>
  <c r="P16" i="42" a="1"/>
  <c r="P16" i="42" s="1"/>
  <c r="P26" i="42" a="1"/>
  <c r="P26" i="42" s="1"/>
  <c r="P15" i="42" a="1"/>
  <c r="P15" i="42" s="1"/>
  <c r="X27" i="42" a="1"/>
  <c r="X27" i="42" s="1"/>
  <c r="X17" i="42" a="1"/>
  <c r="X17" i="42" s="1"/>
  <c r="X28" i="42" a="1"/>
  <c r="X28" i="42" s="1"/>
  <c r="X37" i="42" a="1"/>
  <c r="X37" i="42" s="1"/>
  <c r="X38" i="42" a="1"/>
  <c r="X38" i="42" s="1"/>
  <c r="X18" i="42" a="1"/>
  <c r="X18" i="42" s="1"/>
  <c r="L28" i="42" a="1"/>
  <c r="L28" i="42" s="1"/>
  <c r="L37" i="42" a="1"/>
  <c r="L37" i="42" s="1"/>
  <c r="L17" i="42" a="1"/>
  <c r="L17" i="42" s="1"/>
  <c r="L18" i="42" a="1"/>
  <c r="L18" i="42" s="1"/>
  <c r="L27" i="42" a="1"/>
  <c r="L27" i="42" s="1"/>
  <c r="L38" i="42" a="1"/>
  <c r="L38" i="42" s="1"/>
  <c r="D302" i="18"/>
  <c r="D303" i="18" s="1"/>
  <c r="C300" i="18"/>
  <c r="R28" i="42" a="1"/>
  <c r="R28" i="42" s="1"/>
  <c r="R27" i="42" a="1"/>
  <c r="R27" i="42" s="1"/>
  <c r="R17" i="42" a="1"/>
  <c r="R17" i="42" s="1"/>
  <c r="R38" i="42" a="1"/>
  <c r="R38" i="42" s="1"/>
  <c r="R37" i="42" a="1"/>
  <c r="R37" i="42" s="1"/>
  <c r="R18" i="42" a="1"/>
  <c r="R18" i="42" s="1"/>
  <c r="G28" i="42" a="1"/>
  <c r="G28" i="42" s="1"/>
  <c r="G37" i="42" a="1"/>
  <c r="G37" i="42" s="1"/>
  <c r="G17" i="42" a="1"/>
  <c r="G17" i="42" s="1"/>
  <c r="G38" i="42" a="1"/>
  <c r="G38" i="42" s="1"/>
  <c r="G18" i="42" a="1"/>
  <c r="G18" i="42" s="1"/>
  <c r="G27" i="42" a="1"/>
  <c r="G27" i="42" s="1"/>
  <c r="O15" i="42" a="1"/>
  <c r="O15" i="42" s="1"/>
  <c r="O25" i="42" a="1"/>
  <c r="O25" i="42" s="1"/>
  <c r="O36" i="42" a="1"/>
  <c r="O36" i="42" s="1"/>
  <c r="O16" i="42" a="1"/>
  <c r="O16" i="42" s="1"/>
  <c r="O26" i="42" a="1"/>
  <c r="O26" i="42" s="1"/>
  <c r="O35" i="42" a="1"/>
  <c r="O35" i="42" s="1"/>
  <c r="W28" i="42" a="1"/>
  <c r="W28" i="42" s="1"/>
  <c r="W37" i="42" a="1"/>
  <c r="W37" i="42" s="1"/>
  <c r="W17" i="42" a="1"/>
  <c r="W17" i="42" s="1"/>
  <c r="W38" i="42" a="1"/>
  <c r="W38" i="42" s="1"/>
  <c r="W18" i="42" a="1"/>
  <c r="W18" i="42" s="1"/>
  <c r="W27" i="42" a="1"/>
  <c r="W27" i="42" s="1"/>
  <c r="K28" i="42" a="1"/>
  <c r="K28" i="42" s="1"/>
  <c r="K37" i="42" a="1"/>
  <c r="K37" i="42" s="1"/>
  <c r="K18" i="42" a="1"/>
  <c r="K18" i="42" s="1"/>
  <c r="K27" i="42" a="1"/>
  <c r="K27" i="42" s="1"/>
  <c r="K38" i="42" a="1"/>
  <c r="K38" i="42" s="1"/>
  <c r="K17" i="42" a="1"/>
  <c r="K17" i="42" s="1"/>
  <c r="H302" i="18"/>
  <c r="H303" i="18" s="1"/>
  <c r="O302" i="18"/>
  <c r="O303" i="18" s="1"/>
  <c r="G25" i="42" a="1"/>
  <c r="G25" i="42" s="1"/>
  <c r="G26" i="42" a="1"/>
  <c r="G26" i="42" s="1"/>
  <c r="G35" i="42" a="1"/>
  <c r="G35" i="42" s="1"/>
  <c r="G16" i="42" a="1"/>
  <c r="G16" i="42" s="1"/>
  <c r="G15" i="42" a="1"/>
  <c r="G15" i="42" s="1"/>
  <c r="G36" i="42" a="1"/>
  <c r="G36" i="42" s="1"/>
  <c r="N36" i="42" a="1"/>
  <c r="N36" i="42" s="1"/>
  <c r="N25" i="42" a="1"/>
  <c r="N25" i="42" s="1"/>
  <c r="N26" i="42" a="1"/>
  <c r="N26" i="42" s="1"/>
  <c r="N35" i="42" a="1"/>
  <c r="N35" i="42" s="1"/>
  <c r="N15" i="42" a="1"/>
  <c r="N15" i="42" s="1"/>
  <c r="N16" i="42" a="1"/>
  <c r="N16" i="42" s="1"/>
  <c r="V27" i="42" a="1"/>
  <c r="V27" i="42" s="1"/>
  <c r="V37" i="42" a="1"/>
  <c r="V37" i="42" s="1"/>
  <c r="V18" i="42" a="1"/>
  <c r="V18" i="42" s="1"/>
  <c r="V28" i="42" a="1"/>
  <c r="V28" i="42" s="1"/>
  <c r="V38" i="42" a="1"/>
  <c r="V38" i="42" s="1"/>
  <c r="V17" i="42" a="1"/>
  <c r="V17" i="42" s="1"/>
  <c r="J38" i="42" a="1"/>
  <c r="J38" i="42" s="1"/>
  <c r="J17" i="42" a="1"/>
  <c r="J17" i="42" s="1"/>
  <c r="J37" i="42" a="1"/>
  <c r="J37" i="42" s="1"/>
  <c r="J18" i="42" a="1"/>
  <c r="J18" i="42" s="1"/>
  <c r="J27" i="42" a="1"/>
  <c r="J27" i="42" s="1"/>
  <c r="J28" i="42" a="1"/>
  <c r="J28" i="42" s="1"/>
  <c r="P302" i="18"/>
  <c r="P303" i="18" s="1"/>
  <c r="T302" i="18"/>
  <c r="T303" i="18" s="1"/>
  <c r="K302" i="18"/>
  <c r="K303" i="18" s="1"/>
  <c r="K35" i="42" a="1"/>
  <c r="K35" i="42" s="1"/>
  <c r="K15" i="42" a="1"/>
  <c r="K15" i="42" s="1"/>
  <c r="K36" i="42" a="1"/>
  <c r="K36" i="42" s="1"/>
  <c r="K25" i="42" a="1"/>
  <c r="K25" i="42" s="1"/>
  <c r="K26" i="42" a="1"/>
  <c r="K26" i="42" s="1"/>
  <c r="K16" i="42" a="1"/>
  <c r="K16" i="42" s="1"/>
  <c r="J35" i="42" a="1"/>
  <c r="J35" i="42" s="1"/>
  <c r="J36" i="42" a="1"/>
  <c r="J36" i="42" s="1"/>
  <c r="J25" i="42" a="1"/>
  <c r="J25" i="42" s="1"/>
  <c r="J16" i="42" a="1"/>
  <c r="J16" i="42" s="1"/>
  <c r="J15" i="42" a="1"/>
  <c r="J15" i="42" s="1"/>
  <c r="J26" i="42" a="1"/>
  <c r="J26" i="42" s="1"/>
  <c r="S25" i="42" a="1"/>
  <c r="S25" i="42" s="1"/>
  <c r="S26" i="42" a="1"/>
  <c r="S26" i="42" s="1"/>
  <c r="S16" i="42" a="1"/>
  <c r="S16" i="42" s="1"/>
  <c r="S35" i="42" a="1"/>
  <c r="S35" i="42" s="1"/>
  <c r="S15" i="42" a="1"/>
  <c r="S15" i="42" s="1"/>
  <c r="S36" i="42" a="1"/>
  <c r="S36" i="42" s="1"/>
  <c r="Y15" i="42" a="1"/>
  <c r="Y15" i="42" s="1"/>
  <c r="Y26" i="42" a="1"/>
  <c r="Y26" i="42" s="1"/>
  <c r="Y16" i="42" a="1"/>
  <c r="Y16" i="42" s="1"/>
  <c r="Y36" i="42" a="1"/>
  <c r="Y36" i="42" s="1"/>
  <c r="Y35" i="42" a="1"/>
  <c r="Y35" i="42" s="1"/>
  <c r="Y25" i="42" a="1"/>
  <c r="Y25" i="42" s="1"/>
  <c r="M35" i="42" a="1"/>
  <c r="M35" i="42" s="1"/>
  <c r="M16" i="42" a="1"/>
  <c r="M16" i="42" s="1"/>
  <c r="M26" i="42" a="1"/>
  <c r="M26" i="42" s="1"/>
  <c r="M15" i="42" a="1"/>
  <c r="M15" i="42" s="1"/>
  <c r="M36" i="42" a="1"/>
  <c r="M36" i="42" s="1"/>
  <c r="M25" i="42" a="1"/>
  <c r="M25" i="42" s="1"/>
  <c r="U38" i="42" a="1"/>
  <c r="U38" i="42" s="1"/>
  <c r="U27" i="42" a="1"/>
  <c r="U27" i="42" s="1"/>
  <c r="U37" i="42" a="1"/>
  <c r="U37" i="42" s="1"/>
  <c r="U17" i="42" a="1"/>
  <c r="U17" i="42" s="1"/>
  <c r="U18" i="42" a="1"/>
  <c r="U18" i="42" s="1"/>
  <c r="U28" i="42" a="1"/>
  <c r="U28" i="42" s="1"/>
  <c r="I28" i="42" a="1"/>
  <c r="I28" i="42" s="1"/>
  <c r="I18" i="42" a="1"/>
  <c r="I18" i="42" s="1"/>
  <c r="I37" i="42" a="1"/>
  <c r="I37" i="42" s="1"/>
  <c r="I27" i="42" a="1"/>
  <c r="I27" i="42" s="1"/>
  <c r="I17" i="42" a="1"/>
  <c r="I17" i="42" s="1"/>
  <c r="I38" i="42" a="1"/>
  <c r="I38" i="42" s="1"/>
  <c r="W16" i="42" a="1"/>
  <c r="W16" i="42" s="1"/>
  <c r="W35" i="42" a="1"/>
  <c r="W35" i="42" s="1"/>
  <c r="W15" i="42" a="1"/>
  <c r="W15" i="42" s="1"/>
  <c r="W25" i="42" a="1"/>
  <c r="W25" i="42" s="1"/>
  <c r="W26" i="42" a="1"/>
  <c r="W26" i="42" s="1"/>
  <c r="W36" i="42" a="1"/>
  <c r="W36" i="42" s="1"/>
  <c r="S27" i="42" a="1"/>
  <c r="S27" i="42" s="1"/>
  <c r="S28" i="42" a="1"/>
  <c r="S28" i="42" s="1"/>
  <c r="S38" i="42" a="1"/>
  <c r="S38" i="42" s="1"/>
  <c r="S18" i="42" a="1"/>
  <c r="S18" i="42" s="1"/>
  <c r="S37" i="42" a="1"/>
  <c r="S37" i="42" s="1"/>
  <c r="S17" i="42" a="1"/>
  <c r="S17" i="42" s="1"/>
  <c r="V15" i="42" a="1"/>
  <c r="V15" i="42" s="1"/>
  <c r="V16" i="42" a="1"/>
  <c r="V16" i="42" s="1"/>
  <c r="V35" i="42" a="1"/>
  <c r="V35" i="42" s="1"/>
  <c r="V26" i="42" a="1"/>
  <c r="V26" i="42" s="1"/>
  <c r="V36" i="42" a="1"/>
  <c r="V36" i="42" s="1"/>
  <c r="V25" i="42" a="1"/>
  <c r="V25" i="42" s="1"/>
  <c r="X36" i="42" a="1"/>
  <c r="X36" i="42" s="1"/>
  <c r="X15" i="42" a="1"/>
  <c r="X15" i="42" s="1"/>
  <c r="X35" i="42" a="1"/>
  <c r="X35" i="42" s="1"/>
  <c r="X25" i="42" a="1"/>
  <c r="X25" i="42" s="1"/>
  <c r="X26" i="42" a="1"/>
  <c r="X26" i="42" s="1"/>
  <c r="X16" i="42" a="1"/>
  <c r="X16" i="42" s="1"/>
  <c r="L35" i="42" a="1"/>
  <c r="L35" i="42" s="1"/>
  <c r="L26" i="42" a="1"/>
  <c r="L26" i="42" s="1"/>
  <c r="L16" i="42" a="1"/>
  <c r="L16" i="42" s="1"/>
  <c r="L15" i="42" a="1"/>
  <c r="L15" i="42" s="1"/>
  <c r="L25" i="42" a="1"/>
  <c r="L25" i="42" s="1"/>
  <c r="L36" i="42" a="1"/>
  <c r="L36" i="42" s="1"/>
  <c r="T17" i="42" a="1"/>
  <c r="T17" i="42" s="1"/>
  <c r="T27" i="42" a="1"/>
  <c r="T27" i="42" s="1"/>
  <c r="T37" i="42" a="1"/>
  <c r="T37" i="42" s="1"/>
  <c r="T28" i="42" a="1"/>
  <c r="T28" i="42" s="1"/>
  <c r="T38" i="42" a="1"/>
  <c r="T38" i="42" s="1"/>
  <c r="T18" i="42" a="1"/>
  <c r="T18" i="42" s="1"/>
  <c r="Q302" i="18"/>
  <c r="Q303" i="18" s="1"/>
  <c r="L302" i="18"/>
  <c r="L303" i="18" s="1"/>
  <c r="N302" i="18"/>
  <c r="N303" i="18" s="1"/>
  <c r="M302" i="18"/>
  <c r="M303" i="18" s="1"/>
  <c r="U21" i="10" a="1"/>
  <c r="U21" i="10" s="1"/>
  <c r="U19" i="10" a="1"/>
  <c r="U19" i="10" s="1"/>
  <c r="U70" i="10" a="1"/>
  <c r="U70" i="10" s="1"/>
  <c r="U45" i="10" a="1"/>
  <c r="U45" i="10" s="1"/>
  <c r="U44" i="10" a="1"/>
  <c r="U44" i="10" s="1"/>
  <c r="U71" i="10" a="1"/>
  <c r="U71" i="10" s="1"/>
  <c r="U46" i="10" a="1"/>
  <c r="U46" i="10" s="1"/>
  <c r="U20" i="10" a="1"/>
  <c r="U20" i="10" s="1"/>
  <c r="U69" i="10" a="1"/>
  <c r="U69" i="10" s="1"/>
  <c r="T75" i="10" a="1"/>
  <c r="T75" i="10" s="1"/>
  <c r="T25" i="10" a="1"/>
  <c r="T25" i="10" s="1"/>
  <c r="T26" i="10" a="1"/>
  <c r="T26" i="10" s="1"/>
  <c r="T50" i="10" a="1"/>
  <c r="T50" i="10" s="1"/>
  <c r="T76" i="10" a="1"/>
  <c r="T76" i="10" s="1"/>
  <c r="T51" i="10" a="1"/>
  <c r="T51" i="10" s="1"/>
  <c r="S46" i="10" a="1"/>
  <c r="S46" i="10" s="1"/>
  <c r="S20" i="10" a="1"/>
  <c r="S20" i="10" s="1"/>
  <c r="S69" i="10" a="1"/>
  <c r="S69" i="10" s="1"/>
  <c r="S44" i="10" a="1"/>
  <c r="S44" i="10" s="1"/>
  <c r="S71" i="10" a="1"/>
  <c r="S71" i="10" s="1"/>
  <c r="S70" i="10" a="1"/>
  <c r="S70" i="10" s="1"/>
  <c r="S19" i="10" a="1"/>
  <c r="S19" i="10" s="1"/>
  <c r="S45" i="10" a="1"/>
  <c r="S45" i="10" s="1"/>
  <c r="S21" i="10" a="1"/>
  <c r="S21" i="10" s="1"/>
  <c r="G76" i="10" a="1"/>
  <c r="G76" i="10" s="1"/>
  <c r="G50" i="10" a="1"/>
  <c r="G50" i="10" s="1"/>
  <c r="G75" i="10" a="1"/>
  <c r="G75" i="10" s="1"/>
  <c r="G51" i="10" a="1"/>
  <c r="G51" i="10" s="1"/>
  <c r="G25" i="10" a="1"/>
  <c r="G25" i="10" s="1"/>
  <c r="G26" i="10" a="1"/>
  <c r="G26" i="10" s="1"/>
  <c r="R75" i="10" a="1"/>
  <c r="R75" i="10" s="1"/>
  <c r="R50" i="10" a="1"/>
  <c r="R50" i="10" s="1"/>
  <c r="R25" i="10" a="1"/>
  <c r="R25" i="10" s="1"/>
  <c r="R26" i="10" a="1"/>
  <c r="R26" i="10" s="1"/>
  <c r="R76" i="10" a="1"/>
  <c r="R76" i="10" s="1"/>
  <c r="R51" i="10" a="1"/>
  <c r="R51" i="10" s="1"/>
  <c r="J25" i="10" a="1"/>
  <c r="J25" i="10" s="1"/>
  <c r="J26" i="10" a="1"/>
  <c r="J26" i="10" s="1"/>
  <c r="J76" i="10" a="1"/>
  <c r="J76" i="10" s="1"/>
  <c r="J75" i="10" a="1"/>
  <c r="J75" i="10" s="1"/>
  <c r="J50" i="10" a="1"/>
  <c r="J50" i="10" s="1"/>
  <c r="J51" i="10" a="1"/>
  <c r="J51" i="10" s="1"/>
  <c r="K44" i="10" a="1"/>
  <c r="K44" i="10" s="1"/>
  <c r="K69" i="10" a="1"/>
  <c r="K69" i="10" s="1"/>
  <c r="K19" i="10" a="1"/>
  <c r="K19" i="10" s="1"/>
  <c r="K46" i="10" a="1"/>
  <c r="K46" i="10" s="1"/>
  <c r="K70" i="10" a="1"/>
  <c r="K70" i="10" s="1"/>
  <c r="K45" i="10" a="1"/>
  <c r="K45" i="10" s="1"/>
  <c r="K20" i="10" a="1"/>
  <c r="K20" i="10" s="1"/>
  <c r="K21" i="10" a="1"/>
  <c r="K21" i="10" s="1"/>
  <c r="K71" i="10" a="1"/>
  <c r="K71" i="10" s="1"/>
  <c r="G70" i="10" a="1"/>
  <c r="G70" i="10" s="1"/>
  <c r="G20" i="10" a="1"/>
  <c r="G20" i="10" s="1"/>
  <c r="G44" i="10" a="1"/>
  <c r="G44" i="10" s="1"/>
  <c r="G71" i="10" a="1"/>
  <c r="G71" i="10" s="1"/>
  <c r="G69" i="10" a="1"/>
  <c r="G69" i="10" s="1"/>
  <c r="G46" i="10" a="1"/>
  <c r="G46" i="10" s="1"/>
  <c r="G19" i="10" a="1"/>
  <c r="G19" i="10" s="1"/>
  <c r="G45" i="10" a="1"/>
  <c r="G45" i="10" s="1"/>
  <c r="G21" i="10" a="1"/>
  <c r="G21" i="10" s="1"/>
  <c r="R46" i="10" a="1"/>
  <c r="R46" i="10" s="1"/>
  <c r="R21" i="10" a="1"/>
  <c r="R21" i="10" s="1"/>
  <c r="R70" i="10" a="1"/>
  <c r="R70" i="10" s="1"/>
  <c r="R19" i="10" a="1"/>
  <c r="R19" i="10" s="1"/>
  <c r="R20" i="10" a="1"/>
  <c r="R20" i="10" s="1"/>
  <c r="R44" i="10" a="1"/>
  <c r="R44" i="10" s="1"/>
  <c r="R71" i="10" a="1"/>
  <c r="R71" i="10" s="1"/>
  <c r="R69" i="10" a="1"/>
  <c r="R69" i="10" s="1"/>
  <c r="R45" i="10" a="1"/>
  <c r="R45" i="10" s="1"/>
  <c r="J21" i="10" a="1"/>
  <c r="J21" i="10" s="1"/>
  <c r="J19" i="10" a="1"/>
  <c r="J19" i="10" s="1"/>
  <c r="J70" i="10" a="1"/>
  <c r="J70" i="10" s="1"/>
  <c r="J45" i="10" a="1"/>
  <c r="J45" i="10" s="1"/>
  <c r="J20" i="10" a="1"/>
  <c r="J20" i="10" s="1"/>
  <c r="J69" i="10" a="1"/>
  <c r="J69" i="10" s="1"/>
  <c r="J46" i="10" a="1"/>
  <c r="J46" i="10" s="1"/>
  <c r="J44" i="10" a="1"/>
  <c r="J44" i="10" s="1"/>
  <c r="J71" i="10" a="1"/>
  <c r="J71" i="10" s="1"/>
  <c r="Y75" i="10" a="1"/>
  <c r="Y75" i="10" s="1"/>
  <c r="Y26" i="10" a="1"/>
  <c r="Y26" i="10" s="1"/>
  <c r="Y25" i="10" a="1"/>
  <c r="Y25" i="10" s="1"/>
  <c r="Y51" i="10" a="1"/>
  <c r="Y51" i="10" s="1"/>
  <c r="Y76" i="10" a="1"/>
  <c r="Y76" i="10" s="1"/>
  <c r="Y50" i="10" a="1"/>
  <c r="Y50" i="10" s="1"/>
  <c r="Q76" i="10" a="1"/>
  <c r="Q76" i="10" s="1"/>
  <c r="Q26" i="10" a="1"/>
  <c r="Q26" i="10" s="1"/>
  <c r="Q51" i="10" a="1"/>
  <c r="Q51" i="10" s="1"/>
  <c r="Q75" i="10" a="1"/>
  <c r="Q75" i="10" s="1"/>
  <c r="Q25" i="10" a="1"/>
  <c r="Q25" i="10" s="1"/>
  <c r="Q50" i="10" a="1"/>
  <c r="Q50" i="10" s="1"/>
  <c r="I76" i="10" a="1"/>
  <c r="I76" i="10" s="1"/>
  <c r="I51" i="10" a="1"/>
  <c r="I51" i="10" s="1"/>
  <c r="I50" i="10" a="1"/>
  <c r="I50" i="10" s="1"/>
  <c r="I25" i="10" a="1"/>
  <c r="I25" i="10" s="1"/>
  <c r="I26" i="10" a="1"/>
  <c r="I26" i="10" s="1"/>
  <c r="I75" i="10" a="1"/>
  <c r="I75" i="10" s="1"/>
  <c r="L75" i="10" a="1"/>
  <c r="L75" i="10" s="1"/>
  <c r="L76" i="10" a="1"/>
  <c r="L76" i="10" s="1"/>
  <c r="L50" i="10" a="1"/>
  <c r="L50" i="10" s="1"/>
  <c r="L51" i="10" a="1"/>
  <c r="L51" i="10" s="1"/>
  <c r="L26" i="10" a="1"/>
  <c r="L26" i="10" s="1"/>
  <c r="L25" i="10" a="1"/>
  <c r="L25" i="10" s="1"/>
  <c r="Y46" i="10" a="1"/>
  <c r="Y46" i="10" s="1"/>
  <c r="Y70" i="10" a="1"/>
  <c r="Y70" i="10" s="1"/>
  <c r="Y45" i="10" a="1"/>
  <c r="Y45" i="10" s="1"/>
  <c r="Y71" i="10" a="1"/>
  <c r="Y71" i="10" s="1"/>
  <c r="Y69" i="10" a="1"/>
  <c r="Y69" i="10" s="1"/>
  <c r="Y21" i="10" a="1"/>
  <c r="Y21" i="10" s="1"/>
  <c r="Y44" i="10" a="1"/>
  <c r="Y44" i="10" s="1"/>
  <c r="Y20" i="10" a="1"/>
  <c r="Y20" i="10" s="1"/>
  <c r="Y19" i="10" a="1"/>
  <c r="Y19" i="10" s="1"/>
  <c r="Q20" i="10" a="1"/>
  <c r="Q20" i="10" s="1"/>
  <c r="Q45" i="10" a="1"/>
  <c r="Q45" i="10" s="1"/>
  <c r="Q69" i="10" a="1"/>
  <c r="Q69" i="10" s="1"/>
  <c r="Q71" i="10" a="1"/>
  <c r="Q71" i="10" s="1"/>
  <c r="Q19" i="10" a="1"/>
  <c r="Q19" i="10" s="1"/>
  <c r="Q21" i="10" a="1"/>
  <c r="Q21" i="10" s="1"/>
  <c r="Q70" i="10" a="1"/>
  <c r="Q70" i="10" s="1"/>
  <c r="Q44" i="10" a="1"/>
  <c r="Q44" i="10" s="1"/>
  <c r="Q46" i="10" a="1"/>
  <c r="Q46" i="10" s="1"/>
  <c r="I21" i="10" a="1"/>
  <c r="I21" i="10" s="1"/>
  <c r="I19" i="10" a="1"/>
  <c r="I19" i="10" s="1"/>
  <c r="I69" i="10" a="1"/>
  <c r="I69" i="10" s="1"/>
  <c r="I70" i="10" a="1"/>
  <c r="I70" i="10" s="1"/>
  <c r="I45" i="10" a="1"/>
  <c r="I45" i="10" s="1"/>
  <c r="I44" i="10" a="1"/>
  <c r="I44" i="10" s="1"/>
  <c r="I71" i="10" a="1"/>
  <c r="I71" i="10" s="1"/>
  <c r="I20" i="10" a="1"/>
  <c r="I20" i="10" s="1"/>
  <c r="I46" i="10" a="1"/>
  <c r="I46" i="10" s="1"/>
  <c r="X76" i="10" a="1"/>
  <c r="X76" i="10" s="1"/>
  <c r="X75" i="10" a="1"/>
  <c r="X75" i="10" s="1"/>
  <c r="X51" i="10" a="1"/>
  <c r="X51" i="10" s="1"/>
  <c r="X25" i="10" a="1"/>
  <c r="X25" i="10" s="1"/>
  <c r="X50" i="10" a="1"/>
  <c r="X50" i="10" s="1"/>
  <c r="X26" i="10" a="1"/>
  <c r="X26" i="10" s="1"/>
  <c r="P50" i="10" a="1"/>
  <c r="P50" i="10" s="1"/>
  <c r="P26" i="10" a="1"/>
  <c r="P26" i="10" s="1"/>
  <c r="P51" i="10" a="1"/>
  <c r="P51" i="10" s="1"/>
  <c r="P75" i="10" a="1"/>
  <c r="P75" i="10" s="1"/>
  <c r="P25" i="10" a="1"/>
  <c r="P25" i="10" s="1"/>
  <c r="P76" i="10" a="1"/>
  <c r="P76" i="10" s="1"/>
  <c r="H76" i="10" a="1"/>
  <c r="H76" i="10" s="1"/>
  <c r="H51" i="10" a="1"/>
  <c r="H51" i="10" s="1"/>
  <c r="H75" i="10" a="1"/>
  <c r="H75" i="10" s="1"/>
  <c r="H50" i="10" a="1"/>
  <c r="H50" i="10" s="1"/>
  <c r="H25" i="10" a="1"/>
  <c r="H25" i="10" s="1"/>
  <c r="H26" i="10" a="1"/>
  <c r="H26" i="10" s="1"/>
  <c r="T70" i="10" a="1"/>
  <c r="T70" i="10" s="1"/>
  <c r="T45" i="10" a="1"/>
  <c r="T45" i="10" s="1"/>
  <c r="T44" i="10" a="1"/>
  <c r="T44" i="10" s="1"/>
  <c r="T69" i="10" a="1"/>
  <c r="T69" i="10" s="1"/>
  <c r="T46" i="10" a="1"/>
  <c r="T46" i="10" s="1"/>
  <c r="T21" i="10" a="1"/>
  <c r="T21" i="10" s="1"/>
  <c r="T20" i="10" a="1"/>
  <c r="T20" i="10" s="1"/>
  <c r="T71" i="10" a="1"/>
  <c r="T71" i="10" s="1"/>
  <c r="T19" i="10" a="1"/>
  <c r="T19" i="10" s="1"/>
  <c r="S75" i="10" a="1"/>
  <c r="S75" i="10" s="1"/>
  <c r="S76" i="10" a="1"/>
  <c r="S76" i="10" s="1"/>
  <c r="S25" i="10" a="1"/>
  <c r="S25" i="10" s="1"/>
  <c r="S26" i="10" a="1"/>
  <c r="S26" i="10" s="1"/>
  <c r="S51" i="10" a="1"/>
  <c r="S51" i="10" s="1"/>
  <c r="S50" i="10" a="1"/>
  <c r="S50" i="10" s="1"/>
  <c r="X44" i="10" a="1"/>
  <c r="X44" i="10" s="1"/>
  <c r="X46" i="10" a="1"/>
  <c r="X46" i="10" s="1"/>
  <c r="X70" i="10" a="1"/>
  <c r="X70" i="10" s="1"/>
  <c r="X45" i="10" a="1"/>
  <c r="X45" i="10" s="1"/>
  <c r="X71" i="10" a="1"/>
  <c r="X71" i="10" s="1"/>
  <c r="X21" i="10" a="1"/>
  <c r="X21" i="10" s="1"/>
  <c r="X20" i="10" a="1"/>
  <c r="X20" i="10" s="1"/>
  <c r="X69" i="10" a="1"/>
  <c r="X69" i="10" s="1"/>
  <c r="X19" i="10" a="1"/>
  <c r="X19" i="10" s="1"/>
  <c r="P21" i="10" a="1"/>
  <c r="P21" i="10" s="1"/>
  <c r="P19" i="10" a="1"/>
  <c r="P19" i="10" s="1"/>
  <c r="P20" i="10" a="1"/>
  <c r="P20" i="10" s="1"/>
  <c r="P44" i="10" a="1"/>
  <c r="P44" i="10" s="1"/>
  <c r="P70" i="10" a="1"/>
  <c r="P70" i="10" s="1"/>
  <c r="P45" i="10" a="1"/>
  <c r="P45" i="10" s="1"/>
  <c r="P71" i="10" a="1"/>
  <c r="P71" i="10" s="1"/>
  <c r="P46" i="10" a="1"/>
  <c r="P46" i="10" s="1"/>
  <c r="P69" i="10" a="1"/>
  <c r="P69" i="10" s="1"/>
  <c r="H70" i="10" a="1"/>
  <c r="H70" i="10" s="1"/>
  <c r="H45" i="10" a="1"/>
  <c r="H45" i="10" s="1"/>
  <c r="H71" i="10" a="1"/>
  <c r="H71" i="10" s="1"/>
  <c r="H46" i="10" a="1"/>
  <c r="H46" i="10" s="1"/>
  <c r="H69" i="10" a="1"/>
  <c r="H69" i="10" s="1"/>
  <c r="H19" i="10" a="1"/>
  <c r="H19" i="10" s="1"/>
  <c r="H44" i="10" a="1"/>
  <c r="H44" i="10" s="1"/>
  <c r="H21" i="10" a="1"/>
  <c r="H21" i="10" s="1"/>
  <c r="H20" i="10" a="1"/>
  <c r="H20" i="10" s="1"/>
  <c r="W25" i="10" a="1"/>
  <c r="W25" i="10" s="1"/>
  <c r="W50" i="10" a="1"/>
  <c r="W50" i="10" s="1"/>
  <c r="W75" i="10" a="1"/>
  <c r="W75" i="10" s="1"/>
  <c r="W76" i="10" a="1"/>
  <c r="W76" i="10" s="1"/>
  <c r="W51" i="10" a="1"/>
  <c r="W51" i="10" s="1"/>
  <c r="W26" i="10" a="1"/>
  <c r="W26" i="10" s="1"/>
  <c r="O25" i="10" a="1"/>
  <c r="O25" i="10" s="1"/>
  <c r="O76" i="10" a="1"/>
  <c r="O76" i="10" s="1"/>
  <c r="O26" i="10" a="1"/>
  <c r="O26" i="10" s="1"/>
  <c r="O50" i="10" a="1"/>
  <c r="O50" i="10" s="1"/>
  <c r="O75" i="10" a="1"/>
  <c r="O75" i="10" s="1"/>
  <c r="O51" i="10" a="1"/>
  <c r="O51" i="10" s="1"/>
  <c r="K25" i="10" a="1"/>
  <c r="K25" i="10" s="1"/>
  <c r="K75" i="10" a="1"/>
  <c r="K75" i="10" s="1"/>
  <c r="K76" i="10" a="1"/>
  <c r="K76" i="10" s="1"/>
  <c r="K26" i="10" a="1"/>
  <c r="K26" i="10" s="1"/>
  <c r="K50" i="10" a="1"/>
  <c r="K50" i="10" s="1"/>
  <c r="K51" i="10" a="1"/>
  <c r="K51" i="10" s="1"/>
  <c r="W46" i="10" a="1"/>
  <c r="W46" i="10" s="1"/>
  <c r="W19" i="10" a="1"/>
  <c r="W19" i="10" s="1"/>
  <c r="W44" i="10" a="1"/>
  <c r="W44" i="10" s="1"/>
  <c r="W70" i="10" a="1"/>
  <c r="W70" i="10" s="1"/>
  <c r="W21" i="10" a="1"/>
  <c r="W21" i="10" s="1"/>
  <c r="W20" i="10" a="1"/>
  <c r="W20" i="10" s="1"/>
  <c r="W45" i="10" a="1"/>
  <c r="W45" i="10" s="1"/>
  <c r="W71" i="10" a="1"/>
  <c r="W71" i="10" s="1"/>
  <c r="W69" i="10" a="1"/>
  <c r="W69" i="10" s="1"/>
  <c r="O21" i="10" a="1"/>
  <c r="O21" i="10" s="1"/>
  <c r="O19" i="10" a="1"/>
  <c r="O19" i="10" s="1"/>
  <c r="O69" i="10" a="1"/>
  <c r="O69" i="10" s="1"/>
  <c r="O44" i="10" a="1"/>
  <c r="O44" i="10" s="1"/>
  <c r="O71" i="10" a="1"/>
  <c r="O71" i="10" s="1"/>
  <c r="O46" i="10" a="1"/>
  <c r="O46" i="10" s="1"/>
  <c r="O70" i="10" a="1"/>
  <c r="O70" i="10" s="1"/>
  <c r="O45" i="10" a="1"/>
  <c r="O45" i="10" s="1"/>
  <c r="O20" i="10" a="1"/>
  <c r="O20" i="10" s="1"/>
  <c r="V26" i="10" a="1"/>
  <c r="V26" i="10" s="1"/>
  <c r="V75" i="10" a="1"/>
  <c r="V75" i="10" s="1"/>
  <c r="V25" i="10" a="1"/>
  <c r="V25" i="10" s="1"/>
  <c r="V50" i="10" a="1"/>
  <c r="V50" i="10" s="1"/>
  <c r="V76" i="10" a="1"/>
  <c r="V76" i="10" s="1"/>
  <c r="V51" i="10" a="1"/>
  <c r="V51" i="10" s="1"/>
  <c r="N25" i="10" a="1"/>
  <c r="N25" i="10" s="1"/>
  <c r="N26" i="10" a="1"/>
  <c r="N26" i="10" s="1"/>
  <c r="N51" i="10" a="1"/>
  <c r="N51" i="10" s="1"/>
  <c r="N76" i="10" a="1"/>
  <c r="N76" i="10" s="1"/>
  <c r="N50" i="10" a="1"/>
  <c r="N50" i="10" s="1"/>
  <c r="N75" i="10" a="1"/>
  <c r="N75" i="10" s="1"/>
  <c r="M46" i="10" a="1"/>
  <c r="M46" i="10" s="1"/>
  <c r="M20" i="10" a="1"/>
  <c r="M20" i="10" s="1"/>
  <c r="M70" i="10" a="1"/>
  <c r="M70" i="10" s="1"/>
  <c r="M45" i="10" a="1"/>
  <c r="M45" i="10" s="1"/>
  <c r="M71" i="10" a="1"/>
  <c r="M71" i="10" s="1"/>
  <c r="M21" i="10" a="1"/>
  <c r="M21" i="10" s="1"/>
  <c r="M19" i="10" a="1"/>
  <c r="M19" i="10" s="1"/>
  <c r="M44" i="10" a="1"/>
  <c r="M44" i="10" s="1"/>
  <c r="M69" i="10" a="1"/>
  <c r="M69" i="10" s="1"/>
  <c r="L44" i="10" a="1"/>
  <c r="L44" i="10" s="1"/>
  <c r="L70" i="10" a="1"/>
  <c r="L70" i="10" s="1"/>
  <c r="L45" i="10" a="1"/>
  <c r="L45" i="10" s="1"/>
  <c r="L71" i="10" a="1"/>
  <c r="L71" i="10" s="1"/>
  <c r="L69" i="10" a="1"/>
  <c r="L69" i="10" s="1"/>
  <c r="L20" i="10" a="1"/>
  <c r="L20" i="10" s="1"/>
  <c r="L46" i="10" a="1"/>
  <c r="L46" i="10" s="1"/>
  <c r="L19" i="10" a="1"/>
  <c r="L19" i="10" s="1"/>
  <c r="L21" i="10" a="1"/>
  <c r="L21" i="10" s="1"/>
  <c r="V20" i="10" a="1"/>
  <c r="V20" i="10" s="1"/>
  <c r="V21" i="10" a="1"/>
  <c r="V21" i="10" s="1"/>
  <c r="V19" i="10" a="1"/>
  <c r="V19" i="10" s="1"/>
  <c r="V44" i="10" a="1"/>
  <c r="V44" i="10" s="1"/>
  <c r="V71" i="10" a="1"/>
  <c r="V71" i="10" s="1"/>
  <c r="V70" i="10" a="1"/>
  <c r="V70" i="10" s="1"/>
  <c r="V46" i="10" a="1"/>
  <c r="V46" i="10" s="1"/>
  <c r="V45" i="10" a="1"/>
  <c r="V45" i="10" s="1"/>
  <c r="V69" i="10" a="1"/>
  <c r="V69" i="10" s="1"/>
  <c r="N20" i="10" a="1"/>
  <c r="N20" i="10" s="1"/>
  <c r="N71" i="10" a="1"/>
  <c r="N71" i="10" s="1"/>
  <c r="N44" i="10" a="1"/>
  <c r="N44" i="10" s="1"/>
  <c r="N70" i="10" a="1"/>
  <c r="N70" i="10" s="1"/>
  <c r="N45" i="10" a="1"/>
  <c r="N45" i="10" s="1"/>
  <c r="N21" i="10" a="1"/>
  <c r="N21" i="10" s="1"/>
  <c r="N19" i="10" a="1"/>
  <c r="N19" i="10" s="1"/>
  <c r="N69" i="10" a="1"/>
  <c r="N69" i="10" s="1"/>
  <c r="N46" i="10" a="1"/>
  <c r="N46" i="10" s="1"/>
  <c r="U51" i="10" a="1"/>
  <c r="U51" i="10" s="1"/>
  <c r="U75" i="10" a="1"/>
  <c r="U75" i="10" s="1"/>
  <c r="U25" i="10" a="1"/>
  <c r="U25" i="10" s="1"/>
  <c r="U76" i="10" a="1"/>
  <c r="U76" i="10" s="1"/>
  <c r="U26" i="10" a="1"/>
  <c r="U26" i="10" s="1"/>
  <c r="U50" i="10" a="1"/>
  <c r="U50" i="10" s="1"/>
  <c r="M75" i="10" a="1"/>
  <c r="M75" i="10" s="1"/>
  <c r="M76" i="10" a="1"/>
  <c r="M76" i="10" s="1"/>
  <c r="M50" i="10" a="1"/>
  <c r="M50" i="10" s="1"/>
  <c r="M25" i="10" a="1"/>
  <c r="M25" i="10" s="1"/>
  <c r="M26" i="10" a="1"/>
  <c r="M26" i="10" s="1"/>
  <c r="M51" i="10" a="1"/>
  <c r="M51" i="10" s="1"/>
  <c r="R51" i="9"/>
  <c r="S95" i="9"/>
  <c r="L113" i="9"/>
  <c r="R95" i="9"/>
  <c r="Y122" i="9"/>
  <c r="R122" i="9"/>
  <c r="Q122" i="9"/>
  <c r="M122" i="9"/>
  <c r="W51" i="9"/>
  <c r="P104" i="9"/>
  <c r="P51" i="9"/>
  <c r="P95" i="9"/>
  <c r="P122" i="9"/>
  <c r="P113" i="9"/>
  <c r="O113" i="9"/>
  <c r="T51" i="9"/>
  <c r="Q95" i="9"/>
  <c r="Z113" i="9"/>
  <c r="N113" i="9"/>
  <c r="O122" i="9"/>
  <c r="H113" i="9"/>
  <c r="S51" i="9"/>
  <c r="Y113" i="9"/>
  <c r="M113" i="9"/>
  <c r="Z122" i="9"/>
  <c r="N122" i="9"/>
  <c r="Q51" i="9"/>
  <c r="Z95" i="9"/>
  <c r="N95" i="9"/>
  <c r="W113" i="9"/>
  <c r="K113" i="9"/>
  <c r="X122" i="9"/>
  <c r="L122" i="9"/>
  <c r="Y95" i="9"/>
  <c r="M95" i="9"/>
  <c r="V113" i="9"/>
  <c r="J113" i="9"/>
  <c r="W122" i="9"/>
  <c r="K122" i="9"/>
  <c r="O95" i="9"/>
  <c r="H51" i="9"/>
  <c r="O51" i="9"/>
  <c r="X95" i="9"/>
  <c r="L95" i="9"/>
  <c r="U113" i="9"/>
  <c r="I113" i="9"/>
  <c r="V122" i="9"/>
  <c r="J122" i="9"/>
  <c r="Z51" i="9"/>
  <c r="N51" i="9"/>
  <c r="W95" i="9"/>
  <c r="K95" i="9"/>
  <c r="T113" i="9"/>
  <c r="U122" i="9"/>
  <c r="I122" i="9"/>
  <c r="Y51" i="9"/>
  <c r="V95" i="9"/>
  <c r="J95" i="9"/>
  <c r="S113" i="9"/>
  <c r="H122" i="9"/>
  <c r="T122" i="9"/>
  <c r="X51" i="9"/>
  <c r="L51" i="9"/>
  <c r="U95" i="9"/>
  <c r="I95" i="9"/>
  <c r="R113" i="9"/>
  <c r="S122" i="9"/>
  <c r="F74" i="38"/>
  <c r="G74" i="38"/>
  <c r="H74" i="38"/>
  <c r="I74" i="38"/>
  <c r="J74" i="38"/>
  <c r="K74" i="38"/>
  <c r="L74" i="38"/>
  <c r="M74" i="38"/>
  <c r="N74" i="38"/>
  <c r="O74" i="38"/>
  <c r="P74" i="38"/>
  <c r="Q74" i="38"/>
  <c r="R74" i="38"/>
  <c r="S74" i="38"/>
  <c r="T74" i="38"/>
  <c r="U74" i="38"/>
  <c r="V74" i="38"/>
  <c r="W74" i="38"/>
  <c r="E74" i="38"/>
  <c r="F79" i="38"/>
  <c r="G79" i="38"/>
  <c r="H79" i="38"/>
  <c r="I79" i="38"/>
  <c r="J79" i="38"/>
  <c r="K79" i="38"/>
  <c r="L79" i="38"/>
  <c r="M79" i="38"/>
  <c r="N79" i="38"/>
  <c r="O79" i="38"/>
  <c r="P79" i="38"/>
  <c r="Q79" i="38"/>
  <c r="R79" i="38"/>
  <c r="S79" i="38"/>
  <c r="T79" i="38"/>
  <c r="U79" i="38"/>
  <c r="V79" i="38"/>
  <c r="W79" i="38"/>
  <c r="E79" i="38"/>
  <c r="F78" i="38"/>
  <c r="G78" i="38"/>
  <c r="H78" i="38"/>
  <c r="I78" i="38"/>
  <c r="J78" i="38"/>
  <c r="K78" i="38"/>
  <c r="L78" i="38"/>
  <c r="M78" i="38"/>
  <c r="N78" i="38"/>
  <c r="O78" i="38"/>
  <c r="P78" i="38"/>
  <c r="Q78" i="38"/>
  <c r="R78" i="38"/>
  <c r="S78" i="38"/>
  <c r="T78" i="38"/>
  <c r="U78" i="38"/>
  <c r="V78" i="38"/>
  <c r="W78" i="38"/>
  <c r="E78" i="38"/>
  <c r="F77" i="38"/>
  <c r="G77" i="38"/>
  <c r="H77" i="38"/>
  <c r="I77" i="38"/>
  <c r="J77" i="38"/>
  <c r="K77" i="38"/>
  <c r="L77" i="38"/>
  <c r="M77" i="38"/>
  <c r="N77" i="38"/>
  <c r="O77" i="38"/>
  <c r="P77" i="38"/>
  <c r="Q77" i="38"/>
  <c r="R77" i="38"/>
  <c r="S77" i="38"/>
  <c r="T77" i="38"/>
  <c r="U77" i="38"/>
  <c r="V77" i="38"/>
  <c r="W77" i="38"/>
  <c r="E77" i="38"/>
  <c r="F76" i="38"/>
  <c r="G76" i="38"/>
  <c r="H76" i="38"/>
  <c r="I76" i="38"/>
  <c r="J76" i="38"/>
  <c r="K76" i="38"/>
  <c r="L76" i="38"/>
  <c r="M76" i="38"/>
  <c r="N76" i="38"/>
  <c r="O76" i="38"/>
  <c r="P76" i="38"/>
  <c r="Q76" i="38"/>
  <c r="R76" i="38"/>
  <c r="S76" i="38"/>
  <c r="T76" i="38"/>
  <c r="U76" i="38"/>
  <c r="V76" i="38"/>
  <c r="W76" i="38"/>
  <c r="E76" i="38"/>
  <c r="F75" i="38"/>
  <c r="G75" i="38"/>
  <c r="H75" i="38"/>
  <c r="I75" i="38"/>
  <c r="J75" i="38"/>
  <c r="K75" i="38"/>
  <c r="L75" i="38"/>
  <c r="M75" i="38"/>
  <c r="N75" i="38"/>
  <c r="O75" i="38"/>
  <c r="P75" i="38"/>
  <c r="Q75" i="38"/>
  <c r="R75" i="38"/>
  <c r="S75" i="38"/>
  <c r="T75" i="38"/>
  <c r="U75" i="38"/>
  <c r="V75" i="38"/>
  <c r="W75" i="38"/>
  <c r="E75" i="38"/>
  <c r="Z42" i="9" l="1"/>
  <c r="U303" i="18"/>
  <c r="E338" i="18" a="1"/>
  <c r="E338" i="18" s="1"/>
  <c r="W312" i="18" a="1"/>
  <c r="W312" i="18" s="1"/>
  <c r="W313" i="18" s="1"/>
  <c r="Y42" i="9"/>
  <c r="X42" i="9"/>
  <c r="L42" i="9"/>
  <c r="P42" i="9"/>
  <c r="R42" i="9"/>
  <c r="U42" i="9"/>
  <c r="K42" i="9"/>
  <c r="S42" i="9"/>
  <c r="T42" i="9"/>
  <c r="J42" i="9"/>
  <c r="O42" i="9"/>
  <c r="Q42" i="9"/>
  <c r="M42" i="9"/>
  <c r="V42" i="9"/>
  <c r="I42" i="9"/>
  <c r="N42" i="9"/>
  <c r="W42" i="9"/>
  <c r="J48" i="42"/>
  <c r="E61" i="42" s="1"/>
  <c r="P29" i="42"/>
  <c r="M47" i="42"/>
  <c r="C64" i="42" s="1"/>
  <c r="L29" i="42"/>
  <c r="Y39" i="42"/>
  <c r="I49" i="42"/>
  <c r="F60" i="42" s="1"/>
  <c r="Y47" i="42"/>
  <c r="C76" i="42" s="1"/>
  <c r="K39" i="42"/>
  <c r="O29" i="42"/>
  <c r="T47" i="42"/>
  <c r="C71" i="42" s="1"/>
  <c r="R48" i="42"/>
  <c r="E69" i="42" s="1"/>
  <c r="V29" i="42"/>
  <c r="Y29" i="42"/>
  <c r="V48" i="42"/>
  <c r="E73" i="42" s="1"/>
  <c r="O47" i="42"/>
  <c r="C66" i="42" s="1"/>
  <c r="P39" i="42"/>
  <c r="N48" i="42"/>
  <c r="E65" i="42" s="1"/>
  <c r="V39" i="42"/>
  <c r="G29" i="42"/>
  <c r="K47" i="42"/>
  <c r="C62" i="42" s="1"/>
  <c r="X48" i="42"/>
  <c r="E75" i="42" s="1"/>
  <c r="O48" i="42"/>
  <c r="E66" i="42" s="1"/>
  <c r="Y48" i="42"/>
  <c r="E76" i="42" s="1"/>
  <c r="P49" i="42"/>
  <c r="F67" i="42" s="1"/>
  <c r="X29" i="42"/>
  <c r="Y49" i="42"/>
  <c r="F76" i="42" s="1"/>
  <c r="H48" i="42"/>
  <c r="E59" i="42" s="1"/>
  <c r="P48" i="42"/>
  <c r="E67" i="42" s="1"/>
  <c r="V49" i="42"/>
  <c r="F73" i="42" s="1"/>
  <c r="Q19" i="42"/>
  <c r="Q46" i="42"/>
  <c r="U49" i="42"/>
  <c r="F72" i="42" s="1"/>
  <c r="J46" i="42"/>
  <c r="J19" i="42"/>
  <c r="G46" i="42"/>
  <c r="G19" i="42"/>
  <c r="K49" i="42"/>
  <c r="F62" i="42" s="1"/>
  <c r="Q39" i="42"/>
  <c r="R47" i="42"/>
  <c r="C69" i="42" s="1"/>
  <c r="H46" i="42"/>
  <c r="H19" i="42"/>
  <c r="L19" i="42"/>
  <c r="L46" i="42"/>
  <c r="W29" i="42"/>
  <c r="U48" i="42"/>
  <c r="E72" i="42" s="1"/>
  <c r="J47" i="42"/>
  <c r="C61" i="42" s="1"/>
  <c r="G47" i="42"/>
  <c r="C58" i="42" s="1"/>
  <c r="X49" i="42"/>
  <c r="F75" i="42" s="1"/>
  <c r="M49" i="42"/>
  <c r="F64" i="42" s="1"/>
  <c r="Q47" i="42"/>
  <c r="C68" i="42" s="1"/>
  <c r="R29" i="42"/>
  <c r="H47" i="42"/>
  <c r="C59" i="42" s="1"/>
  <c r="Q49" i="42"/>
  <c r="F68" i="42" s="1"/>
  <c r="H39" i="42"/>
  <c r="V47" i="42"/>
  <c r="C73" i="42" s="1"/>
  <c r="W39" i="42"/>
  <c r="Q48" i="42"/>
  <c r="E68" i="42" s="1"/>
  <c r="L39" i="42"/>
  <c r="V46" i="42"/>
  <c r="V19" i="42"/>
  <c r="W47" i="42"/>
  <c r="C74" i="42" s="1"/>
  <c r="Y19" i="42"/>
  <c r="Y46" i="42"/>
  <c r="J39" i="42"/>
  <c r="W49" i="42"/>
  <c r="F74" i="42" s="1"/>
  <c r="G49" i="42"/>
  <c r="F58" i="42" s="1"/>
  <c r="C302" i="18"/>
  <c r="C303" i="18" s="1"/>
  <c r="H29" i="42"/>
  <c r="T49" i="42"/>
  <c r="F71" i="42" s="1"/>
  <c r="X47" i="42"/>
  <c r="C75" i="42" s="1"/>
  <c r="S48" i="42"/>
  <c r="E70" i="42" s="1"/>
  <c r="M29" i="42"/>
  <c r="N47" i="42"/>
  <c r="C65" i="42" s="1"/>
  <c r="T19" i="42"/>
  <c r="T46" i="42"/>
  <c r="U46" i="42"/>
  <c r="U19" i="42"/>
  <c r="L47" i="42"/>
  <c r="C63" i="42" s="1"/>
  <c r="I48" i="42"/>
  <c r="E60" i="42" s="1"/>
  <c r="S19" i="42"/>
  <c r="S46" i="42"/>
  <c r="N46" i="42"/>
  <c r="N19" i="42"/>
  <c r="W48" i="42"/>
  <c r="E74" i="42" s="1"/>
  <c r="G48" i="42"/>
  <c r="E58" i="42" s="1"/>
  <c r="O49" i="42"/>
  <c r="F66" i="42" s="1"/>
  <c r="H49" i="42"/>
  <c r="F59" i="42" s="1"/>
  <c r="U47" i="42"/>
  <c r="C72" i="42" s="1"/>
  <c r="I47" i="42"/>
  <c r="C60" i="42" s="1"/>
  <c r="G39" i="42"/>
  <c r="S49" i="42"/>
  <c r="F70" i="42" s="1"/>
  <c r="M46" i="42"/>
  <c r="M19" i="42"/>
  <c r="S39" i="42"/>
  <c r="K29" i="42"/>
  <c r="J49" i="42"/>
  <c r="F61" i="42" s="1"/>
  <c r="N39" i="42"/>
  <c r="P19" i="42"/>
  <c r="P46" i="42"/>
  <c r="T39" i="42"/>
  <c r="I39" i="42"/>
  <c r="J29" i="42"/>
  <c r="X39" i="42"/>
  <c r="S47" i="42"/>
  <c r="C70" i="42" s="1"/>
  <c r="W46" i="42"/>
  <c r="W19" i="42"/>
  <c r="X46" i="42"/>
  <c r="X19" i="42"/>
  <c r="K46" i="42"/>
  <c r="K19" i="42"/>
  <c r="N29" i="42"/>
  <c r="K48" i="42"/>
  <c r="E62" i="42" s="1"/>
  <c r="O39" i="42"/>
  <c r="R49" i="42"/>
  <c r="F69" i="42" s="1"/>
  <c r="L49" i="42"/>
  <c r="F63" i="42" s="1"/>
  <c r="P47" i="42"/>
  <c r="C67" i="42" s="1"/>
  <c r="Q29" i="42"/>
  <c r="N49" i="42"/>
  <c r="F65" i="42" s="1"/>
  <c r="R39" i="42"/>
  <c r="U29" i="42"/>
  <c r="I46" i="42"/>
  <c r="I19" i="42"/>
  <c r="O19" i="42"/>
  <c r="O46" i="42"/>
  <c r="T48" i="42"/>
  <c r="E71" i="42" s="1"/>
  <c r="M39" i="42"/>
  <c r="S29" i="42"/>
  <c r="L48" i="42"/>
  <c r="E63" i="42" s="1"/>
  <c r="M48" i="42"/>
  <c r="E64" i="42" s="1"/>
  <c r="R19" i="42"/>
  <c r="R46" i="42"/>
  <c r="T29" i="42"/>
  <c r="U39" i="42"/>
  <c r="I29" i="42"/>
  <c r="M102" i="10"/>
  <c r="U101" i="10"/>
  <c r="V102" i="10"/>
  <c r="O101" i="10"/>
  <c r="Y102" i="10"/>
  <c r="J102" i="10"/>
  <c r="G101" i="10"/>
  <c r="M118" i="10" s="1"/>
  <c r="N101" i="10"/>
  <c r="G102" i="10"/>
  <c r="N118" i="10" s="1"/>
  <c r="M101" i="10"/>
  <c r="W102" i="10"/>
  <c r="X102" i="10"/>
  <c r="I102" i="10"/>
  <c r="J101" i="10"/>
  <c r="S102" i="10"/>
  <c r="R102" i="10"/>
  <c r="T101" i="10"/>
  <c r="P102" i="10"/>
  <c r="G128" i="10"/>
  <c r="Q96" i="10"/>
  <c r="V96" i="10"/>
  <c r="G133" i="10"/>
  <c r="H95" i="10"/>
  <c r="F119" i="10"/>
  <c r="Y96" i="10"/>
  <c r="G136" i="10"/>
  <c r="L101" i="10"/>
  <c r="I101" i="10"/>
  <c r="Q102" i="10"/>
  <c r="H118" i="10"/>
  <c r="G97" i="10"/>
  <c r="F130" i="10"/>
  <c r="S95" i="10"/>
  <c r="V95" i="10"/>
  <c r="F133" i="10"/>
  <c r="H97" i="10"/>
  <c r="H119" i="10"/>
  <c r="I96" i="10"/>
  <c r="G120" i="10"/>
  <c r="H121" i="10"/>
  <c r="J97" i="10"/>
  <c r="V97" i="10"/>
  <c r="H133" i="10"/>
  <c r="F136" i="10"/>
  <c r="Y95" i="10"/>
  <c r="F125" i="10"/>
  <c r="N95" i="10"/>
  <c r="H123" i="10"/>
  <c r="L97" i="10"/>
  <c r="M96" i="10"/>
  <c r="G124" i="10"/>
  <c r="Q118" i="10"/>
  <c r="G134" i="10"/>
  <c r="W96" i="10"/>
  <c r="K102" i="10"/>
  <c r="G135" i="10"/>
  <c r="X96" i="10"/>
  <c r="X101" i="10"/>
  <c r="Q97" i="10"/>
  <c r="H128" i="10"/>
  <c r="L102" i="10"/>
  <c r="T118" i="10"/>
  <c r="H122" i="10"/>
  <c r="K97" i="10"/>
  <c r="N96" i="10"/>
  <c r="G125" i="10"/>
  <c r="X95" i="10"/>
  <c r="F135" i="10"/>
  <c r="G96" i="10"/>
  <c r="G118" i="10"/>
  <c r="N97" i="10"/>
  <c r="H125" i="10"/>
  <c r="L95" i="10"/>
  <c r="F123" i="10"/>
  <c r="P118" i="10"/>
  <c r="H134" i="10"/>
  <c r="W97" i="10"/>
  <c r="X97" i="10"/>
  <c r="H135" i="10"/>
  <c r="F131" i="10"/>
  <c r="T95" i="10"/>
  <c r="P101" i="10"/>
  <c r="Q95" i="10"/>
  <c r="F128" i="10"/>
  <c r="Y97" i="10"/>
  <c r="H136" i="10"/>
  <c r="G121" i="10"/>
  <c r="J96" i="10"/>
  <c r="F118" i="10"/>
  <c r="G95" i="10"/>
  <c r="T102" i="10"/>
  <c r="H129" i="10"/>
  <c r="R97" i="10"/>
  <c r="N102" i="10"/>
  <c r="S101" i="10"/>
  <c r="H102" i="10"/>
  <c r="R96" i="10"/>
  <c r="G129" i="10"/>
  <c r="K95" i="10"/>
  <c r="F122" i="10"/>
  <c r="S118" i="10"/>
  <c r="R101" i="10"/>
  <c r="S97" i="10"/>
  <c r="H130" i="10"/>
  <c r="G122" i="10"/>
  <c r="K96" i="10"/>
  <c r="U102" i="10"/>
  <c r="G123" i="10"/>
  <c r="L96" i="10"/>
  <c r="M95" i="10"/>
  <c r="F124" i="10"/>
  <c r="V101" i="10"/>
  <c r="F126" i="10"/>
  <c r="O95" i="10"/>
  <c r="K101" i="10"/>
  <c r="O102" i="10"/>
  <c r="W101" i="10"/>
  <c r="G127" i="10"/>
  <c r="P96" i="10"/>
  <c r="T96" i="10"/>
  <c r="G131" i="10"/>
  <c r="H101" i="10"/>
  <c r="F120" i="10"/>
  <c r="I95" i="10"/>
  <c r="R95" i="10"/>
  <c r="F129" i="10"/>
  <c r="F132" i="10"/>
  <c r="U95" i="10"/>
  <c r="H127" i="10"/>
  <c r="P97" i="10"/>
  <c r="U96" i="10"/>
  <c r="G132" i="10"/>
  <c r="H124" i="10"/>
  <c r="M97" i="10"/>
  <c r="O96" i="10"/>
  <c r="G126" i="10"/>
  <c r="H126" i="10"/>
  <c r="O97" i="10"/>
  <c r="F134" i="10"/>
  <c r="W95" i="10"/>
  <c r="G119" i="10"/>
  <c r="H96" i="10"/>
  <c r="F127" i="10"/>
  <c r="P95" i="10"/>
  <c r="H131" i="10"/>
  <c r="T97" i="10"/>
  <c r="H120" i="10"/>
  <c r="I97" i="10"/>
  <c r="Q101" i="10"/>
  <c r="Y101" i="10"/>
  <c r="J95" i="10"/>
  <c r="F121" i="10"/>
  <c r="G130" i="10"/>
  <c r="S96" i="10"/>
  <c r="U97" i="10"/>
  <c r="H132" i="10"/>
  <c r="X101" i="9"/>
  <c r="X110" i="9"/>
  <c r="X119" i="9"/>
  <c r="X92" i="9"/>
  <c r="X48" i="9"/>
  <c r="U99" i="9"/>
  <c r="U90" i="9"/>
  <c r="U46" i="9"/>
  <c r="U108" i="9"/>
  <c r="U117" i="9"/>
  <c r="R102" i="9"/>
  <c r="R111" i="9"/>
  <c r="R120" i="9"/>
  <c r="R49" i="9"/>
  <c r="R93" i="9"/>
  <c r="S98" i="9"/>
  <c r="S116" i="9"/>
  <c r="S89" i="9"/>
  <c r="S107" i="9"/>
  <c r="S45" i="9"/>
  <c r="Q100" i="9"/>
  <c r="Q118" i="9"/>
  <c r="Q109" i="9"/>
  <c r="Q47" i="9"/>
  <c r="Q91" i="9"/>
  <c r="L101" i="9"/>
  <c r="L110" i="9"/>
  <c r="L119" i="9"/>
  <c r="L48" i="9"/>
  <c r="L92" i="9"/>
  <c r="S102" i="9"/>
  <c r="S120" i="9"/>
  <c r="S111" i="9"/>
  <c r="S93" i="9"/>
  <c r="S49" i="9"/>
  <c r="U98" i="9"/>
  <c r="U89" i="9"/>
  <c r="U116" i="9"/>
  <c r="U107" i="9"/>
  <c r="U45" i="9"/>
  <c r="M103" i="9"/>
  <c r="M121" i="9"/>
  <c r="M112" i="9"/>
  <c r="M50" i="9"/>
  <c r="M94" i="9"/>
  <c r="S99" i="9"/>
  <c r="S117" i="9"/>
  <c r="S46" i="9"/>
  <c r="S90" i="9"/>
  <c r="S108" i="9"/>
  <c r="I101" i="9"/>
  <c r="I92" i="9"/>
  <c r="I48" i="9"/>
  <c r="I110" i="9"/>
  <c r="I119" i="9"/>
  <c r="R98" i="9"/>
  <c r="R107" i="9"/>
  <c r="R116" i="9"/>
  <c r="R45" i="9"/>
  <c r="R89" i="9"/>
  <c r="V99" i="9"/>
  <c r="V46" i="9"/>
  <c r="V108" i="9"/>
  <c r="V90" i="9"/>
  <c r="V117" i="9"/>
  <c r="Z103" i="9"/>
  <c r="Z50" i="9"/>
  <c r="Z121" i="9"/>
  <c r="Z112" i="9"/>
  <c r="Z94" i="9"/>
  <c r="I99" i="9"/>
  <c r="I90" i="9"/>
  <c r="I46" i="9"/>
  <c r="I117" i="9"/>
  <c r="I108" i="9"/>
  <c r="Y103" i="9"/>
  <c r="Y121" i="9"/>
  <c r="Y94" i="9"/>
  <c r="Y112" i="9"/>
  <c r="Y50" i="9"/>
  <c r="L103" i="9"/>
  <c r="L112" i="9"/>
  <c r="L94" i="9"/>
  <c r="L50" i="9"/>
  <c r="L121" i="9"/>
  <c r="Z100" i="9"/>
  <c r="Z47" i="9"/>
  <c r="Z91" i="9"/>
  <c r="Z118" i="9"/>
  <c r="Z109" i="9"/>
  <c r="N100" i="9"/>
  <c r="N47" i="9"/>
  <c r="N91" i="9"/>
  <c r="N118" i="9"/>
  <c r="N109" i="9"/>
  <c r="U101" i="9"/>
  <c r="U92" i="9"/>
  <c r="U48" i="9"/>
  <c r="U119" i="9"/>
  <c r="U110" i="9"/>
  <c r="P102" i="9"/>
  <c r="P49" i="9"/>
  <c r="P93" i="9"/>
  <c r="P111" i="9"/>
  <c r="P120" i="9"/>
  <c r="W103" i="9"/>
  <c r="W121" i="9"/>
  <c r="W50" i="9"/>
  <c r="W112" i="9"/>
  <c r="W94" i="9"/>
  <c r="K103" i="9"/>
  <c r="K121" i="9"/>
  <c r="K50" i="9"/>
  <c r="K94" i="9"/>
  <c r="K112" i="9"/>
  <c r="R99" i="9"/>
  <c r="R108" i="9"/>
  <c r="R46" i="9"/>
  <c r="R90" i="9"/>
  <c r="R117" i="9"/>
  <c r="Y100" i="9"/>
  <c r="Y47" i="9"/>
  <c r="Y91" i="9"/>
  <c r="Y118" i="9"/>
  <c r="Y109" i="9"/>
  <c r="M100" i="9"/>
  <c r="M118" i="9"/>
  <c r="M47" i="9"/>
  <c r="M91" i="9"/>
  <c r="M109" i="9"/>
  <c r="T101" i="9"/>
  <c r="T48" i="9"/>
  <c r="T92" i="9"/>
  <c r="T119" i="9"/>
  <c r="T110" i="9"/>
  <c r="H102" i="9"/>
  <c r="H111" i="9"/>
  <c r="H120" i="9"/>
  <c r="H49" i="9"/>
  <c r="H93" i="9"/>
  <c r="O102" i="9"/>
  <c r="O49" i="9"/>
  <c r="O93" i="9"/>
  <c r="O111" i="9"/>
  <c r="O120" i="9"/>
  <c r="V103" i="9"/>
  <c r="V50" i="9"/>
  <c r="V94" i="9"/>
  <c r="V121" i="9"/>
  <c r="V112" i="9"/>
  <c r="J103" i="9"/>
  <c r="J112" i="9"/>
  <c r="J50" i="9"/>
  <c r="J94" i="9"/>
  <c r="J121" i="9"/>
  <c r="Q98" i="9"/>
  <c r="Q107" i="9"/>
  <c r="Q45" i="9"/>
  <c r="Q116" i="9"/>
  <c r="Q89" i="9"/>
  <c r="N103" i="9"/>
  <c r="N121" i="9"/>
  <c r="N50" i="9"/>
  <c r="N112" i="9"/>
  <c r="N94" i="9"/>
  <c r="T99" i="9"/>
  <c r="T46" i="9"/>
  <c r="T90" i="9"/>
  <c r="T117" i="9"/>
  <c r="T108" i="9"/>
  <c r="O100" i="9"/>
  <c r="O91" i="9"/>
  <c r="O47" i="9"/>
  <c r="O118" i="9"/>
  <c r="O109" i="9"/>
  <c r="J101" i="9"/>
  <c r="J48" i="9"/>
  <c r="J110" i="9"/>
  <c r="J92" i="9"/>
  <c r="J119" i="9"/>
  <c r="X103" i="9"/>
  <c r="X112" i="9"/>
  <c r="X121" i="9"/>
  <c r="X50" i="9"/>
  <c r="X94" i="9"/>
  <c r="U103" i="9"/>
  <c r="U94" i="9"/>
  <c r="U50" i="9"/>
  <c r="U112" i="9"/>
  <c r="U121" i="9"/>
  <c r="R101" i="9"/>
  <c r="R110" i="9"/>
  <c r="R48" i="9"/>
  <c r="R92" i="9"/>
  <c r="R119" i="9"/>
  <c r="Y102" i="9"/>
  <c r="Y120" i="9"/>
  <c r="Y49" i="9"/>
  <c r="Y93" i="9"/>
  <c r="Y111" i="9"/>
  <c r="M102" i="9"/>
  <c r="M120" i="9"/>
  <c r="M49" i="9"/>
  <c r="M93" i="9"/>
  <c r="M111" i="9"/>
  <c r="T103" i="9"/>
  <c r="T50" i="9"/>
  <c r="T94" i="9"/>
  <c r="T121" i="9"/>
  <c r="T112" i="9"/>
  <c r="H98" i="9"/>
  <c r="H89" i="9"/>
  <c r="H116" i="9"/>
  <c r="H107" i="9"/>
  <c r="H45" i="9"/>
  <c r="O98" i="9"/>
  <c r="O89" i="9"/>
  <c r="O45" i="9"/>
  <c r="O107" i="9"/>
  <c r="O116" i="9"/>
  <c r="I98" i="9"/>
  <c r="I89" i="9"/>
  <c r="I116" i="9"/>
  <c r="I107" i="9"/>
  <c r="I45" i="9"/>
  <c r="W100" i="9"/>
  <c r="W47" i="9"/>
  <c r="W91" i="9"/>
  <c r="W118" i="9"/>
  <c r="W109" i="9"/>
  <c r="O99" i="9"/>
  <c r="O90" i="9"/>
  <c r="O117" i="9"/>
  <c r="O108" i="9"/>
  <c r="O46" i="9"/>
  <c r="X102" i="9"/>
  <c r="X111" i="9"/>
  <c r="X49" i="9"/>
  <c r="X93" i="9"/>
  <c r="X120" i="9"/>
  <c r="S103" i="9"/>
  <c r="S121" i="9"/>
  <c r="S50" i="9"/>
  <c r="S94" i="9"/>
  <c r="S112" i="9"/>
  <c r="Z98" i="9"/>
  <c r="Z45" i="9"/>
  <c r="Z89" i="9"/>
  <c r="Z116" i="9"/>
  <c r="Z107" i="9"/>
  <c r="N98" i="9"/>
  <c r="N45" i="9"/>
  <c r="N89" i="9"/>
  <c r="N116" i="9"/>
  <c r="N107" i="9"/>
  <c r="W101" i="9"/>
  <c r="W119" i="9"/>
  <c r="W48" i="9"/>
  <c r="W110" i="9"/>
  <c r="W92" i="9"/>
  <c r="P99" i="9"/>
  <c r="P46" i="9"/>
  <c r="P90" i="9"/>
  <c r="P117" i="9"/>
  <c r="P108" i="9"/>
  <c r="V100" i="9"/>
  <c r="V47" i="9"/>
  <c r="V91" i="9"/>
  <c r="V118" i="9"/>
  <c r="V109" i="9"/>
  <c r="N99" i="9"/>
  <c r="N117" i="9"/>
  <c r="N46" i="9"/>
  <c r="N108" i="9"/>
  <c r="N90" i="9"/>
  <c r="I100" i="9"/>
  <c r="I91" i="9"/>
  <c r="I118" i="9"/>
  <c r="I109" i="9"/>
  <c r="I47" i="9"/>
  <c r="P101" i="9"/>
  <c r="P48" i="9"/>
  <c r="P92" i="9"/>
  <c r="P119" i="9"/>
  <c r="P110" i="9"/>
  <c r="W102" i="9"/>
  <c r="W49" i="9"/>
  <c r="W93" i="9"/>
  <c r="W120" i="9"/>
  <c r="W111" i="9"/>
  <c r="K102" i="9"/>
  <c r="K49" i="9"/>
  <c r="K93" i="9"/>
  <c r="K120" i="9"/>
  <c r="K111" i="9"/>
  <c r="R103" i="9"/>
  <c r="R50" i="9"/>
  <c r="R94" i="9"/>
  <c r="R112" i="9"/>
  <c r="R121" i="9"/>
  <c r="Y98" i="9"/>
  <c r="Y116" i="9"/>
  <c r="Y45" i="9"/>
  <c r="Y89" i="9"/>
  <c r="Y107" i="9"/>
  <c r="M98" i="9"/>
  <c r="M45" i="9"/>
  <c r="M89" i="9"/>
  <c r="M116" i="9"/>
  <c r="M107" i="9"/>
  <c r="K101" i="9"/>
  <c r="K119" i="9"/>
  <c r="K110" i="9"/>
  <c r="K48" i="9"/>
  <c r="K92" i="9"/>
  <c r="L102" i="9"/>
  <c r="L111" i="9"/>
  <c r="L49" i="9"/>
  <c r="L93" i="9"/>
  <c r="L120" i="9"/>
  <c r="M99" i="9"/>
  <c r="M117" i="9"/>
  <c r="M46" i="9"/>
  <c r="M108" i="9"/>
  <c r="M90" i="9"/>
  <c r="T100" i="9"/>
  <c r="T118" i="9"/>
  <c r="T109" i="9"/>
  <c r="T47" i="9"/>
  <c r="T91" i="9"/>
  <c r="H101" i="9"/>
  <c r="H110" i="9"/>
  <c r="H48" i="9"/>
  <c r="H119" i="9"/>
  <c r="H92" i="9"/>
  <c r="O101" i="9"/>
  <c r="O92" i="9"/>
  <c r="O119" i="9"/>
  <c r="O110" i="9"/>
  <c r="O48" i="9"/>
  <c r="V102" i="9"/>
  <c r="V49" i="9"/>
  <c r="V93" i="9"/>
  <c r="V120" i="9"/>
  <c r="V111" i="9"/>
  <c r="J102" i="9"/>
  <c r="J49" i="9"/>
  <c r="J93" i="9"/>
  <c r="J120" i="9"/>
  <c r="J111" i="9"/>
  <c r="Q103" i="9"/>
  <c r="Q50" i="9"/>
  <c r="Q94" i="9"/>
  <c r="Q121" i="9"/>
  <c r="Q112" i="9"/>
  <c r="X98" i="9"/>
  <c r="X107" i="9"/>
  <c r="X45" i="9"/>
  <c r="X89" i="9"/>
  <c r="X116" i="9"/>
  <c r="L98" i="9"/>
  <c r="L107" i="9"/>
  <c r="L45" i="9"/>
  <c r="L89" i="9"/>
  <c r="L116" i="9"/>
  <c r="J99" i="9"/>
  <c r="J108" i="9"/>
  <c r="J46" i="9"/>
  <c r="J90" i="9"/>
  <c r="J117" i="9"/>
  <c r="P100" i="9"/>
  <c r="P109" i="9"/>
  <c r="P47" i="9"/>
  <c r="P91" i="9"/>
  <c r="P118" i="9"/>
  <c r="X100" i="9"/>
  <c r="X109" i="9"/>
  <c r="X47" i="9"/>
  <c r="X91" i="9"/>
  <c r="X118" i="9"/>
  <c r="H99" i="9"/>
  <c r="H90" i="9"/>
  <c r="H108" i="9"/>
  <c r="H117" i="9"/>
  <c r="H46" i="9"/>
  <c r="Q101" i="9"/>
  <c r="Q48" i="9"/>
  <c r="Q92" i="9"/>
  <c r="Q119" i="9"/>
  <c r="Q110" i="9"/>
  <c r="Z99" i="9"/>
  <c r="Z46" i="9"/>
  <c r="Z117" i="9"/>
  <c r="Z108" i="9"/>
  <c r="Z90" i="9"/>
  <c r="Y99" i="9"/>
  <c r="Y117" i="9"/>
  <c r="Y108" i="9"/>
  <c r="Y90" i="9"/>
  <c r="Y46" i="9"/>
  <c r="L99" i="9"/>
  <c r="L108" i="9"/>
  <c r="L117" i="9"/>
  <c r="L90" i="9"/>
  <c r="L46" i="9"/>
  <c r="Z101" i="9"/>
  <c r="Z119" i="9"/>
  <c r="Z110" i="9"/>
  <c r="Z48" i="9"/>
  <c r="Z92" i="9"/>
  <c r="U102" i="9"/>
  <c r="U93" i="9"/>
  <c r="U120" i="9"/>
  <c r="U111" i="9"/>
  <c r="U49" i="9"/>
  <c r="I102" i="9"/>
  <c r="I93" i="9"/>
  <c r="I120" i="9"/>
  <c r="I111" i="9"/>
  <c r="I49" i="9"/>
  <c r="P103" i="9"/>
  <c r="P50" i="9"/>
  <c r="P94" i="9"/>
  <c r="P121" i="9"/>
  <c r="P112" i="9"/>
  <c r="W98" i="9"/>
  <c r="W45" i="9"/>
  <c r="W89" i="9"/>
  <c r="W116" i="9"/>
  <c r="W107" i="9"/>
  <c r="K98" i="9"/>
  <c r="K45" i="9"/>
  <c r="K89" i="9"/>
  <c r="K116" i="9"/>
  <c r="K107" i="9"/>
  <c r="T98" i="9"/>
  <c r="T116" i="9"/>
  <c r="T107" i="9"/>
  <c r="T45" i="9"/>
  <c r="T89" i="9"/>
  <c r="H100" i="9"/>
  <c r="H47" i="9"/>
  <c r="H91" i="9"/>
  <c r="H118" i="9"/>
  <c r="H109" i="9"/>
  <c r="V101" i="9"/>
  <c r="V48" i="9"/>
  <c r="V110" i="9"/>
  <c r="V92" i="9"/>
  <c r="V119" i="9"/>
  <c r="Q102" i="9"/>
  <c r="Q120" i="9"/>
  <c r="Q49" i="9"/>
  <c r="Q93" i="9"/>
  <c r="Q111" i="9"/>
  <c r="Q99" i="9"/>
  <c r="Q46" i="9"/>
  <c r="Q90" i="9"/>
  <c r="Q117" i="9"/>
  <c r="Q108" i="9"/>
  <c r="L100" i="9"/>
  <c r="L109" i="9"/>
  <c r="L47" i="9"/>
  <c r="L91" i="9"/>
  <c r="L118" i="9"/>
  <c r="S101" i="9"/>
  <c r="S48" i="9"/>
  <c r="S119" i="9"/>
  <c r="S92" i="9"/>
  <c r="S110" i="9"/>
  <c r="Z102" i="9"/>
  <c r="Z49" i="9"/>
  <c r="Z93" i="9"/>
  <c r="Z120" i="9"/>
  <c r="Z111" i="9"/>
  <c r="N102" i="9"/>
  <c r="N49" i="9"/>
  <c r="N93" i="9"/>
  <c r="N120" i="9"/>
  <c r="N111" i="9"/>
  <c r="I103" i="9"/>
  <c r="I94" i="9"/>
  <c r="I50" i="9"/>
  <c r="I121" i="9"/>
  <c r="I112" i="9"/>
  <c r="P98" i="9"/>
  <c r="P45" i="9"/>
  <c r="P107" i="9"/>
  <c r="P89" i="9"/>
  <c r="P116" i="9"/>
  <c r="K100" i="9"/>
  <c r="K47" i="9"/>
  <c r="K91" i="9"/>
  <c r="K118" i="9"/>
  <c r="K109" i="9"/>
  <c r="J100" i="9"/>
  <c r="J47" i="9"/>
  <c r="J91" i="9"/>
  <c r="J118" i="9"/>
  <c r="J109" i="9"/>
  <c r="U100" i="9"/>
  <c r="U91" i="9"/>
  <c r="U118" i="9"/>
  <c r="U109" i="9"/>
  <c r="U47" i="9"/>
  <c r="X99" i="9"/>
  <c r="X108" i="9"/>
  <c r="X117" i="9"/>
  <c r="X46" i="9"/>
  <c r="X90" i="9"/>
  <c r="S100" i="9"/>
  <c r="S118" i="9"/>
  <c r="S109" i="9"/>
  <c r="S91" i="9"/>
  <c r="S47" i="9"/>
  <c r="N101" i="9"/>
  <c r="N48" i="9"/>
  <c r="N119" i="9"/>
  <c r="N110" i="9"/>
  <c r="N92" i="9"/>
  <c r="W99" i="9"/>
  <c r="W117" i="9"/>
  <c r="W108" i="9"/>
  <c r="W46" i="9"/>
  <c r="W90" i="9"/>
  <c r="K99" i="9"/>
  <c r="K46" i="9"/>
  <c r="K108" i="9"/>
  <c r="K90" i="9"/>
  <c r="K117" i="9"/>
  <c r="R100" i="9"/>
  <c r="R109" i="9"/>
  <c r="R91" i="9"/>
  <c r="R47" i="9"/>
  <c r="R118" i="9"/>
  <c r="Y101" i="9"/>
  <c r="Y119" i="9"/>
  <c r="Y110" i="9"/>
  <c r="Y92" i="9"/>
  <c r="Y48" i="9"/>
  <c r="M101" i="9"/>
  <c r="M119" i="9"/>
  <c r="M92" i="9"/>
  <c r="M110" i="9"/>
  <c r="M48" i="9"/>
  <c r="T102" i="9"/>
  <c r="T120" i="9"/>
  <c r="T111" i="9"/>
  <c r="T49" i="9"/>
  <c r="T93" i="9"/>
  <c r="H103" i="9"/>
  <c r="H121" i="9"/>
  <c r="H112" i="9"/>
  <c r="H50" i="9"/>
  <c r="H94" i="9"/>
  <c r="O103" i="9"/>
  <c r="O94" i="9"/>
  <c r="O121" i="9"/>
  <c r="O112" i="9"/>
  <c r="O50" i="9"/>
  <c r="V98" i="9"/>
  <c r="V45" i="9"/>
  <c r="V89" i="9"/>
  <c r="V116" i="9"/>
  <c r="V107" i="9"/>
  <c r="J98" i="9"/>
  <c r="J45" i="9"/>
  <c r="J89" i="9"/>
  <c r="J116" i="9"/>
  <c r="J107" i="9"/>
  <c r="L31" i="38"/>
  <c r="L32" i="38"/>
  <c r="L33" i="38"/>
  <c r="L34" i="38"/>
  <c r="L35" i="38"/>
  <c r="L36" i="38"/>
  <c r="L37" i="38"/>
  <c r="L38" i="38"/>
  <c r="L39" i="38"/>
  <c r="L40" i="38"/>
  <c r="L41" i="38"/>
  <c r="L42" i="38"/>
  <c r="L43" i="38"/>
  <c r="L44" i="38"/>
  <c r="L45" i="38"/>
  <c r="L46" i="38"/>
  <c r="L47" i="38"/>
  <c r="L48" i="38"/>
  <c r="L49" i="38"/>
  <c r="L50" i="38"/>
  <c r="L51" i="38"/>
  <c r="L52" i="38"/>
  <c r="L53" i="38"/>
  <c r="L54" i="38"/>
  <c r="L55" i="38"/>
  <c r="L56" i="38"/>
  <c r="L57" i="38"/>
  <c r="L58" i="38"/>
  <c r="L59" i="38"/>
  <c r="L60" i="38"/>
  <c r="L61" i="38"/>
  <c r="L62" i="38"/>
  <c r="L63" i="38"/>
  <c r="L30" i="38"/>
  <c r="E31" i="38"/>
  <c r="E32" i="38"/>
  <c r="E33" i="38"/>
  <c r="E34" i="38"/>
  <c r="E35" i="38"/>
  <c r="E36" i="38"/>
  <c r="E37" i="38"/>
  <c r="E38" i="38"/>
  <c r="E39" i="38"/>
  <c r="E40" i="38"/>
  <c r="E41" i="38"/>
  <c r="E42" i="38"/>
  <c r="E43" i="38"/>
  <c r="E44" i="38"/>
  <c r="E45" i="38"/>
  <c r="E46" i="38"/>
  <c r="E47" i="38"/>
  <c r="E48" i="38"/>
  <c r="E49" i="38"/>
  <c r="E50" i="38"/>
  <c r="E51" i="38"/>
  <c r="E52" i="38"/>
  <c r="E53" i="38"/>
  <c r="E54" i="38"/>
  <c r="E55" i="38"/>
  <c r="E56" i="38"/>
  <c r="E57" i="38"/>
  <c r="E58" i="38"/>
  <c r="E59" i="38"/>
  <c r="E60" i="38"/>
  <c r="E61" i="38"/>
  <c r="E62" i="38"/>
  <c r="E30" i="38"/>
  <c r="G61" i="42" l="1"/>
  <c r="P70" i="20" s="1"/>
  <c r="E327" i="18" a="1"/>
  <c r="E327" i="18" s="1"/>
  <c r="L312" i="18" a="1"/>
  <c r="L312" i="18" s="1"/>
  <c r="L313" i="18" s="1"/>
  <c r="E322" i="18" a="1"/>
  <c r="E322" i="18" s="1"/>
  <c r="G312" i="18" a="1"/>
  <c r="G312" i="18" s="1"/>
  <c r="G313" i="18" s="1"/>
  <c r="N312" i="18" a="1"/>
  <c r="N312" i="18" s="1"/>
  <c r="N313" i="18" s="1"/>
  <c r="E329" i="18" a="1"/>
  <c r="E329" i="18" s="1"/>
  <c r="Q312" i="18" a="1"/>
  <c r="Q312" i="18" s="1"/>
  <c r="Q313" i="18" s="1"/>
  <c r="E332" i="18" a="1"/>
  <c r="E332" i="18" s="1"/>
  <c r="P312" i="18" a="1"/>
  <c r="P312" i="18" s="1"/>
  <c r="P313" i="18" s="1"/>
  <c r="E331" i="18" a="1"/>
  <c r="E331" i="18" s="1"/>
  <c r="H312" i="18" a="1"/>
  <c r="H312" i="18" s="1"/>
  <c r="H313" i="18" s="1"/>
  <c r="E323" i="18" a="1"/>
  <c r="E323" i="18" s="1"/>
  <c r="R312" i="18" a="1"/>
  <c r="R312" i="18" s="1"/>
  <c r="R313" i="18" s="1"/>
  <c r="E333" i="18" a="1"/>
  <c r="E333" i="18" s="1"/>
  <c r="T312" i="18" a="1"/>
  <c r="T312" i="18" s="1"/>
  <c r="T313" i="18" s="1"/>
  <c r="E335" i="18" a="1"/>
  <c r="E335" i="18" s="1"/>
  <c r="O312" i="18" a="1"/>
  <c r="O312" i="18" s="1"/>
  <c r="O313" i="18" s="1"/>
  <c r="E330" i="18" a="1"/>
  <c r="E330" i="18" s="1"/>
  <c r="E326" i="18" a="1"/>
  <c r="E326" i="18" s="1"/>
  <c r="K312" i="18" a="1"/>
  <c r="K312" i="18" s="1"/>
  <c r="K313" i="18" s="1"/>
  <c r="E328" i="18" a="1"/>
  <c r="E328" i="18" s="1"/>
  <c r="M312" i="18" a="1"/>
  <c r="M312" i="18" s="1"/>
  <c r="M313" i="18" s="1"/>
  <c r="F312" i="18" a="1"/>
  <c r="F312" i="18" s="1"/>
  <c r="F313" i="18" s="1"/>
  <c r="E321" i="18" a="1"/>
  <c r="E321" i="18" s="1"/>
  <c r="E324" i="18" a="1"/>
  <c r="E324" i="18" s="1"/>
  <c r="I312" i="18" a="1"/>
  <c r="I312" i="18" s="1"/>
  <c r="I313" i="18" s="1"/>
  <c r="E334" i="18" a="1"/>
  <c r="E334" i="18" s="1"/>
  <c r="S312" i="18" a="1"/>
  <c r="S312" i="18" s="1"/>
  <c r="S313" i="18" s="1"/>
  <c r="E336" i="18" a="1"/>
  <c r="E336" i="18" s="1"/>
  <c r="U312" i="18" a="1"/>
  <c r="U312" i="18" s="1"/>
  <c r="U313" i="18" s="1"/>
  <c r="E325" i="18" a="1"/>
  <c r="E325" i="18" s="1"/>
  <c r="J312" i="18" a="1"/>
  <c r="J312" i="18" s="1"/>
  <c r="J313" i="18" s="1"/>
  <c r="E337" i="18" a="1"/>
  <c r="E337" i="18" s="1"/>
  <c r="V312" i="18" a="1"/>
  <c r="V312" i="18" s="1"/>
  <c r="V313" i="18" s="1"/>
  <c r="H42" i="9"/>
  <c r="G59" i="42"/>
  <c r="P68" i="20" s="1"/>
  <c r="G60" i="42"/>
  <c r="P69" i="20" s="1"/>
  <c r="G69" i="42"/>
  <c r="P78" i="20" s="1"/>
  <c r="G71" i="42"/>
  <c r="P80" i="20" s="1"/>
  <c r="G74" i="42"/>
  <c r="P83" i="20" s="1"/>
  <c r="G73" i="42"/>
  <c r="P82" i="20" s="1"/>
  <c r="G65" i="42"/>
  <c r="P74" i="20" s="1"/>
  <c r="G76" i="42"/>
  <c r="P85" i="20" s="1"/>
  <c r="G58" i="42"/>
  <c r="P67" i="20" s="1"/>
  <c r="G67" i="42"/>
  <c r="P76" i="20" s="1"/>
  <c r="G75" i="42"/>
  <c r="P84" i="20" s="1"/>
  <c r="G62" i="42"/>
  <c r="P71" i="20" s="1"/>
  <c r="G66" i="42"/>
  <c r="P75" i="20" s="1"/>
  <c r="G68" i="42"/>
  <c r="P77" i="20" s="1"/>
  <c r="G70" i="42"/>
  <c r="P79" i="20" s="1"/>
  <c r="G63" i="42"/>
  <c r="P72" i="20" s="1"/>
  <c r="B74" i="42"/>
  <c r="D74" i="42" s="1"/>
  <c r="M83" i="20" s="1"/>
  <c r="W50" i="42"/>
  <c r="AA125" i="42" s="1"/>
  <c r="B65" i="42"/>
  <c r="D65" i="42" s="1"/>
  <c r="M74" i="20" s="1"/>
  <c r="N50" i="42"/>
  <c r="AA116" i="42" s="1"/>
  <c r="B76" i="42"/>
  <c r="D76" i="42" s="1"/>
  <c r="M85" i="20" s="1"/>
  <c r="Y50" i="42"/>
  <c r="AA127" i="42" s="1"/>
  <c r="B59" i="42"/>
  <c r="D59" i="42" s="1"/>
  <c r="M68" i="20" s="1"/>
  <c r="H50" i="42"/>
  <c r="AA110" i="42" s="1"/>
  <c r="B64" i="42"/>
  <c r="D64" i="42" s="1"/>
  <c r="M73" i="20" s="1"/>
  <c r="M50" i="42"/>
  <c r="AA115" i="42" s="1"/>
  <c r="B66" i="42"/>
  <c r="D66" i="42" s="1"/>
  <c r="M75" i="20" s="1"/>
  <c r="O50" i="42"/>
  <c r="AA117" i="42" s="1"/>
  <c r="B73" i="42"/>
  <c r="D73" i="42" s="1"/>
  <c r="M82" i="20" s="1"/>
  <c r="V50" i="42"/>
  <c r="AA124" i="42" s="1"/>
  <c r="B72" i="42"/>
  <c r="D72" i="42" s="1"/>
  <c r="M81" i="20" s="1"/>
  <c r="U50" i="42"/>
  <c r="AA123" i="42" s="1"/>
  <c r="G72" i="42"/>
  <c r="P81" i="20" s="1"/>
  <c r="B58" i="42"/>
  <c r="G50" i="42"/>
  <c r="B60" i="42"/>
  <c r="D60" i="42" s="1"/>
  <c r="M69" i="20" s="1"/>
  <c r="I50" i="42"/>
  <c r="AA111" i="42" s="1"/>
  <c r="B67" i="42"/>
  <c r="D67" i="42" s="1"/>
  <c r="M76" i="20" s="1"/>
  <c r="P50" i="42"/>
  <c r="AA118" i="42" s="1"/>
  <c r="B71" i="42"/>
  <c r="D71" i="42" s="1"/>
  <c r="M80" i="20" s="1"/>
  <c r="T50" i="42"/>
  <c r="AA122" i="42" s="1"/>
  <c r="B70" i="42"/>
  <c r="D70" i="42" s="1"/>
  <c r="M79" i="20" s="1"/>
  <c r="S50" i="42"/>
  <c r="AA121" i="42" s="1"/>
  <c r="B62" i="42"/>
  <c r="D62" i="42" s="1"/>
  <c r="M71" i="20" s="1"/>
  <c r="K50" i="42"/>
  <c r="AA113" i="42" s="1"/>
  <c r="B63" i="42"/>
  <c r="D63" i="42" s="1"/>
  <c r="M72" i="20" s="1"/>
  <c r="L50" i="42"/>
  <c r="AA114" i="42" s="1"/>
  <c r="B61" i="42"/>
  <c r="D61" i="42" s="1"/>
  <c r="M70" i="20" s="1"/>
  <c r="J50" i="42"/>
  <c r="AA112" i="42" s="1"/>
  <c r="B69" i="42"/>
  <c r="D69" i="42" s="1"/>
  <c r="M78" i="20" s="1"/>
  <c r="R50" i="42"/>
  <c r="AA120" i="42" s="1"/>
  <c r="B75" i="42"/>
  <c r="D75" i="42" s="1"/>
  <c r="M84" i="20" s="1"/>
  <c r="X50" i="42"/>
  <c r="AA126" i="42" s="1"/>
  <c r="B68" i="42"/>
  <c r="D68" i="42" s="1"/>
  <c r="M77" i="20" s="1"/>
  <c r="Q50" i="42"/>
  <c r="AA119" i="42" s="1"/>
  <c r="G64" i="42"/>
  <c r="P73" i="20" s="1"/>
  <c r="O118" i="10"/>
  <c r="R118" i="10"/>
  <c r="B179" i="18"/>
  <c r="C172" i="18"/>
  <c r="C170" i="18"/>
  <c r="C159" i="18"/>
  <c r="C161" i="18"/>
  <c r="C163" i="18"/>
  <c r="C165" i="18"/>
  <c r="C167" i="18"/>
  <c r="C169" i="18"/>
  <c r="H74" i="42" l="1"/>
  <c r="F20" i="20" s="1"/>
  <c r="G44" i="20" s="1"/>
  <c r="H65" i="42"/>
  <c r="F11" i="20" s="1"/>
  <c r="G35" i="20" s="1"/>
  <c r="H66" i="42"/>
  <c r="F12" i="20" s="1"/>
  <c r="G36" i="20" s="1"/>
  <c r="H71" i="42"/>
  <c r="F17" i="20" s="1"/>
  <c r="G41" i="20" s="1"/>
  <c r="H62" i="42"/>
  <c r="F8" i="20" s="1"/>
  <c r="H61" i="42"/>
  <c r="F7" i="20" s="1"/>
  <c r="H76" i="42"/>
  <c r="F22" i="20" s="1"/>
  <c r="G46" i="20" s="1"/>
  <c r="H68" i="42"/>
  <c r="F14" i="20" s="1"/>
  <c r="G38" i="20" s="1"/>
  <c r="H70" i="42"/>
  <c r="F16" i="20" s="1"/>
  <c r="G40" i="20" s="1"/>
  <c r="H69" i="42"/>
  <c r="F15" i="20" s="1"/>
  <c r="G39" i="20" s="1"/>
  <c r="H60" i="42"/>
  <c r="F6" i="20" s="1"/>
  <c r="H63" i="42"/>
  <c r="F9" i="20" s="1"/>
  <c r="G33" i="20" s="1"/>
  <c r="H59" i="42"/>
  <c r="H72" i="42"/>
  <c r="F18" i="20" s="1"/>
  <c r="G42" i="20" s="1"/>
  <c r="H75" i="42"/>
  <c r="F21" i="20" s="1"/>
  <c r="G45" i="20" s="1"/>
  <c r="H73" i="42"/>
  <c r="F19" i="20" s="1"/>
  <c r="G43" i="20" s="1"/>
  <c r="H67" i="42"/>
  <c r="F13" i="20" s="1"/>
  <c r="G37" i="20" s="1"/>
  <c r="H64" i="42"/>
  <c r="F10" i="20" s="1"/>
  <c r="G34" i="20" s="1"/>
  <c r="B80" i="42"/>
  <c r="B81" i="42"/>
  <c r="E312" i="18" a="1"/>
  <c r="E312" i="18" s="1"/>
  <c r="E320" i="18" a="1"/>
  <c r="E320" i="18" s="1"/>
  <c r="J60" i="20"/>
  <c r="J67" i="20"/>
  <c r="Z124" i="42"/>
  <c r="AB124" i="42" s="1"/>
  <c r="Z120" i="42"/>
  <c r="AB120" i="42" s="1"/>
  <c r="Z112" i="42"/>
  <c r="AB112" i="42" s="1"/>
  <c r="Z111" i="42"/>
  <c r="AB111" i="42" s="1"/>
  <c r="Z121" i="42"/>
  <c r="AB121" i="42" s="1"/>
  <c r="Z122" i="42"/>
  <c r="AB122" i="42" s="1"/>
  <c r="L60" i="20"/>
  <c r="Z125" i="42"/>
  <c r="AB125" i="42" s="1"/>
  <c r="Z116" i="42"/>
  <c r="AB116" i="42" s="1"/>
  <c r="Z110" i="42"/>
  <c r="AB110" i="42" s="1"/>
  <c r="Z114" i="42"/>
  <c r="AB114" i="42" s="1"/>
  <c r="Z127" i="42"/>
  <c r="AB127" i="42" s="1"/>
  <c r="Z126" i="42"/>
  <c r="AB126" i="42" s="1"/>
  <c r="Z117" i="42"/>
  <c r="AB117" i="42" s="1"/>
  <c r="Z118" i="42"/>
  <c r="AB118" i="42" s="1"/>
  <c r="Z113" i="42"/>
  <c r="AB113" i="42" s="1"/>
  <c r="Z119" i="42"/>
  <c r="AB119" i="42" s="1"/>
  <c r="Z115" i="42"/>
  <c r="AB115" i="42" s="1"/>
  <c r="AA109" i="42"/>
  <c r="D58" i="42"/>
  <c r="M67" i="20" s="1"/>
  <c r="Z123" i="42"/>
  <c r="AB123" i="42" s="1"/>
  <c r="F179" i="18"/>
  <c r="F53" i="20" l="1"/>
  <c r="F5" i="20"/>
  <c r="G29" i="20" s="1"/>
  <c r="H58" i="42"/>
  <c r="F4" i="20" s="1"/>
  <c r="G28" i="20" s="1"/>
  <c r="E313" i="18"/>
  <c r="B82" i="42"/>
  <c r="Z109" i="42"/>
  <c r="AB109" i="42" s="1"/>
  <c r="C177" i="12"/>
  <c r="E154" i="12"/>
  <c r="C91" i="10"/>
  <c r="C65" i="10"/>
  <c r="C40" i="10"/>
  <c r="C15" i="10"/>
  <c r="C28" i="5"/>
  <c r="C4" i="5"/>
  <c r="D9" i="26"/>
  <c r="D12" i="26"/>
  <c r="D30" i="26" s="1"/>
  <c r="B42" i="12"/>
  <c r="D8" i="26"/>
  <c r="B58" i="1"/>
  <c r="B6" i="40" s="1"/>
  <c r="B64" i="35"/>
  <c r="B62" i="35"/>
  <c r="B61" i="35"/>
  <c r="B60" i="35"/>
  <c r="B57" i="35"/>
  <c r="B58" i="35"/>
  <c r="B56" i="35"/>
  <c r="B12" i="35"/>
  <c r="B10" i="35"/>
  <c r="B9" i="35"/>
  <c r="B8" i="35"/>
  <c r="B5" i="35"/>
  <c r="B6" i="35"/>
  <c r="B4" i="35"/>
  <c r="E68" i="19"/>
  <c r="G78" i="19" s="1"/>
  <c r="D78" i="19"/>
  <c r="B78" i="19"/>
  <c r="F54" i="20" l="1"/>
  <c r="F23" i="20"/>
  <c r="G47" i="20"/>
  <c r="C82" i="12"/>
  <c r="C81" i="12"/>
  <c r="C83" i="12"/>
  <c r="B59" i="1"/>
  <c r="U184" i="12"/>
  <c r="I184" i="12"/>
  <c r="S184" i="12"/>
  <c r="T184" i="12"/>
  <c r="S186" i="12"/>
  <c r="T186" i="12"/>
  <c r="U186" i="12"/>
  <c r="L186" i="12"/>
  <c r="K186" i="12"/>
  <c r="K184" i="12"/>
  <c r="F186" i="12"/>
  <c r="F184" i="12"/>
  <c r="L184" i="12"/>
  <c r="I186" i="12"/>
  <c r="C73" i="12"/>
  <c r="F180" i="12" s="1"/>
  <c r="C74" i="12"/>
  <c r="C75" i="12"/>
  <c r="C76" i="12"/>
  <c r="I180" i="12" s="1"/>
  <c r="C78" i="12"/>
  <c r="K180" i="12" s="1"/>
  <c r="C79" i="12"/>
  <c r="L180" i="12" s="1"/>
  <c r="B11" i="21"/>
  <c r="E173" i="12"/>
  <c r="B40" i="19"/>
  <c r="B11" i="19"/>
  <c r="B25" i="19"/>
  <c r="E197" i="12"/>
  <c r="E196" i="12"/>
  <c r="D197" i="12"/>
  <c r="C182" i="12"/>
  <c r="I185" i="12" l="1"/>
  <c r="I183" i="12"/>
  <c r="K185" i="12"/>
  <c r="K183" i="12"/>
  <c r="L185" i="12"/>
  <c r="L183" i="12"/>
  <c r="F185" i="12"/>
  <c r="F183" i="12"/>
  <c r="C197" i="12"/>
  <c r="C186" i="12"/>
  <c r="F39" i="1"/>
  <c r="B41" i="19"/>
  <c r="B12" i="19"/>
  <c r="B6" i="19"/>
  <c r="C79" i="1"/>
  <c r="B26" i="19"/>
  <c r="K24" i="19"/>
  <c r="K25" i="19"/>
  <c r="K26" i="19"/>
  <c r="K22" i="19"/>
  <c r="C178" i="12"/>
  <c r="B152" i="26"/>
  <c r="B151" i="26"/>
  <c r="F153" i="26"/>
  <c r="F152" i="26"/>
  <c r="F151" i="26"/>
  <c r="F150" i="26"/>
  <c r="E153" i="26"/>
  <c r="E152" i="26"/>
  <c r="E151" i="26"/>
  <c r="E150" i="26"/>
  <c r="D153" i="26"/>
  <c r="D152" i="26"/>
  <c r="D151" i="26"/>
  <c r="D150" i="26"/>
  <c r="F30" i="26"/>
  <c r="E30" i="26"/>
  <c r="D140" i="26"/>
  <c r="D139" i="26"/>
  <c r="C98" i="26"/>
  <c r="C96" i="26"/>
  <c r="C94" i="26"/>
  <c r="C101" i="26"/>
  <c r="C100" i="26"/>
  <c r="D109" i="26"/>
  <c r="D108" i="26"/>
  <c r="D107" i="26"/>
  <c r="D106" i="26"/>
  <c r="C109" i="26"/>
  <c r="C108" i="26"/>
  <c r="C107" i="26"/>
  <c r="C106" i="26"/>
  <c r="B109" i="26"/>
  <c r="B108" i="26"/>
  <c r="B107" i="26"/>
  <c r="B106" i="26"/>
  <c r="C190" i="12" l="1"/>
  <c r="K187" i="12"/>
  <c r="L187" i="12"/>
  <c r="I187" i="12"/>
  <c r="F187" i="12"/>
  <c r="B14" i="19"/>
  <c r="C65" i="19" s="1"/>
  <c r="L22" i="19"/>
  <c r="F109" i="26"/>
  <c r="F108" i="26"/>
  <c r="F107" i="26"/>
  <c r="F106" i="26"/>
  <c r="O38" i="9" l="1"/>
  <c r="I38" i="9"/>
  <c r="P38" i="9"/>
  <c r="H38" i="9"/>
  <c r="M38" i="9"/>
  <c r="Q38" i="9"/>
  <c r="R38" i="9"/>
  <c r="S38" i="9"/>
  <c r="T38" i="9"/>
  <c r="U38" i="9"/>
  <c r="X38" i="9"/>
  <c r="J38" i="9"/>
  <c r="V38" i="9"/>
  <c r="L38" i="9"/>
  <c r="K38" i="9"/>
  <c r="W38" i="9"/>
  <c r="Y38" i="9"/>
  <c r="N38" i="9"/>
  <c r="Z38" i="9"/>
  <c r="B83" i="26"/>
  <c r="B71" i="26"/>
  <c r="B59" i="26"/>
  <c r="B42" i="26"/>
  <c r="B45" i="26"/>
  <c r="B47" i="26" s="1"/>
  <c r="D94" i="26" l="1"/>
  <c r="G106" i="26" s="1"/>
  <c r="D101" i="26"/>
  <c r="D100" i="26"/>
  <c r="G107" i="26" s="1"/>
  <c r="D96" i="26"/>
  <c r="G108" i="26" s="1"/>
  <c r="D98" i="26"/>
  <c r="G109" i="26" s="1"/>
  <c r="B26" i="26"/>
  <c r="B16" i="26" l="1"/>
  <c r="B17" i="26" s="1"/>
  <c r="C47" i="20"/>
  <c r="A42" i="12" l="1"/>
  <c r="C87" i="12" l="1"/>
  <c r="C86" i="12"/>
  <c r="C72" i="12"/>
  <c r="C77" i="12"/>
  <c r="C80" i="12"/>
  <c r="C71" i="12"/>
  <c r="B40" i="14"/>
  <c r="B26" i="14"/>
  <c r="B12" i="14"/>
  <c r="D123" i="14" l="1"/>
  <c r="B123" i="14"/>
  <c r="B55" i="14"/>
  <c r="B52" i="14"/>
  <c r="G123" i="14" l="1"/>
  <c r="B57" i="14"/>
  <c r="B110" i="14" l="1"/>
  <c r="B129" i="26"/>
  <c r="D110" i="14" l="1"/>
  <c r="F123" i="14" s="1"/>
  <c r="E123" i="14"/>
  <c r="B60" i="26"/>
  <c r="I123" i="14" l="1" a="1"/>
  <c r="I123" i="14" s="1"/>
  <c r="U123" i="14" a="1"/>
  <c r="U123" i="14" s="1"/>
  <c r="J123" i="14" a="1"/>
  <c r="J123" i="14" s="1"/>
  <c r="V123" i="14" a="1"/>
  <c r="V123" i="14" s="1"/>
  <c r="K123" i="14" a="1"/>
  <c r="K123" i="14" s="1"/>
  <c r="W123" i="14" a="1"/>
  <c r="W123" i="14" s="1"/>
  <c r="L123" i="14" a="1"/>
  <c r="L123" i="14" s="1"/>
  <c r="X123" i="14" a="1"/>
  <c r="X123" i="14" s="1"/>
  <c r="M123" i="14" a="1"/>
  <c r="M123" i="14" s="1"/>
  <c r="Y123" i="14" a="1"/>
  <c r="Y123" i="14" s="1"/>
  <c r="N123" i="14" a="1"/>
  <c r="N123" i="14" s="1"/>
  <c r="Z123" i="14" a="1"/>
  <c r="Z123" i="14" s="1"/>
  <c r="O123" i="14" a="1"/>
  <c r="O123" i="14" s="1"/>
  <c r="H123" i="14" a="1"/>
  <c r="H123" i="14" s="1"/>
  <c r="S123" i="14" a="1"/>
  <c r="S123" i="14" s="1"/>
  <c r="P123" i="14" a="1"/>
  <c r="P123" i="14" s="1"/>
  <c r="Q123" i="14" a="1"/>
  <c r="Q123" i="14" s="1"/>
  <c r="R123" i="14" a="1"/>
  <c r="R123" i="14" s="1"/>
  <c r="T123" i="14" a="1"/>
  <c r="T123" i="14" s="1"/>
  <c r="B94" i="26"/>
  <c r="B48" i="26"/>
  <c r="C30" i="26"/>
  <c r="B128" i="26"/>
  <c r="B163" i="26" l="1" a="1"/>
  <c r="B163" i="26" s="1"/>
  <c r="AB69" i="20" s="1"/>
  <c r="B174" i="26" a="1"/>
  <c r="B174" i="26" s="1"/>
  <c r="AB80" i="20" s="1"/>
  <c r="B162" i="26" a="1"/>
  <c r="B162" i="26" s="1"/>
  <c r="AB68" i="20" s="1"/>
  <c r="B178" i="26" a="1"/>
  <c r="B178" i="26" s="1"/>
  <c r="AB84" i="20" s="1"/>
  <c r="B165" i="26" a="1"/>
  <c r="B165" i="26" s="1"/>
  <c r="AB71" i="20" s="1"/>
  <c r="B176" i="26" a="1"/>
  <c r="B176" i="26" s="1"/>
  <c r="AB82" i="20" s="1"/>
  <c r="B164" i="26" a="1"/>
  <c r="B164" i="26" s="1"/>
  <c r="AB70" i="20" s="1"/>
  <c r="B170" i="26" a="1"/>
  <c r="B170" i="26" s="1"/>
  <c r="AB76" i="20" s="1"/>
  <c r="B169" i="26" a="1"/>
  <c r="B169" i="26" s="1"/>
  <c r="AB75" i="20" s="1"/>
  <c r="B168" i="26" a="1"/>
  <c r="B168" i="26" s="1"/>
  <c r="AB74" i="20" s="1"/>
  <c r="B175" i="26" a="1"/>
  <c r="B175" i="26" s="1"/>
  <c r="AB81" i="20" s="1"/>
  <c r="B173" i="26" a="1"/>
  <c r="B173" i="26" s="1"/>
  <c r="AB79" i="20" s="1"/>
  <c r="B179" i="26" a="1"/>
  <c r="B179" i="26" s="1"/>
  <c r="AB85" i="20" s="1"/>
  <c r="B166" i="26" a="1"/>
  <c r="B166" i="26" s="1"/>
  <c r="AB72" i="20" s="1"/>
  <c r="B171" i="26" a="1"/>
  <c r="B171" i="26" s="1"/>
  <c r="AB77" i="20" s="1"/>
  <c r="B177" i="26" a="1"/>
  <c r="B177" i="26" s="1"/>
  <c r="AB83" i="20" s="1"/>
  <c r="B172" i="26" a="1"/>
  <c r="B172" i="26" s="1"/>
  <c r="AB78" i="20" s="1"/>
  <c r="B167" i="26" a="1"/>
  <c r="B167" i="26" s="1"/>
  <c r="AB73" i="20" s="1"/>
  <c r="B161" i="26" a="1"/>
  <c r="B161" i="26" s="1"/>
  <c r="H30" i="26" a="1"/>
  <c r="H30" i="26" s="1"/>
  <c r="V30" i="26" a="1"/>
  <c r="V30" i="26" s="1"/>
  <c r="T30" i="26" a="1"/>
  <c r="T30" i="26" s="1"/>
  <c r="M30" i="26" a="1"/>
  <c r="M30" i="26" s="1"/>
  <c r="J30" i="26" a="1"/>
  <c r="J30" i="26" s="1"/>
  <c r="U30" i="26" a="1"/>
  <c r="U30" i="26" s="1"/>
  <c r="Y30" i="26" a="1"/>
  <c r="Y30" i="26" s="1"/>
  <c r="G30" i="26" a="1"/>
  <c r="G30" i="26" s="1"/>
  <c r="K30" i="26" a="1"/>
  <c r="K30" i="26" s="1"/>
  <c r="O30" i="26" a="1"/>
  <c r="O30" i="26" s="1"/>
  <c r="W30" i="26" a="1"/>
  <c r="W30" i="26" s="1"/>
  <c r="P30" i="26" a="1"/>
  <c r="P30" i="26" s="1"/>
  <c r="X30" i="26" a="1"/>
  <c r="X30" i="26" s="1"/>
  <c r="R30" i="26" a="1"/>
  <c r="R30" i="26" s="1"/>
  <c r="L30" i="26" a="1"/>
  <c r="L30" i="26" s="1"/>
  <c r="N30" i="26" a="1"/>
  <c r="N30" i="26" s="1"/>
  <c r="Q30" i="26" a="1"/>
  <c r="Q30" i="26" s="1"/>
  <c r="S30" i="26" a="1"/>
  <c r="S30" i="26" s="1"/>
  <c r="I30" i="26" a="1"/>
  <c r="I30" i="26" s="1"/>
  <c r="E106" i="26"/>
  <c r="B134" i="26"/>
  <c r="B133" i="26"/>
  <c r="B132" i="26"/>
  <c r="B131" i="26"/>
  <c r="B101" i="26"/>
  <c r="B100" i="26"/>
  <c r="E107" i="26" s="1"/>
  <c r="B72" i="26"/>
  <c r="B84" i="26"/>
  <c r="AB67" i="20" l="1"/>
  <c r="P107" i="26" a="1"/>
  <c r="P107" i="26" s="1"/>
  <c r="W107" i="26" a="1"/>
  <c r="W107" i="26" s="1"/>
  <c r="K107" i="26" a="1"/>
  <c r="K107" i="26" s="1"/>
  <c r="V107" i="26" a="1"/>
  <c r="V107" i="26" s="1"/>
  <c r="Q107" i="26" a="1"/>
  <c r="Q107" i="26" s="1"/>
  <c r="J107" i="26" a="1"/>
  <c r="J107" i="26" s="1"/>
  <c r="I107" i="26" a="1"/>
  <c r="I107" i="26" s="1"/>
  <c r="Y107" i="26" a="1"/>
  <c r="Y107" i="26" s="1"/>
  <c r="Z107" i="26" a="1"/>
  <c r="Z107" i="26" s="1"/>
  <c r="M107" i="26" a="1"/>
  <c r="M107" i="26" s="1"/>
  <c r="U107" i="26" a="1"/>
  <c r="U107" i="26" s="1"/>
  <c r="S107" i="26" a="1"/>
  <c r="S107" i="26" s="1"/>
  <c r="N107" i="26" a="1"/>
  <c r="N107" i="26" s="1"/>
  <c r="X107" i="26" a="1"/>
  <c r="X107" i="26" s="1"/>
  <c r="H107" i="26" a="1"/>
  <c r="H107" i="26" s="1"/>
  <c r="L107" i="26" a="1"/>
  <c r="L107" i="26" s="1"/>
  <c r="T107" i="26" a="1"/>
  <c r="T107" i="26" s="1"/>
  <c r="R107" i="26" a="1"/>
  <c r="R107" i="26" s="1"/>
  <c r="O107" i="26" a="1"/>
  <c r="O107" i="26" s="1"/>
  <c r="I106" i="26" a="1"/>
  <c r="I106" i="26" s="1"/>
  <c r="T106" i="26" a="1"/>
  <c r="T106" i="26" s="1"/>
  <c r="N106" i="26" a="1"/>
  <c r="N106" i="26" s="1"/>
  <c r="L106" i="26" a="1"/>
  <c r="L106" i="26" s="1"/>
  <c r="R106" i="26" a="1"/>
  <c r="R106" i="26" s="1"/>
  <c r="O106" i="26" a="1"/>
  <c r="O106" i="26" s="1"/>
  <c r="S106" i="26" a="1"/>
  <c r="S106" i="26" s="1"/>
  <c r="P106" i="26" a="1"/>
  <c r="P106" i="26" s="1"/>
  <c r="H106" i="26" a="1"/>
  <c r="H106" i="26" s="1"/>
  <c r="Z106" i="26" a="1"/>
  <c r="Z106" i="26" s="1"/>
  <c r="W106" i="26" a="1"/>
  <c r="W106" i="26" s="1"/>
  <c r="J106" i="26" a="1"/>
  <c r="J106" i="26" s="1"/>
  <c r="M106" i="26" a="1"/>
  <c r="M106" i="26" s="1"/>
  <c r="V106" i="26" a="1"/>
  <c r="V106" i="26" s="1"/>
  <c r="Q106" i="26" a="1"/>
  <c r="Q106" i="26" s="1"/>
  <c r="K106" i="26" a="1"/>
  <c r="K106" i="26" s="1"/>
  <c r="Y106" i="26" a="1"/>
  <c r="Y106" i="26" s="1"/>
  <c r="U106" i="26" a="1"/>
  <c r="U106" i="26" s="1"/>
  <c r="X106" i="26" a="1"/>
  <c r="X106" i="26" s="1"/>
  <c r="C139" i="26"/>
  <c r="C140" i="26"/>
  <c r="C141" i="26"/>
  <c r="C142" i="26"/>
  <c r="C150" i="26"/>
  <c r="C151" i="26"/>
  <c r="C152" i="26"/>
  <c r="C153" i="26"/>
  <c r="B98" i="26"/>
  <c r="E109" i="26" s="1"/>
  <c r="B96" i="26"/>
  <c r="E108" i="26" s="1"/>
  <c r="I40" i="1"/>
  <c r="I41" i="1"/>
  <c r="I43" i="1"/>
  <c r="I44" i="1"/>
  <c r="I46" i="1"/>
  <c r="I49" i="1"/>
  <c r="I50" i="1"/>
  <c r="I51" i="1"/>
  <c r="I52" i="1"/>
  <c r="I53" i="1"/>
  <c r="I54" i="1"/>
  <c r="I55" i="1"/>
  <c r="I56" i="1"/>
  <c r="I57" i="1"/>
  <c r="I39" i="1"/>
  <c r="L109" i="26" l="1" a="1"/>
  <c r="L109" i="26" s="1"/>
  <c r="I109" i="26" a="1"/>
  <c r="I109" i="26" s="1"/>
  <c r="V109" i="26" a="1"/>
  <c r="V109" i="26" s="1"/>
  <c r="W109" i="26" a="1"/>
  <c r="W109" i="26" s="1"/>
  <c r="H109" i="26" a="1"/>
  <c r="H109" i="26" s="1"/>
  <c r="U109" i="26" a="1"/>
  <c r="U109" i="26" s="1"/>
  <c r="O109" i="26" a="1"/>
  <c r="O109" i="26" s="1"/>
  <c r="X109" i="26" a="1"/>
  <c r="X109" i="26" s="1"/>
  <c r="J109" i="26" a="1"/>
  <c r="J109" i="26" s="1"/>
  <c r="Q109" i="26" a="1"/>
  <c r="Q109" i="26" s="1"/>
  <c r="K109" i="26" a="1"/>
  <c r="K109" i="26" s="1"/>
  <c r="P109" i="26" a="1"/>
  <c r="P109" i="26" s="1"/>
  <c r="M109" i="26" a="1"/>
  <c r="M109" i="26" s="1"/>
  <c r="S109" i="26" a="1"/>
  <c r="S109" i="26" s="1"/>
  <c r="Z109" i="26" a="1"/>
  <c r="Z109" i="26" s="1"/>
  <c r="Y109" i="26" a="1"/>
  <c r="Y109" i="26" s="1"/>
  <c r="T109" i="26" a="1"/>
  <c r="T109" i="26" s="1"/>
  <c r="N109" i="26" a="1"/>
  <c r="N109" i="26" s="1"/>
  <c r="R109" i="26" a="1"/>
  <c r="R109" i="26" s="1"/>
  <c r="N108" i="26" a="1"/>
  <c r="N108" i="26" s="1"/>
  <c r="M108" i="26" a="1"/>
  <c r="M108" i="26" s="1"/>
  <c r="X108" i="26" a="1"/>
  <c r="X108" i="26" s="1"/>
  <c r="R108" i="26" a="1"/>
  <c r="R108" i="26" s="1"/>
  <c r="O108" i="26" a="1"/>
  <c r="O108" i="26" s="1"/>
  <c r="I108" i="26" a="1"/>
  <c r="I108" i="26" s="1"/>
  <c r="T108" i="26" a="1"/>
  <c r="T108" i="26" s="1"/>
  <c r="S108" i="26" a="1"/>
  <c r="S108" i="26" s="1"/>
  <c r="L108" i="26" a="1"/>
  <c r="L108" i="26" s="1"/>
  <c r="U108" i="26" a="1"/>
  <c r="U108" i="26" s="1"/>
  <c r="P108" i="26" a="1"/>
  <c r="P108" i="26" s="1"/>
  <c r="H108" i="26" a="1"/>
  <c r="H108" i="26" s="1"/>
  <c r="Q108" i="26" a="1"/>
  <c r="Q108" i="26" s="1"/>
  <c r="W108" i="26" a="1"/>
  <c r="W108" i="26" s="1"/>
  <c r="V108" i="26" a="1"/>
  <c r="V108" i="26" s="1"/>
  <c r="Y108" i="26" a="1"/>
  <c r="Y108" i="26" s="1"/>
  <c r="K108" i="26" a="1"/>
  <c r="K108" i="26" s="1"/>
  <c r="Z108" i="26" a="1"/>
  <c r="Z108" i="26" s="1"/>
  <c r="J108" i="26" a="1"/>
  <c r="J108" i="26" s="1"/>
  <c r="K174" i="26" a="1"/>
  <c r="K174" i="26" s="1"/>
  <c r="AL80" i="20" s="1"/>
  <c r="K172" i="26" a="1"/>
  <c r="K172" i="26" s="1"/>
  <c r="AL78" i="20" s="1"/>
  <c r="T153" i="26" a="1"/>
  <c r="T153" i="26" s="1"/>
  <c r="K179" i="26" a="1"/>
  <c r="K179" i="26" s="1"/>
  <c r="AL85" i="20" s="1"/>
  <c r="X153" i="26" a="1"/>
  <c r="X153" i="26" s="1"/>
  <c r="K177" i="26" a="1"/>
  <c r="K177" i="26" s="1"/>
  <c r="AL83" i="20" s="1"/>
  <c r="K175" i="26" a="1"/>
  <c r="K175" i="26" s="1"/>
  <c r="AL81" i="20" s="1"/>
  <c r="U153" i="26" a="1"/>
  <c r="U153" i="26" s="1"/>
  <c r="V153" i="26" a="1"/>
  <c r="V153" i="26" s="1"/>
  <c r="K178" i="26" a="1"/>
  <c r="K178" i="26" s="1"/>
  <c r="AL84" i="20" s="1"/>
  <c r="S153" i="26" a="1"/>
  <c r="S153" i="26" s="1"/>
  <c r="W153" i="26" a="1"/>
  <c r="W153" i="26" s="1"/>
  <c r="K164" i="26" a="1"/>
  <c r="K164" i="26" s="1"/>
  <c r="AL70" i="20" s="1"/>
  <c r="N153" i="26" a="1"/>
  <c r="N153" i="26" s="1"/>
  <c r="O153" i="26" a="1"/>
  <c r="O153" i="26" s="1"/>
  <c r="K176" i="26" a="1"/>
  <c r="K176" i="26" s="1"/>
  <c r="AL82" i="20" s="1"/>
  <c r="I153" i="26" a="1"/>
  <c r="I153" i="26" s="1"/>
  <c r="J153" i="26" a="1"/>
  <c r="J153" i="26" s="1"/>
  <c r="K166" i="26" a="1"/>
  <c r="K166" i="26" s="1"/>
  <c r="AL72" i="20" s="1"/>
  <c r="K153" i="26" a="1"/>
  <c r="K153" i="26" s="1"/>
  <c r="L153" i="26" a="1"/>
  <c r="L153" i="26" s="1"/>
  <c r="M153" i="26" a="1"/>
  <c r="M153" i="26" s="1"/>
  <c r="K169" i="26" a="1"/>
  <c r="K169" i="26" s="1"/>
  <c r="AL75" i="20" s="1"/>
  <c r="K162" i="26" a="1"/>
  <c r="K162" i="26" s="1"/>
  <c r="AL68" i="20" s="1"/>
  <c r="Y153" i="26" a="1"/>
  <c r="Y153" i="26" s="1"/>
  <c r="P153" i="26" a="1"/>
  <c r="P153" i="26" s="1"/>
  <c r="Q153" i="26" a="1"/>
  <c r="Q153" i="26" s="1"/>
  <c r="K161" i="26" a="1"/>
  <c r="K161" i="26" s="1"/>
  <c r="K171" i="26" a="1"/>
  <c r="K171" i="26" s="1"/>
  <c r="AL77" i="20" s="1"/>
  <c r="K173" i="26" a="1"/>
  <c r="K173" i="26" s="1"/>
  <c r="AL79" i="20" s="1"/>
  <c r="K165" i="26" a="1"/>
  <c r="K165" i="26" s="1"/>
  <c r="AL71" i="20" s="1"/>
  <c r="K163" i="26" a="1"/>
  <c r="K163" i="26" s="1"/>
  <c r="AL69" i="20" s="1"/>
  <c r="R153" i="26" a="1"/>
  <c r="R153" i="26" s="1"/>
  <c r="G153" i="26" a="1"/>
  <c r="G153" i="26" s="1"/>
  <c r="K167" i="26" a="1"/>
  <c r="K167" i="26" s="1"/>
  <c r="AL73" i="20" s="1"/>
  <c r="K168" i="26" a="1"/>
  <c r="K168" i="26" s="1"/>
  <c r="AL74" i="20" s="1"/>
  <c r="K170" i="26" a="1"/>
  <c r="K170" i="26" s="1"/>
  <c r="AL76" i="20" s="1"/>
  <c r="H153" i="26" a="1"/>
  <c r="H153" i="26" s="1"/>
  <c r="Y152" i="26" a="1"/>
  <c r="Y152" i="26" s="1"/>
  <c r="M152" i="26" a="1"/>
  <c r="M152" i="26" s="1"/>
  <c r="J172" i="26" a="1"/>
  <c r="J172" i="26" s="1"/>
  <c r="AK78" i="20" s="1"/>
  <c r="J161" i="26" a="1"/>
  <c r="J161" i="26" s="1"/>
  <c r="P152" i="26" a="1"/>
  <c r="P152" i="26" s="1"/>
  <c r="L152" i="26" a="1"/>
  <c r="L152" i="26" s="1"/>
  <c r="J166" i="26" a="1"/>
  <c r="J166" i="26" s="1"/>
  <c r="AK72" i="20" s="1"/>
  <c r="R152" i="26" a="1"/>
  <c r="R152" i="26" s="1"/>
  <c r="J175" i="26" a="1"/>
  <c r="J175" i="26" s="1"/>
  <c r="AK81" i="20" s="1"/>
  <c r="J164" i="26" a="1"/>
  <c r="J164" i="26" s="1"/>
  <c r="AK70" i="20" s="1"/>
  <c r="J176" i="26" a="1"/>
  <c r="J176" i="26" s="1"/>
  <c r="AK82" i="20" s="1"/>
  <c r="T152" i="26" a="1"/>
  <c r="T152" i="26" s="1"/>
  <c r="I152" i="26" a="1"/>
  <c r="I152" i="26" s="1"/>
  <c r="J152" i="26" a="1"/>
  <c r="J152" i="26" s="1"/>
  <c r="J178" i="26" a="1"/>
  <c r="J178" i="26" s="1"/>
  <c r="AK84" i="20" s="1"/>
  <c r="J167" i="26" a="1"/>
  <c r="J167" i="26" s="1"/>
  <c r="AK73" i="20" s="1"/>
  <c r="J169" i="26" a="1"/>
  <c r="J169" i="26" s="1"/>
  <c r="AK75" i="20" s="1"/>
  <c r="G152" i="26" a="1"/>
  <c r="G152" i="26" s="1"/>
  <c r="U152" i="26" a="1"/>
  <c r="U152" i="26" s="1"/>
  <c r="V152" i="26" a="1"/>
  <c r="V152" i="26" s="1"/>
  <c r="J170" i="26" a="1"/>
  <c r="J170" i="26" s="1"/>
  <c r="AK76" i="20" s="1"/>
  <c r="Q152" i="26" a="1"/>
  <c r="Q152" i="26" s="1"/>
  <c r="J179" i="26" a="1"/>
  <c r="J179" i="26" s="1"/>
  <c r="AK85" i="20" s="1"/>
  <c r="O152" i="26" a="1"/>
  <c r="O152" i="26" s="1"/>
  <c r="S152" i="26" a="1"/>
  <c r="S152" i="26" s="1"/>
  <c r="J173" i="26" a="1"/>
  <c r="J173" i="26" s="1"/>
  <c r="AK79" i="20" s="1"/>
  <c r="J162" i="26" a="1"/>
  <c r="J162" i="26" s="1"/>
  <c r="AK68" i="20" s="1"/>
  <c r="H152" i="26" a="1"/>
  <c r="H152" i="26" s="1"/>
  <c r="K152" i="26" a="1"/>
  <c r="K152" i="26" s="1"/>
  <c r="J177" i="26" a="1"/>
  <c r="J177" i="26" s="1"/>
  <c r="AK83" i="20" s="1"/>
  <c r="J165" i="26" a="1"/>
  <c r="J165" i="26" s="1"/>
  <c r="AK71" i="20" s="1"/>
  <c r="W152" i="26" a="1"/>
  <c r="W152" i="26" s="1"/>
  <c r="X152" i="26" a="1"/>
  <c r="X152" i="26" s="1"/>
  <c r="J168" i="26" a="1"/>
  <c r="J168" i="26" s="1"/>
  <c r="AK74" i="20" s="1"/>
  <c r="N152" i="26" a="1"/>
  <c r="N152" i="26" s="1"/>
  <c r="J171" i="26" a="1"/>
  <c r="J171" i="26" s="1"/>
  <c r="AK77" i="20" s="1"/>
  <c r="J163" i="26" a="1"/>
  <c r="J163" i="26" s="1"/>
  <c r="AK69" i="20" s="1"/>
  <c r="J174" i="26" a="1"/>
  <c r="J174" i="26" s="1"/>
  <c r="AK80" i="20" s="1"/>
  <c r="Y151" i="26" a="1"/>
  <c r="Y151" i="26" s="1"/>
  <c r="I167" i="26" a="1"/>
  <c r="I167" i="26" s="1"/>
  <c r="AJ73" i="20" s="1"/>
  <c r="M151" i="26" a="1"/>
  <c r="M151" i="26" s="1"/>
  <c r="S151" i="26" a="1"/>
  <c r="S151" i="26" s="1"/>
  <c r="I165" i="26" a="1"/>
  <c r="I165" i="26" s="1"/>
  <c r="AJ71" i="20" s="1"/>
  <c r="I177" i="26" a="1"/>
  <c r="I177" i="26" s="1"/>
  <c r="AJ83" i="20" s="1"/>
  <c r="P151" i="26" a="1"/>
  <c r="P151" i="26" s="1"/>
  <c r="Q151" i="26" a="1"/>
  <c r="Q151" i="26" s="1"/>
  <c r="I170" i="26" a="1"/>
  <c r="I170" i="26" s="1"/>
  <c r="AJ76" i="20" s="1"/>
  <c r="L151" i="26" a="1"/>
  <c r="L151" i="26" s="1"/>
  <c r="I178" i="26" a="1"/>
  <c r="I178" i="26" s="1"/>
  <c r="AJ84" i="20" s="1"/>
  <c r="I164" i="26" a="1"/>
  <c r="I164" i="26" s="1"/>
  <c r="AJ70" i="20" s="1"/>
  <c r="N151" i="26" a="1"/>
  <c r="N151" i="26" s="1"/>
  <c r="I173" i="26" a="1"/>
  <c r="I173" i="26" s="1"/>
  <c r="AJ79" i="20" s="1"/>
  <c r="H151" i="26" a="1"/>
  <c r="H151" i="26" s="1"/>
  <c r="K151" i="26" a="1"/>
  <c r="K151" i="26" s="1"/>
  <c r="X151" i="26" a="1"/>
  <c r="X151" i="26" s="1"/>
  <c r="I176" i="26" a="1"/>
  <c r="I176" i="26" s="1"/>
  <c r="AJ82" i="20" s="1"/>
  <c r="W151" i="26" a="1"/>
  <c r="W151" i="26" s="1"/>
  <c r="R151" i="26" a="1"/>
  <c r="R151" i="26" s="1"/>
  <c r="I166" i="26" a="1"/>
  <c r="I166" i="26" s="1"/>
  <c r="AJ72" i="20" s="1"/>
  <c r="O151" i="26" a="1"/>
  <c r="O151" i="26" s="1"/>
  <c r="G151" i="26" a="1"/>
  <c r="G151" i="26" s="1"/>
  <c r="I179" i="26" a="1"/>
  <c r="I179" i="26" s="1"/>
  <c r="AJ85" i="20" s="1"/>
  <c r="I151" i="26" a="1"/>
  <c r="I151" i="26" s="1"/>
  <c r="I163" i="26" a="1"/>
  <c r="I163" i="26" s="1"/>
  <c r="AJ69" i="20" s="1"/>
  <c r="I162" i="26" a="1"/>
  <c r="I162" i="26" s="1"/>
  <c r="AJ68" i="20" s="1"/>
  <c r="T151" i="26" a="1"/>
  <c r="T151" i="26" s="1"/>
  <c r="I169" i="26" a="1"/>
  <c r="I169" i="26" s="1"/>
  <c r="AJ75" i="20" s="1"/>
  <c r="U151" i="26" a="1"/>
  <c r="U151" i="26" s="1"/>
  <c r="I168" i="26" a="1"/>
  <c r="I168" i="26" s="1"/>
  <c r="AJ74" i="20" s="1"/>
  <c r="I171" i="26" a="1"/>
  <c r="I171" i="26" s="1"/>
  <c r="AJ77" i="20" s="1"/>
  <c r="I161" i="26" a="1"/>
  <c r="I161" i="26" s="1"/>
  <c r="I172" i="26" a="1"/>
  <c r="I172" i="26" s="1"/>
  <c r="AJ78" i="20" s="1"/>
  <c r="J151" i="26" a="1"/>
  <c r="J151" i="26" s="1"/>
  <c r="I175" i="26" a="1"/>
  <c r="I175" i="26" s="1"/>
  <c r="AJ81" i="20" s="1"/>
  <c r="V151" i="26" a="1"/>
  <c r="V151" i="26" s="1"/>
  <c r="I174" i="26" a="1"/>
  <c r="I174" i="26" s="1"/>
  <c r="AJ80" i="20" s="1"/>
  <c r="H173" i="26" a="1"/>
  <c r="H173" i="26" s="1"/>
  <c r="AI79" i="20" s="1"/>
  <c r="H164" i="26" a="1"/>
  <c r="H164" i="26" s="1"/>
  <c r="AI70" i="20" s="1"/>
  <c r="H176" i="26" a="1"/>
  <c r="H176" i="26" s="1"/>
  <c r="AI82" i="20" s="1"/>
  <c r="O150" i="26" a="1"/>
  <c r="O150" i="26" s="1"/>
  <c r="H161" i="26" a="1"/>
  <c r="H161" i="26" s="1"/>
  <c r="H179" i="26" a="1"/>
  <c r="H179" i="26" s="1"/>
  <c r="AI85" i="20" s="1"/>
  <c r="H170" i="26" a="1"/>
  <c r="H170" i="26" s="1"/>
  <c r="AI76" i="20" s="1"/>
  <c r="H167" i="26" a="1"/>
  <c r="H167" i="26" s="1"/>
  <c r="AI73" i="20" s="1"/>
  <c r="I150" i="26" a="1"/>
  <c r="I150" i="26" s="1"/>
  <c r="K150" i="26" a="1"/>
  <c r="K150" i="26" s="1"/>
  <c r="X150" i="26" a="1"/>
  <c r="X150" i="26" s="1"/>
  <c r="S150" i="26" a="1"/>
  <c r="S150" i="26" s="1"/>
  <c r="H172" i="26" a="1"/>
  <c r="H172" i="26" s="1"/>
  <c r="AI78" i="20" s="1"/>
  <c r="G150" i="26" a="1"/>
  <c r="G150" i="26" s="1"/>
  <c r="U150" i="26" a="1"/>
  <c r="U150" i="26" s="1"/>
  <c r="R150" i="26" a="1"/>
  <c r="R150" i="26" s="1"/>
  <c r="J150" i="26" a="1"/>
  <c r="J150" i="26" s="1"/>
  <c r="P150" i="26" a="1"/>
  <c r="P150" i="26" s="1"/>
  <c r="H169" i="26" a="1"/>
  <c r="H169" i="26" s="1"/>
  <c r="AI75" i="20" s="1"/>
  <c r="H165" i="26" a="1"/>
  <c r="H165" i="26" s="1"/>
  <c r="AI71" i="20" s="1"/>
  <c r="V150" i="26" a="1"/>
  <c r="V150" i="26" s="1"/>
  <c r="M150" i="26" a="1"/>
  <c r="M150" i="26" s="1"/>
  <c r="N150" i="26" a="1"/>
  <c r="N150" i="26" s="1"/>
  <c r="H162" i="26" a="1"/>
  <c r="H162" i="26" s="1"/>
  <c r="AI68" i="20" s="1"/>
  <c r="L150" i="26" a="1"/>
  <c r="L150" i="26" s="1"/>
  <c r="T150" i="26" a="1"/>
  <c r="T150" i="26" s="1"/>
  <c r="Y150" i="26" a="1"/>
  <c r="Y150" i="26" s="1"/>
  <c r="H163" i="26" a="1"/>
  <c r="H163" i="26" s="1"/>
  <c r="AI69" i="20" s="1"/>
  <c r="H150" i="26" a="1"/>
  <c r="H150" i="26" s="1"/>
  <c r="H178" i="26" a="1"/>
  <c r="H178" i="26" s="1"/>
  <c r="AI84" i="20" s="1"/>
  <c r="Q150" i="26" a="1"/>
  <c r="Q150" i="26" s="1"/>
  <c r="H168" i="26" a="1"/>
  <c r="H168" i="26" s="1"/>
  <c r="AI74" i="20" s="1"/>
  <c r="W150" i="26" a="1"/>
  <c r="W150" i="26" s="1"/>
  <c r="H171" i="26" a="1"/>
  <c r="H171" i="26" s="1"/>
  <c r="AI77" i="20" s="1"/>
  <c r="H177" i="26" a="1"/>
  <c r="H177" i="26" s="1"/>
  <c r="AI83" i="20" s="1"/>
  <c r="H175" i="26" a="1"/>
  <c r="H175" i="26" s="1"/>
  <c r="AI81" i="20" s="1"/>
  <c r="H174" i="26" a="1"/>
  <c r="H174" i="26" s="1"/>
  <c r="AI80" i="20" s="1"/>
  <c r="H166" i="26" a="1"/>
  <c r="H166" i="26" s="1"/>
  <c r="AI72" i="20" s="1"/>
  <c r="Q142" i="26"/>
  <c r="E142" i="26"/>
  <c r="G179" i="26"/>
  <c r="AH85" i="20" s="1"/>
  <c r="G174" i="26"/>
  <c r="AH80" i="20" s="1"/>
  <c r="G169" i="26"/>
  <c r="AH75" i="20" s="1"/>
  <c r="G164" i="26"/>
  <c r="AH70" i="20" s="1"/>
  <c r="P142" i="26"/>
  <c r="O142" i="26"/>
  <c r="G173" i="26"/>
  <c r="AH79" i="20" s="1"/>
  <c r="G163" i="26"/>
  <c r="AH69" i="20" s="1"/>
  <c r="G178" i="26"/>
  <c r="AH84" i="20" s="1"/>
  <c r="N142" i="26"/>
  <c r="G168" i="26"/>
  <c r="AH74" i="20" s="1"/>
  <c r="L142" i="26"/>
  <c r="G177" i="26"/>
  <c r="AH83" i="20" s="1"/>
  <c r="G167" i="26"/>
  <c r="AH73" i="20" s="1"/>
  <c r="G162" i="26"/>
  <c r="AH68" i="20" s="1"/>
  <c r="M142" i="26"/>
  <c r="G172" i="26"/>
  <c r="AH78" i="20" s="1"/>
  <c r="W142" i="26"/>
  <c r="K142" i="26"/>
  <c r="V142" i="26"/>
  <c r="J142" i="26"/>
  <c r="G176" i="26"/>
  <c r="AH82" i="20" s="1"/>
  <c r="G171" i="26"/>
  <c r="AH77" i="20" s="1"/>
  <c r="G166" i="26"/>
  <c r="AH72" i="20" s="1"/>
  <c r="G161" i="26"/>
  <c r="H142" i="26"/>
  <c r="U142" i="26"/>
  <c r="I142" i="26"/>
  <c r="T142" i="26"/>
  <c r="G175" i="26"/>
  <c r="AH81" i="20" s="1"/>
  <c r="S142" i="26"/>
  <c r="G142" i="26"/>
  <c r="G170" i="26"/>
  <c r="AH76" i="20" s="1"/>
  <c r="G165" i="26"/>
  <c r="AH71" i="20" s="1"/>
  <c r="R142" i="26"/>
  <c r="F142" i="26"/>
  <c r="L141" i="26"/>
  <c r="W141" i="26"/>
  <c r="K141" i="26"/>
  <c r="F179" i="26"/>
  <c r="AG85" i="20" s="1"/>
  <c r="F174" i="26"/>
  <c r="AG80" i="20" s="1"/>
  <c r="F169" i="26"/>
  <c r="AG75" i="20" s="1"/>
  <c r="F164" i="26"/>
  <c r="AG70" i="20" s="1"/>
  <c r="J141" i="26"/>
  <c r="V141" i="26"/>
  <c r="U141" i="26"/>
  <c r="I141" i="26"/>
  <c r="F178" i="26"/>
  <c r="AG84" i="20" s="1"/>
  <c r="F173" i="26"/>
  <c r="AG79" i="20" s="1"/>
  <c r="F163" i="26"/>
  <c r="AG69" i="20" s="1"/>
  <c r="S141" i="26"/>
  <c r="G141" i="26"/>
  <c r="F172" i="26"/>
  <c r="AG78" i="20" s="1"/>
  <c r="T141" i="26"/>
  <c r="H141" i="26"/>
  <c r="F168" i="26"/>
  <c r="AG74" i="20" s="1"/>
  <c r="R141" i="26"/>
  <c r="F141" i="26"/>
  <c r="F177" i="26"/>
  <c r="AG83" i="20" s="1"/>
  <c r="F167" i="26"/>
  <c r="AG73" i="20" s="1"/>
  <c r="F162" i="26"/>
  <c r="AG68" i="20" s="1"/>
  <c r="Q141" i="26"/>
  <c r="E141" i="26"/>
  <c r="F170" i="26"/>
  <c r="AG76" i="20" s="1"/>
  <c r="F165" i="26"/>
  <c r="AG71" i="20" s="1"/>
  <c r="P141" i="26"/>
  <c r="F176" i="26"/>
  <c r="AG82" i="20" s="1"/>
  <c r="F171" i="26"/>
  <c r="AG77" i="20" s="1"/>
  <c r="F166" i="26"/>
  <c r="AG72" i="20" s="1"/>
  <c r="F161" i="26"/>
  <c r="O141" i="26"/>
  <c r="N141" i="26"/>
  <c r="F175" i="26"/>
  <c r="AG81" i="20" s="1"/>
  <c r="M141" i="26"/>
  <c r="M140" i="26" a="1"/>
  <c r="M140" i="26" s="1"/>
  <c r="E173" i="26" a="1"/>
  <c r="E173" i="26" s="1"/>
  <c r="AF79" i="20" s="1"/>
  <c r="T140" i="26" a="1"/>
  <c r="T140" i="26" s="1"/>
  <c r="E175" i="26" a="1"/>
  <c r="E175" i="26" s="1"/>
  <c r="AF81" i="20" s="1"/>
  <c r="J140" i="26" a="1"/>
  <c r="J140" i="26" s="1"/>
  <c r="E167" i="26" a="1"/>
  <c r="E167" i="26" s="1"/>
  <c r="AF73" i="20" s="1"/>
  <c r="E171" i="26" a="1"/>
  <c r="E171" i="26" s="1"/>
  <c r="AF77" i="20" s="1"/>
  <c r="I140" i="26" a="1"/>
  <c r="I140" i="26" s="1"/>
  <c r="E164" i="26" a="1"/>
  <c r="E164" i="26" s="1"/>
  <c r="AF70" i="20" s="1"/>
  <c r="E162" i="26" a="1"/>
  <c r="E162" i="26" s="1"/>
  <c r="AF68" i="20" s="1"/>
  <c r="E174" i="26" a="1"/>
  <c r="E174" i="26" s="1"/>
  <c r="AF80" i="20" s="1"/>
  <c r="G140" i="26" a="1"/>
  <c r="G140" i="26" s="1"/>
  <c r="E166" i="26" a="1"/>
  <c r="E166" i="26" s="1"/>
  <c r="AF72" i="20" s="1"/>
  <c r="U140" i="26" a="1"/>
  <c r="U140" i="26" s="1"/>
  <c r="H140" i="26" a="1"/>
  <c r="H140" i="26" s="1"/>
  <c r="E169" i="26" a="1"/>
  <c r="E169" i="26" s="1"/>
  <c r="AF75" i="20" s="1"/>
  <c r="E140" i="26" a="1"/>
  <c r="E140" i="26" s="1"/>
  <c r="E161" i="26" a="1"/>
  <c r="E161" i="26" s="1"/>
  <c r="F140" i="26" a="1"/>
  <c r="F140" i="26" s="1"/>
  <c r="E168" i="26" a="1"/>
  <c r="E168" i="26" s="1"/>
  <c r="AF74" i="20" s="1"/>
  <c r="P140" i="26" a="1"/>
  <c r="P140" i="26" s="1"/>
  <c r="E176" i="26" a="1"/>
  <c r="E176" i="26" s="1"/>
  <c r="AF82" i="20" s="1"/>
  <c r="Q140" i="26" a="1"/>
  <c r="Q140" i="26" s="1"/>
  <c r="L140" i="26" a="1"/>
  <c r="L140" i="26" s="1"/>
  <c r="E170" i="26" a="1"/>
  <c r="E170" i="26" s="1"/>
  <c r="AF76" i="20" s="1"/>
  <c r="K140" i="26" a="1"/>
  <c r="K140" i="26" s="1"/>
  <c r="E165" i="26" a="1"/>
  <c r="E165" i="26" s="1"/>
  <c r="AF71" i="20" s="1"/>
  <c r="W140" i="26" a="1"/>
  <c r="W140" i="26" s="1"/>
  <c r="E177" i="26" a="1"/>
  <c r="E177" i="26" s="1"/>
  <c r="AF83" i="20" s="1"/>
  <c r="R140" i="26" a="1"/>
  <c r="R140" i="26" s="1"/>
  <c r="E179" i="26" a="1"/>
  <c r="E179" i="26" s="1"/>
  <c r="AF85" i="20" s="1"/>
  <c r="E178" i="26" a="1"/>
  <c r="E178" i="26" s="1"/>
  <c r="AF84" i="20" s="1"/>
  <c r="E163" i="26" a="1"/>
  <c r="E163" i="26" s="1"/>
  <c r="AF69" i="20" s="1"/>
  <c r="O140" i="26" a="1"/>
  <c r="O140" i="26" s="1"/>
  <c r="V140" i="26" a="1"/>
  <c r="V140" i="26" s="1"/>
  <c r="N140" i="26" a="1"/>
  <c r="N140" i="26" s="1"/>
  <c r="S140" i="26" a="1"/>
  <c r="S140" i="26" s="1"/>
  <c r="E172" i="26" a="1"/>
  <c r="E172" i="26" s="1"/>
  <c r="AF78" i="20" s="1"/>
  <c r="D169" i="26" a="1"/>
  <c r="D169" i="26" s="1"/>
  <c r="AE75" i="20" s="1"/>
  <c r="D178" i="26" a="1"/>
  <c r="D178" i="26" s="1"/>
  <c r="AE84" i="20" s="1"/>
  <c r="D163" i="26" a="1"/>
  <c r="D163" i="26" s="1"/>
  <c r="AE69" i="20" s="1"/>
  <c r="D172" i="26" a="1"/>
  <c r="D172" i="26" s="1"/>
  <c r="AE78" i="20" s="1"/>
  <c r="T139" i="26" a="1"/>
  <c r="T139" i="26" s="1"/>
  <c r="D171" i="26" a="1"/>
  <c r="D171" i="26" s="1"/>
  <c r="AE77" i="20" s="1"/>
  <c r="D175" i="26" a="1"/>
  <c r="D175" i="26" s="1"/>
  <c r="AE81" i="20" s="1"/>
  <c r="D166" i="26" a="1"/>
  <c r="D166" i="26" s="1"/>
  <c r="AE72" i="20" s="1"/>
  <c r="I139" i="26" a="1"/>
  <c r="I139" i="26" s="1"/>
  <c r="H139" i="26" a="1"/>
  <c r="H139" i="26" s="1"/>
  <c r="D165" i="26" a="1"/>
  <c r="D165" i="26" s="1"/>
  <c r="AE71" i="20" s="1"/>
  <c r="V139" i="26" a="1"/>
  <c r="V139" i="26" s="1"/>
  <c r="F139" i="26" a="1"/>
  <c r="F139" i="26" s="1"/>
  <c r="Q139" i="26" a="1"/>
  <c r="Q139" i="26" s="1"/>
  <c r="D176" i="26" a="1"/>
  <c r="D176" i="26" s="1"/>
  <c r="AE82" i="20" s="1"/>
  <c r="D168" i="26" a="1"/>
  <c r="D168" i="26" s="1"/>
  <c r="AE74" i="20" s="1"/>
  <c r="D161" i="26" a="1"/>
  <c r="D161" i="26" s="1"/>
  <c r="AE67" i="20" s="1"/>
  <c r="D170" i="26" a="1"/>
  <c r="D170" i="26" s="1"/>
  <c r="AE76" i="20" s="1"/>
  <c r="G139" i="26" a="1"/>
  <c r="G139" i="26" s="1"/>
  <c r="L139" i="26" a="1"/>
  <c r="L139" i="26" s="1"/>
  <c r="U139" i="26" a="1"/>
  <c r="U139" i="26" s="1"/>
  <c r="D174" i="26" a="1"/>
  <c r="D174" i="26" s="1"/>
  <c r="AE80" i="20" s="1"/>
  <c r="D164" i="26" a="1"/>
  <c r="D164" i="26" s="1"/>
  <c r="AE70" i="20" s="1"/>
  <c r="E139" i="26" a="1"/>
  <c r="E139" i="26" s="1"/>
  <c r="J139" i="26" a="1"/>
  <c r="J139" i="26" s="1"/>
  <c r="D177" i="26" a="1"/>
  <c r="D177" i="26" s="1"/>
  <c r="AE83" i="20" s="1"/>
  <c r="D167" i="26" a="1"/>
  <c r="D167" i="26" s="1"/>
  <c r="AE73" i="20" s="1"/>
  <c r="D173" i="26" a="1"/>
  <c r="D173" i="26" s="1"/>
  <c r="AE79" i="20" s="1"/>
  <c r="R139" i="26" a="1"/>
  <c r="R139" i="26" s="1"/>
  <c r="S139" i="26" a="1"/>
  <c r="S139" i="26" s="1"/>
  <c r="D179" i="26" a="1"/>
  <c r="D179" i="26" s="1"/>
  <c r="AE85" i="20" s="1"/>
  <c r="K139" i="26" a="1"/>
  <c r="K139" i="26" s="1"/>
  <c r="D162" i="26" a="1"/>
  <c r="D162" i="26" s="1"/>
  <c r="AE68" i="20" s="1"/>
  <c r="M139" i="26" a="1"/>
  <c r="M139" i="26" s="1"/>
  <c r="W139" i="26" a="1"/>
  <c r="W139" i="26" s="1"/>
  <c r="O139" i="26" a="1"/>
  <c r="O139" i="26" s="1"/>
  <c r="N139" i="26" a="1"/>
  <c r="N139" i="26" s="1"/>
  <c r="P139" i="26" a="1"/>
  <c r="P139" i="26" s="1"/>
  <c r="AM78" i="20" l="1"/>
  <c r="AM82" i="20"/>
  <c r="AM85" i="20"/>
  <c r="AM83" i="20"/>
  <c r="AM68" i="20"/>
  <c r="AM80" i="20"/>
  <c r="AM74" i="20"/>
  <c r="AM72" i="20"/>
  <c r="AM71" i="20"/>
  <c r="AM79" i="20"/>
  <c r="AM77" i="20"/>
  <c r="AM73" i="20"/>
  <c r="AM69" i="20"/>
  <c r="AM70" i="20"/>
  <c r="AM75" i="20"/>
  <c r="AM81" i="20"/>
  <c r="AM76" i="20"/>
  <c r="AM84" i="20"/>
  <c r="AG67" i="20"/>
  <c r="AF67" i="20"/>
  <c r="AK67" i="20"/>
  <c r="AL67" i="20"/>
  <c r="AJ67" i="20"/>
  <c r="AH67" i="20"/>
  <c r="AI67" i="20"/>
  <c r="M161" i="26"/>
  <c r="X110" i="26"/>
  <c r="L110" i="26"/>
  <c r="W110" i="26"/>
  <c r="O110" i="26"/>
  <c r="H110" i="26"/>
  <c r="T110" i="26"/>
  <c r="Q110" i="26"/>
  <c r="P110" i="26"/>
  <c r="R110" i="26"/>
  <c r="J110" i="26"/>
  <c r="K110" i="26"/>
  <c r="U110" i="26"/>
  <c r="M110" i="26"/>
  <c r="Y110" i="26"/>
  <c r="Z110" i="26"/>
  <c r="V110" i="26"/>
  <c r="S110" i="26"/>
  <c r="I110" i="26"/>
  <c r="N110" i="26"/>
  <c r="N154" i="26"/>
  <c r="K154" i="26"/>
  <c r="T154" i="26"/>
  <c r="I143" i="26"/>
  <c r="H154" i="26"/>
  <c r="J143" i="26"/>
  <c r="Y154" i="26"/>
  <c r="J154" i="26"/>
  <c r="L154" i="26"/>
  <c r="I154" i="26"/>
  <c r="R143" i="26"/>
  <c r="T143" i="26"/>
  <c r="P143" i="26"/>
  <c r="R154" i="26"/>
  <c r="G143" i="26"/>
  <c r="W143" i="26"/>
  <c r="Q154" i="26"/>
  <c r="M143" i="26"/>
  <c r="U143" i="26"/>
  <c r="K143" i="26"/>
  <c r="O154" i="26"/>
  <c r="S143" i="26"/>
  <c r="H143" i="26"/>
  <c r="L143" i="26"/>
  <c r="P154" i="26"/>
  <c r="U154" i="26"/>
  <c r="G154" i="26"/>
  <c r="S154" i="26"/>
  <c r="X154" i="26"/>
  <c r="Q143" i="26"/>
  <c r="M154" i="26"/>
  <c r="N143" i="26"/>
  <c r="F143" i="26"/>
  <c r="W154" i="26"/>
  <c r="V154" i="26"/>
  <c r="O143" i="26"/>
  <c r="E143" i="26"/>
  <c r="V143" i="26"/>
  <c r="M166" i="26"/>
  <c r="M179" i="26"/>
  <c r="M175" i="26"/>
  <c r="M170" i="26"/>
  <c r="M171" i="26"/>
  <c r="M173" i="26"/>
  <c r="M168" i="26"/>
  <c r="M172" i="26"/>
  <c r="M167" i="26"/>
  <c r="M176" i="26"/>
  <c r="M163" i="26"/>
  <c r="M177" i="26"/>
  <c r="M178" i="26"/>
  <c r="M169" i="26"/>
  <c r="M174" i="26"/>
  <c r="M162" i="26"/>
  <c r="M164" i="26"/>
  <c r="M165" i="26"/>
  <c r="C165" i="26"/>
  <c r="AC71" i="20" s="1"/>
  <c r="AD71" i="20" s="1"/>
  <c r="C169" i="26"/>
  <c r="AC75" i="20" s="1"/>
  <c r="AD75" i="20" s="1"/>
  <c r="C170" i="26"/>
  <c r="AC76" i="20" s="1"/>
  <c r="AD76" i="20" s="1"/>
  <c r="C163" i="26"/>
  <c r="AC69" i="20" s="1"/>
  <c r="AD69" i="20" s="1"/>
  <c r="C172" i="26"/>
  <c r="AC78" i="20" s="1"/>
  <c r="AD78" i="20" s="1"/>
  <c r="C175" i="26"/>
  <c r="AC81" i="20" s="1"/>
  <c r="AD81" i="20" s="1"/>
  <c r="C161" i="26"/>
  <c r="L161" i="26" s="1"/>
  <c r="C178" i="26"/>
  <c r="AC84" i="20" s="1"/>
  <c r="AD84" i="20" s="1"/>
  <c r="C176" i="26"/>
  <c r="AC82" i="20" s="1"/>
  <c r="AD82" i="20" s="1"/>
  <c r="AN82" i="20" s="1"/>
  <c r="C162" i="26"/>
  <c r="AC68" i="20" s="1"/>
  <c r="AD68" i="20" s="1"/>
  <c r="C171" i="26"/>
  <c r="AC77" i="20" s="1"/>
  <c r="AD77" i="20" s="1"/>
  <c r="C173" i="26"/>
  <c r="AC79" i="20" s="1"/>
  <c r="AD79" i="20" s="1"/>
  <c r="C167" i="26"/>
  <c r="AC73" i="20" s="1"/>
  <c r="AD73" i="20" s="1"/>
  <c r="C166" i="26"/>
  <c r="AC72" i="20" s="1"/>
  <c r="AD72" i="20" s="1"/>
  <c r="C179" i="26"/>
  <c r="AC85" i="20" s="1"/>
  <c r="AD85" i="20" s="1"/>
  <c r="C174" i="26"/>
  <c r="AC80" i="20" s="1"/>
  <c r="AD80" i="20" s="1"/>
  <c r="C164" i="26"/>
  <c r="AC70" i="20" s="1"/>
  <c r="AD70" i="20" s="1"/>
  <c r="C168" i="26"/>
  <c r="AC74" i="20" s="1"/>
  <c r="AD74" i="20" s="1"/>
  <c r="AN74" i="20" s="1"/>
  <c r="C177" i="26"/>
  <c r="AC83" i="20" s="1"/>
  <c r="AD83" i="20" s="1"/>
  <c r="D15" i="5"/>
  <c r="D196" i="12"/>
  <c r="B4" i="5"/>
  <c r="D28" i="5"/>
  <c r="B6" i="21"/>
  <c r="E11" i="21"/>
  <c r="D11" i="21"/>
  <c r="C11" i="21"/>
  <c r="A198" i="12"/>
  <c r="A196" i="12"/>
  <c r="B93" i="18"/>
  <c r="D190" i="18"/>
  <c r="D189" i="18"/>
  <c r="D188" i="18"/>
  <c r="D187" i="18"/>
  <c r="C190" i="18"/>
  <c r="C189" i="18"/>
  <c r="C188" i="18"/>
  <c r="C187" i="18"/>
  <c r="D182" i="18"/>
  <c r="D181" i="18"/>
  <c r="D180" i="18"/>
  <c r="D179" i="18"/>
  <c r="C181" i="18"/>
  <c r="C180" i="18"/>
  <c r="C179" i="18"/>
  <c r="C182" i="18"/>
  <c r="C171" i="18"/>
  <c r="B37" i="18"/>
  <c r="B95" i="18" s="1"/>
  <c r="E67" i="19"/>
  <c r="E66" i="19"/>
  <c r="G75" i="19" s="1"/>
  <c r="E65" i="19"/>
  <c r="B35" i="19"/>
  <c r="B43" i="19" s="1"/>
  <c r="C67" i="19" s="1"/>
  <c r="B27" i="19"/>
  <c r="B20" i="19"/>
  <c r="B29" i="19" s="1"/>
  <c r="C66" i="19" s="1"/>
  <c r="D122" i="14"/>
  <c r="D121" i="14"/>
  <c r="B122" i="14"/>
  <c r="B121" i="14"/>
  <c r="B35" i="14"/>
  <c r="B27" i="14"/>
  <c r="B21" i="14"/>
  <c r="B41" i="14"/>
  <c r="B13" i="14"/>
  <c r="C28" i="12"/>
  <c r="B14" i="12"/>
  <c r="B16" i="12" s="1"/>
  <c r="B23" i="12" s="1"/>
  <c r="D28" i="12"/>
  <c r="B28" i="12"/>
  <c r="D15" i="10"/>
  <c r="AN69" i="20" l="1"/>
  <c r="AN85" i="20"/>
  <c r="AN73" i="20"/>
  <c r="AN80" i="20"/>
  <c r="AN76" i="20"/>
  <c r="AN75" i="20"/>
  <c r="AN84" i="20"/>
  <c r="AN83" i="20"/>
  <c r="AN70" i="20"/>
  <c r="AN78" i="20"/>
  <c r="AN68" i="20"/>
  <c r="AN71" i="20"/>
  <c r="AN79" i="20"/>
  <c r="AN72" i="20"/>
  <c r="AN81" i="20"/>
  <c r="AN77" i="20"/>
  <c r="B211" i="26"/>
  <c r="AC67" i="20"/>
  <c r="B97" i="18"/>
  <c r="B96" i="18"/>
  <c r="M77" i="5" a="1"/>
  <c r="M77" i="5" s="1"/>
  <c r="E15" i="5" a="1"/>
  <c r="E15" i="5" s="1"/>
  <c r="V15" i="5" a="1"/>
  <c r="V15" i="5" s="1"/>
  <c r="M71" i="5" a="1"/>
  <c r="M71" i="5" s="1"/>
  <c r="G15" i="5" a="1"/>
  <c r="G15" i="5" s="1"/>
  <c r="M66" i="5" a="1"/>
  <c r="M66" i="5" s="1"/>
  <c r="U15" i="5" a="1"/>
  <c r="U15" i="5" s="1"/>
  <c r="M65" i="5" a="1"/>
  <c r="M65" i="5" s="1"/>
  <c r="S15" i="5" a="1"/>
  <c r="S15" i="5" s="1"/>
  <c r="K15" i="5" a="1"/>
  <c r="K15" i="5" s="1"/>
  <c r="P15" i="5" a="1"/>
  <c r="P15" i="5" s="1"/>
  <c r="M81" i="5" a="1"/>
  <c r="M81" i="5" s="1"/>
  <c r="W15" i="5" a="1"/>
  <c r="W15" i="5" s="1"/>
  <c r="I15" i="5" a="1"/>
  <c r="I15" i="5" s="1"/>
  <c r="M75" i="5" a="1"/>
  <c r="M75" i="5" s="1"/>
  <c r="N15" i="5" a="1"/>
  <c r="N15" i="5" s="1"/>
  <c r="H15" i="5" a="1"/>
  <c r="H15" i="5" s="1"/>
  <c r="Q15" i="5" a="1"/>
  <c r="Q15" i="5" s="1"/>
  <c r="M69" i="5" a="1"/>
  <c r="M69" i="5" s="1"/>
  <c r="M79" i="5" a="1"/>
  <c r="M79" i="5" s="1"/>
  <c r="M73" i="5" a="1"/>
  <c r="M73" i="5" s="1"/>
  <c r="M82" i="5" a="1"/>
  <c r="M82" i="5" s="1"/>
  <c r="T15" i="5" a="1"/>
  <c r="T15" i="5" s="1"/>
  <c r="M67" i="5" a="1"/>
  <c r="M67" i="5" s="1"/>
  <c r="M76" i="5" a="1"/>
  <c r="M76" i="5" s="1"/>
  <c r="M80" i="5" a="1"/>
  <c r="M80" i="5" s="1"/>
  <c r="L15" i="5" a="1"/>
  <c r="L15" i="5" s="1"/>
  <c r="M70" i="5" a="1"/>
  <c r="M70" i="5" s="1"/>
  <c r="M74" i="5" a="1"/>
  <c r="M74" i="5" s="1"/>
  <c r="M72" i="5" a="1"/>
  <c r="M72" i="5" s="1"/>
  <c r="J15" i="5" a="1"/>
  <c r="J15" i="5" s="1"/>
  <c r="O15" i="5" a="1"/>
  <c r="O15" i="5" s="1"/>
  <c r="F15" i="5" a="1"/>
  <c r="F15" i="5" s="1"/>
  <c r="M68" i="5" a="1"/>
  <c r="M68" i="5" s="1"/>
  <c r="M15" i="5" a="1"/>
  <c r="M15" i="5" s="1"/>
  <c r="M83" i="5" a="1"/>
  <c r="M83" i="5" s="1"/>
  <c r="R15" i="5" a="1"/>
  <c r="R15" i="5" s="1"/>
  <c r="M78" i="5" a="1"/>
  <c r="M78" i="5" s="1"/>
  <c r="O90" i="5" a="1"/>
  <c r="O90" i="5" s="1"/>
  <c r="O105" i="5" a="1"/>
  <c r="O105" i="5" s="1"/>
  <c r="O107" i="5" a="1"/>
  <c r="O107" i="5" s="1"/>
  <c r="O101" i="5" a="1"/>
  <c r="O101" i="5" s="1"/>
  <c r="O93" i="5" a="1"/>
  <c r="O93" i="5" s="1"/>
  <c r="O103" i="5" a="1"/>
  <c r="O103" i="5" s="1"/>
  <c r="O89" i="5" a="1"/>
  <c r="O89" i="5" s="1"/>
  <c r="O92" i="5" a="1"/>
  <c r="O92" i="5" s="1"/>
  <c r="O100" i="5" a="1"/>
  <c r="O100" i="5" s="1"/>
  <c r="O99" i="5" a="1"/>
  <c r="O99" i="5" s="1"/>
  <c r="O104" i="5" a="1"/>
  <c r="O104" i="5" s="1"/>
  <c r="O95" i="5" a="1"/>
  <c r="O95" i="5" s="1"/>
  <c r="O97" i="5" a="1"/>
  <c r="O97" i="5" s="1"/>
  <c r="O91" i="5" a="1"/>
  <c r="O91" i="5" s="1"/>
  <c r="O98" i="5" a="1"/>
  <c r="O98" i="5" s="1"/>
  <c r="O94" i="5" a="1"/>
  <c r="O94" i="5" s="1"/>
  <c r="O102" i="5" a="1"/>
  <c r="O102" i="5" s="1"/>
  <c r="O106" i="5" a="1"/>
  <c r="O106" i="5" s="1"/>
  <c r="O96" i="5" a="1"/>
  <c r="O96" i="5" s="1"/>
  <c r="E28" i="5" a="1"/>
  <c r="E28" i="5" s="1"/>
  <c r="W28" i="5" a="1"/>
  <c r="W28" i="5" s="1"/>
  <c r="W47" i="5" s="1"/>
  <c r="F28" i="5" a="1"/>
  <c r="F28" i="5" s="1"/>
  <c r="F47" i="5" s="1"/>
  <c r="Q28" i="5" a="1"/>
  <c r="Q28" i="5" s="1"/>
  <c r="Q47" i="5" s="1"/>
  <c r="M28" i="5" a="1"/>
  <c r="M28" i="5" s="1"/>
  <c r="M47" i="5" s="1"/>
  <c r="G28" i="5" a="1"/>
  <c r="G28" i="5" s="1"/>
  <c r="G47" i="5" s="1"/>
  <c r="R28" i="5" a="1"/>
  <c r="R28" i="5" s="1"/>
  <c r="R47" i="5" s="1"/>
  <c r="N28" i="5" a="1"/>
  <c r="N28" i="5" s="1"/>
  <c r="N47" i="5" s="1"/>
  <c r="H28" i="5" a="1"/>
  <c r="H28" i="5" s="1"/>
  <c r="H47" i="5" s="1"/>
  <c r="V28" i="5" a="1"/>
  <c r="V28" i="5" s="1"/>
  <c r="V47" i="5" s="1"/>
  <c r="P28" i="5" a="1"/>
  <c r="P28" i="5" s="1"/>
  <c r="P47" i="5" s="1"/>
  <c r="L28" i="5" a="1"/>
  <c r="L28" i="5" s="1"/>
  <c r="L47" i="5" s="1"/>
  <c r="O28" i="5" a="1"/>
  <c r="O28" i="5" s="1"/>
  <c r="O47" i="5" s="1"/>
  <c r="I28" i="5" a="1"/>
  <c r="I28" i="5" s="1"/>
  <c r="I47" i="5" s="1"/>
  <c r="S28" i="5" a="1"/>
  <c r="S28" i="5" s="1"/>
  <c r="S47" i="5" s="1"/>
  <c r="U28" i="5" a="1"/>
  <c r="U28" i="5" s="1"/>
  <c r="U47" i="5" s="1"/>
  <c r="J28" i="5" a="1"/>
  <c r="J28" i="5" s="1"/>
  <c r="J47" i="5" s="1"/>
  <c r="K28" i="5" a="1"/>
  <c r="K28" i="5" s="1"/>
  <c r="K47" i="5" s="1"/>
  <c r="T28" i="5" a="1"/>
  <c r="T28" i="5" s="1"/>
  <c r="T47" i="5" s="1"/>
  <c r="F11" i="21" a="1"/>
  <c r="F11" i="21" s="1"/>
  <c r="B43" i="14"/>
  <c r="H11" i="21" a="1"/>
  <c r="H11" i="21" s="1"/>
  <c r="I11" i="21" a="1"/>
  <c r="I11" i="21" s="1"/>
  <c r="S11" i="21" a="1"/>
  <c r="S11" i="21" s="1"/>
  <c r="J11" i="21" a="1"/>
  <c r="J11" i="21" s="1"/>
  <c r="T11" i="21" a="1"/>
  <c r="T11" i="21" s="1"/>
  <c r="K11" i="21" a="1"/>
  <c r="K11" i="21" s="1"/>
  <c r="U11" i="21" a="1"/>
  <c r="U11" i="21" s="1"/>
  <c r="L11" i="21" a="1"/>
  <c r="L11" i="21" s="1"/>
  <c r="V11" i="21" a="1"/>
  <c r="V11" i="21" s="1"/>
  <c r="W11" i="21" a="1"/>
  <c r="W11" i="21" s="1"/>
  <c r="Q11" i="21" a="1"/>
  <c r="Q11" i="21" s="1"/>
  <c r="M11" i="21" a="1"/>
  <c r="M11" i="21" s="1"/>
  <c r="X11" i="21" a="1"/>
  <c r="X11" i="21" s="1"/>
  <c r="N11" i="21" a="1"/>
  <c r="N11" i="21" s="1"/>
  <c r="G11" i="21" a="1"/>
  <c r="G11" i="21" s="1"/>
  <c r="O11" i="21" a="1"/>
  <c r="O11" i="21" s="1"/>
  <c r="P11" i="21" a="1"/>
  <c r="P11" i="21" s="1"/>
  <c r="R11" i="21" a="1"/>
  <c r="R11" i="21" s="1"/>
  <c r="D23" i="12"/>
  <c r="F28" i="12" s="1"/>
  <c r="L28" i="12" s="1" a="1"/>
  <c r="L28" i="12" s="1"/>
  <c r="E28" i="12"/>
  <c r="G121" i="14"/>
  <c r="G122" i="14"/>
  <c r="C196" i="12"/>
  <c r="B212" i="26"/>
  <c r="AM67" i="20"/>
  <c r="L165" i="26"/>
  <c r="N165" i="26" s="1"/>
  <c r="K8" i="20" s="1"/>
  <c r="L169" i="26"/>
  <c r="N169" i="26" s="1"/>
  <c r="K12" i="20" s="1"/>
  <c r="L36" i="20" s="1"/>
  <c r="L170" i="26"/>
  <c r="N170" i="26" s="1"/>
  <c r="K13" i="20" s="1"/>
  <c r="L37" i="20" s="1"/>
  <c r="L163" i="26"/>
  <c r="N163" i="26" s="1"/>
  <c r="K6" i="20" s="1"/>
  <c r="L172" i="26"/>
  <c r="N172" i="26" s="1"/>
  <c r="K15" i="20" s="1"/>
  <c r="L39" i="20" s="1"/>
  <c r="L175" i="26"/>
  <c r="N175" i="26" s="1"/>
  <c r="K18" i="20" s="1"/>
  <c r="L42" i="20" s="1"/>
  <c r="N161" i="26"/>
  <c r="L178" i="26"/>
  <c r="N178" i="26" s="1"/>
  <c r="K21" i="20" s="1"/>
  <c r="L45" i="20" s="1"/>
  <c r="L174" i="26"/>
  <c r="N174" i="26" s="1"/>
  <c r="K17" i="20" s="1"/>
  <c r="L41" i="20" s="1"/>
  <c r="L177" i="26"/>
  <c r="N177" i="26" s="1"/>
  <c r="K20" i="20" s="1"/>
  <c r="L44" i="20" s="1"/>
  <c r="L179" i="26"/>
  <c r="N179" i="26" s="1"/>
  <c r="K22" i="20" s="1"/>
  <c r="L46" i="20" s="1"/>
  <c r="L166" i="26"/>
  <c r="N166" i="26" s="1"/>
  <c r="K9" i="20" s="1"/>
  <c r="L33" i="20" s="1"/>
  <c r="L168" i="26"/>
  <c r="N168" i="26" s="1"/>
  <c r="K11" i="20" s="1"/>
  <c r="L35" i="20" s="1"/>
  <c r="L167" i="26"/>
  <c r="N167" i="26" s="1"/>
  <c r="K10" i="20" s="1"/>
  <c r="L34" i="20" s="1"/>
  <c r="L173" i="26"/>
  <c r="N173" i="26" s="1"/>
  <c r="K16" i="20" s="1"/>
  <c r="L40" i="20" s="1"/>
  <c r="L164" i="26"/>
  <c r="N164" i="26" s="1"/>
  <c r="K7" i="20" s="1"/>
  <c r="L171" i="26"/>
  <c r="N171" i="26" s="1"/>
  <c r="K14" i="20" s="1"/>
  <c r="L38" i="20" s="1"/>
  <c r="L162" i="26"/>
  <c r="N162" i="26" s="1"/>
  <c r="L176" i="26"/>
  <c r="N176" i="26" s="1"/>
  <c r="K19" i="20" s="1"/>
  <c r="L43" i="20" s="1"/>
  <c r="B29" i="14"/>
  <c r="B15" i="14"/>
  <c r="B39" i="18"/>
  <c r="B40" i="18" s="1"/>
  <c r="D76" i="19"/>
  <c r="D75" i="19"/>
  <c r="B76" i="19"/>
  <c r="B75" i="19"/>
  <c r="B190" i="18"/>
  <c r="F190" i="18" s="1"/>
  <c r="B189" i="18"/>
  <c r="F189" i="18" s="1"/>
  <c r="B188" i="18"/>
  <c r="F188" i="18" s="1"/>
  <c r="B187" i="18"/>
  <c r="F187" i="18" s="1"/>
  <c r="B182" i="18"/>
  <c r="B181" i="18"/>
  <c r="B180" i="18"/>
  <c r="K4" i="20" l="1"/>
  <c r="L28" i="20" s="1"/>
  <c r="C138" i="5"/>
  <c r="P60" i="20"/>
  <c r="AD67" i="20"/>
  <c r="K53" i="20"/>
  <c r="K5" i="20"/>
  <c r="L29" i="20" s="1"/>
  <c r="M132" i="5"/>
  <c r="N83" i="5"/>
  <c r="N132" i="5" s="1"/>
  <c r="I85" i="20" s="1"/>
  <c r="M116" i="5"/>
  <c r="N67" i="5"/>
  <c r="N116" i="5" s="1"/>
  <c r="I69" i="20" s="1"/>
  <c r="M130" i="5"/>
  <c r="N81" i="5"/>
  <c r="N130" i="5" s="1"/>
  <c r="I83" i="20" s="1"/>
  <c r="M117" i="5"/>
  <c r="N68" i="5"/>
  <c r="N117" i="5" s="1"/>
  <c r="I70" i="20" s="1"/>
  <c r="M131" i="5"/>
  <c r="N82" i="5"/>
  <c r="N131" i="5" s="1"/>
  <c r="I84" i="20" s="1"/>
  <c r="M122" i="5"/>
  <c r="N73" i="5"/>
  <c r="N122" i="5" s="1"/>
  <c r="I75" i="20" s="1"/>
  <c r="M128" i="5"/>
  <c r="N79" i="5"/>
  <c r="N128" i="5" s="1"/>
  <c r="I81" i="20" s="1"/>
  <c r="M114" i="5"/>
  <c r="N65" i="5"/>
  <c r="M121" i="5"/>
  <c r="N72" i="5"/>
  <c r="N121" i="5" s="1"/>
  <c r="I74" i="20" s="1"/>
  <c r="M115" i="5"/>
  <c r="N66" i="5"/>
  <c r="N115" i="5" s="1"/>
  <c r="I68" i="20" s="1"/>
  <c r="M118" i="5"/>
  <c r="N69" i="5"/>
  <c r="N118" i="5" s="1"/>
  <c r="I71" i="20" s="1"/>
  <c r="M123" i="5"/>
  <c r="N74" i="5"/>
  <c r="N123" i="5" s="1"/>
  <c r="I76" i="20" s="1"/>
  <c r="M119" i="5"/>
  <c r="N70" i="5"/>
  <c r="N119" i="5" s="1"/>
  <c r="I72" i="20" s="1"/>
  <c r="M120" i="5"/>
  <c r="N71" i="5"/>
  <c r="N120" i="5" s="1"/>
  <c r="I73" i="20" s="1"/>
  <c r="M124" i="5"/>
  <c r="N75" i="5"/>
  <c r="N124" i="5" s="1"/>
  <c r="I77" i="20" s="1"/>
  <c r="M127" i="5"/>
  <c r="N78" i="5"/>
  <c r="N127" i="5" s="1"/>
  <c r="I80" i="20" s="1"/>
  <c r="M129" i="5"/>
  <c r="N80" i="5"/>
  <c r="N129" i="5" s="1"/>
  <c r="I82" i="20" s="1"/>
  <c r="M125" i="5"/>
  <c r="N76" i="5"/>
  <c r="N125" i="5" s="1"/>
  <c r="I78" i="20" s="1"/>
  <c r="M126" i="5"/>
  <c r="N77" i="5"/>
  <c r="N126" i="5" s="1"/>
  <c r="I79" i="20" s="1"/>
  <c r="R28" i="12" a="1"/>
  <c r="R28" i="12" s="1"/>
  <c r="W28" i="12" a="1"/>
  <c r="W28" i="12" s="1"/>
  <c r="V28" i="12" a="1"/>
  <c r="V28" i="12" s="1"/>
  <c r="U28" i="12" a="1"/>
  <c r="U28" i="12" s="1"/>
  <c r="T28" i="12" a="1"/>
  <c r="T28" i="12" s="1"/>
  <c r="S28" i="12" a="1"/>
  <c r="S28" i="12" s="1"/>
  <c r="H28" i="12" a="1"/>
  <c r="H28" i="12" s="1"/>
  <c r="Q28" i="12" a="1"/>
  <c r="Q28" i="12" s="1"/>
  <c r="K28" i="12" a="1"/>
  <c r="K28" i="12" s="1"/>
  <c r="P28" i="12" a="1"/>
  <c r="P28" i="12" s="1"/>
  <c r="J28" i="12" a="1"/>
  <c r="J28" i="12" s="1"/>
  <c r="I28" i="12" a="1"/>
  <c r="I28" i="12" s="1"/>
  <c r="O28" i="12" a="1"/>
  <c r="O28" i="12" s="1"/>
  <c r="Z28" i="12" a="1"/>
  <c r="Z28" i="12" s="1"/>
  <c r="N28" i="12" a="1"/>
  <c r="N28" i="12" s="1"/>
  <c r="Y28" i="12" a="1"/>
  <c r="Y28" i="12" s="1"/>
  <c r="M28" i="12" a="1"/>
  <c r="M28" i="12" s="1"/>
  <c r="X28" i="12" a="1"/>
  <c r="X28" i="12" s="1"/>
  <c r="B213" i="26"/>
  <c r="F180" i="18"/>
  <c r="F181" i="18"/>
  <c r="F182" i="18"/>
  <c r="B90" i="14"/>
  <c r="B81" i="14"/>
  <c r="C143" i="14"/>
  <c r="X71" i="20" s="1"/>
  <c r="C154" i="14"/>
  <c r="X82" i="20" s="1"/>
  <c r="C155" i="14"/>
  <c r="X83" i="20" s="1"/>
  <c r="C140" i="14"/>
  <c r="X68" i="20" s="1"/>
  <c r="C157" i="14"/>
  <c r="X85" i="20" s="1"/>
  <c r="C141" i="14"/>
  <c r="X69" i="20" s="1"/>
  <c r="C156" i="14"/>
  <c r="X84" i="20" s="1"/>
  <c r="C152" i="14"/>
  <c r="X80" i="20" s="1"/>
  <c r="C145" i="14"/>
  <c r="X73" i="20" s="1"/>
  <c r="C146" i="14"/>
  <c r="X74" i="20" s="1"/>
  <c r="C151" i="14"/>
  <c r="X79" i="20" s="1"/>
  <c r="C147" i="14"/>
  <c r="X75" i="20" s="1"/>
  <c r="C148" i="14"/>
  <c r="X76" i="20" s="1"/>
  <c r="C150" i="14"/>
  <c r="X78" i="20" s="1"/>
  <c r="C153" i="14"/>
  <c r="X81" i="20" s="1"/>
  <c r="C149" i="14"/>
  <c r="X77" i="20" s="1"/>
  <c r="B72" i="14"/>
  <c r="C144" i="14"/>
  <c r="X72" i="20" s="1"/>
  <c r="C142" i="14"/>
  <c r="X70" i="20" s="1"/>
  <c r="C139" i="14"/>
  <c r="B67" i="19"/>
  <c r="B66" i="19"/>
  <c r="E77" i="19" s="1"/>
  <c r="B65" i="19"/>
  <c r="D65" i="19" s="1"/>
  <c r="B103" i="14"/>
  <c r="B105" i="14"/>
  <c r="D105" i="14" s="1"/>
  <c r="B104" i="14"/>
  <c r="D104" i="14" l="1"/>
  <c r="F121" i="14" s="1"/>
  <c r="H121" i="14" s="1" a="1"/>
  <c r="H121" i="14" s="1"/>
  <c r="E121" i="14"/>
  <c r="K23" i="20"/>
  <c r="K54" i="20"/>
  <c r="X67" i="20"/>
  <c r="AN67" i="20"/>
  <c r="AN86" i="20" s="1"/>
  <c r="G60" i="20"/>
  <c r="L47" i="20"/>
  <c r="N114" i="5"/>
  <c r="I67" i="20" s="1"/>
  <c r="N84" i="5"/>
  <c r="U84" i="5"/>
  <c r="D103" i="14"/>
  <c r="E122" i="14"/>
  <c r="E75" i="19"/>
  <c r="D66" i="19"/>
  <c r="E76" i="19"/>
  <c r="D67" i="19"/>
  <c r="F76" i="19" s="1"/>
  <c r="H76" i="19" s="1" a="1"/>
  <c r="H76" i="19" s="1"/>
  <c r="B107" i="14"/>
  <c r="B106" i="14"/>
  <c r="B108" i="14"/>
  <c r="D108" i="14" s="1"/>
  <c r="D129" i="14"/>
  <c r="D128" i="14"/>
  <c r="B129" i="14"/>
  <c r="B128" i="14"/>
  <c r="F75" i="19" l="1"/>
  <c r="H75" i="19" s="1" a="1"/>
  <c r="H75" i="19" s="1"/>
  <c r="F77" i="19"/>
  <c r="D106" i="14"/>
  <c r="F131" i="14" s="1"/>
  <c r="E131" i="14"/>
  <c r="D107" i="14"/>
  <c r="F130" i="14" s="1"/>
  <c r="E130" i="14"/>
  <c r="F122" i="14"/>
  <c r="N133" i="5"/>
  <c r="U133" i="5"/>
  <c r="L76" i="19" a="1"/>
  <c r="L76" i="19" s="1"/>
  <c r="X76" i="19" a="1"/>
  <c r="X76" i="19" s="1"/>
  <c r="M76" i="19" a="1"/>
  <c r="M76" i="19" s="1"/>
  <c r="N76" i="19" a="1"/>
  <c r="N76" i="19" s="1"/>
  <c r="Z76" i="19" a="1"/>
  <c r="Z76" i="19" s="1"/>
  <c r="O76" i="19" a="1"/>
  <c r="O76" i="19" s="1"/>
  <c r="I76" i="19" a="1"/>
  <c r="I76" i="19" s="1"/>
  <c r="P76" i="19" a="1"/>
  <c r="P76" i="19" s="1"/>
  <c r="Q76" i="19" a="1"/>
  <c r="Q76" i="19" s="1"/>
  <c r="R76" i="19" a="1"/>
  <c r="R76" i="19" s="1"/>
  <c r="S76" i="19" a="1"/>
  <c r="S76" i="19" s="1"/>
  <c r="T76" i="19" a="1"/>
  <c r="T76" i="19" s="1"/>
  <c r="U76" i="19" a="1"/>
  <c r="U76" i="19" s="1"/>
  <c r="J76" i="19" a="1"/>
  <c r="J76" i="19" s="1"/>
  <c r="V76" i="19" a="1"/>
  <c r="V76" i="19" s="1"/>
  <c r="K76" i="19" a="1"/>
  <c r="K76" i="19" s="1"/>
  <c r="W76" i="19" a="1"/>
  <c r="W76" i="19" s="1"/>
  <c r="Y76" i="19" a="1"/>
  <c r="Y76" i="19" s="1"/>
  <c r="T75" i="19" a="1"/>
  <c r="T75" i="19" s="1"/>
  <c r="Z75" i="19" a="1"/>
  <c r="Z75" i="19" s="1"/>
  <c r="L75" i="19" a="1"/>
  <c r="L75" i="19" s="1"/>
  <c r="Q75" i="19" a="1"/>
  <c r="Q75" i="19" s="1"/>
  <c r="K75" i="19" a="1"/>
  <c r="K75" i="19" s="1"/>
  <c r="V75" i="19" a="1"/>
  <c r="V75" i="19" s="1"/>
  <c r="I75" i="19" a="1"/>
  <c r="I75" i="19" s="1"/>
  <c r="R75" i="19" a="1"/>
  <c r="R75" i="19" s="1"/>
  <c r="N75" i="19" a="1"/>
  <c r="N75" i="19" s="1"/>
  <c r="Y75" i="19" a="1"/>
  <c r="Y75" i="19" s="1"/>
  <c r="S75" i="19" a="1"/>
  <c r="S75" i="19" s="1"/>
  <c r="P75" i="19" a="1"/>
  <c r="P75" i="19" s="1"/>
  <c r="U75" i="19" a="1"/>
  <c r="U75" i="19" s="1"/>
  <c r="O75" i="19" a="1"/>
  <c r="O75" i="19" s="1"/>
  <c r="W75" i="19" a="1"/>
  <c r="W75" i="19" s="1"/>
  <c r="J75" i="19" a="1"/>
  <c r="J75" i="19" s="1"/>
  <c r="X75" i="19" a="1"/>
  <c r="X75" i="19" s="1"/>
  <c r="M75" i="19" a="1"/>
  <c r="M75" i="19" s="1"/>
  <c r="I121" i="14" a="1"/>
  <c r="I121" i="14" s="1"/>
  <c r="W121" i="14" a="1"/>
  <c r="W121" i="14" s="1"/>
  <c r="U121" i="14" a="1"/>
  <c r="U121" i="14" s="1"/>
  <c r="O121" i="14" a="1"/>
  <c r="O121" i="14" s="1"/>
  <c r="T121" i="14" a="1"/>
  <c r="T121" i="14" s="1"/>
  <c r="X121" i="14" a="1"/>
  <c r="X121" i="14" s="1"/>
  <c r="Z121" i="14" a="1"/>
  <c r="Z121" i="14" s="1"/>
  <c r="Q121" i="14" a="1"/>
  <c r="Q121" i="14" s="1"/>
  <c r="Y121" i="14" a="1"/>
  <c r="Y121" i="14" s="1"/>
  <c r="S121" i="14" a="1"/>
  <c r="S121" i="14" s="1"/>
  <c r="L121" i="14" a="1"/>
  <c r="L121" i="14" s="1"/>
  <c r="K121" i="14" a="1"/>
  <c r="K121" i="14" s="1"/>
  <c r="P121" i="14" a="1"/>
  <c r="P121" i="14" s="1"/>
  <c r="J121" i="14" a="1"/>
  <c r="J121" i="14" s="1"/>
  <c r="N121" i="14" a="1"/>
  <c r="N121" i="14" s="1"/>
  <c r="M121" i="14" a="1"/>
  <c r="M121" i="14" s="1"/>
  <c r="R121" i="14" a="1"/>
  <c r="R121" i="14" s="1"/>
  <c r="V121" i="14" a="1"/>
  <c r="V121" i="14" s="1"/>
  <c r="I122" i="14" a="1"/>
  <c r="I122" i="14" s="1"/>
  <c r="T122" i="14" a="1"/>
  <c r="T122" i="14" s="1"/>
  <c r="J122" i="14" a="1"/>
  <c r="J122" i="14" s="1"/>
  <c r="U122" i="14" a="1"/>
  <c r="U122" i="14" s="1"/>
  <c r="K122" i="14" a="1"/>
  <c r="K122" i="14" s="1"/>
  <c r="V122" i="14" a="1"/>
  <c r="V122" i="14" s="1"/>
  <c r="L122" i="14" a="1"/>
  <c r="L122" i="14" s="1"/>
  <c r="W122" i="14" a="1"/>
  <c r="W122" i="14" s="1"/>
  <c r="M122" i="14" a="1"/>
  <c r="M122" i="14" s="1"/>
  <c r="X122" i="14" a="1"/>
  <c r="X122" i="14" s="1"/>
  <c r="N122" i="14" a="1"/>
  <c r="N122" i="14" s="1"/>
  <c r="Y122" i="14" a="1"/>
  <c r="Y122" i="14" s="1"/>
  <c r="Z122" i="14" a="1"/>
  <c r="Z122" i="14" s="1"/>
  <c r="R122" i="14" a="1"/>
  <c r="R122" i="14" s="1"/>
  <c r="O122" i="14" a="1"/>
  <c r="O122" i="14" s="1"/>
  <c r="H122" i="14" a="1"/>
  <c r="H122" i="14" s="1"/>
  <c r="P122" i="14" a="1"/>
  <c r="P122" i="14" s="1"/>
  <c r="Q122" i="14" a="1"/>
  <c r="Q122" i="14" s="1"/>
  <c r="S122" i="14" a="1"/>
  <c r="S122" i="14" s="1"/>
  <c r="E128" i="14"/>
  <c r="E129" i="14"/>
  <c r="E78" i="19"/>
  <c r="G128" i="14"/>
  <c r="F128" i="14"/>
  <c r="O128" i="14" s="1" a="1"/>
  <c r="O128" i="14" s="1"/>
  <c r="G129" i="14"/>
  <c r="F129" i="14"/>
  <c r="H129" i="14" s="1" a="1"/>
  <c r="H129" i="14" s="1"/>
  <c r="C198" i="12"/>
  <c r="S77" i="19" l="1" a="1"/>
  <c r="S77" i="19" s="1"/>
  <c r="Q77" i="19" a="1"/>
  <c r="Q77" i="19" s="1"/>
  <c r="H77" i="19" a="1"/>
  <c r="H77" i="19" s="1"/>
  <c r="O77" i="19" a="1"/>
  <c r="O77" i="19" s="1"/>
  <c r="P77" i="19" a="1"/>
  <c r="P77" i="19" s="1"/>
  <c r="N77" i="19" a="1"/>
  <c r="N77" i="19" s="1"/>
  <c r="Z77" i="19" a="1"/>
  <c r="Z77" i="19" s="1"/>
  <c r="M77" i="19" a="1"/>
  <c r="M77" i="19" s="1"/>
  <c r="Y77" i="19" a="1"/>
  <c r="Y77" i="19" s="1"/>
  <c r="L77" i="19" a="1"/>
  <c r="L77" i="19" s="1"/>
  <c r="X77" i="19" a="1"/>
  <c r="X77" i="19" s="1"/>
  <c r="K77" i="19" a="1"/>
  <c r="K77" i="19" s="1"/>
  <c r="W77" i="19" a="1"/>
  <c r="W77" i="19" s="1"/>
  <c r="J77" i="19" a="1"/>
  <c r="J77" i="19" s="1"/>
  <c r="V77" i="19" a="1"/>
  <c r="V77" i="19" s="1"/>
  <c r="U77" i="19" a="1"/>
  <c r="U77" i="19" s="1"/>
  <c r="T77" i="19" a="1"/>
  <c r="T77" i="19" s="1"/>
  <c r="R77" i="19" a="1"/>
  <c r="R77" i="19" s="1"/>
  <c r="I77" i="19" a="1"/>
  <c r="I77" i="19" s="1"/>
  <c r="N130" i="14" a="1"/>
  <c r="N130" i="14" s="1"/>
  <c r="Z130" i="14" a="1"/>
  <c r="Z130" i="14" s="1"/>
  <c r="U130" i="14" a="1"/>
  <c r="U130" i="14" s="1"/>
  <c r="T130" i="14" a="1"/>
  <c r="T130" i="14" s="1"/>
  <c r="I130" i="14" a="1"/>
  <c r="I130" i="14" s="1"/>
  <c r="J130" i="14" a="1"/>
  <c r="J130" i="14" s="1"/>
  <c r="K130" i="14" a="1"/>
  <c r="K130" i="14" s="1"/>
  <c r="M130" i="14" a="1"/>
  <c r="M130" i="14" s="1"/>
  <c r="L130" i="14" a="1"/>
  <c r="L130" i="14" s="1"/>
  <c r="V130" i="14" a="1"/>
  <c r="V130" i="14" s="1"/>
  <c r="X130" i="14" a="1"/>
  <c r="X130" i="14" s="1"/>
  <c r="P130" i="14" a="1"/>
  <c r="P130" i="14" s="1"/>
  <c r="R130" i="14" a="1"/>
  <c r="R130" i="14" s="1"/>
  <c r="S130" i="14" a="1"/>
  <c r="S130" i="14" s="1"/>
  <c r="H130" i="14" a="1"/>
  <c r="H130" i="14" s="1"/>
  <c r="O130" i="14" a="1"/>
  <c r="O130" i="14" s="1"/>
  <c r="W130" i="14" a="1"/>
  <c r="W130" i="14" s="1"/>
  <c r="Y130" i="14" a="1"/>
  <c r="Y130" i="14" s="1"/>
  <c r="Q130" i="14" a="1"/>
  <c r="Q130" i="14" s="1"/>
  <c r="Z131" i="14" a="1"/>
  <c r="Z131" i="14" s="1"/>
  <c r="Q131" i="14" a="1"/>
  <c r="Q131" i="14" s="1"/>
  <c r="U131" i="14" a="1"/>
  <c r="U131" i="14" s="1"/>
  <c r="S131" i="14" a="1"/>
  <c r="S131" i="14" s="1"/>
  <c r="O131" i="14" a="1"/>
  <c r="O131" i="14" s="1"/>
  <c r="R131" i="14" a="1"/>
  <c r="R131" i="14" s="1"/>
  <c r="N131" i="14" a="1"/>
  <c r="N131" i="14" s="1"/>
  <c r="Y131" i="14" a="1"/>
  <c r="Y131" i="14" s="1"/>
  <c r="J131" i="14" a="1"/>
  <c r="J131" i="14" s="1"/>
  <c r="T131" i="14" a="1"/>
  <c r="T131" i="14" s="1"/>
  <c r="V131" i="14" a="1"/>
  <c r="V131" i="14" s="1"/>
  <c r="H131" i="14" a="1"/>
  <c r="H131" i="14" s="1"/>
  <c r="W131" i="14" a="1"/>
  <c r="W131" i="14" s="1"/>
  <c r="L131" i="14" a="1"/>
  <c r="L131" i="14" s="1"/>
  <c r="I131" i="14" a="1"/>
  <c r="I131" i="14" s="1"/>
  <c r="K131" i="14" a="1"/>
  <c r="K131" i="14" s="1"/>
  <c r="P131" i="14" a="1"/>
  <c r="P131" i="14" s="1"/>
  <c r="X131" i="14" a="1"/>
  <c r="X131" i="14" s="1"/>
  <c r="M131" i="14" a="1"/>
  <c r="M131" i="14" s="1"/>
  <c r="G198" i="12" a="1"/>
  <c r="G198" i="12" s="1"/>
  <c r="L198" i="12" a="1"/>
  <c r="L198" i="12" s="1"/>
  <c r="O198" i="12" a="1"/>
  <c r="O198" i="12" s="1"/>
  <c r="R198" i="12" a="1"/>
  <c r="R198" i="12" s="1"/>
  <c r="K198" i="12" a="1"/>
  <c r="K198" i="12" s="1"/>
  <c r="P198" i="12" a="1"/>
  <c r="P198" i="12" s="1"/>
  <c r="Q198" i="12" a="1"/>
  <c r="Q198" i="12" s="1"/>
  <c r="V198" i="12" a="1"/>
  <c r="V198" i="12" s="1"/>
  <c r="F198" i="12" a="1"/>
  <c r="F198" i="12" s="1"/>
  <c r="N198" i="12" a="1"/>
  <c r="N198" i="12" s="1"/>
  <c r="U198" i="12" a="1"/>
  <c r="U198" i="12" s="1"/>
  <c r="X198" i="12" a="1"/>
  <c r="X198" i="12" s="1"/>
  <c r="T198" i="12" a="1"/>
  <c r="T198" i="12" s="1"/>
  <c r="M198" i="12" a="1"/>
  <c r="M198" i="12" s="1"/>
  <c r="J198" i="12" a="1"/>
  <c r="J198" i="12" s="1"/>
  <c r="H198" i="12" a="1"/>
  <c r="H198" i="12" s="1"/>
  <c r="S198" i="12" a="1"/>
  <c r="S198" i="12" s="1"/>
  <c r="W198" i="12" a="1"/>
  <c r="W198" i="12" s="1"/>
  <c r="I198" i="12" a="1"/>
  <c r="I198" i="12" s="1"/>
  <c r="S129" i="14" a="1"/>
  <c r="S129" i="14" s="1"/>
  <c r="L128" i="14" a="1"/>
  <c r="L128" i="14" s="1"/>
  <c r="P129" i="14" a="1"/>
  <c r="P129" i="14" s="1"/>
  <c r="Z128" i="14" a="1"/>
  <c r="Z128" i="14" s="1"/>
  <c r="V128" i="14" a="1"/>
  <c r="V128" i="14" s="1"/>
  <c r="T128" i="14" a="1"/>
  <c r="T128" i="14" s="1"/>
  <c r="N128" i="14" a="1"/>
  <c r="N128" i="14" s="1"/>
  <c r="M129" i="14" a="1"/>
  <c r="M129" i="14" s="1"/>
  <c r="R129" i="14" a="1"/>
  <c r="R129" i="14" s="1"/>
  <c r="U128" i="14" a="1"/>
  <c r="U128" i="14" s="1"/>
  <c r="J128" i="14" a="1"/>
  <c r="J128" i="14" s="1"/>
  <c r="J129" i="14" a="1"/>
  <c r="J129" i="14" s="1"/>
  <c r="I129" i="14" a="1"/>
  <c r="I129" i="14" s="1"/>
  <c r="H128" i="14" a="1"/>
  <c r="H128" i="14" s="1"/>
  <c r="X128" i="14" a="1"/>
  <c r="X128" i="14" s="1"/>
  <c r="X129" i="14" a="1"/>
  <c r="X129" i="14" s="1"/>
  <c r="I128" i="14" a="1"/>
  <c r="I128" i="14" s="1"/>
  <c r="W129" i="14" a="1"/>
  <c r="W129" i="14" s="1"/>
  <c r="W128" i="14" a="1"/>
  <c r="W128" i="14" s="1"/>
  <c r="V129" i="14" a="1"/>
  <c r="V129" i="14" s="1"/>
  <c r="S128" i="14" a="1"/>
  <c r="S128" i="14" s="1"/>
  <c r="K128" i="14" a="1"/>
  <c r="K128" i="14" s="1"/>
  <c r="Y129" i="14" a="1"/>
  <c r="Y129" i="14" s="1"/>
  <c r="M128" i="14" a="1"/>
  <c r="M128" i="14" s="1"/>
  <c r="Q128" i="14" a="1"/>
  <c r="Q128" i="14" s="1"/>
  <c r="T129" i="14" a="1"/>
  <c r="T129" i="14" s="1"/>
  <c r="P128" i="14" a="1"/>
  <c r="P128" i="14" s="1"/>
  <c r="Q129" i="14" a="1"/>
  <c r="Q129" i="14" s="1"/>
  <c r="K129" i="14" a="1"/>
  <c r="K129" i="14" s="1"/>
  <c r="R128" i="14" a="1"/>
  <c r="R128" i="14" s="1"/>
  <c r="O129" i="14" a="1"/>
  <c r="O129" i="14" s="1"/>
  <c r="L129" i="14" a="1"/>
  <c r="L129" i="14" s="1"/>
  <c r="Y128" i="14" a="1"/>
  <c r="Y128" i="14" s="1"/>
  <c r="Z129" i="14" a="1"/>
  <c r="Z129" i="14" s="1"/>
  <c r="U129" i="14" a="1"/>
  <c r="U129" i="14" s="1"/>
  <c r="N129" i="14" a="1"/>
  <c r="N129" i="14" s="1"/>
  <c r="B146" i="14"/>
  <c r="W74" i="20" s="1"/>
  <c r="B147" i="14"/>
  <c r="W75" i="20" s="1"/>
  <c r="B152" i="14"/>
  <c r="W80" i="20" s="1"/>
  <c r="B140" i="14"/>
  <c r="W68" i="20" s="1"/>
  <c r="B148" i="14"/>
  <c r="W76" i="20" s="1"/>
  <c r="R124" i="14"/>
  <c r="N124" i="14"/>
  <c r="X124" i="14"/>
  <c r="L124" i="14"/>
  <c r="F78" i="19"/>
  <c r="W78" i="19" s="1" a="1"/>
  <c r="W78" i="19" s="1"/>
  <c r="W124" i="14"/>
  <c r="B144" i="14"/>
  <c r="W72" i="20" s="1"/>
  <c r="B151" i="14"/>
  <c r="W79" i="20" s="1"/>
  <c r="J124" i="14"/>
  <c r="Y124" i="14"/>
  <c r="B150" i="14"/>
  <c r="W78" i="20" s="1"/>
  <c r="M124" i="14"/>
  <c r="B142" i="14"/>
  <c r="W70" i="20" s="1"/>
  <c r="B153" i="14"/>
  <c r="W81" i="20" s="1"/>
  <c r="B157" i="14"/>
  <c r="W85" i="20" s="1"/>
  <c r="B149" i="14"/>
  <c r="W77" i="20" s="1"/>
  <c r="B155" i="14"/>
  <c r="W83" i="20" s="1"/>
  <c r="K124" i="14"/>
  <c r="B145" i="14"/>
  <c r="W73" i="20" s="1"/>
  <c r="B139" i="14"/>
  <c r="H124" i="14"/>
  <c r="Q124" i="14"/>
  <c r="I124" i="14"/>
  <c r="B154" i="14"/>
  <c r="W82" i="20" s="1"/>
  <c r="B156" i="14"/>
  <c r="W84" i="20" s="1"/>
  <c r="B141" i="14"/>
  <c r="W69" i="20" s="1"/>
  <c r="P124" i="14"/>
  <c r="Z124" i="14"/>
  <c r="U124" i="14"/>
  <c r="B143" i="14"/>
  <c r="W71" i="20" s="1"/>
  <c r="V124" i="14"/>
  <c r="T124" i="14"/>
  <c r="S124" i="14"/>
  <c r="O124" i="14"/>
  <c r="D181" i="12"/>
  <c r="E181" i="12"/>
  <c r="G181" i="12"/>
  <c r="H181" i="12"/>
  <c r="C181" i="12"/>
  <c r="C184" i="12" s="1"/>
  <c r="P180" i="12"/>
  <c r="O180" i="12"/>
  <c r="P179" i="12"/>
  <c r="O179" i="12"/>
  <c r="C180" i="12"/>
  <c r="C185" i="12" s="1"/>
  <c r="J180" i="12"/>
  <c r="H180" i="12"/>
  <c r="G180" i="12"/>
  <c r="E180" i="12"/>
  <c r="D180" i="12"/>
  <c r="M177" i="12"/>
  <c r="M179" i="12" s="1"/>
  <c r="R177" i="12"/>
  <c r="Q177" i="12"/>
  <c r="N177" i="12"/>
  <c r="N179" i="12" s="1"/>
  <c r="J179" i="12"/>
  <c r="H179" i="12"/>
  <c r="G179" i="12"/>
  <c r="D179" i="12"/>
  <c r="U178" i="12"/>
  <c r="U190" i="12" s="1"/>
  <c r="P182" i="12"/>
  <c r="O182" i="12"/>
  <c r="H182" i="12"/>
  <c r="E182" i="12"/>
  <c r="D182" i="12"/>
  <c r="C169" i="12"/>
  <c r="C168" i="12"/>
  <c r="C165" i="12"/>
  <c r="F165" i="12" s="1" a="1"/>
  <c r="F165" i="12" s="1"/>
  <c r="C164" i="12"/>
  <c r="D146" i="14" l="1"/>
  <c r="Y74" i="20" s="1"/>
  <c r="Z74" i="20" s="1"/>
  <c r="M132" i="14"/>
  <c r="D144" i="14"/>
  <c r="Y72" i="20" s="1"/>
  <c r="Z72" i="20" s="1"/>
  <c r="J132" i="14"/>
  <c r="D141" i="14"/>
  <c r="Y69" i="20" s="1"/>
  <c r="Z69" i="20" s="1"/>
  <c r="K132" i="14"/>
  <c r="D142" i="14"/>
  <c r="Y70" i="20" s="1"/>
  <c r="Z70" i="20" s="1"/>
  <c r="D152" i="14"/>
  <c r="Y80" i="20" s="1"/>
  <c r="Z80" i="20" s="1"/>
  <c r="U132" i="14"/>
  <c r="O132" i="14"/>
  <c r="Y132" i="14"/>
  <c r="D156" i="14"/>
  <c r="Y84" i="20" s="1"/>
  <c r="Z84" i="20" s="1"/>
  <c r="D150" i="14"/>
  <c r="Y78" i="20" s="1"/>
  <c r="Z78" i="20" s="1"/>
  <c r="S132" i="14"/>
  <c r="W132" i="14"/>
  <c r="D154" i="14"/>
  <c r="Y82" i="20" s="1"/>
  <c r="Z82" i="20" s="1"/>
  <c r="N132" i="14"/>
  <c r="D145" i="14"/>
  <c r="Y73" i="20" s="1"/>
  <c r="Z73" i="20" s="1"/>
  <c r="D149" i="14"/>
  <c r="Y77" i="20" s="1"/>
  <c r="Z77" i="20" s="1"/>
  <c r="R132" i="14"/>
  <c r="D151" i="14"/>
  <c r="Y79" i="20" s="1"/>
  <c r="Z79" i="20" s="1"/>
  <c r="T132" i="14"/>
  <c r="D140" i="14"/>
  <c r="Y68" i="20" s="1"/>
  <c r="Z68" i="20" s="1"/>
  <c r="I132" i="14"/>
  <c r="V132" i="14"/>
  <c r="D153" i="14"/>
  <c r="Y81" i="20" s="1"/>
  <c r="Z81" i="20" s="1"/>
  <c r="Z132" i="14"/>
  <c r="D157" i="14"/>
  <c r="Y85" i="20" s="1"/>
  <c r="Z85" i="20" s="1"/>
  <c r="D148" i="14"/>
  <c r="Y76" i="20" s="1"/>
  <c r="Z76" i="20" s="1"/>
  <c r="Q132" i="14"/>
  <c r="D147" i="14"/>
  <c r="Y75" i="20" s="1"/>
  <c r="Z75" i="20" s="1"/>
  <c r="P132" i="14"/>
  <c r="X132" i="14"/>
  <c r="D155" i="14"/>
  <c r="Y83" i="20" s="1"/>
  <c r="Z83" i="20" s="1"/>
  <c r="D139" i="14"/>
  <c r="Y67" i="20" s="1"/>
  <c r="H132" i="14"/>
  <c r="L132" i="14"/>
  <c r="D143" i="14"/>
  <c r="Y71" i="20" s="1"/>
  <c r="Z71" i="20" s="1"/>
  <c r="F164" i="12" a="1"/>
  <c r="F164" i="12" s="1"/>
  <c r="M182" i="12" s="1"/>
  <c r="W67" i="20"/>
  <c r="R179" i="12"/>
  <c r="R180" i="12"/>
  <c r="Q180" i="12"/>
  <c r="Q179" i="12"/>
  <c r="H78" i="19" a="1"/>
  <c r="H78" i="19" s="1"/>
  <c r="B87" i="19" s="1"/>
  <c r="D184" i="12"/>
  <c r="D185" i="12"/>
  <c r="J183" i="12"/>
  <c r="H183" i="12"/>
  <c r="P184" i="12"/>
  <c r="P185" i="12"/>
  <c r="P186" i="12"/>
  <c r="O185" i="12"/>
  <c r="O184" i="12"/>
  <c r="O186" i="12"/>
  <c r="H186" i="12"/>
  <c r="H185" i="12"/>
  <c r="H184" i="12"/>
  <c r="H190" i="12"/>
  <c r="G184" i="12"/>
  <c r="G186" i="12"/>
  <c r="G185" i="12"/>
  <c r="E184" i="12"/>
  <c r="E186" i="12"/>
  <c r="E185" i="12"/>
  <c r="D186" i="12"/>
  <c r="J182" i="12"/>
  <c r="U78" i="19" a="1"/>
  <c r="U78" i="19" s="1"/>
  <c r="U79" i="19" s="1"/>
  <c r="Q78" i="19" a="1"/>
  <c r="Q78" i="19" s="1"/>
  <c r="B96" i="19" s="1"/>
  <c r="AA76" i="20" s="1"/>
  <c r="T78" i="19" a="1"/>
  <c r="T78" i="19" s="1"/>
  <c r="T79" i="19" s="1"/>
  <c r="P78" i="19" a="1"/>
  <c r="P78" i="19" s="1"/>
  <c r="B95" i="19" s="1"/>
  <c r="AA75" i="20" s="1"/>
  <c r="N78" i="19" a="1"/>
  <c r="N78" i="19" s="1"/>
  <c r="N79" i="19" s="1"/>
  <c r="V78" i="19" a="1"/>
  <c r="V78" i="19" s="1"/>
  <c r="V79" i="19" s="1"/>
  <c r="I78" i="19" a="1"/>
  <c r="I78" i="19" s="1"/>
  <c r="B88" i="19" s="1"/>
  <c r="AA68" i="20" s="1"/>
  <c r="Z78" i="19" a="1"/>
  <c r="Z78" i="19" s="1"/>
  <c r="Z79" i="19" s="1"/>
  <c r="J78" i="19" a="1"/>
  <c r="J78" i="19" s="1"/>
  <c r="B89" i="19" s="1"/>
  <c r="AA69" i="20" s="1"/>
  <c r="M78" i="19" a="1"/>
  <c r="M78" i="19" s="1"/>
  <c r="M79" i="19" s="1"/>
  <c r="O78" i="19" a="1"/>
  <c r="O78" i="19" s="1"/>
  <c r="B94" i="19" s="1"/>
  <c r="AA74" i="20" s="1"/>
  <c r="X78" i="19" a="1"/>
  <c r="X78" i="19" s="1"/>
  <c r="X79" i="19" s="1"/>
  <c r="K78" i="19" a="1"/>
  <c r="K78" i="19" s="1"/>
  <c r="B90" i="19" s="1"/>
  <c r="AA70" i="20" s="1"/>
  <c r="L78" i="19" a="1"/>
  <c r="L78" i="19" s="1"/>
  <c r="L79" i="19" s="1"/>
  <c r="R78" i="19" a="1"/>
  <c r="R78" i="19" s="1"/>
  <c r="B97" i="19" s="1"/>
  <c r="AA77" i="20" s="1"/>
  <c r="S78" i="19" a="1"/>
  <c r="S78" i="19" s="1"/>
  <c r="S79" i="19" s="1"/>
  <c r="Y78" i="19" a="1"/>
  <c r="Y78" i="19" s="1"/>
  <c r="Y79" i="19" s="1"/>
  <c r="W79" i="19"/>
  <c r="N182" i="12"/>
  <c r="T185" i="12"/>
  <c r="S185" i="12"/>
  <c r="U185" i="12"/>
  <c r="T178" i="12"/>
  <c r="T190" i="12" s="1"/>
  <c r="Q182" i="12"/>
  <c r="R182" i="12"/>
  <c r="P178" i="12"/>
  <c r="O178" i="12"/>
  <c r="D178" i="12"/>
  <c r="E178" i="12"/>
  <c r="G178" i="12"/>
  <c r="C179" i="12"/>
  <c r="N180" i="12"/>
  <c r="M180" i="12"/>
  <c r="J11" i="20" l="1"/>
  <c r="J7" i="20"/>
  <c r="J6" i="20"/>
  <c r="J5" i="20"/>
  <c r="J12" i="20"/>
  <c r="J14" i="20"/>
  <c r="J13" i="20"/>
  <c r="AA67" i="20"/>
  <c r="J4" i="20"/>
  <c r="K28" i="20" s="1"/>
  <c r="S183" i="12"/>
  <c r="S187" i="12" s="1"/>
  <c r="R185" i="12"/>
  <c r="N185" i="12"/>
  <c r="J53" i="20"/>
  <c r="Q185" i="12"/>
  <c r="M185" i="12"/>
  <c r="H187" i="12"/>
  <c r="N184" i="12"/>
  <c r="N186" i="12"/>
  <c r="M184" i="12"/>
  <c r="M186" i="12"/>
  <c r="T183" i="12"/>
  <c r="T187" i="12" s="1"/>
  <c r="U183" i="12"/>
  <c r="U187" i="12" s="1"/>
  <c r="R186" i="12"/>
  <c r="R184" i="12"/>
  <c r="Q186" i="12"/>
  <c r="Q184" i="12"/>
  <c r="P190" i="12"/>
  <c r="P183" i="12"/>
  <c r="P187" i="12" s="1"/>
  <c r="O183" i="12"/>
  <c r="O187" i="12" s="1"/>
  <c r="O190" i="12"/>
  <c r="J185" i="12"/>
  <c r="J186" i="12"/>
  <c r="J184" i="12"/>
  <c r="J190" i="12"/>
  <c r="G190" i="12"/>
  <c r="G183" i="12"/>
  <c r="G187" i="12" s="1"/>
  <c r="E190" i="12"/>
  <c r="E183" i="12"/>
  <c r="E187" i="12" s="1"/>
  <c r="D190" i="12"/>
  <c r="D183" i="12"/>
  <c r="D187" i="12" s="1"/>
  <c r="J79" i="19"/>
  <c r="B93" i="19"/>
  <c r="AA73" i="20" s="1"/>
  <c r="B98" i="19"/>
  <c r="AA78" i="20" s="1"/>
  <c r="H79" i="19"/>
  <c r="B92" i="19"/>
  <c r="AA72" i="20" s="1"/>
  <c r="K79" i="19"/>
  <c r="I79" i="19"/>
  <c r="B99" i="19"/>
  <c r="AA79" i="20" s="1"/>
  <c r="B102" i="19"/>
  <c r="AA82" i="20" s="1"/>
  <c r="O79" i="19"/>
  <c r="B91" i="19"/>
  <c r="AA71" i="20" s="1"/>
  <c r="B101" i="19"/>
  <c r="AA81" i="20" s="1"/>
  <c r="Q79" i="19"/>
  <c r="B105" i="19"/>
  <c r="AA85" i="20" s="1"/>
  <c r="B100" i="19"/>
  <c r="AA80" i="20" s="1"/>
  <c r="B103" i="19"/>
  <c r="AA83" i="20" s="1"/>
  <c r="P79" i="19"/>
  <c r="B104" i="19"/>
  <c r="AA84" i="20" s="1"/>
  <c r="R79" i="19"/>
  <c r="B163" i="14"/>
  <c r="N178" i="12"/>
  <c r="M178" i="12"/>
  <c r="Q178" i="12"/>
  <c r="R178" i="12"/>
  <c r="C183" i="12"/>
  <c r="K29" i="20" l="1"/>
  <c r="K38" i="20"/>
  <c r="K35" i="20"/>
  <c r="K37" i="20"/>
  <c r="K36" i="20"/>
  <c r="C191" i="12"/>
  <c r="J21" i="20"/>
  <c r="J20" i="20"/>
  <c r="J17" i="20"/>
  <c r="J22" i="20"/>
  <c r="J9" i="20"/>
  <c r="J18" i="20"/>
  <c r="J15" i="20"/>
  <c r="J10" i="20"/>
  <c r="J8" i="20"/>
  <c r="J19" i="20"/>
  <c r="J16" i="20"/>
  <c r="J54" i="20"/>
  <c r="Z67" i="20"/>
  <c r="B110" i="19"/>
  <c r="N183" i="12"/>
  <c r="N187" i="12" s="1"/>
  <c r="N190" i="12"/>
  <c r="J187" i="12"/>
  <c r="M190" i="12"/>
  <c r="M183" i="12"/>
  <c r="M187" i="12" s="1"/>
  <c r="R183" i="12"/>
  <c r="R187" i="12" s="1"/>
  <c r="R190" i="12"/>
  <c r="Q183" i="12"/>
  <c r="Q187" i="12" s="1"/>
  <c r="Q190" i="12"/>
  <c r="B111" i="19"/>
  <c r="C187" i="12"/>
  <c r="AA86" i="20" l="1"/>
  <c r="K45" i="20"/>
  <c r="K34" i="20"/>
  <c r="K46" i="20"/>
  <c r="K44" i="20"/>
  <c r="K42" i="20"/>
  <c r="K41" i="20"/>
  <c r="K40" i="20"/>
  <c r="K33" i="20"/>
  <c r="K39" i="20"/>
  <c r="K43" i="20"/>
  <c r="J23" i="20"/>
  <c r="C189" i="12"/>
  <c r="G58" i="1" s="1"/>
  <c r="B112" i="19"/>
  <c r="F65" i="10"/>
  <c r="E65" i="10"/>
  <c r="D65" i="10"/>
  <c r="F40" i="10"/>
  <c r="E40" i="10"/>
  <c r="D40" i="10"/>
  <c r="B6" i="10"/>
  <c r="F16" i="10"/>
  <c r="F17" i="10"/>
  <c r="F15" i="10"/>
  <c r="E16" i="10"/>
  <c r="E17" i="10"/>
  <c r="E15" i="10"/>
  <c r="D22" i="5"/>
  <c r="D21" i="5"/>
  <c r="D20" i="5"/>
  <c r="D4" i="5"/>
  <c r="W57" i="10" l="1" a="1"/>
  <c r="W57" i="10" s="1"/>
  <c r="N81" i="10" a="1"/>
  <c r="N81" i="10" s="1"/>
  <c r="U57" i="10" a="1"/>
  <c r="U57" i="10" s="1"/>
  <c r="T31" i="10" a="1"/>
  <c r="T31" i="10" s="1"/>
  <c r="L83" i="10" a="1"/>
  <c r="L83" i="10" s="1"/>
  <c r="O57" i="10" a="1"/>
  <c r="O57" i="10" s="1"/>
  <c r="M56" i="10" a="1"/>
  <c r="M56" i="10" s="1"/>
  <c r="M31" i="10" a="1"/>
  <c r="M31" i="10" s="1"/>
  <c r="K83" i="10" a="1"/>
  <c r="K83" i="10" s="1"/>
  <c r="G82" i="10" a="1"/>
  <c r="G82" i="10" s="1"/>
  <c r="R32" i="10" a="1"/>
  <c r="R32" i="10" s="1"/>
  <c r="J82" i="10" a="1"/>
  <c r="J82" i="10" s="1"/>
  <c r="Y33" i="10" a="1"/>
  <c r="Y33" i="10" s="1"/>
  <c r="Y83" i="10" a="1"/>
  <c r="Y83" i="10" s="1"/>
  <c r="Q58" i="10" a="1"/>
  <c r="Q58" i="10" s="1"/>
  <c r="I82" i="10" a="1"/>
  <c r="I82" i="10" s="1"/>
  <c r="V31" i="10" a="1"/>
  <c r="V31" i="10" s="1"/>
  <c r="S31" i="10" a="1"/>
  <c r="S31" i="10" s="1"/>
  <c r="X31" i="10" a="1"/>
  <c r="X31" i="10" s="1"/>
  <c r="X83" i="10" a="1"/>
  <c r="X83" i="10" s="1"/>
  <c r="P58" i="10" a="1"/>
  <c r="P58" i="10" s="1"/>
  <c r="H83" i="10" a="1"/>
  <c r="H83" i="10" s="1"/>
  <c r="X82" i="10" a="1"/>
  <c r="X82" i="10" s="1"/>
  <c r="W58" i="10" a="1"/>
  <c r="W58" i="10" s="1"/>
  <c r="W33" i="10" a="1"/>
  <c r="W33" i="10" s="1"/>
  <c r="N57" i="10" a="1"/>
  <c r="N57" i="10" s="1"/>
  <c r="U81" i="10" a="1"/>
  <c r="U81" i="10" s="1"/>
  <c r="T58" i="10" a="1"/>
  <c r="T58" i="10" s="1"/>
  <c r="L33" i="10" a="1"/>
  <c r="L33" i="10" s="1"/>
  <c r="O82" i="10" a="1"/>
  <c r="O82" i="10" s="1"/>
  <c r="M82" i="10" a="1"/>
  <c r="M82" i="10" s="1"/>
  <c r="K58" i="10" a="1"/>
  <c r="K58" i="10" s="1"/>
  <c r="G31" i="10" a="1"/>
  <c r="G31" i="10" s="1"/>
  <c r="R57" i="10" a="1"/>
  <c r="R57" i="10" s="1"/>
  <c r="J32" i="10" a="1"/>
  <c r="J32" i="10" s="1"/>
  <c r="Y32" i="10" a="1"/>
  <c r="Y32" i="10" s="1"/>
  <c r="Q83" i="10" a="1"/>
  <c r="Q83" i="10" s="1"/>
  <c r="Q57" i="10" a="1"/>
  <c r="Q57" i="10" s="1"/>
  <c r="I31" i="10" a="1"/>
  <c r="I31" i="10" s="1"/>
  <c r="V56" i="10" a="1"/>
  <c r="V56" i="10" s="1"/>
  <c r="S56" i="10" a="1"/>
  <c r="S56" i="10" s="1"/>
  <c r="X57" i="10" a="1"/>
  <c r="X57" i="10" s="1"/>
  <c r="P31" i="10" a="1"/>
  <c r="P31" i="10" s="1"/>
  <c r="P56" i="10" a="1"/>
  <c r="P56" i="10" s="1"/>
  <c r="H82" i="10" a="1"/>
  <c r="H82" i="10" s="1"/>
  <c r="X56" i="10" a="1"/>
  <c r="X56" i="10" s="1"/>
  <c r="H56" i="10" a="1"/>
  <c r="H56" i="10" s="1"/>
  <c r="I81" i="10" a="1"/>
  <c r="I81" i="10" s="1"/>
  <c r="S83" i="10" a="1"/>
  <c r="S83" i="10" s="1"/>
  <c r="H57" i="10" a="1"/>
  <c r="H57" i="10" s="1"/>
  <c r="W83" i="10" a="1"/>
  <c r="W83" i="10" s="1"/>
  <c r="N33" i="10" a="1"/>
  <c r="N33" i="10" s="1"/>
  <c r="N83" i="10" a="1"/>
  <c r="N83" i="10" s="1"/>
  <c r="U83" i="10" a="1"/>
  <c r="U83" i="10" s="1"/>
  <c r="T32" i="10" a="1"/>
  <c r="T32" i="10" s="1"/>
  <c r="L56" i="10" a="1"/>
  <c r="L56" i="10" s="1"/>
  <c r="O83" i="10" a="1"/>
  <c r="O83" i="10" s="1"/>
  <c r="M58" i="10" a="1"/>
  <c r="M58" i="10" s="1"/>
  <c r="K57" i="10" a="1"/>
  <c r="K57" i="10" s="1"/>
  <c r="K32" i="10" a="1"/>
  <c r="K32" i="10" s="1"/>
  <c r="G57" i="10" a="1"/>
  <c r="G57" i="10" s="1"/>
  <c r="R82" i="10" a="1"/>
  <c r="R82" i="10" s="1"/>
  <c r="J31" i="10" a="1"/>
  <c r="J31" i="10" s="1"/>
  <c r="Y31" i="10" a="1"/>
  <c r="Y31" i="10" s="1"/>
  <c r="Q32" i="10" a="1"/>
  <c r="Q32" i="10" s="1"/>
  <c r="I33" i="10" a="1"/>
  <c r="I33" i="10" s="1"/>
  <c r="I56" i="10" a="1"/>
  <c r="I56" i="10" s="1"/>
  <c r="V58" i="10" a="1"/>
  <c r="V58" i="10" s="1"/>
  <c r="S81" i="10" a="1"/>
  <c r="S81" i="10" s="1"/>
  <c r="P33" i="10" a="1"/>
  <c r="P33" i="10" s="1"/>
  <c r="H81" i="10" a="1"/>
  <c r="H81" i="10" s="1"/>
  <c r="V82" i="10" a="1"/>
  <c r="V82" i="10" s="1"/>
  <c r="P81" i="10" a="1"/>
  <c r="P81" i="10" s="1"/>
  <c r="W82" i="10" a="1"/>
  <c r="W82" i="10" s="1"/>
  <c r="N31" i="10" a="1"/>
  <c r="N31" i="10" s="1"/>
  <c r="U56" i="10" a="1"/>
  <c r="U56" i="10" s="1"/>
  <c r="U33" i="10" a="1"/>
  <c r="U33" i="10" s="1"/>
  <c r="T83" i="10" a="1"/>
  <c r="T83" i="10" s="1"/>
  <c r="L57" i="10" a="1"/>
  <c r="L57" i="10" s="1"/>
  <c r="O33" i="10" a="1"/>
  <c r="O33" i="10" s="1"/>
  <c r="M32" i="10" a="1"/>
  <c r="M32" i="10" s="1"/>
  <c r="K82" i="10" a="1"/>
  <c r="K82" i="10" s="1"/>
  <c r="G81" i="10" a="1"/>
  <c r="G81" i="10" s="1"/>
  <c r="R56" i="10" a="1"/>
  <c r="R56" i="10" s="1"/>
  <c r="J33" i="10" a="1"/>
  <c r="J33" i="10" s="1"/>
  <c r="Y82" i="10" a="1"/>
  <c r="Y82" i="10" s="1"/>
  <c r="Q33" i="10" a="1"/>
  <c r="Q33" i="10" s="1"/>
  <c r="W81" i="10" a="1"/>
  <c r="W81" i="10" s="1"/>
  <c r="N56" i="10" a="1"/>
  <c r="N56" i="10" s="1"/>
  <c r="U32" i="10" a="1"/>
  <c r="U32" i="10" s="1"/>
  <c r="T56" i="10" a="1"/>
  <c r="T56" i="10" s="1"/>
  <c r="T81" i="10" a="1"/>
  <c r="T81" i="10" s="1"/>
  <c r="L32" i="10" a="1"/>
  <c r="L32" i="10" s="1"/>
  <c r="O31" i="10" a="1"/>
  <c r="O31" i="10" s="1"/>
  <c r="M33" i="10" a="1"/>
  <c r="M33" i="10" s="1"/>
  <c r="K56" i="10" a="1"/>
  <c r="K56" i="10" s="1"/>
  <c r="G56" i="10" a="1"/>
  <c r="G56" i="10" s="1"/>
  <c r="G83" i="10" a="1"/>
  <c r="G83" i="10" s="1"/>
  <c r="R83" i="10" a="1"/>
  <c r="R83" i="10" s="1"/>
  <c r="J56" i="10" a="1"/>
  <c r="J56" i="10" s="1"/>
  <c r="Y57" i="10" a="1"/>
  <c r="Y57" i="10" s="1"/>
  <c r="Q82" i="10" a="1"/>
  <c r="Q82" i="10" s="1"/>
  <c r="I57" i="10" a="1"/>
  <c r="I57" i="10" s="1"/>
  <c r="V33" i="10" a="1"/>
  <c r="V33" i="10" s="1"/>
  <c r="V81" i="10" a="1"/>
  <c r="V81" i="10" s="1"/>
  <c r="S32" i="10" a="1"/>
  <c r="S32" i="10" s="1"/>
  <c r="X58" i="10" a="1"/>
  <c r="X58" i="10" s="1"/>
  <c r="P32" i="10" a="1"/>
  <c r="P32" i="10" s="1"/>
  <c r="H32" i="10" a="1"/>
  <c r="H32" i="10" s="1"/>
  <c r="L82" i="10" a="1"/>
  <c r="L82" i="10" s="1"/>
  <c r="M81" i="10" a="1"/>
  <c r="M81" i="10" s="1"/>
  <c r="G58" i="10" a="1"/>
  <c r="G58" i="10" s="1"/>
  <c r="Y81" i="10" a="1"/>
  <c r="Y81" i="10" s="1"/>
  <c r="S33" i="10" a="1"/>
  <c r="S33" i="10" s="1"/>
  <c r="H33" i="10" a="1"/>
  <c r="H33" i="10" s="1"/>
  <c r="W56" i="10" a="1"/>
  <c r="W56" i="10" s="1"/>
  <c r="N32" i="10" a="1"/>
  <c r="N32" i="10" s="1"/>
  <c r="U82" i="10" a="1"/>
  <c r="U82" i="10" s="1"/>
  <c r="T57" i="10" a="1"/>
  <c r="T57" i="10" s="1"/>
  <c r="L31" i="10" a="1"/>
  <c r="L31" i="10" s="1"/>
  <c r="L81" i="10" a="1"/>
  <c r="L81" i="10" s="1"/>
  <c r="O32" i="10" a="1"/>
  <c r="O32" i="10" s="1"/>
  <c r="M83" i="10" a="1"/>
  <c r="M83" i="10" s="1"/>
  <c r="K81" i="10" a="1"/>
  <c r="K81" i="10" s="1"/>
  <c r="G32" i="10" a="1"/>
  <c r="G32" i="10" s="1"/>
  <c r="R58" i="10" a="1"/>
  <c r="R58" i="10" s="1"/>
  <c r="R33" i="10" a="1"/>
  <c r="R33" i="10" s="1"/>
  <c r="J58" i="10" a="1"/>
  <c r="J58" i="10" s="1"/>
  <c r="Y56" i="10" a="1"/>
  <c r="Y56" i="10" s="1"/>
  <c r="Q81" i="10" a="1"/>
  <c r="Q81" i="10" s="1"/>
  <c r="I58" i="10" a="1"/>
  <c r="I58" i="10" s="1"/>
  <c r="V83" i="10" a="1"/>
  <c r="V83" i="10" s="1"/>
  <c r="S82" i="10" a="1"/>
  <c r="S82" i="10" s="1"/>
  <c r="X32" i="10" a="1"/>
  <c r="X32" i="10" s="1"/>
  <c r="P82" i="10" a="1"/>
  <c r="P82" i="10" s="1"/>
  <c r="H31" i="10" a="1"/>
  <c r="H31" i="10" s="1"/>
  <c r="T33" i="10" a="1"/>
  <c r="T33" i="10" s="1"/>
  <c r="O81" i="10" a="1"/>
  <c r="O81" i="10" s="1"/>
  <c r="R81" i="10" a="1"/>
  <c r="R81" i="10" s="1"/>
  <c r="I83" i="10" a="1"/>
  <c r="I83" i="10" s="1"/>
  <c r="X81" i="10" a="1"/>
  <c r="X81" i="10" s="1"/>
  <c r="W32" i="10" a="1"/>
  <c r="W32" i="10" s="1"/>
  <c r="N82" i="10" a="1"/>
  <c r="N82" i="10" s="1"/>
  <c r="U31" i="10" a="1"/>
  <c r="U31" i="10" s="1"/>
  <c r="U107" i="10" s="1"/>
  <c r="T82" i="10" a="1"/>
  <c r="T82" i="10" s="1"/>
  <c r="L58" i="10" a="1"/>
  <c r="L58" i="10" s="1"/>
  <c r="O58" i="10" a="1"/>
  <c r="O58" i="10" s="1"/>
  <c r="M57" i="10" a="1"/>
  <c r="M57" i="10" s="1"/>
  <c r="K33" i="10" a="1"/>
  <c r="K33" i="10" s="1"/>
  <c r="G33" i="10" a="1"/>
  <c r="G33" i="10" s="1"/>
  <c r="R31" i="10" a="1"/>
  <c r="R31" i="10" s="1"/>
  <c r="J81" i="10" a="1"/>
  <c r="J81" i="10" s="1"/>
  <c r="J83" i="10" a="1"/>
  <c r="J83" i="10" s="1"/>
  <c r="Y58" i="10" a="1"/>
  <c r="Y58" i="10" s="1"/>
  <c r="Q31" i="10" a="1"/>
  <c r="Q31" i="10" s="1"/>
  <c r="I32" i="10" a="1"/>
  <c r="I32" i="10" s="1"/>
  <c r="V57" i="10" a="1"/>
  <c r="V57" i="10" s="1"/>
  <c r="S58" i="10" a="1"/>
  <c r="S58" i="10" s="1"/>
  <c r="S57" i="10" a="1"/>
  <c r="S57" i="10" s="1"/>
  <c r="X33" i="10" a="1"/>
  <c r="X33" i="10" s="1"/>
  <c r="P57" i="10" a="1"/>
  <c r="P57" i="10" s="1"/>
  <c r="H58" i="10" a="1"/>
  <c r="H58" i="10" s="1"/>
  <c r="W31" i="10" a="1"/>
  <c r="W31" i="10" s="1"/>
  <c r="N58" i="10" a="1"/>
  <c r="N58" i="10" s="1"/>
  <c r="U58" i="10" a="1"/>
  <c r="U58" i="10" s="1"/>
  <c r="O56" i="10" a="1"/>
  <c r="O56" i="10" s="1"/>
  <c r="K31" i="10" a="1"/>
  <c r="K31" i="10" s="1"/>
  <c r="J57" i="10" a="1"/>
  <c r="J57" i="10" s="1"/>
  <c r="Q56" i="10" a="1"/>
  <c r="Q56" i="10" s="1"/>
  <c r="V32" i="10" a="1"/>
  <c r="V32" i="10" s="1"/>
  <c r="P83" i="10" a="1"/>
  <c r="P83" i="10" s="1"/>
  <c r="K47" i="20"/>
  <c r="H22" i="5" a="1"/>
  <c r="H22" i="5" s="1"/>
  <c r="S22" i="5" a="1"/>
  <c r="S22" i="5" s="1"/>
  <c r="P22" i="5" a="1"/>
  <c r="P22" i="5" s="1"/>
  <c r="X80" i="5" a="1"/>
  <c r="X80" i="5" s="1"/>
  <c r="O22" i="5" a="1"/>
  <c r="O22" i="5" s="1"/>
  <c r="T22" i="5" a="1"/>
  <c r="T22" i="5" s="1"/>
  <c r="L22" i="5" a="1"/>
  <c r="L22" i="5" s="1"/>
  <c r="X81" i="5" a="1"/>
  <c r="X81" i="5" s="1"/>
  <c r="V22" i="5" a="1"/>
  <c r="V22" i="5" s="1"/>
  <c r="I22" i="5" a="1"/>
  <c r="I22" i="5" s="1"/>
  <c r="X74" i="5" a="1"/>
  <c r="X74" i="5" s="1"/>
  <c r="X77" i="5" a="1"/>
  <c r="X77" i="5" s="1"/>
  <c r="U22" i="5" a="1"/>
  <c r="U22" i="5" s="1"/>
  <c r="M22" i="5" a="1"/>
  <c r="M22" i="5" s="1"/>
  <c r="X65" i="5" a="1"/>
  <c r="X65" i="5" s="1"/>
  <c r="X114" i="5" s="1"/>
  <c r="X75" i="5" a="1"/>
  <c r="X75" i="5" s="1"/>
  <c r="X82" i="5" a="1"/>
  <c r="X82" i="5" s="1"/>
  <c r="X68" i="5" a="1"/>
  <c r="X68" i="5" s="1"/>
  <c r="X67" i="5" a="1"/>
  <c r="X67" i="5" s="1"/>
  <c r="X78" i="5" a="1"/>
  <c r="X78" i="5" s="1"/>
  <c r="Q22" i="5" a="1"/>
  <c r="Q22" i="5" s="1"/>
  <c r="X69" i="5" a="1"/>
  <c r="X69" i="5" s="1"/>
  <c r="X83" i="5" a="1"/>
  <c r="X83" i="5" s="1"/>
  <c r="X70" i="5" a="1"/>
  <c r="X70" i="5" s="1"/>
  <c r="E22" i="5" a="1"/>
  <c r="E22" i="5" s="1"/>
  <c r="W22" i="5" a="1"/>
  <c r="W22" i="5" s="1"/>
  <c r="X79" i="5" a="1"/>
  <c r="X79" i="5" s="1"/>
  <c r="G22" i="5" a="1"/>
  <c r="G22" i="5" s="1"/>
  <c r="X76" i="5" a="1"/>
  <c r="X76" i="5" s="1"/>
  <c r="R22" i="5" a="1"/>
  <c r="R22" i="5" s="1"/>
  <c r="X71" i="5" a="1"/>
  <c r="X71" i="5" s="1"/>
  <c r="N22" i="5" a="1"/>
  <c r="N22" i="5" s="1"/>
  <c r="F22" i="5" a="1"/>
  <c r="F22" i="5" s="1"/>
  <c r="K22" i="5" a="1"/>
  <c r="K22" i="5" s="1"/>
  <c r="X66" i="5" a="1"/>
  <c r="X66" i="5" s="1"/>
  <c r="X73" i="5" a="1"/>
  <c r="X73" i="5" s="1"/>
  <c r="J22" i="5" a="1"/>
  <c r="J22" i="5" s="1"/>
  <c r="X72" i="5" a="1"/>
  <c r="X72" i="5" s="1"/>
  <c r="O83" i="5" a="1"/>
  <c r="O83" i="5" s="1"/>
  <c r="O132" i="5" s="1"/>
  <c r="F85" i="20" s="1"/>
  <c r="O66" i="5" a="1"/>
  <c r="O66" i="5" s="1"/>
  <c r="O115" i="5" s="1"/>
  <c r="F68" i="20" s="1"/>
  <c r="O67" i="5" a="1"/>
  <c r="O67" i="5" s="1"/>
  <c r="O116" i="5" s="1"/>
  <c r="F69" i="20" s="1"/>
  <c r="O75" i="5" a="1"/>
  <c r="O75" i="5" s="1"/>
  <c r="O124" i="5" s="1"/>
  <c r="F77" i="20" s="1"/>
  <c r="O77" i="5" a="1"/>
  <c r="O77" i="5" s="1"/>
  <c r="O126" i="5" s="1"/>
  <c r="F79" i="20" s="1"/>
  <c r="O82" i="5" a="1"/>
  <c r="O82" i="5" s="1"/>
  <c r="O131" i="5" s="1"/>
  <c r="F84" i="20" s="1"/>
  <c r="O70" i="5" a="1"/>
  <c r="O70" i="5" s="1"/>
  <c r="O119" i="5" s="1"/>
  <c r="F72" i="20" s="1"/>
  <c r="O65" i="5" a="1"/>
  <c r="O65" i="5" s="1"/>
  <c r="O81" i="5" a="1"/>
  <c r="O81" i="5" s="1"/>
  <c r="O130" i="5" s="1"/>
  <c r="F83" i="20" s="1"/>
  <c r="O74" i="5" a="1"/>
  <c r="O74" i="5" s="1"/>
  <c r="O123" i="5" s="1"/>
  <c r="F76" i="20" s="1"/>
  <c r="O69" i="5" a="1"/>
  <c r="O69" i="5" s="1"/>
  <c r="O118" i="5" s="1"/>
  <c r="F71" i="20" s="1"/>
  <c r="O73" i="5" a="1"/>
  <c r="O73" i="5" s="1"/>
  <c r="O122" i="5" s="1"/>
  <c r="F75" i="20" s="1"/>
  <c r="O80" i="5" a="1"/>
  <c r="O80" i="5" s="1"/>
  <c r="O129" i="5" s="1"/>
  <c r="F82" i="20" s="1"/>
  <c r="O72" i="5" a="1"/>
  <c r="O72" i="5" s="1"/>
  <c r="O121" i="5" s="1"/>
  <c r="F74" i="20" s="1"/>
  <c r="O68" i="5" a="1"/>
  <c r="O68" i="5" s="1"/>
  <c r="O117" i="5" s="1"/>
  <c r="F70" i="20" s="1"/>
  <c r="O71" i="5" a="1"/>
  <c r="O71" i="5" s="1"/>
  <c r="O120" i="5" s="1"/>
  <c r="F73" i="20" s="1"/>
  <c r="O79" i="5" a="1"/>
  <c r="O79" i="5" s="1"/>
  <c r="O128" i="5" s="1"/>
  <c r="F81" i="20" s="1"/>
  <c r="O78" i="5" a="1"/>
  <c r="O78" i="5" s="1"/>
  <c r="O127" i="5" s="1"/>
  <c r="F80" i="20" s="1"/>
  <c r="O76" i="5" a="1"/>
  <c r="O76" i="5" s="1"/>
  <c r="O125" i="5" s="1"/>
  <c r="F78" i="20" s="1"/>
  <c r="W78" i="5" a="1"/>
  <c r="W78" i="5" s="1"/>
  <c r="W127" i="5" s="1"/>
  <c r="W72" i="5" a="1"/>
  <c r="W72" i="5" s="1"/>
  <c r="W121" i="5" s="1"/>
  <c r="W82" i="5" a="1"/>
  <c r="W82" i="5" s="1"/>
  <c r="W131" i="5" s="1"/>
  <c r="V21" i="5" a="1"/>
  <c r="V21" i="5" s="1"/>
  <c r="N21" i="5" a="1"/>
  <c r="N21" i="5" s="1"/>
  <c r="W66" i="5" a="1"/>
  <c r="W66" i="5" s="1"/>
  <c r="W115" i="5" s="1"/>
  <c r="W76" i="5" a="1"/>
  <c r="W76" i="5" s="1"/>
  <c r="W125" i="5" s="1"/>
  <c r="K21" i="5" a="1"/>
  <c r="K21" i="5" s="1"/>
  <c r="R21" i="5" a="1"/>
  <c r="R21" i="5" s="1"/>
  <c r="J21" i="5" a="1"/>
  <c r="J21" i="5" s="1"/>
  <c r="O21" i="5" a="1"/>
  <c r="O21" i="5" s="1"/>
  <c r="W70" i="5" a="1"/>
  <c r="W70" i="5" s="1"/>
  <c r="W119" i="5" s="1"/>
  <c r="W80" i="5" a="1"/>
  <c r="W80" i="5" s="1"/>
  <c r="W129" i="5" s="1"/>
  <c r="W65" i="5" a="1"/>
  <c r="W65" i="5" s="1"/>
  <c r="W114" i="5" s="1"/>
  <c r="G21" i="5" a="1"/>
  <c r="G21" i="5" s="1"/>
  <c r="P21" i="5" a="1"/>
  <c r="P21" i="5" s="1"/>
  <c r="S21" i="5" a="1"/>
  <c r="S21" i="5" s="1"/>
  <c r="W74" i="5" a="1"/>
  <c r="W74" i="5" s="1"/>
  <c r="W123" i="5" s="1"/>
  <c r="W75" i="5" a="1"/>
  <c r="W75" i="5" s="1"/>
  <c r="W124" i="5" s="1"/>
  <c r="W73" i="5" a="1"/>
  <c r="W73" i="5" s="1"/>
  <c r="W122" i="5" s="1"/>
  <c r="W71" i="5" a="1"/>
  <c r="W71" i="5" s="1"/>
  <c r="W120" i="5" s="1"/>
  <c r="H21" i="5" a="1"/>
  <c r="H21" i="5" s="1"/>
  <c r="W68" i="5" a="1"/>
  <c r="W68" i="5" s="1"/>
  <c r="W117" i="5" s="1"/>
  <c r="W81" i="5" a="1"/>
  <c r="W81" i="5" s="1"/>
  <c r="W130" i="5" s="1"/>
  <c r="W69" i="5" a="1"/>
  <c r="W69" i="5" s="1"/>
  <c r="W118" i="5" s="1"/>
  <c r="U21" i="5" a="1"/>
  <c r="U21" i="5" s="1"/>
  <c r="Q21" i="5" a="1"/>
  <c r="Q21" i="5" s="1"/>
  <c r="T21" i="5" a="1"/>
  <c r="T21" i="5" s="1"/>
  <c r="W21" i="5" a="1"/>
  <c r="W21" i="5" s="1"/>
  <c r="W77" i="5" a="1"/>
  <c r="W77" i="5" s="1"/>
  <c r="W126" i="5" s="1"/>
  <c r="F21" i="5" a="1"/>
  <c r="F21" i="5" s="1"/>
  <c r="W67" i="5" a="1"/>
  <c r="W67" i="5" s="1"/>
  <c r="W116" i="5" s="1"/>
  <c r="W83" i="5" a="1"/>
  <c r="W83" i="5" s="1"/>
  <c r="W132" i="5" s="1"/>
  <c r="I21" i="5" a="1"/>
  <c r="I21" i="5" s="1"/>
  <c r="L21" i="5" a="1"/>
  <c r="L21" i="5" s="1"/>
  <c r="E21" i="5" a="1"/>
  <c r="E21" i="5" s="1"/>
  <c r="M21" i="5" a="1"/>
  <c r="M21" i="5" s="1"/>
  <c r="W79" i="5" a="1"/>
  <c r="W79" i="5" s="1"/>
  <c r="W128" i="5" s="1"/>
  <c r="V73" i="5" a="1"/>
  <c r="V73" i="5" s="1"/>
  <c r="V70" i="5" a="1"/>
  <c r="V70" i="5" s="1"/>
  <c r="V78" i="5" a="1"/>
  <c r="V78" i="5" s="1"/>
  <c r="T20" i="5" a="1"/>
  <c r="T20" i="5" s="1"/>
  <c r="J20" i="5" a="1"/>
  <c r="J20" i="5" s="1"/>
  <c r="M20" i="5" a="1"/>
  <c r="M20" i="5" s="1"/>
  <c r="V66" i="5" a="1"/>
  <c r="V66" i="5" s="1"/>
  <c r="V74" i="5" a="1"/>
  <c r="V74" i="5" s="1"/>
  <c r="V75" i="5" a="1"/>
  <c r="V75" i="5" s="1"/>
  <c r="V20" i="5" a="1"/>
  <c r="V20" i="5" s="1"/>
  <c r="R20" i="5" a="1"/>
  <c r="R20" i="5" s="1"/>
  <c r="Q20" i="5" a="1"/>
  <c r="Q20" i="5" s="1"/>
  <c r="V67" i="5" a="1"/>
  <c r="V67" i="5" s="1"/>
  <c r="V72" i="5" a="1"/>
  <c r="V72" i="5" s="1"/>
  <c r="V81" i="5" a="1"/>
  <c r="V81" i="5" s="1"/>
  <c r="I20" i="5" a="1"/>
  <c r="I20" i="5" s="1"/>
  <c r="K20" i="5" a="1"/>
  <c r="K20" i="5" s="1"/>
  <c r="V69" i="5" a="1"/>
  <c r="V69" i="5" s="1"/>
  <c r="V77" i="5" a="1"/>
  <c r="V77" i="5" s="1"/>
  <c r="W20" i="5" a="1"/>
  <c r="W20" i="5" s="1"/>
  <c r="N20" i="5" a="1"/>
  <c r="N20" i="5" s="1"/>
  <c r="V65" i="5" a="1"/>
  <c r="V65" i="5" s="1"/>
  <c r="E20" i="5" a="1"/>
  <c r="E20" i="5" s="1"/>
  <c r="V80" i="5" a="1"/>
  <c r="V80" i="5" s="1"/>
  <c r="F20" i="5" a="1"/>
  <c r="F20" i="5" s="1"/>
  <c r="V79" i="5" a="1"/>
  <c r="V79" i="5" s="1"/>
  <c r="V83" i="5" a="1"/>
  <c r="V83" i="5" s="1"/>
  <c r="V68" i="5" a="1"/>
  <c r="V68" i="5" s="1"/>
  <c r="V76" i="5" a="1"/>
  <c r="V76" i="5" s="1"/>
  <c r="S20" i="5" a="1"/>
  <c r="S20" i="5" s="1"/>
  <c r="V71" i="5" a="1"/>
  <c r="V71" i="5" s="1"/>
  <c r="O20" i="5" a="1"/>
  <c r="O20" i="5" s="1"/>
  <c r="G20" i="5" a="1"/>
  <c r="G20" i="5" s="1"/>
  <c r="L20" i="5" a="1"/>
  <c r="L20" i="5" s="1"/>
  <c r="V82" i="5" a="1"/>
  <c r="V82" i="5" s="1"/>
  <c r="P20" i="5" a="1"/>
  <c r="P20" i="5" s="1"/>
  <c r="H20" i="5" a="1"/>
  <c r="H20" i="5" s="1"/>
  <c r="U20" i="5" a="1"/>
  <c r="U20" i="5" s="1"/>
  <c r="I40" i="10" a="1"/>
  <c r="I40" i="10" s="1"/>
  <c r="U40" i="10" a="1"/>
  <c r="U40" i="10" s="1"/>
  <c r="J40" i="10" a="1"/>
  <c r="J40" i="10" s="1"/>
  <c r="V40" i="10" a="1"/>
  <c r="V40" i="10" s="1"/>
  <c r="K40" i="10" a="1"/>
  <c r="K40" i="10" s="1"/>
  <c r="W40" i="10" a="1"/>
  <c r="W40" i="10" s="1"/>
  <c r="L40" i="10" a="1"/>
  <c r="L40" i="10" s="1"/>
  <c r="X40" i="10" a="1"/>
  <c r="X40" i="10" s="1"/>
  <c r="M40" i="10" a="1"/>
  <c r="M40" i="10" s="1"/>
  <c r="Y40" i="10" a="1"/>
  <c r="Y40" i="10" s="1"/>
  <c r="N40" i="10" a="1"/>
  <c r="N40" i="10" s="1"/>
  <c r="O40" i="10" a="1"/>
  <c r="O40" i="10" s="1"/>
  <c r="P40" i="10" a="1"/>
  <c r="P40" i="10" s="1"/>
  <c r="Q40" i="10" a="1"/>
  <c r="Q40" i="10" s="1"/>
  <c r="H40" i="10" a="1"/>
  <c r="H40" i="10" s="1"/>
  <c r="T40" i="10" a="1"/>
  <c r="T40" i="10" s="1"/>
  <c r="R40" i="10" a="1"/>
  <c r="R40" i="10" s="1"/>
  <c r="S40" i="10" a="1"/>
  <c r="S40" i="10" s="1"/>
  <c r="R65" i="10" a="1"/>
  <c r="R65" i="10" s="1"/>
  <c r="H65" i="10" a="1"/>
  <c r="H65" i="10" s="1"/>
  <c r="I65" i="10" a="1"/>
  <c r="I65" i="10" s="1"/>
  <c r="S65" i="10" a="1"/>
  <c r="S65" i="10" s="1"/>
  <c r="J65" i="10" a="1"/>
  <c r="J65" i="10" s="1"/>
  <c r="T65" i="10" a="1"/>
  <c r="T65" i="10" s="1"/>
  <c r="K65" i="10" a="1"/>
  <c r="K65" i="10" s="1"/>
  <c r="U65" i="10" a="1"/>
  <c r="U65" i="10" s="1"/>
  <c r="L65" i="10" a="1"/>
  <c r="L65" i="10" s="1"/>
  <c r="V65" i="10" a="1"/>
  <c r="V65" i="10" s="1"/>
  <c r="W65" i="10" a="1"/>
  <c r="W65" i="10" s="1"/>
  <c r="M65" i="10" a="1"/>
  <c r="M65" i="10" s="1"/>
  <c r="X65" i="10" a="1"/>
  <c r="X65" i="10" s="1"/>
  <c r="N65" i="10" a="1"/>
  <c r="N65" i="10" s="1"/>
  <c r="Q65" i="10" a="1"/>
  <c r="Q65" i="10" s="1"/>
  <c r="O65" i="10" a="1"/>
  <c r="O65" i="10" s="1"/>
  <c r="P65" i="10" a="1"/>
  <c r="P65" i="10" s="1"/>
  <c r="Y65" i="10" a="1"/>
  <c r="Y65" i="10" s="1"/>
  <c r="K15" i="10" a="1"/>
  <c r="K15" i="10" s="1"/>
  <c r="U15" i="10" a="1"/>
  <c r="U15" i="10" s="1"/>
  <c r="L15" i="10" a="1"/>
  <c r="L15" i="10" s="1"/>
  <c r="V15" i="10" a="1"/>
  <c r="V15" i="10" s="1"/>
  <c r="W15" i="10" a="1"/>
  <c r="W15" i="10" s="1"/>
  <c r="M15" i="10" a="1"/>
  <c r="M15" i="10" s="1"/>
  <c r="X15" i="10" a="1"/>
  <c r="X15" i="10" s="1"/>
  <c r="N15" i="10" a="1"/>
  <c r="N15" i="10" s="1"/>
  <c r="Q15" i="10" a="1"/>
  <c r="Q15" i="10" s="1"/>
  <c r="R15" i="10" a="1"/>
  <c r="R15" i="10" s="1"/>
  <c r="J15" i="10" a="1"/>
  <c r="J15" i="10" s="1"/>
  <c r="T15" i="10" a="1"/>
  <c r="T15" i="10" s="1"/>
  <c r="H15" i="10" a="1"/>
  <c r="H15" i="10" s="1"/>
  <c r="I15" i="10" a="1"/>
  <c r="I15" i="10" s="1"/>
  <c r="O15" i="10" a="1"/>
  <c r="O15" i="10" s="1"/>
  <c r="P15" i="10" a="1"/>
  <c r="P15" i="10" s="1"/>
  <c r="Y15" i="10" a="1"/>
  <c r="Y15" i="10" s="1"/>
  <c r="S15" i="10" a="1"/>
  <c r="S15" i="10" s="1"/>
  <c r="H17" i="10" a="1"/>
  <c r="H17" i="10" s="1"/>
  <c r="H93" i="10" s="1"/>
  <c r="S17" i="10" a="1"/>
  <c r="S17" i="10" s="1"/>
  <c r="S93" i="10" s="1"/>
  <c r="I17" i="10" a="1"/>
  <c r="I17" i="10" s="1"/>
  <c r="I93" i="10" s="1"/>
  <c r="T17" i="10" a="1"/>
  <c r="T17" i="10" s="1"/>
  <c r="T93" i="10" s="1"/>
  <c r="J17" i="10" a="1"/>
  <c r="J17" i="10" s="1"/>
  <c r="J93" i="10" s="1"/>
  <c r="U17" i="10" a="1"/>
  <c r="U17" i="10" s="1"/>
  <c r="U93" i="10" s="1"/>
  <c r="K17" i="10" a="1"/>
  <c r="K17" i="10" s="1"/>
  <c r="K93" i="10" s="1"/>
  <c r="V17" i="10" a="1"/>
  <c r="V17" i="10" s="1"/>
  <c r="V93" i="10" s="1"/>
  <c r="L17" i="10" a="1"/>
  <c r="L17" i="10" s="1"/>
  <c r="L93" i="10" s="1"/>
  <c r="W17" i="10" a="1"/>
  <c r="W17" i="10" s="1"/>
  <c r="W93" i="10" s="1"/>
  <c r="N17" i="10" a="1"/>
  <c r="N17" i="10" s="1"/>
  <c r="N93" i="10" s="1"/>
  <c r="O17" i="10" a="1"/>
  <c r="O17" i="10" s="1"/>
  <c r="O93" i="10" s="1"/>
  <c r="R17" i="10" a="1"/>
  <c r="R17" i="10" s="1"/>
  <c r="R93" i="10" s="1"/>
  <c r="G17" i="10" a="1"/>
  <c r="G17" i="10" s="1"/>
  <c r="G93" i="10" s="1"/>
  <c r="M17" i="10" a="1"/>
  <c r="M17" i="10" s="1"/>
  <c r="M93" i="10" s="1"/>
  <c r="P17" i="10" a="1"/>
  <c r="P17" i="10" s="1"/>
  <c r="P93" i="10" s="1"/>
  <c r="Q17" i="10" a="1"/>
  <c r="Q17" i="10" s="1"/>
  <c r="Q93" i="10" s="1"/>
  <c r="X17" i="10" a="1"/>
  <c r="X17" i="10" s="1"/>
  <c r="X93" i="10" s="1"/>
  <c r="Y17" i="10" a="1"/>
  <c r="Y17" i="10" s="1"/>
  <c r="Y93" i="10" s="1"/>
  <c r="N16" i="10" a="1"/>
  <c r="N16" i="10" s="1"/>
  <c r="N92" i="10" s="1"/>
  <c r="O16" i="10" a="1"/>
  <c r="O16" i="10" s="1"/>
  <c r="O92" i="10" s="1"/>
  <c r="P16" i="10" a="1"/>
  <c r="P16" i="10" s="1"/>
  <c r="P92" i="10" s="1"/>
  <c r="Q16" i="10" a="1"/>
  <c r="Q16" i="10" s="1"/>
  <c r="Q92" i="10" s="1"/>
  <c r="R16" i="10" a="1"/>
  <c r="R16" i="10" s="1"/>
  <c r="R92" i="10" s="1"/>
  <c r="I16" i="10" a="1"/>
  <c r="I16" i="10" s="1"/>
  <c r="I92" i="10" s="1"/>
  <c r="U16" i="10" a="1"/>
  <c r="U16" i="10" s="1"/>
  <c r="U92" i="10" s="1"/>
  <c r="J16" i="10" a="1"/>
  <c r="J16" i="10" s="1"/>
  <c r="J92" i="10" s="1"/>
  <c r="V16" i="10" a="1"/>
  <c r="V16" i="10" s="1"/>
  <c r="V92" i="10" s="1"/>
  <c r="M16" i="10" a="1"/>
  <c r="M16" i="10" s="1"/>
  <c r="M92" i="10" s="1"/>
  <c r="Y16" i="10" a="1"/>
  <c r="Y16" i="10" s="1"/>
  <c r="Y92" i="10" s="1"/>
  <c r="T16" i="10" a="1"/>
  <c r="T16" i="10" s="1"/>
  <c r="T92" i="10" s="1"/>
  <c r="W16" i="10" a="1"/>
  <c r="W16" i="10" s="1"/>
  <c r="W92" i="10" s="1"/>
  <c r="X16" i="10" a="1"/>
  <c r="X16" i="10" s="1"/>
  <c r="X92" i="10" s="1"/>
  <c r="G16" i="10" a="1"/>
  <c r="G16" i="10" s="1"/>
  <c r="G92" i="10" s="1"/>
  <c r="L16" i="10" a="1"/>
  <c r="L16" i="10" s="1"/>
  <c r="L92" i="10" s="1"/>
  <c r="S16" i="10" a="1"/>
  <c r="S16" i="10" s="1"/>
  <c r="S92" i="10" s="1"/>
  <c r="H16" i="10" a="1"/>
  <c r="H16" i="10" s="1"/>
  <c r="H92" i="10" s="1"/>
  <c r="K16" i="10" a="1"/>
  <c r="K16" i="10" s="1"/>
  <c r="K92" i="10" s="1"/>
  <c r="E4" i="5" a="1"/>
  <c r="E4" i="5" s="1"/>
  <c r="W4" i="5" a="1"/>
  <c r="W4" i="5" s="1"/>
  <c r="T4" i="5" a="1"/>
  <c r="T4" i="5" s="1"/>
  <c r="P4" i="5" a="1"/>
  <c r="P4" i="5" s="1"/>
  <c r="N4" i="5" a="1"/>
  <c r="N4" i="5" s="1"/>
  <c r="G4" i="5" a="1"/>
  <c r="G4" i="5" s="1"/>
  <c r="J4" i="5" a="1"/>
  <c r="J4" i="5" s="1"/>
  <c r="Q4" i="5" a="1"/>
  <c r="Q4" i="5" s="1"/>
  <c r="H4" i="5" a="1"/>
  <c r="H4" i="5" s="1"/>
  <c r="F4" i="5" a="1"/>
  <c r="F4" i="5" s="1"/>
  <c r="V4" i="5" a="1"/>
  <c r="V4" i="5" s="1"/>
  <c r="I4" i="5" a="1"/>
  <c r="I4" i="5" s="1"/>
  <c r="O4" i="5" a="1"/>
  <c r="O4" i="5" s="1"/>
  <c r="U4" i="5" a="1"/>
  <c r="U4" i="5" s="1"/>
  <c r="R4" i="5" a="1"/>
  <c r="R4" i="5" s="1"/>
  <c r="K4" i="5" a="1"/>
  <c r="K4" i="5" s="1"/>
  <c r="S4" i="5" a="1"/>
  <c r="S4" i="5" s="1"/>
  <c r="L4" i="5" a="1"/>
  <c r="L4" i="5" s="1"/>
  <c r="M4" i="5" a="1"/>
  <c r="M4" i="5" s="1"/>
  <c r="G65" i="10" a="1"/>
  <c r="G65" i="10" s="1"/>
  <c r="G40" i="10" a="1"/>
  <c r="G40" i="10" s="1"/>
  <c r="G15" i="10" a="1"/>
  <c r="G15" i="10" s="1"/>
  <c r="C188" i="12"/>
  <c r="D91" i="10"/>
  <c r="B10" i="1"/>
  <c r="B115" i="35" s="1"/>
  <c r="C31" i="1"/>
  <c r="W108" i="10" l="1"/>
  <c r="M84" i="10"/>
  <c r="N59" i="10"/>
  <c r="Q59" i="10"/>
  <c r="X126" i="5"/>
  <c r="Y77" i="5"/>
  <c r="Y126" i="5" s="1"/>
  <c r="R79" i="20" s="1"/>
  <c r="X115" i="5"/>
  <c r="Y66" i="5"/>
  <c r="Y115" i="5" s="1"/>
  <c r="R68" i="20" s="1"/>
  <c r="X128" i="5"/>
  <c r="Y79" i="5"/>
  <c r="Y128" i="5" s="1"/>
  <c r="R81" i="20" s="1"/>
  <c r="X116" i="5"/>
  <c r="Y67" i="5"/>
  <c r="Y116" i="5" s="1"/>
  <c r="R69" i="20" s="1"/>
  <c r="X123" i="5"/>
  <c r="Y74" i="5"/>
  <c r="X122" i="5"/>
  <c r="Y73" i="5"/>
  <c r="Y122" i="5" s="1"/>
  <c r="R75" i="20" s="1"/>
  <c r="X117" i="5"/>
  <c r="Y68" i="5"/>
  <c r="Y117" i="5" s="1"/>
  <c r="R70" i="20" s="1"/>
  <c r="X131" i="5"/>
  <c r="Y82" i="5"/>
  <c r="Y131" i="5" s="1"/>
  <c r="R84" i="20" s="1"/>
  <c r="X127" i="5"/>
  <c r="Y78" i="5"/>
  <c r="Y127" i="5" s="1"/>
  <c r="R80" i="20" s="1"/>
  <c r="X119" i="5"/>
  <c r="Y70" i="5"/>
  <c r="Y119" i="5" s="1"/>
  <c r="R72" i="20" s="1"/>
  <c r="X124" i="5"/>
  <c r="Y75" i="5"/>
  <c r="Y124" i="5" s="1"/>
  <c r="R77" i="20" s="1"/>
  <c r="X130" i="5"/>
  <c r="Y81" i="5"/>
  <c r="Y130" i="5" s="1"/>
  <c r="R83" i="20" s="1"/>
  <c r="X129" i="5"/>
  <c r="Y80" i="5"/>
  <c r="Y129" i="5" s="1"/>
  <c r="R82" i="20" s="1"/>
  <c r="X120" i="5"/>
  <c r="Y71" i="5"/>
  <c r="Y120" i="5" s="1"/>
  <c r="R73" i="20" s="1"/>
  <c r="X132" i="5"/>
  <c r="Y83" i="5"/>
  <c r="Y132" i="5" s="1"/>
  <c r="R85" i="20" s="1"/>
  <c r="X121" i="5"/>
  <c r="Y72" i="5"/>
  <c r="Y121" i="5" s="1"/>
  <c r="R74" i="20" s="1"/>
  <c r="X118" i="5"/>
  <c r="Y69" i="5"/>
  <c r="X125" i="5"/>
  <c r="Y76" i="5"/>
  <c r="Y125" i="5" s="1"/>
  <c r="R78" i="20" s="1"/>
  <c r="S84" i="10"/>
  <c r="Y84" i="10"/>
  <c r="W59" i="10"/>
  <c r="Q109" i="10"/>
  <c r="H108" i="10"/>
  <c r="R107" i="10"/>
  <c r="F141" i="20"/>
  <c r="F146" i="20"/>
  <c r="F143" i="20"/>
  <c r="F144" i="20"/>
  <c r="F137" i="20"/>
  <c r="F135" i="20"/>
  <c r="F134" i="20"/>
  <c r="F147" i="20"/>
  <c r="F149" i="20"/>
  <c r="F151" i="20"/>
  <c r="F139" i="20"/>
  <c r="F136" i="20"/>
  <c r="F138" i="20"/>
  <c r="F142" i="20"/>
  <c r="F140" i="20"/>
  <c r="F150" i="20"/>
  <c r="C211" i="26"/>
  <c r="G92" i="20"/>
  <c r="G99" i="20"/>
  <c r="G101" i="20"/>
  <c r="G105" i="20"/>
  <c r="G103" i="20"/>
  <c r="G98" i="20"/>
  <c r="G102" i="20"/>
  <c r="G107" i="20"/>
  <c r="G97" i="20"/>
  <c r="G110" i="20"/>
  <c r="G104" i="20"/>
  <c r="G93" i="20"/>
  <c r="G109" i="20"/>
  <c r="G108" i="20"/>
  <c r="G106" i="20"/>
  <c r="G100" i="20"/>
  <c r="C145" i="20"/>
  <c r="C136" i="20"/>
  <c r="C146" i="20"/>
  <c r="C135" i="20"/>
  <c r="C151" i="20"/>
  <c r="C140" i="20"/>
  <c r="C149" i="20"/>
  <c r="C139" i="20"/>
  <c r="C141" i="20"/>
  <c r="C144" i="20"/>
  <c r="C147" i="20"/>
  <c r="C138" i="20"/>
  <c r="C143" i="20"/>
  <c r="C148" i="20"/>
  <c r="C142" i="20"/>
  <c r="C150" i="20"/>
  <c r="C137" i="20"/>
  <c r="C125" i="20"/>
  <c r="C134" i="20"/>
  <c r="C133" i="20"/>
  <c r="P146" i="20"/>
  <c r="P134" i="20"/>
  <c r="P141" i="20"/>
  <c r="P148" i="20"/>
  <c r="P150" i="20"/>
  <c r="P139" i="20"/>
  <c r="P149" i="20"/>
  <c r="P143" i="20"/>
  <c r="P144" i="20"/>
  <c r="P138" i="20"/>
  <c r="P136" i="20"/>
  <c r="P147" i="20"/>
  <c r="P137" i="20"/>
  <c r="P142" i="20"/>
  <c r="P145" i="20"/>
  <c r="P135" i="20"/>
  <c r="P140" i="20"/>
  <c r="P151" i="20"/>
  <c r="P133" i="20"/>
  <c r="F118" i="20"/>
  <c r="M150" i="20"/>
  <c r="M136" i="20"/>
  <c r="M145" i="20"/>
  <c r="M137" i="20"/>
  <c r="M146" i="20"/>
  <c r="M149" i="20"/>
  <c r="M147" i="20"/>
  <c r="J125" i="20"/>
  <c r="J133" i="20"/>
  <c r="M143" i="20"/>
  <c r="M135" i="20"/>
  <c r="M140" i="20"/>
  <c r="M139" i="20"/>
  <c r="M148" i="20"/>
  <c r="M141" i="20"/>
  <c r="M151" i="20"/>
  <c r="M138" i="20"/>
  <c r="M134" i="20"/>
  <c r="M144" i="20"/>
  <c r="M142" i="20"/>
  <c r="M133" i="20"/>
  <c r="AB134" i="20"/>
  <c r="AB135" i="20"/>
  <c r="AB146" i="20"/>
  <c r="AB136" i="20"/>
  <c r="AB141" i="20"/>
  <c r="AB148" i="20"/>
  <c r="AB143" i="20"/>
  <c r="AB151" i="20"/>
  <c r="AB140" i="20"/>
  <c r="AB149" i="20"/>
  <c r="AB133" i="20"/>
  <c r="AB145" i="20"/>
  <c r="AB150" i="20"/>
  <c r="AB138" i="20"/>
  <c r="T125" i="20"/>
  <c r="AB142" i="20"/>
  <c r="AB147" i="20"/>
  <c r="AB137" i="20"/>
  <c r="AB139" i="20"/>
  <c r="AB144" i="20"/>
  <c r="AE133" i="20"/>
  <c r="AH133" i="20"/>
  <c r="AJ149" i="20"/>
  <c r="AC142" i="20"/>
  <c r="AG151" i="20"/>
  <c r="AE140" i="20"/>
  <c r="AF142" i="20"/>
  <c r="AC136" i="20"/>
  <c r="AE137" i="20"/>
  <c r="AK133" i="20"/>
  <c r="AC140" i="20"/>
  <c r="AC146" i="20"/>
  <c r="AF144" i="20"/>
  <c r="AI135" i="20"/>
  <c r="AI151" i="20"/>
  <c r="AH147" i="20"/>
  <c r="AE142" i="20"/>
  <c r="AH140" i="20"/>
  <c r="AJ145" i="20"/>
  <c r="AC134" i="20"/>
  <c r="AH141" i="20"/>
  <c r="AE151" i="20"/>
  <c r="AG139" i="20"/>
  <c r="AC151" i="20"/>
  <c r="AI150" i="20"/>
  <c r="AJ148" i="20"/>
  <c r="AL148" i="20"/>
  <c r="AK134" i="20"/>
  <c r="AL134" i="20"/>
  <c r="AJ146" i="20"/>
  <c r="AL139" i="20"/>
  <c r="AJ150" i="20"/>
  <c r="AJ134" i="20"/>
  <c r="AH144" i="20"/>
  <c r="AC148" i="20"/>
  <c r="AK143" i="20"/>
  <c r="AH135" i="20"/>
  <c r="AK136" i="20"/>
  <c r="AJ140" i="20"/>
  <c r="AG144" i="20"/>
  <c r="AI146" i="20"/>
  <c r="AL146" i="20"/>
  <c r="AK144" i="20"/>
  <c r="AG134" i="20"/>
  <c r="AI137" i="20"/>
  <c r="AF139" i="20"/>
  <c r="AK147" i="20"/>
  <c r="AF136" i="20"/>
  <c r="AJ135" i="20"/>
  <c r="AE145" i="20"/>
  <c r="AK148" i="20"/>
  <c r="AH136" i="20"/>
  <c r="AE144" i="20"/>
  <c r="AG145" i="20"/>
  <c r="AG149" i="20"/>
  <c r="AF151" i="20"/>
  <c r="AJ151" i="20"/>
  <c r="AC137" i="20"/>
  <c r="AF145" i="20"/>
  <c r="AH143" i="20"/>
  <c r="AJ142" i="20"/>
  <c r="AF146" i="20"/>
  <c r="AL151" i="20"/>
  <c r="AK149" i="20"/>
  <c r="AI142" i="20"/>
  <c r="AE135" i="20"/>
  <c r="AC138" i="20"/>
  <c r="AH138" i="20"/>
  <c r="AL138" i="20"/>
  <c r="AG142" i="20"/>
  <c r="AI140" i="20"/>
  <c r="AF133" i="20"/>
  <c r="AE149" i="20"/>
  <c r="AK135" i="20"/>
  <c r="AK141" i="20"/>
  <c r="AL140" i="20"/>
  <c r="AJ136" i="20"/>
  <c r="AG133" i="20"/>
  <c r="AG136" i="20"/>
  <c r="AK142" i="20"/>
  <c r="AG146" i="20"/>
  <c r="AI144" i="20"/>
  <c r="AL144" i="20"/>
  <c r="AJ143" i="20"/>
  <c r="AI143" i="20"/>
  <c r="AE143" i="20"/>
  <c r="AK138" i="20"/>
  <c r="AJ139" i="20"/>
  <c r="AH151" i="20"/>
  <c r="AF137" i="20"/>
  <c r="AH142" i="20"/>
  <c r="AC139" i="20"/>
  <c r="AE138" i="20"/>
  <c r="AL137" i="20"/>
  <c r="AH137" i="20"/>
  <c r="AJ147" i="20"/>
  <c r="AJ133" i="20"/>
  <c r="AK137" i="20"/>
  <c r="AG141" i="20"/>
  <c r="AH148" i="20"/>
  <c r="AI136" i="20"/>
  <c r="AJ137" i="20"/>
  <c r="AF143" i="20"/>
  <c r="AG135" i="20"/>
  <c r="AE150" i="20"/>
  <c r="AL141" i="20"/>
  <c r="AI147" i="20"/>
  <c r="AG147" i="20"/>
  <c r="AG150" i="20"/>
  <c r="AL135" i="20"/>
  <c r="AF135" i="20"/>
  <c r="AF148" i="20"/>
  <c r="AL143" i="20"/>
  <c r="AH134" i="20"/>
  <c r="AI139" i="20"/>
  <c r="AG143" i="20"/>
  <c r="AJ141" i="20"/>
  <c r="AL133" i="20"/>
  <c r="AI138" i="20"/>
  <c r="AH149" i="20"/>
  <c r="AE141" i="20"/>
  <c r="AG138" i="20"/>
  <c r="AK146" i="20"/>
  <c r="AK151" i="20"/>
  <c r="AH145" i="20"/>
  <c r="AK140" i="20"/>
  <c r="AF150" i="20"/>
  <c r="AF149" i="20"/>
  <c r="AL147" i="20"/>
  <c r="AI148" i="20"/>
  <c r="AK145" i="20"/>
  <c r="AE148" i="20"/>
  <c r="AF141" i="20"/>
  <c r="AC149" i="20"/>
  <c r="AF138" i="20"/>
  <c r="AL149" i="20"/>
  <c r="AC141" i="20"/>
  <c r="AI145" i="20"/>
  <c r="AE147" i="20"/>
  <c r="AE139" i="20"/>
  <c r="AC135" i="20"/>
  <c r="AL145" i="20"/>
  <c r="AE136" i="20"/>
  <c r="AK139" i="20"/>
  <c r="AI133" i="20"/>
  <c r="AG137" i="20"/>
  <c r="AH150" i="20"/>
  <c r="AL136" i="20"/>
  <c r="AK150" i="20"/>
  <c r="AC145" i="20"/>
  <c r="AH146" i="20"/>
  <c r="AF147" i="20"/>
  <c r="S125" i="20"/>
  <c r="AI149" i="20"/>
  <c r="AC143" i="20"/>
  <c r="AF134" i="20"/>
  <c r="AI134" i="20"/>
  <c r="AE146" i="20"/>
  <c r="AF140" i="20"/>
  <c r="AJ138" i="20"/>
  <c r="AG148" i="20"/>
  <c r="AH139" i="20"/>
  <c r="AL150" i="20"/>
  <c r="AJ144" i="20"/>
  <c r="AG140" i="20"/>
  <c r="AE134" i="20"/>
  <c r="AI141" i="20"/>
  <c r="AL142" i="20"/>
  <c r="AD137" i="20"/>
  <c r="L108" i="20"/>
  <c r="AC133" i="20"/>
  <c r="AM151" i="20"/>
  <c r="AD143" i="20"/>
  <c r="AM147" i="20"/>
  <c r="AM145" i="20"/>
  <c r="K118" i="20"/>
  <c r="L107" i="20"/>
  <c r="AM135" i="20"/>
  <c r="AD148" i="20"/>
  <c r="AM133" i="20"/>
  <c r="L101" i="20"/>
  <c r="AD135" i="20"/>
  <c r="AM140" i="20"/>
  <c r="L105" i="20"/>
  <c r="AD145" i="20"/>
  <c r="AD139" i="20"/>
  <c r="AM150" i="20"/>
  <c r="L104" i="20"/>
  <c r="L97" i="20"/>
  <c r="AD140" i="20"/>
  <c r="AC150" i="20"/>
  <c r="AD151" i="20"/>
  <c r="AD149" i="20"/>
  <c r="L102" i="20"/>
  <c r="L98" i="20"/>
  <c r="L109" i="20"/>
  <c r="AD146" i="20"/>
  <c r="AM138" i="20"/>
  <c r="AD136" i="20"/>
  <c r="L103" i="20"/>
  <c r="AM136" i="20"/>
  <c r="L99" i="20"/>
  <c r="AM146" i="20"/>
  <c r="AD141" i="20"/>
  <c r="AM137" i="20"/>
  <c r="AM148" i="20"/>
  <c r="AC144" i="20"/>
  <c r="AM142" i="20"/>
  <c r="L100" i="20"/>
  <c r="AM144" i="20"/>
  <c r="AM141" i="20"/>
  <c r="AD142" i="20"/>
  <c r="L110" i="20"/>
  <c r="AM143" i="20"/>
  <c r="AD138" i="20"/>
  <c r="AM139" i="20"/>
  <c r="L106" i="20"/>
  <c r="AM149" i="20"/>
  <c r="AM134" i="20"/>
  <c r="AC147" i="20"/>
  <c r="AN137" i="20"/>
  <c r="I143" i="20"/>
  <c r="AN148" i="20"/>
  <c r="AN141" i="20"/>
  <c r="AN135" i="20"/>
  <c r="AN140" i="20"/>
  <c r="I137" i="20"/>
  <c r="I144" i="20"/>
  <c r="AN151" i="20"/>
  <c r="I148" i="20"/>
  <c r="AN143" i="20"/>
  <c r="I151" i="20"/>
  <c r="I145" i="20"/>
  <c r="AD150" i="20"/>
  <c r="AN149" i="20"/>
  <c r="L92" i="20"/>
  <c r="I146" i="20"/>
  <c r="I147" i="20"/>
  <c r="I139" i="20"/>
  <c r="AN136" i="20"/>
  <c r="I138" i="20"/>
  <c r="AN138" i="20"/>
  <c r="I142" i="20"/>
  <c r="I149" i="20"/>
  <c r="I134" i="20"/>
  <c r="AD144" i="20"/>
  <c r="I140" i="20"/>
  <c r="L93" i="20"/>
  <c r="I135" i="20"/>
  <c r="AN146" i="20"/>
  <c r="I136" i="20"/>
  <c r="AD133" i="20"/>
  <c r="I141" i="20"/>
  <c r="AD134" i="20"/>
  <c r="I150" i="20"/>
  <c r="AN139" i="20"/>
  <c r="AN145" i="20"/>
  <c r="AD147" i="20"/>
  <c r="AN142" i="20"/>
  <c r="X136" i="20"/>
  <c r="X147" i="20"/>
  <c r="AN144" i="20"/>
  <c r="X139" i="20"/>
  <c r="X144" i="20"/>
  <c r="X135" i="20"/>
  <c r="X145" i="20"/>
  <c r="X134" i="20"/>
  <c r="X140" i="20"/>
  <c r="X141" i="20"/>
  <c r="X149" i="20"/>
  <c r="X148" i="20"/>
  <c r="I133" i="20"/>
  <c r="X142" i="20"/>
  <c r="AN150" i="20"/>
  <c r="X137" i="20"/>
  <c r="X133" i="20"/>
  <c r="X150" i="20"/>
  <c r="AN133" i="20"/>
  <c r="AN147" i="20"/>
  <c r="X151" i="20"/>
  <c r="X143" i="20"/>
  <c r="X138" i="20"/>
  <c r="AN134" i="20"/>
  <c r="X146" i="20"/>
  <c r="W143" i="20"/>
  <c r="J118" i="20"/>
  <c r="Y146" i="20"/>
  <c r="W144" i="20"/>
  <c r="Y137" i="20"/>
  <c r="W138" i="20"/>
  <c r="W140" i="20"/>
  <c r="W134" i="20"/>
  <c r="Y141" i="20"/>
  <c r="Y139" i="20"/>
  <c r="W139" i="20"/>
  <c r="Y147" i="20"/>
  <c r="W133" i="20"/>
  <c r="W146" i="20"/>
  <c r="W135" i="20"/>
  <c r="Y134" i="20"/>
  <c r="Y150" i="20"/>
  <c r="Y140" i="20"/>
  <c r="Y133" i="20"/>
  <c r="W150" i="20"/>
  <c r="W151" i="20"/>
  <c r="Y144" i="20"/>
  <c r="W148" i="20"/>
  <c r="W149" i="20"/>
  <c r="Y145" i="20"/>
  <c r="Y149" i="20"/>
  <c r="W142" i="20"/>
  <c r="W137" i="20"/>
  <c r="Y148" i="20"/>
  <c r="Y142" i="20"/>
  <c r="W136" i="20"/>
  <c r="Y135" i="20"/>
  <c r="W145" i="20"/>
  <c r="W147" i="20"/>
  <c r="Y143" i="20"/>
  <c r="Y136" i="20"/>
  <c r="W141" i="20"/>
  <c r="Y151" i="20"/>
  <c r="K93" i="20"/>
  <c r="AA141" i="20"/>
  <c r="AA140" i="20"/>
  <c r="K99" i="20"/>
  <c r="K92" i="20"/>
  <c r="K102" i="20"/>
  <c r="K101" i="20"/>
  <c r="AA142" i="20"/>
  <c r="AA143" i="20"/>
  <c r="R125" i="20"/>
  <c r="AA135" i="20"/>
  <c r="AA136" i="20"/>
  <c r="AA133" i="20"/>
  <c r="Y138" i="20"/>
  <c r="AA134" i="20"/>
  <c r="K100" i="20"/>
  <c r="AA137" i="20"/>
  <c r="Z149" i="20"/>
  <c r="Z138" i="20"/>
  <c r="Z144" i="20"/>
  <c r="AA146" i="20"/>
  <c r="AA144" i="20"/>
  <c r="AA147" i="20"/>
  <c r="AA139" i="20"/>
  <c r="AA148" i="20"/>
  <c r="Z134" i="20"/>
  <c r="Z142" i="20"/>
  <c r="Z148" i="20"/>
  <c r="Z137" i="20"/>
  <c r="K98" i="20"/>
  <c r="Z136" i="20"/>
  <c r="AA149" i="20"/>
  <c r="K103" i="20"/>
  <c r="K106" i="20"/>
  <c r="Z139" i="20"/>
  <c r="Z143" i="20"/>
  <c r="AA138" i="20"/>
  <c r="AA151" i="20"/>
  <c r="Z141" i="20"/>
  <c r="Z146" i="20"/>
  <c r="K97" i="20"/>
  <c r="AA145" i="20"/>
  <c r="AA150" i="20"/>
  <c r="K110" i="20"/>
  <c r="Z147" i="20"/>
  <c r="Z140" i="20"/>
  <c r="Z150" i="20"/>
  <c r="Z133" i="20"/>
  <c r="Z151" i="20"/>
  <c r="K108" i="20"/>
  <c r="Z135" i="20"/>
  <c r="K109" i="20"/>
  <c r="K105" i="20"/>
  <c r="K104" i="20"/>
  <c r="Z145" i="20"/>
  <c r="K107" i="20"/>
  <c r="F148" i="20"/>
  <c r="F145" i="20"/>
  <c r="K84" i="10"/>
  <c r="O59" i="10"/>
  <c r="Q84" i="10"/>
  <c r="G108" i="10"/>
  <c r="L107" i="10"/>
  <c r="X109" i="10"/>
  <c r="H107" i="10"/>
  <c r="H84" i="10"/>
  <c r="X108" i="10"/>
  <c r="M59" i="10"/>
  <c r="V109" i="10"/>
  <c r="O109" i="10"/>
  <c r="Y107" i="10"/>
  <c r="M107" i="10"/>
  <c r="P59" i="10"/>
  <c r="R109" i="10"/>
  <c r="Y59" i="10"/>
  <c r="L84" i="10"/>
  <c r="R84" i="10"/>
  <c r="O84" i="10"/>
  <c r="U84" i="10"/>
  <c r="U59" i="10"/>
  <c r="R59" i="10"/>
  <c r="T84" i="10"/>
  <c r="X59" i="10"/>
  <c r="O108" i="10"/>
  <c r="X84" i="10"/>
  <c r="H59" i="10"/>
  <c r="T109" i="10"/>
  <c r="M109" i="10"/>
  <c r="I84" i="10"/>
  <c r="K59" i="10"/>
  <c r="K107" i="10"/>
  <c r="J107" i="10"/>
  <c r="T108" i="10"/>
  <c r="I107" i="10"/>
  <c r="W84" i="10"/>
  <c r="V84" i="10"/>
  <c r="V59" i="10"/>
  <c r="G109" i="10"/>
  <c r="O107" i="10"/>
  <c r="P109" i="10"/>
  <c r="P84" i="10"/>
  <c r="J59" i="10"/>
  <c r="K109" i="10"/>
  <c r="N108" i="10"/>
  <c r="L108" i="10"/>
  <c r="J109" i="10"/>
  <c r="U109" i="10"/>
  <c r="L109" i="10"/>
  <c r="Y109" i="10"/>
  <c r="S59" i="10"/>
  <c r="I108" i="10"/>
  <c r="P108" i="10"/>
  <c r="K108" i="10"/>
  <c r="N109" i="10"/>
  <c r="Y108" i="10"/>
  <c r="T107" i="10"/>
  <c r="I59" i="10"/>
  <c r="W107" i="10"/>
  <c r="Q107" i="10"/>
  <c r="H109" i="10"/>
  <c r="N107" i="10"/>
  <c r="P107" i="10"/>
  <c r="J108" i="10"/>
  <c r="X107" i="10"/>
  <c r="R108" i="10"/>
  <c r="N84" i="10"/>
  <c r="T59" i="10"/>
  <c r="V108" i="10"/>
  <c r="S109" i="10"/>
  <c r="S108" i="10"/>
  <c r="U108" i="10"/>
  <c r="I109" i="10"/>
  <c r="S107" i="10"/>
  <c r="J84" i="10"/>
  <c r="L59" i="10"/>
  <c r="M108" i="10"/>
  <c r="Q108" i="10"/>
  <c r="G107" i="10"/>
  <c r="W109" i="10"/>
  <c r="V107" i="10"/>
  <c r="B138" i="5"/>
  <c r="E23" i="5"/>
  <c r="E60" i="20"/>
  <c r="X91" i="10"/>
  <c r="H91" i="10"/>
  <c r="W91" i="10"/>
  <c r="T91" i="10"/>
  <c r="G34" i="10"/>
  <c r="O91" i="10"/>
  <c r="V91" i="10"/>
  <c r="S91" i="10"/>
  <c r="U91" i="10"/>
  <c r="Y91" i="10"/>
  <c r="I91" i="10"/>
  <c r="M91" i="10"/>
  <c r="J91" i="10"/>
  <c r="L91" i="10"/>
  <c r="R91" i="10"/>
  <c r="Q91" i="10"/>
  <c r="K91" i="10"/>
  <c r="P91" i="10"/>
  <c r="N91" i="10"/>
  <c r="O114" i="5"/>
  <c r="O84" i="5"/>
  <c r="V129" i="5"/>
  <c r="V124" i="5"/>
  <c r="V114" i="5"/>
  <c r="Y65" i="5"/>
  <c r="V123" i="5"/>
  <c r="Y123" i="5"/>
  <c r="R76" i="20" s="1"/>
  <c r="V120" i="5"/>
  <c r="V126" i="5"/>
  <c r="V115" i="5"/>
  <c r="V131" i="5"/>
  <c r="V118" i="5"/>
  <c r="Y118" i="5"/>
  <c r="R71" i="20" s="1"/>
  <c r="V125" i="5"/>
  <c r="V117" i="5"/>
  <c r="V132" i="5"/>
  <c r="V130" i="5"/>
  <c r="V127" i="5"/>
  <c r="V128" i="5"/>
  <c r="V121" i="5"/>
  <c r="V119" i="5"/>
  <c r="V116" i="5"/>
  <c r="V122" i="5"/>
  <c r="C136" i="10"/>
  <c r="C133" i="10"/>
  <c r="C121" i="10"/>
  <c r="C122" i="10"/>
  <c r="C132" i="10"/>
  <c r="C119" i="10"/>
  <c r="C120" i="10"/>
  <c r="C130" i="10"/>
  <c r="C129" i="10"/>
  <c r="C123" i="10"/>
  <c r="C128" i="10"/>
  <c r="C118" i="10"/>
  <c r="C127" i="10"/>
  <c r="C135" i="10"/>
  <c r="C126" i="10"/>
  <c r="C134" i="10"/>
  <c r="C125" i="10"/>
  <c r="C124" i="10"/>
  <c r="C131" i="10"/>
  <c r="D135" i="10"/>
  <c r="D132" i="10"/>
  <c r="D128" i="10"/>
  <c r="D118" i="10"/>
  <c r="D130" i="10"/>
  <c r="D129" i="10"/>
  <c r="D119" i="10"/>
  <c r="D124" i="10"/>
  <c r="D126" i="10"/>
  <c r="D121" i="10"/>
  <c r="D125" i="10"/>
  <c r="D120" i="10"/>
  <c r="D134" i="10"/>
  <c r="D127" i="10"/>
  <c r="D123" i="10"/>
  <c r="D131" i="10"/>
  <c r="D133" i="10"/>
  <c r="D136" i="10"/>
  <c r="D122" i="10"/>
  <c r="B11" i="35"/>
  <c r="B63" i="35"/>
  <c r="K197" i="12" a="1"/>
  <c r="K197" i="12" s="1"/>
  <c r="W197" i="12" a="1"/>
  <c r="W197" i="12" s="1"/>
  <c r="L197" i="12" a="1"/>
  <c r="L197" i="12" s="1"/>
  <c r="X197" i="12" a="1"/>
  <c r="X197" i="12" s="1"/>
  <c r="I197" i="12" a="1"/>
  <c r="I197" i="12" s="1"/>
  <c r="M197" i="12" a="1"/>
  <c r="M197" i="12" s="1"/>
  <c r="F197" i="12" a="1"/>
  <c r="F197" i="12" s="1"/>
  <c r="N197" i="12" a="1"/>
  <c r="N197" i="12" s="1"/>
  <c r="U197" i="12" a="1"/>
  <c r="U197" i="12" s="1"/>
  <c r="O197" i="12" a="1"/>
  <c r="O197" i="12" s="1"/>
  <c r="P197" i="12" a="1"/>
  <c r="P197" i="12" s="1"/>
  <c r="Q197" i="12" a="1"/>
  <c r="Q197" i="12" s="1"/>
  <c r="T197" i="12" a="1"/>
  <c r="T197" i="12" s="1"/>
  <c r="R197" i="12" a="1"/>
  <c r="R197" i="12" s="1"/>
  <c r="H197" i="12" a="1"/>
  <c r="H197" i="12" s="1"/>
  <c r="G197" i="12" a="1"/>
  <c r="G197" i="12" s="1"/>
  <c r="S197" i="12" a="1"/>
  <c r="S197" i="12" s="1"/>
  <c r="J197" i="12" a="1"/>
  <c r="J197" i="12" s="1"/>
  <c r="V197" i="12" a="1"/>
  <c r="V197" i="12" s="1"/>
  <c r="U196" i="12" a="1"/>
  <c r="U196" i="12" s="1"/>
  <c r="P196" i="12" a="1"/>
  <c r="P196" i="12" s="1"/>
  <c r="J196" i="12" a="1"/>
  <c r="J196" i="12" s="1"/>
  <c r="R196" i="12" a="1"/>
  <c r="R196" i="12" s="1"/>
  <c r="V196" i="12" a="1"/>
  <c r="V196" i="12" s="1"/>
  <c r="T196" i="12" a="1"/>
  <c r="T196" i="12" s="1"/>
  <c r="Q196" i="12" a="1"/>
  <c r="Q196" i="12" s="1"/>
  <c r="N196" i="12" a="1"/>
  <c r="N196" i="12" s="1"/>
  <c r="K196" i="12" a="1"/>
  <c r="K196" i="12" s="1"/>
  <c r="F196" i="12" a="1"/>
  <c r="F196" i="12" s="1"/>
  <c r="W196" i="12" a="1"/>
  <c r="W196" i="12" s="1"/>
  <c r="H196" i="12" a="1"/>
  <c r="H196" i="12" s="1"/>
  <c r="L196" i="12" a="1"/>
  <c r="L196" i="12" s="1"/>
  <c r="G196" i="12" a="1"/>
  <c r="G196" i="12" s="1"/>
  <c r="X196" i="12" a="1"/>
  <c r="X196" i="12" s="1"/>
  <c r="S196" i="12" a="1"/>
  <c r="S196" i="12" s="1"/>
  <c r="M196" i="12" a="1"/>
  <c r="M196" i="12" s="1"/>
  <c r="I196" i="12" a="1"/>
  <c r="I196" i="12" s="1"/>
  <c r="O196" i="12" a="1"/>
  <c r="O196" i="12" s="1"/>
  <c r="Q125" i="20"/>
  <c r="G91" i="10"/>
  <c r="B201" i="26"/>
  <c r="B197" i="26"/>
  <c r="B190" i="26"/>
  <c r="B200" i="26"/>
  <c r="B196" i="26"/>
  <c r="B203" i="26"/>
  <c r="B195" i="26"/>
  <c r="B205" i="26"/>
  <c r="B192" i="26"/>
  <c r="B204" i="26"/>
  <c r="B189" i="26"/>
  <c r="B188" i="26"/>
  <c r="B194" i="26"/>
  <c r="B199" i="26"/>
  <c r="B187" i="26"/>
  <c r="B193" i="26"/>
  <c r="B191" i="26"/>
  <c r="B198" i="26"/>
  <c r="B202" i="26"/>
  <c r="S159" i="20"/>
  <c r="F188" i="26"/>
  <c r="E202" i="26"/>
  <c r="E189" i="26"/>
  <c r="E200" i="26"/>
  <c r="J203" i="26"/>
  <c r="H199" i="26"/>
  <c r="E203" i="26"/>
  <c r="J204" i="26"/>
  <c r="D203" i="26"/>
  <c r="K201" i="26"/>
  <c r="G188" i="26"/>
  <c r="J200" i="26"/>
  <c r="F204" i="26"/>
  <c r="K193" i="26"/>
  <c r="J195" i="26"/>
  <c r="E187" i="26"/>
  <c r="H188" i="26"/>
  <c r="J187" i="26"/>
  <c r="G201" i="26"/>
  <c r="J199" i="26"/>
  <c r="F199" i="26"/>
  <c r="F191" i="26"/>
  <c r="F192" i="26"/>
  <c r="J197" i="26"/>
  <c r="G195" i="26"/>
  <c r="J205" i="26"/>
  <c r="J194" i="26"/>
  <c r="I202" i="26"/>
  <c r="E190" i="26"/>
  <c r="I191" i="26"/>
  <c r="F187" i="26"/>
  <c r="K189" i="26"/>
  <c r="K192" i="26"/>
  <c r="J198" i="26"/>
  <c r="F205" i="26"/>
  <c r="D188" i="26"/>
  <c r="I198" i="26"/>
  <c r="G205" i="26"/>
  <c r="F203" i="26"/>
  <c r="E193" i="26"/>
  <c r="I200" i="26"/>
  <c r="K199" i="26"/>
  <c r="F202" i="26"/>
  <c r="D204" i="26"/>
  <c r="H197" i="26"/>
  <c r="K187" i="26"/>
  <c r="G203" i="26"/>
  <c r="F198" i="26"/>
  <c r="G196" i="26"/>
  <c r="D190" i="26"/>
  <c r="H195" i="26"/>
  <c r="K188" i="26"/>
  <c r="I203" i="26"/>
  <c r="H189" i="26"/>
  <c r="J191" i="26"/>
  <c r="G191" i="26"/>
  <c r="F201" i="26"/>
  <c r="D199" i="26"/>
  <c r="F197" i="26"/>
  <c r="I189" i="26"/>
  <c r="K197" i="26"/>
  <c r="I201" i="26"/>
  <c r="J196" i="26"/>
  <c r="G190" i="26"/>
  <c r="K198" i="26"/>
  <c r="H187" i="26"/>
  <c r="D191" i="26"/>
  <c r="J202" i="26"/>
  <c r="F196" i="26"/>
  <c r="D192" i="26"/>
  <c r="J192" i="26"/>
  <c r="D196" i="26"/>
  <c r="K203" i="26"/>
  <c r="D193" i="26"/>
  <c r="F190" i="26"/>
  <c r="K202" i="26"/>
  <c r="F200" i="26"/>
  <c r="G204" i="26"/>
  <c r="D200" i="26"/>
  <c r="H196" i="26"/>
  <c r="K196" i="26"/>
  <c r="H201" i="26"/>
  <c r="I196" i="26"/>
  <c r="K204" i="26"/>
  <c r="D205" i="26"/>
  <c r="G197" i="26"/>
  <c r="D197" i="26"/>
  <c r="G202" i="26"/>
  <c r="G187" i="26"/>
  <c r="D194" i="26"/>
  <c r="F194" i="26"/>
  <c r="E195" i="26"/>
  <c r="I205" i="26"/>
  <c r="K205" i="26"/>
  <c r="H194" i="26"/>
  <c r="E205" i="26"/>
  <c r="E191" i="26"/>
  <c r="H192" i="26"/>
  <c r="I199" i="26"/>
  <c r="F189" i="26"/>
  <c r="G199" i="26"/>
  <c r="G193" i="26"/>
  <c r="H200" i="26"/>
  <c r="G198" i="26"/>
  <c r="E198" i="26"/>
  <c r="I195" i="26"/>
  <c r="J189" i="26"/>
  <c r="E188" i="26"/>
  <c r="J190" i="26"/>
  <c r="G194" i="26"/>
  <c r="H205" i="26"/>
  <c r="I194" i="26"/>
  <c r="I193" i="26"/>
  <c r="J201" i="26"/>
  <c r="D202" i="26"/>
  <c r="I197" i="26"/>
  <c r="D195" i="26"/>
  <c r="H191" i="26"/>
  <c r="H204" i="26"/>
  <c r="I188" i="26"/>
  <c r="E196" i="26"/>
  <c r="I187" i="26"/>
  <c r="K190" i="26"/>
  <c r="J188" i="26"/>
  <c r="D201" i="26"/>
  <c r="E197" i="26"/>
  <c r="G189" i="26"/>
  <c r="H203" i="26"/>
  <c r="G200" i="26"/>
  <c r="E201" i="26"/>
  <c r="I190" i="26"/>
  <c r="I204" i="26"/>
  <c r="I192" i="26"/>
  <c r="F193" i="26"/>
  <c r="K195" i="26"/>
  <c r="H202" i="26"/>
  <c r="K194" i="26"/>
  <c r="E204" i="26"/>
  <c r="H190" i="26"/>
  <c r="D198" i="26"/>
  <c r="J193" i="26"/>
  <c r="D189" i="26"/>
  <c r="H198" i="26"/>
  <c r="F195" i="26"/>
  <c r="E199" i="26"/>
  <c r="H193" i="26"/>
  <c r="K191" i="26"/>
  <c r="E192" i="26"/>
  <c r="K200" i="26"/>
  <c r="G192" i="26"/>
  <c r="E194" i="26"/>
  <c r="D187" i="26"/>
  <c r="C191" i="26"/>
  <c r="C199" i="26"/>
  <c r="C202" i="26"/>
  <c r="C190" i="26"/>
  <c r="V125" i="20"/>
  <c r="V159" i="20" s="1"/>
  <c r="C205" i="26"/>
  <c r="X125" i="20"/>
  <c r="X159" i="20" s="1"/>
  <c r="C189" i="26"/>
  <c r="C196" i="26"/>
  <c r="U125" i="20"/>
  <c r="U159" i="20" s="1"/>
  <c r="C201" i="26"/>
  <c r="C198" i="26"/>
  <c r="W125" i="20"/>
  <c r="W159" i="20" s="1"/>
  <c r="C192" i="26"/>
  <c r="C204" i="26"/>
  <c r="Z125" i="20"/>
  <c r="Z159" i="20" s="1"/>
  <c r="AB125" i="20"/>
  <c r="AB159" i="20" s="1"/>
  <c r="C194" i="26"/>
  <c r="AA125" i="20"/>
  <c r="AA159" i="20" s="1"/>
  <c r="C200" i="26"/>
  <c r="C197" i="26"/>
  <c r="Y125" i="20"/>
  <c r="Y159" i="20" s="1"/>
  <c r="C203" i="26"/>
  <c r="C187" i="26"/>
  <c r="C195" i="26"/>
  <c r="C193" i="26"/>
  <c r="C188" i="26"/>
  <c r="B171" i="18"/>
  <c r="E180" i="18" s="1"/>
  <c r="B148" i="18"/>
  <c r="B131" i="18"/>
  <c r="B114" i="18"/>
  <c r="B66" i="18"/>
  <c r="D163" i="18" s="1"/>
  <c r="G181" i="18" s="1"/>
  <c r="B79" i="18"/>
  <c r="D167" i="18" s="1"/>
  <c r="G182" i="18" s="1"/>
  <c r="B53" i="18"/>
  <c r="B159" i="18" s="1"/>
  <c r="R149" i="20" l="1"/>
  <c r="R150" i="20"/>
  <c r="R136" i="20"/>
  <c r="R140" i="20"/>
  <c r="R143" i="20"/>
  <c r="AD152" i="20"/>
  <c r="AM152" i="20"/>
  <c r="Z152" i="20"/>
  <c r="L111" i="20"/>
  <c r="L112" i="20" s="1"/>
  <c r="K111" i="20"/>
  <c r="K112" i="20" s="1"/>
  <c r="AC152" i="20"/>
  <c r="M152" i="20"/>
  <c r="W152" i="20"/>
  <c r="AK152" i="20"/>
  <c r="Y152" i="20"/>
  <c r="AI152" i="20"/>
  <c r="AJ152" i="20"/>
  <c r="AE152" i="20"/>
  <c r="C152" i="20"/>
  <c r="AA152" i="20"/>
  <c r="I152" i="20"/>
  <c r="AF152" i="20"/>
  <c r="AN152" i="20"/>
  <c r="AB152" i="20"/>
  <c r="AL152" i="20"/>
  <c r="AG152" i="20"/>
  <c r="G111" i="20"/>
  <c r="G112" i="20" s="1"/>
  <c r="AH152" i="20"/>
  <c r="X152" i="20"/>
  <c r="P152" i="20"/>
  <c r="U110" i="10"/>
  <c r="Q110" i="10"/>
  <c r="T110" i="10"/>
  <c r="J110" i="10"/>
  <c r="X110" i="10"/>
  <c r="V110" i="10"/>
  <c r="L110" i="10"/>
  <c r="M110" i="10"/>
  <c r="N110" i="10"/>
  <c r="H110" i="10"/>
  <c r="K110" i="10"/>
  <c r="R110" i="10"/>
  <c r="B126" i="10"/>
  <c r="O110" i="10"/>
  <c r="I110" i="10"/>
  <c r="W110" i="10"/>
  <c r="B127" i="10"/>
  <c r="P110" i="10"/>
  <c r="Y110" i="10"/>
  <c r="S110" i="10"/>
  <c r="F67" i="20"/>
  <c r="F133" i="20" s="1"/>
  <c r="F152" i="20" s="1"/>
  <c r="D138" i="5"/>
  <c r="Z115" i="5"/>
  <c r="C118" i="20" s="1"/>
  <c r="M60" i="20"/>
  <c r="Z118" i="5"/>
  <c r="C8" i="20" s="1"/>
  <c r="Z124" i="5"/>
  <c r="C14" i="20" s="1"/>
  <c r="Z122" i="5"/>
  <c r="C12" i="20" s="1"/>
  <c r="Z127" i="5"/>
  <c r="C17" i="20" s="1"/>
  <c r="Z116" i="5"/>
  <c r="C6" i="20" s="1"/>
  <c r="Z131" i="5"/>
  <c r="C21" i="20" s="1"/>
  <c r="Z117" i="5"/>
  <c r="C7" i="20" s="1"/>
  <c r="Z123" i="5"/>
  <c r="C13" i="20" s="1"/>
  <c r="Z132" i="5"/>
  <c r="C22" i="20" s="1"/>
  <c r="Z120" i="5"/>
  <c r="C10" i="20" s="1"/>
  <c r="Z119" i="5"/>
  <c r="C9" i="20" s="1"/>
  <c r="Z129" i="5"/>
  <c r="C19" i="20" s="1"/>
  <c r="Z126" i="5"/>
  <c r="C16" i="20" s="1"/>
  <c r="Z125" i="5"/>
  <c r="C15" i="20" s="1"/>
  <c r="Z121" i="5"/>
  <c r="C11" i="20" s="1"/>
  <c r="Z128" i="5"/>
  <c r="C18" i="20" s="1"/>
  <c r="Z130" i="5"/>
  <c r="C20" i="20" s="1"/>
  <c r="B119" i="10"/>
  <c r="B135" i="10"/>
  <c r="B131" i="10"/>
  <c r="B134" i="10"/>
  <c r="C159" i="20"/>
  <c r="B130" i="10"/>
  <c r="B132" i="10"/>
  <c r="B133" i="10"/>
  <c r="B136" i="10"/>
  <c r="B122" i="10"/>
  <c r="B120" i="10"/>
  <c r="B121" i="10"/>
  <c r="Y114" i="5"/>
  <c r="R67" i="20" s="1"/>
  <c r="R133" i="20" s="1"/>
  <c r="Y84" i="5"/>
  <c r="B125" i="10"/>
  <c r="B124" i="10"/>
  <c r="B128" i="10"/>
  <c r="B129" i="10"/>
  <c r="B123" i="10"/>
  <c r="B118" i="10"/>
  <c r="O133" i="5"/>
  <c r="Q159" i="20"/>
  <c r="T159" i="20"/>
  <c r="L125" i="10"/>
  <c r="L129" i="10"/>
  <c r="L134" i="10"/>
  <c r="L122" i="10"/>
  <c r="L128" i="10"/>
  <c r="L126" i="10"/>
  <c r="L123" i="10"/>
  <c r="L121" i="10"/>
  <c r="L135" i="10"/>
  <c r="L130" i="10"/>
  <c r="L133" i="10"/>
  <c r="L131" i="10"/>
  <c r="L120" i="10"/>
  <c r="L127" i="10"/>
  <c r="L136" i="10"/>
  <c r="L119" i="10"/>
  <c r="L124" i="10"/>
  <c r="L118" i="10"/>
  <c r="L132" i="10"/>
  <c r="D171" i="18"/>
  <c r="G180" i="18" s="1"/>
  <c r="W180" i="18" s="1" a="1"/>
  <c r="W180" i="18" s="1"/>
  <c r="D159" i="18"/>
  <c r="G179" i="18" s="1"/>
  <c r="B147" i="18"/>
  <c r="B149" i="18" s="1"/>
  <c r="B130" i="18"/>
  <c r="B132" i="18" s="1"/>
  <c r="B113" i="18"/>
  <c r="B115" i="18" s="1"/>
  <c r="B98" i="18"/>
  <c r="L191" i="26"/>
  <c r="S199" i="12"/>
  <c r="M199" i="12"/>
  <c r="L193" i="26"/>
  <c r="I199" i="12"/>
  <c r="B216" i="12"/>
  <c r="R199" i="12"/>
  <c r="T199" i="12"/>
  <c r="B212" i="12"/>
  <c r="U199" i="12"/>
  <c r="J199" i="12"/>
  <c r="B210" i="12"/>
  <c r="B217" i="12"/>
  <c r="Q199" i="12"/>
  <c r="B219" i="12"/>
  <c r="B207" i="12"/>
  <c r="G199" i="12"/>
  <c r="B211" i="12"/>
  <c r="K199" i="12"/>
  <c r="B218" i="12"/>
  <c r="W199" i="12"/>
  <c r="B223" i="12"/>
  <c r="P199" i="12"/>
  <c r="B215" i="12"/>
  <c r="O199" i="12"/>
  <c r="X199" i="12"/>
  <c r="B224" i="12"/>
  <c r="B208" i="12"/>
  <c r="H199" i="12"/>
  <c r="B220" i="12"/>
  <c r="B221" i="12"/>
  <c r="B213" i="12"/>
  <c r="F199" i="12"/>
  <c r="B206" i="12"/>
  <c r="V199" i="12"/>
  <c r="B222" i="12"/>
  <c r="N199" i="12"/>
  <c r="B214" i="12"/>
  <c r="L199" i="12"/>
  <c r="B209" i="12"/>
  <c r="L187" i="26"/>
  <c r="L190" i="26"/>
  <c r="L194" i="26"/>
  <c r="L196" i="26"/>
  <c r="L203" i="26"/>
  <c r="L198" i="26"/>
  <c r="L200" i="26"/>
  <c r="L197" i="26"/>
  <c r="L205" i="26"/>
  <c r="L201" i="26"/>
  <c r="L199" i="26"/>
  <c r="L195" i="26"/>
  <c r="L202" i="26"/>
  <c r="M197" i="26"/>
  <c r="L204" i="26"/>
  <c r="L192" i="26"/>
  <c r="L189" i="26"/>
  <c r="M196" i="26"/>
  <c r="M193" i="26"/>
  <c r="M190" i="26"/>
  <c r="M205" i="26"/>
  <c r="M188" i="26"/>
  <c r="M189" i="26"/>
  <c r="M192" i="26"/>
  <c r="M199" i="26"/>
  <c r="M195" i="26"/>
  <c r="M203" i="26"/>
  <c r="M187" i="26"/>
  <c r="M198" i="26"/>
  <c r="M204" i="26"/>
  <c r="L188" i="26"/>
  <c r="M202" i="26"/>
  <c r="M200" i="26"/>
  <c r="M191" i="26"/>
  <c r="M194" i="26"/>
  <c r="M201" i="26"/>
  <c r="B167" i="18"/>
  <c r="E182" i="18" s="1"/>
  <c r="B163" i="18"/>
  <c r="E181" i="18" s="1"/>
  <c r="E179" i="18"/>
  <c r="D82" i="20" l="1"/>
  <c r="E82" i="20" s="1"/>
  <c r="D79" i="20"/>
  <c r="E79" i="20" s="1"/>
  <c r="D84" i="20"/>
  <c r="E84" i="20" s="1"/>
  <c r="D81" i="20"/>
  <c r="E81" i="20" s="1"/>
  <c r="D72" i="20"/>
  <c r="E72" i="20" s="1"/>
  <c r="D70" i="20"/>
  <c r="E70" i="20" s="1"/>
  <c r="D74" i="20"/>
  <c r="E74" i="20" s="1"/>
  <c r="D73" i="20"/>
  <c r="E73" i="20" s="1"/>
  <c r="D77" i="20"/>
  <c r="E77" i="20" s="1"/>
  <c r="D69" i="20"/>
  <c r="E69" i="20" s="1"/>
  <c r="D75" i="20"/>
  <c r="E75" i="20" s="1"/>
  <c r="D68" i="20"/>
  <c r="E68" i="20" s="1"/>
  <c r="D71" i="20"/>
  <c r="E71" i="20" s="1"/>
  <c r="D67" i="20"/>
  <c r="D133" i="20" s="1"/>
  <c r="D85" i="20"/>
  <c r="E85" i="20" s="1"/>
  <c r="D83" i="20"/>
  <c r="E83" i="20" s="1"/>
  <c r="D80" i="20"/>
  <c r="E80" i="20" s="1"/>
  <c r="D76" i="20"/>
  <c r="E76" i="20" s="1"/>
  <c r="D78" i="20"/>
  <c r="E78" i="20" s="1"/>
  <c r="G68" i="20"/>
  <c r="H68" i="20" s="1"/>
  <c r="G70" i="20"/>
  <c r="H70" i="20" s="1"/>
  <c r="G76" i="20"/>
  <c r="H76" i="20" s="1"/>
  <c r="G69" i="20"/>
  <c r="H69" i="20" s="1"/>
  <c r="G71" i="20"/>
  <c r="H71" i="20" s="1"/>
  <c r="G72" i="20"/>
  <c r="H72" i="20" s="1"/>
  <c r="G81" i="20"/>
  <c r="H81" i="20" s="1"/>
  <c r="G85" i="20"/>
  <c r="H85" i="20" s="1"/>
  <c r="G78" i="20"/>
  <c r="H78" i="20" s="1"/>
  <c r="G79" i="20"/>
  <c r="H79" i="20" s="1"/>
  <c r="G75" i="20"/>
  <c r="H75" i="20" s="1"/>
  <c r="G77" i="20"/>
  <c r="H77" i="20" s="1"/>
  <c r="G82" i="20"/>
  <c r="H82" i="20" s="1"/>
  <c r="G73" i="20"/>
  <c r="H73" i="20" s="1"/>
  <c r="G83" i="20"/>
  <c r="H83" i="20" s="1"/>
  <c r="G74" i="20"/>
  <c r="H74" i="20" s="1"/>
  <c r="G80" i="20"/>
  <c r="H80" i="20" s="1"/>
  <c r="G84" i="20"/>
  <c r="H84" i="20" s="1"/>
  <c r="R144" i="20"/>
  <c r="R141" i="20"/>
  <c r="R139" i="20"/>
  <c r="R146" i="20"/>
  <c r="R134" i="20"/>
  <c r="R151" i="20"/>
  <c r="R137" i="20"/>
  <c r="R135" i="20"/>
  <c r="R145" i="20"/>
  <c r="R142" i="20"/>
  <c r="R147" i="20"/>
  <c r="R148" i="20"/>
  <c r="R138" i="20"/>
  <c r="D104" i="20"/>
  <c r="D40" i="20"/>
  <c r="D107" i="20"/>
  <c r="D43" i="20"/>
  <c r="D105" i="20"/>
  <c r="D41" i="20"/>
  <c r="D100" i="20"/>
  <c r="D36" i="20"/>
  <c r="D97" i="20"/>
  <c r="D33" i="20"/>
  <c r="D98" i="20"/>
  <c r="D34" i="20"/>
  <c r="D102" i="20"/>
  <c r="D38" i="20"/>
  <c r="D103" i="20"/>
  <c r="D39" i="20"/>
  <c r="D108" i="20"/>
  <c r="D44" i="20"/>
  <c r="D110" i="20"/>
  <c r="D46" i="20"/>
  <c r="D109" i="20"/>
  <c r="D45" i="20"/>
  <c r="D106" i="20"/>
  <c r="D42" i="20"/>
  <c r="D101" i="20"/>
  <c r="D37" i="20"/>
  <c r="D99" i="20"/>
  <c r="D35" i="20"/>
  <c r="G67" i="20"/>
  <c r="G133" i="20" s="1"/>
  <c r="C5" i="20"/>
  <c r="Z114" i="5"/>
  <c r="D60" i="20"/>
  <c r="Z180" i="18" a="1"/>
  <c r="Z180" i="18" s="1"/>
  <c r="I180" i="18" a="1"/>
  <c r="I180" i="18" s="1"/>
  <c r="J180" i="18" a="1"/>
  <c r="J180" i="18" s="1"/>
  <c r="Q180" i="18" a="1"/>
  <c r="Q180" i="18" s="1"/>
  <c r="T180" i="18" a="1"/>
  <c r="T180" i="18" s="1"/>
  <c r="M180" i="18" a="1"/>
  <c r="M180" i="18" s="1"/>
  <c r="V180" i="18" a="1"/>
  <c r="V180" i="18" s="1"/>
  <c r="S180" i="18" a="1"/>
  <c r="S180" i="18" s="1"/>
  <c r="U180" i="18" a="1"/>
  <c r="U180" i="18" s="1"/>
  <c r="Y180" i="18" a="1"/>
  <c r="Y180" i="18" s="1"/>
  <c r="H180" i="18" a="1"/>
  <c r="H180" i="18" s="1"/>
  <c r="L180" i="18" a="1"/>
  <c r="L180" i="18" s="1"/>
  <c r="O180" i="18" a="1"/>
  <c r="O180" i="18" s="1"/>
  <c r="R180" i="18" a="1"/>
  <c r="R180" i="18" s="1"/>
  <c r="X180" i="18" a="1"/>
  <c r="X180" i="18" s="1"/>
  <c r="H179" i="18" a="1"/>
  <c r="H179" i="18" s="1"/>
  <c r="K180" i="18" a="1"/>
  <c r="K180" i="18" s="1"/>
  <c r="N180" i="18" a="1"/>
  <c r="N180" i="18" s="1"/>
  <c r="P180" i="18" a="1"/>
  <c r="P180" i="18" s="1"/>
  <c r="Y133" i="5"/>
  <c r="J179" i="18" a="1"/>
  <c r="J179" i="18" s="1"/>
  <c r="I179" i="18" a="1"/>
  <c r="I179" i="18" s="1"/>
  <c r="V179" i="18" a="1"/>
  <c r="V179" i="18" s="1"/>
  <c r="M179" i="18" a="1"/>
  <c r="M179" i="18" s="1"/>
  <c r="O179" i="18" a="1"/>
  <c r="O179" i="18" s="1"/>
  <c r="L179" i="18" a="1"/>
  <c r="L179" i="18" s="1"/>
  <c r="Q179" i="18" a="1"/>
  <c r="Q179" i="18" s="1"/>
  <c r="Z179" i="18" a="1"/>
  <c r="Z179" i="18" s="1"/>
  <c r="N179" i="18" a="1"/>
  <c r="N179" i="18" s="1"/>
  <c r="P179" i="18" a="1"/>
  <c r="P179" i="18" s="1"/>
  <c r="R179" i="18" a="1"/>
  <c r="R179" i="18" s="1"/>
  <c r="S179" i="18" a="1"/>
  <c r="S179" i="18" s="1"/>
  <c r="U179" i="18" a="1"/>
  <c r="U179" i="18" s="1"/>
  <c r="X179" i="18" a="1"/>
  <c r="X179" i="18" s="1"/>
  <c r="K179" i="18" a="1"/>
  <c r="K179" i="18" s="1"/>
  <c r="T179" i="18" a="1"/>
  <c r="T179" i="18" s="1"/>
  <c r="W179" i="18" a="1"/>
  <c r="W179" i="18" s="1"/>
  <c r="Y179" i="18" a="1"/>
  <c r="Y179" i="18" s="1"/>
  <c r="M181" i="18" a="1"/>
  <c r="M181" i="18" s="1"/>
  <c r="N181" i="18" a="1"/>
  <c r="N181" i="18" s="1"/>
  <c r="O181" i="18" a="1"/>
  <c r="O181" i="18" s="1"/>
  <c r="J181" i="18" a="1"/>
  <c r="J181" i="18" s="1"/>
  <c r="V181" i="18" a="1"/>
  <c r="V181" i="18" s="1"/>
  <c r="Q181" i="18" a="1"/>
  <c r="Q181" i="18" s="1"/>
  <c r="Z181" i="18" a="1"/>
  <c r="Z181" i="18" s="1"/>
  <c r="Y181" i="18" a="1"/>
  <c r="Y181" i="18" s="1"/>
  <c r="L181" i="18" a="1"/>
  <c r="L181" i="18" s="1"/>
  <c r="H181" i="18" a="1"/>
  <c r="H181" i="18" s="1"/>
  <c r="X181" i="18" a="1"/>
  <c r="X181" i="18" s="1"/>
  <c r="K181" i="18" a="1"/>
  <c r="K181" i="18" s="1"/>
  <c r="R181" i="18" a="1"/>
  <c r="R181" i="18" s="1"/>
  <c r="S181" i="18" a="1"/>
  <c r="S181" i="18" s="1"/>
  <c r="U181" i="18" a="1"/>
  <c r="U181" i="18" s="1"/>
  <c r="W181" i="18" a="1"/>
  <c r="W181" i="18" s="1"/>
  <c r="P181" i="18" a="1"/>
  <c r="P181" i="18" s="1"/>
  <c r="T181" i="18" a="1"/>
  <c r="T181" i="18" s="1"/>
  <c r="I181" i="18" a="1"/>
  <c r="I181" i="18" s="1"/>
  <c r="J182" i="18" a="1"/>
  <c r="J182" i="18" s="1"/>
  <c r="M182" i="18" a="1"/>
  <c r="M182" i="18" s="1"/>
  <c r="O182" i="18" a="1"/>
  <c r="O182" i="18" s="1"/>
  <c r="L182" i="18" a="1"/>
  <c r="L182" i="18" s="1"/>
  <c r="I182" i="18" a="1"/>
  <c r="I182" i="18" s="1"/>
  <c r="Y182" i="18" a="1"/>
  <c r="Y182" i="18" s="1"/>
  <c r="T182" i="18" a="1"/>
  <c r="T182" i="18" s="1"/>
  <c r="Z182" i="18" a="1"/>
  <c r="Z182" i="18" s="1"/>
  <c r="Q182" i="18" a="1"/>
  <c r="Q182" i="18" s="1"/>
  <c r="R182" i="18" a="1"/>
  <c r="R182" i="18" s="1"/>
  <c r="S182" i="18" a="1"/>
  <c r="S182" i="18" s="1"/>
  <c r="U182" i="18" a="1"/>
  <c r="U182" i="18" s="1"/>
  <c r="H182" i="18" a="1"/>
  <c r="H182" i="18" s="1"/>
  <c r="X182" i="18" a="1"/>
  <c r="X182" i="18" s="1"/>
  <c r="K182" i="18" a="1"/>
  <c r="K182" i="18" s="1"/>
  <c r="V182" i="18" a="1"/>
  <c r="V182" i="18" s="1"/>
  <c r="W182" i="18" a="1"/>
  <c r="W182" i="18" s="1"/>
  <c r="P182" i="18" a="1"/>
  <c r="P182" i="18" s="1"/>
  <c r="N182" i="18" a="1"/>
  <c r="N182" i="18" s="1"/>
  <c r="B172" i="18"/>
  <c r="E188" i="18" s="1"/>
  <c r="D172" i="18"/>
  <c r="G188" i="18" s="1"/>
  <c r="B169" i="18"/>
  <c r="E190" i="18" s="1"/>
  <c r="D169" i="18"/>
  <c r="G190" i="18" s="1"/>
  <c r="B165" i="18"/>
  <c r="E189" i="18" s="1"/>
  <c r="D165" i="18"/>
  <c r="G189" i="18" s="1"/>
  <c r="B161" i="18"/>
  <c r="E187" i="18" s="1"/>
  <c r="D161" i="18"/>
  <c r="G187" i="18" s="1"/>
  <c r="C23" i="5"/>
  <c r="N191" i="26"/>
  <c r="N198" i="26"/>
  <c r="N193" i="26"/>
  <c r="N187" i="26"/>
  <c r="N190" i="26"/>
  <c r="N194" i="26"/>
  <c r="N196" i="26"/>
  <c r="N203" i="26"/>
  <c r="N200" i="26"/>
  <c r="N205" i="26"/>
  <c r="N197" i="26"/>
  <c r="N201" i="26"/>
  <c r="N195" i="26"/>
  <c r="N192" i="26"/>
  <c r="N204" i="26"/>
  <c r="N199" i="26"/>
  <c r="N202" i="26"/>
  <c r="N189" i="26"/>
  <c r="N188" i="26"/>
  <c r="V129" i="10"/>
  <c r="W128" i="10"/>
  <c r="V132" i="10"/>
  <c r="V131" i="10"/>
  <c r="W121" i="10"/>
  <c r="T134" i="10"/>
  <c r="X122" i="10"/>
  <c r="X133" i="10"/>
  <c r="Q130" i="10"/>
  <c r="P126" i="10"/>
  <c r="P124" i="10"/>
  <c r="M125" i="10"/>
  <c r="Q131" i="10"/>
  <c r="V136" i="10"/>
  <c r="X124" i="10"/>
  <c r="V124" i="10"/>
  <c r="W120" i="10"/>
  <c r="W130" i="10"/>
  <c r="T133" i="10"/>
  <c r="T120" i="10"/>
  <c r="X120" i="10"/>
  <c r="X125" i="10"/>
  <c r="N124" i="10"/>
  <c r="Q126" i="10"/>
  <c r="P131" i="10"/>
  <c r="P121" i="10"/>
  <c r="M136" i="10"/>
  <c r="V133" i="10"/>
  <c r="X135" i="10"/>
  <c r="V128" i="10"/>
  <c r="X118" i="10"/>
  <c r="V119" i="10"/>
  <c r="W131" i="10"/>
  <c r="W118" i="10"/>
  <c r="T124" i="10"/>
  <c r="T131" i="10"/>
  <c r="X132" i="10"/>
  <c r="X130" i="10"/>
  <c r="N120" i="10"/>
  <c r="Q119" i="10"/>
  <c r="Q134" i="10"/>
  <c r="P133" i="10"/>
  <c r="M126" i="10"/>
  <c r="M131" i="10"/>
  <c r="P129" i="10"/>
  <c r="Q132" i="10"/>
  <c r="V127" i="10"/>
  <c r="W125" i="10"/>
  <c r="W132" i="10"/>
  <c r="T121" i="10"/>
  <c r="T128" i="10"/>
  <c r="X131" i="10"/>
  <c r="N129" i="10"/>
  <c r="N122" i="10"/>
  <c r="Q128" i="10"/>
  <c r="P128" i="10"/>
  <c r="P132" i="10"/>
  <c r="M132" i="10"/>
  <c r="M134" i="10"/>
  <c r="W136" i="10"/>
  <c r="V135" i="10"/>
  <c r="W134" i="10"/>
  <c r="T122" i="10"/>
  <c r="T129" i="10"/>
  <c r="X134" i="10"/>
  <c r="N127" i="10"/>
  <c r="N125" i="10"/>
  <c r="Q136" i="10"/>
  <c r="Q127" i="10"/>
  <c r="P123" i="10"/>
  <c r="M120" i="10"/>
  <c r="M135" i="10"/>
  <c r="W122" i="10"/>
  <c r="T135" i="10"/>
  <c r="P136" i="10"/>
  <c r="V122" i="10"/>
  <c r="W123" i="10"/>
  <c r="W119" i="10"/>
  <c r="T136" i="10"/>
  <c r="T119" i="10"/>
  <c r="X128" i="10"/>
  <c r="N135" i="10"/>
  <c r="N134" i="10"/>
  <c r="Q121" i="10"/>
  <c r="Q133" i="10"/>
  <c r="P122" i="10"/>
  <c r="M122" i="10"/>
  <c r="M124" i="10"/>
  <c r="M127" i="10"/>
  <c r="T123" i="10"/>
  <c r="W133" i="10"/>
  <c r="V125" i="10"/>
  <c r="V123" i="10"/>
  <c r="W124" i="10"/>
  <c r="W135" i="10"/>
  <c r="T127" i="10"/>
  <c r="T132" i="10"/>
  <c r="X127" i="10"/>
  <c r="N130" i="10"/>
  <c r="N136" i="10"/>
  <c r="Q124" i="10"/>
  <c r="Q123" i="10"/>
  <c r="P119" i="10"/>
  <c r="M123" i="10"/>
  <c r="M119" i="10"/>
  <c r="V120" i="10"/>
  <c r="X129" i="10"/>
  <c r="N128" i="10"/>
  <c r="V126" i="10"/>
  <c r="W126" i="10"/>
  <c r="W129" i="10"/>
  <c r="T125" i="10"/>
  <c r="T126" i="10"/>
  <c r="X121" i="10"/>
  <c r="N132" i="10"/>
  <c r="N131" i="10"/>
  <c r="Q125" i="10"/>
  <c r="Q129" i="10"/>
  <c r="P120" i="10"/>
  <c r="M121" i="10"/>
  <c r="M129" i="10"/>
  <c r="P125" i="10"/>
  <c r="M128" i="10"/>
  <c r="V118" i="10"/>
  <c r="V134" i="10"/>
  <c r="W127" i="10"/>
  <c r="T130" i="10"/>
  <c r="X123" i="10"/>
  <c r="X119" i="10"/>
  <c r="N126" i="10"/>
  <c r="N121" i="10"/>
  <c r="Q120" i="10"/>
  <c r="Q122" i="10"/>
  <c r="P127" i="10"/>
  <c r="M133" i="10"/>
  <c r="N123" i="10"/>
  <c r="P135" i="10"/>
  <c r="V130" i="10"/>
  <c r="V121" i="10"/>
  <c r="X136" i="10"/>
  <c r="X126" i="10"/>
  <c r="N119" i="10"/>
  <c r="N133" i="10"/>
  <c r="Q135" i="10"/>
  <c r="P130" i="10"/>
  <c r="P134" i="10"/>
  <c r="M130" i="10"/>
  <c r="Y136" i="10" l="1"/>
  <c r="S85" i="20" s="1"/>
  <c r="T85" i="20" s="1"/>
  <c r="Y121" i="10"/>
  <c r="Y133" i="10"/>
  <c r="S82" i="20" s="1"/>
  <c r="T82" i="20" s="1"/>
  <c r="O124" i="10"/>
  <c r="J73" i="20" s="1"/>
  <c r="K73" i="20" s="1"/>
  <c r="Y127" i="10"/>
  <c r="S76" i="20" s="1"/>
  <c r="T76" i="20" s="1"/>
  <c r="Y132" i="10"/>
  <c r="O130" i="10"/>
  <c r="J79" i="20" s="1"/>
  <c r="K79" i="20" s="1"/>
  <c r="O128" i="10"/>
  <c r="J77" i="20" s="1"/>
  <c r="K77" i="20" s="1"/>
  <c r="O120" i="10"/>
  <c r="J69" i="20" s="1"/>
  <c r="K69" i="20" s="1"/>
  <c r="O126" i="10"/>
  <c r="J75" i="20" s="1"/>
  <c r="K75" i="20" s="1"/>
  <c r="O122" i="10"/>
  <c r="J71" i="20" s="1"/>
  <c r="K71" i="20" s="1"/>
  <c r="O136" i="10"/>
  <c r="J85" i="20" s="1"/>
  <c r="K85" i="20" s="1"/>
  <c r="O133" i="10"/>
  <c r="J82" i="20" s="1"/>
  <c r="K82" i="20" s="1"/>
  <c r="O129" i="10"/>
  <c r="J78" i="20" s="1"/>
  <c r="K78" i="20" s="1"/>
  <c r="O127" i="10"/>
  <c r="J76" i="20" s="1"/>
  <c r="K76" i="20" s="1"/>
  <c r="O121" i="10"/>
  <c r="J70" i="20" s="1"/>
  <c r="K70" i="20" s="1"/>
  <c r="O135" i="10"/>
  <c r="J84" i="20" s="1"/>
  <c r="K84" i="20" s="1"/>
  <c r="O125" i="10"/>
  <c r="J74" i="20" s="1"/>
  <c r="K74" i="20" s="1"/>
  <c r="O134" i="10"/>
  <c r="J83" i="20" s="1"/>
  <c r="K83" i="20" s="1"/>
  <c r="O119" i="10"/>
  <c r="J68" i="20" s="1"/>
  <c r="K68" i="20" s="1"/>
  <c r="O132" i="10"/>
  <c r="J81" i="20" s="1"/>
  <c r="K81" i="20" s="1"/>
  <c r="O123" i="10"/>
  <c r="J72" i="20" s="1"/>
  <c r="K72" i="20" s="1"/>
  <c r="O131" i="10"/>
  <c r="J80" i="20" s="1"/>
  <c r="K80" i="20" s="1"/>
  <c r="D135" i="20"/>
  <c r="D142" i="20"/>
  <c r="D149" i="20"/>
  <c r="D136" i="20"/>
  <c r="D147" i="20"/>
  <c r="D134" i="20"/>
  <c r="D146" i="20"/>
  <c r="D141" i="20"/>
  <c r="D138" i="20"/>
  <c r="D151" i="20"/>
  <c r="D143" i="20"/>
  <c r="D150" i="20"/>
  <c r="D139" i="20"/>
  <c r="D145" i="20"/>
  <c r="D144" i="20"/>
  <c r="D137" i="20"/>
  <c r="D140" i="20"/>
  <c r="D148" i="20"/>
  <c r="G141" i="20"/>
  <c r="G150" i="20"/>
  <c r="G138" i="20"/>
  <c r="G137" i="20"/>
  <c r="G146" i="20"/>
  <c r="G143" i="20"/>
  <c r="G140" i="20"/>
  <c r="G145" i="20"/>
  <c r="G135" i="20"/>
  <c r="G149" i="20"/>
  <c r="G144" i="20"/>
  <c r="G142" i="20"/>
  <c r="G139" i="20"/>
  <c r="G151" i="20"/>
  <c r="G136" i="20"/>
  <c r="G148" i="20"/>
  <c r="G147" i="20"/>
  <c r="G134" i="20"/>
  <c r="Y131" i="10"/>
  <c r="S80" i="20" s="1"/>
  <c r="T80" i="20" s="1"/>
  <c r="Y126" i="10"/>
  <c r="S75" i="20" s="1"/>
  <c r="T75" i="20" s="1"/>
  <c r="Y129" i="10"/>
  <c r="Y123" i="10"/>
  <c r="S72" i="20" s="1"/>
  <c r="T72" i="20" s="1"/>
  <c r="Y125" i="10"/>
  <c r="Y119" i="10"/>
  <c r="Y128" i="10"/>
  <c r="S77" i="20" s="1"/>
  <c r="T77" i="20" s="1"/>
  <c r="Y134" i="10"/>
  <c r="S83" i="20" s="1"/>
  <c r="T83" i="20" s="1"/>
  <c r="Y124" i="10"/>
  <c r="S73" i="20" s="1"/>
  <c r="T73" i="20" s="1"/>
  <c r="Y122" i="10"/>
  <c r="S71" i="20" s="1"/>
  <c r="T71" i="20" s="1"/>
  <c r="Y130" i="10"/>
  <c r="S79" i="20" s="1"/>
  <c r="T79" i="20" s="1"/>
  <c r="Y135" i="10"/>
  <c r="S84" i="20" s="1"/>
  <c r="T84" i="20" s="1"/>
  <c r="Y120" i="10"/>
  <c r="S69" i="20" s="1"/>
  <c r="T69" i="20" s="1"/>
  <c r="R152" i="20"/>
  <c r="D93" i="20"/>
  <c r="D29" i="20"/>
  <c r="C4" i="20"/>
  <c r="D92" i="20" s="1"/>
  <c r="Z133" i="5"/>
  <c r="C212" i="26"/>
  <c r="C213" i="26" s="1"/>
  <c r="V190" i="18" a="1"/>
  <c r="V190" i="18" s="1"/>
  <c r="Z190" i="18" a="1"/>
  <c r="Z190" i="18" s="1"/>
  <c r="S190" i="18" a="1"/>
  <c r="S190" i="18" s="1"/>
  <c r="X190" i="18" a="1"/>
  <c r="X190" i="18" s="1"/>
  <c r="H190" i="18" a="1"/>
  <c r="H190" i="18" s="1"/>
  <c r="O190" i="18" a="1"/>
  <c r="O190" i="18" s="1"/>
  <c r="Q190" i="18" a="1"/>
  <c r="Q190" i="18" s="1"/>
  <c r="Y190" i="18" a="1"/>
  <c r="Y190" i="18" s="1"/>
  <c r="W190" i="18" a="1"/>
  <c r="W190" i="18" s="1"/>
  <c r="I190" i="18" a="1"/>
  <c r="I190" i="18" s="1"/>
  <c r="T190" i="18" a="1"/>
  <c r="T190" i="18" s="1"/>
  <c r="P190" i="18" a="1"/>
  <c r="P190" i="18" s="1"/>
  <c r="L190" i="18" a="1"/>
  <c r="L190" i="18" s="1"/>
  <c r="N190" i="18" a="1"/>
  <c r="N190" i="18" s="1"/>
  <c r="M190" i="18" a="1"/>
  <c r="M190" i="18" s="1"/>
  <c r="R190" i="18" a="1"/>
  <c r="R190" i="18" s="1"/>
  <c r="K190" i="18" a="1"/>
  <c r="K190" i="18" s="1"/>
  <c r="U190" i="18" a="1"/>
  <c r="U190" i="18" s="1"/>
  <c r="J190" i="18" a="1"/>
  <c r="J190" i="18" s="1"/>
  <c r="O188" i="18" a="1"/>
  <c r="O188" i="18" s="1"/>
  <c r="L188" i="18" a="1"/>
  <c r="L188" i="18" s="1"/>
  <c r="H188" i="18" a="1"/>
  <c r="H188" i="18" s="1"/>
  <c r="X188" i="18" a="1"/>
  <c r="X188" i="18" s="1"/>
  <c r="P188" i="18" a="1"/>
  <c r="P188" i="18" s="1"/>
  <c r="M188" i="18" a="1"/>
  <c r="M188" i="18" s="1"/>
  <c r="Q188" i="18" a="1"/>
  <c r="Q188" i="18" s="1"/>
  <c r="Y188" i="18" a="1"/>
  <c r="Y188" i="18" s="1"/>
  <c r="K188" i="18" a="1"/>
  <c r="K188" i="18" s="1"/>
  <c r="N188" i="18" a="1"/>
  <c r="N188" i="18" s="1"/>
  <c r="R188" i="18" a="1"/>
  <c r="R188" i="18" s="1"/>
  <c r="Z188" i="18" a="1"/>
  <c r="Z188" i="18" s="1"/>
  <c r="S188" i="18" a="1"/>
  <c r="S188" i="18" s="1"/>
  <c r="W188" i="18" a="1"/>
  <c r="W188" i="18" s="1"/>
  <c r="V188" i="18" a="1"/>
  <c r="V188" i="18" s="1"/>
  <c r="T188" i="18" a="1"/>
  <c r="T188" i="18" s="1"/>
  <c r="J188" i="18" a="1"/>
  <c r="J188" i="18" s="1"/>
  <c r="I188" i="18" a="1"/>
  <c r="I188" i="18" s="1"/>
  <c r="U188" i="18" a="1"/>
  <c r="U188" i="18" s="1"/>
  <c r="Z187" i="18" a="1"/>
  <c r="Z187" i="18" s="1"/>
  <c r="S187" i="18" a="1"/>
  <c r="S187" i="18" s="1"/>
  <c r="V187" i="18" a="1"/>
  <c r="V187" i="18" s="1"/>
  <c r="J187" i="18" a="1"/>
  <c r="J187" i="18" s="1"/>
  <c r="X187" i="18" a="1"/>
  <c r="X187" i="18" s="1"/>
  <c r="O187" i="18" a="1"/>
  <c r="O187" i="18" s="1"/>
  <c r="Q187" i="18" a="1"/>
  <c r="Q187" i="18" s="1"/>
  <c r="Y187" i="18" a="1"/>
  <c r="Y187" i="18" s="1"/>
  <c r="U187" i="18" a="1"/>
  <c r="U187" i="18" s="1"/>
  <c r="W187" i="18" a="1"/>
  <c r="W187" i="18" s="1"/>
  <c r="I187" i="18" a="1"/>
  <c r="I187" i="18" s="1"/>
  <c r="T187" i="18" a="1"/>
  <c r="T187" i="18" s="1"/>
  <c r="H187" i="18" a="1"/>
  <c r="H187" i="18" s="1"/>
  <c r="P187" i="18" a="1"/>
  <c r="P187" i="18" s="1"/>
  <c r="L187" i="18" a="1"/>
  <c r="L187" i="18" s="1"/>
  <c r="N187" i="18" a="1"/>
  <c r="N187" i="18" s="1"/>
  <c r="K187" i="18" a="1"/>
  <c r="K187" i="18" s="1"/>
  <c r="M187" i="18" a="1"/>
  <c r="M187" i="18" s="1"/>
  <c r="R187" i="18" a="1"/>
  <c r="R187" i="18" s="1"/>
  <c r="V189" i="18" a="1"/>
  <c r="V189" i="18" s="1"/>
  <c r="J189" i="18" a="1"/>
  <c r="J189" i="18" s="1"/>
  <c r="Z189" i="18" a="1"/>
  <c r="Z189" i="18" s="1"/>
  <c r="W189" i="18" a="1"/>
  <c r="W189" i="18" s="1"/>
  <c r="H189" i="18" a="1"/>
  <c r="H189" i="18" s="1"/>
  <c r="I189" i="18" a="1"/>
  <c r="I189" i="18" s="1"/>
  <c r="T189" i="18" a="1"/>
  <c r="T189" i="18" s="1"/>
  <c r="X189" i="18" a="1"/>
  <c r="X189" i="18" s="1"/>
  <c r="O189" i="18" a="1"/>
  <c r="O189" i="18" s="1"/>
  <c r="Q189" i="18" a="1"/>
  <c r="Q189" i="18" s="1"/>
  <c r="Y189" i="18" a="1"/>
  <c r="Y189" i="18" s="1"/>
  <c r="U189" i="18" a="1"/>
  <c r="U189" i="18" s="1"/>
  <c r="P189" i="18" a="1"/>
  <c r="P189" i="18" s="1"/>
  <c r="L189" i="18" a="1"/>
  <c r="L189" i="18" s="1"/>
  <c r="N189" i="18" a="1"/>
  <c r="N189" i="18" s="1"/>
  <c r="K189" i="18" a="1"/>
  <c r="K189" i="18" s="1"/>
  <c r="R189" i="18" a="1"/>
  <c r="R189" i="18" s="1"/>
  <c r="M189" i="18" a="1"/>
  <c r="M189" i="18" s="1"/>
  <c r="S189" i="18" a="1"/>
  <c r="S189" i="18" s="1"/>
  <c r="B337" i="18"/>
  <c r="Y183" i="18"/>
  <c r="B333" i="18"/>
  <c r="U183" i="18"/>
  <c r="K183" i="18"/>
  <c r="B323" i="18"/>
  <c r="B336" i="18"/>
  <c r="X183" i="18"/>
  <c r="Q183" i="18"/>
  <c r="B329" i="18"/>
  <c r="S183" i="18"/>
  <c r="B331" i="18"/>
  <c r="B332" i="18"/>
  <c r="T183" i="18"/>
  <c r="B324" i="18"/>
  <c r="L183" i="18"/>
  <c r="W183" i="18"/>
  <c r="B335" i="18"/>
  <c r="B322" i="18"/>
  <c r="J183" i="18"/>
  <c r="B334" i="18"/>
  <c r="V183" i="18"/>
  <c r="B325" i="18"/>
  <c r="M183" i="18"/>
  <c r="P183" i="18"/>
  <c r="B328" i="18"/>
  <c r="R183" i="18"/>
  <c r="B330" i="18"/>
  <c r="H183" i="18"/>
  <c r="B320" i="18"/>
  <c r="L67" i="20" s="1"/>
  <c r="N183" i="18"/>
  <c r="B326" i="18"/>
  <c r="Z183" i="18"/>
  <c r="B338" i="18"/>
  <c r="O183" i="18"/>
  <c r="B327" i="18"/>
  <c r="I183" i="18"/>
  <c r="B321" i="18"/>
  <c r="C217" i="12"/>
  <c r="D217" i="12" s="1"/>
  <c r="U78" i="20" s="1"/>
  <c r="C207" i="12"/>
  <c r="D207" i="12" s="1"/>
  <c r="C213" i="12"/>
  <c r="D213" i="12" s="1"/>
  <c r="U74" i="20" s="1"/>
  <c r="C208" i="12"/>
  <c r="D208" i="12" s="1"/>
  <c r="U69" i="20" s="1"/>
  <c r="C218" i="12"/>
  <c r="D218" i="12" s="1"/>
  <c r="U79" i="20" s="1"/>
  <c r="C214" i="12"/>
  <c r="D214" i="12" s="1"/>
  <c r="U75" i="20" s="1"/>
  <c r="C209" i="12"/>
  <c r="D209" i="12" s="1"/>
  <c r="U70" i="20" s="1"/>
  <c r="C219" i="12"/>
  <c r="D219" i="12" s="1"/>
  <c r="U80" i="20" s="1"/>
  <c r="C215" i="12"/>
  <c r="D215" i="12" s="1"/>
  <c r="U76" i="20" s="1"/>
  <c r="C210" i="12"/>
  <c r="D210" i="12" s="1"/>
  <c r="U71" i="20" s="1"/>
  <c r="C216" i="12"/>
  <c r="D216" i="12" s="1"/>
  <c r="U77" i="20" s="1"/>
  <c r="C220" i="12"/>
  <c r="D220" i="12" s="1"/>
  <c r="U81" i="20" s="1"/>
  <c r="C211" i="12"/>
  <c r="D211" i="12" s="1"/>
  <c r="U72" i="20" s="1"/>
  <c r="C221" i="12"/>
  <c r="D221" i="12" s="1"/>
  <c r="U82" i="20" s="1"/>
  <c r="C222" i="12"/>
  <c r="D222" i="12" s="1"/>
  <c r="U83" i="20" s="1"/>
  <c r="C212" i="12"/>
  <c r="D212" i="12" s="1"/>
  <c r="U73" i="20" s="1"/>
  <c r="C223" i="12"/>
  <c r="D223" i="12" s="1"/>
  <c r="U84" i="20" s="1"/>
  <c r="B137" i="5"/>
  <c r="B139" i="5" s="1"/>
  <c r="C224" i="12"/>
  <c r="D224" i="12" s="1"/>
  <c r="U85" i="20" s="1"/>
  <c r="C47" i="5"/>
  <c r="S70" i="20"/>
  <c r="T70" i="20" s="1"/>
  <c r="R121" i="10"/>
  <c r="R119" i="10"/>
  <c r="R134" i="10"/>
  <c r="R133" i="10"/>
  <c r="Y118" i="10"/>
  <c r="S67" i="20" s="1"/>
  <c r="S133" i="20" s="1"/>
  <c r="V23" i="5"/>
  <c r="V54" i="5" s="1"/>
  <c r="T23" i="5"/>
  <c r="T54" i="5" s="1"/>
  <c r="Q23" i="5"/>
  <c r="Q54" i="5" s="1"/>
  <c r="L23" i="5"/>
  <c r="L54" i="5" s="1"/>
  <c r="R128" i="10"/>
  <c r="R129" i="10"/>
  <c r="S78" i="20"/>
  <c r="T78" i="20" s="1"/>
  <c r="S74" i="20"/>
  <c r="T74" i="20" s="1"/>
  <c r="S81" i="20"/>
  <c r="T81" i="20" s="1"/>
  <c r="R130" i="10"/>
  <c r="R135" i="10"/>
  <c r="R120" i="10"/>
  <c r="R131" i="10"/>
  <c r="R136" i="10"/>
  <c r="R124" i="10"/>
  <c r="R126" i="10"/>
  <c r="R125" i="10"/>
  <c r="R122" i="10"/>
  <c r="R127" i="10"/>
  <c r="R123" i="10"/>
  <c r="R132" i="10"/>
  <c r="U118" i="10"/>
  <c r="M23" i="5"/>
  <c r="M54" i="5" s="1"/>
  <c r="O23" i="5"/>
  <c r="O54" i="5" s="1"/>
  <c r="K23" i="5"/>
  <c r="K54" i="5" s="1"/>
  <c r="F23" i="5"/>
  <c r="F54" i="5" s="1"/>
  <c r="C53" i="20" s="1"/>
  <c r="S123" i="10"/>
  <c r="U123" i="10" s="1"/>
  <c r="S131" i="10"/>
  <c r="U131" i="10" s="1"/>
  <c r="S136" i="10"/>
  <c r="U136" i="10" s="1"/>
  <c r="S134" i="10"/>
  <c r="U134" i="10" s="1"/>
  <c r="S127" i="10"/>
  <c r="U127" i="10" s="1"/>
  <c r="S129" i="10"/>
  <c r="U129" i="10" s="1"/>
  <c r="S125" i="10"/>
  <c r="U125" i="10" s="1"/>
  <c r="S133" i="10"/>
  <c r="U133" i="10" s="1"/>
  <c r="S124" i="10"/>
  <c r="U124" i="10" s="1"/>
  <c r="S119" i="10"/>
  <c r="U119" i="10" s="1"/>
  <c r="S132" i="10"/>
  <c r="U132" i="10" s="1"/>
  <c r="S130" i="10"/>
  <c r="U130" i="10" s="1"/>
  <c r="S121" i="10"/>
  <c r="U121" i="10" s="1"/>
  <c r="S120" i="10"/>
  <c r="U120" i="10" s="1"/>
  <c r="S128" i="10"/>
  <c r="U128" i="10" s="1"/>
  <c r="S135" i="10"/>
  <c r="U135" i="10" s="1"/>
  <c r="S122" i="10"/>
  <c r="U122" i="10" s="1"/>
  <c r="S126" i="10"/>
  <c r="U126" i="10" s="1"/>
  <c r="R23" i="5"/>
  <c r="R54" i="5" s="1"/>
  <c r="I23" i="5"/>
  <c r="I54" i="5" s="1"/>
  <c r="U23" i="5"/>
  <c r="U54" i="5" s="1"/>
  <c r="S23" i="5"/>
  <c r="S54" i="5" s="1"/>
  <c r="J23" i="5"/>
  <c r="J54" i="5" s="1"/>
  <c r="N23" i="5"/>
  <c r="N54" i="5" s="1"/>
  <c r="H23" i="5"/>
  <c r="H54" i="5" s="1"/>
  <c r="P23" i="5"/>
  <c r="P54" i="5" s="1"/>
  <c r="G23" i="5"/>
  <c r="G54" i="5" s="1"/>
  <c r="R34" i="10"/>
  <c r="W23" i="5"/>
  <c r="W54" i="5" s="1"/>
  <c r="G84" i="10"/>
  <c r="G59" i="10"/>
  <c r="O34" i="10"/>
  <c r="I34" i="10"/>
  <c r="N34" i="10"/>
  <c r="T34" i="10"/>
  <c r="U34" i="10"/>
  <c r="X34" i="10"/>
  <c r="W34" i="10"/>
  <c r="S34" i="10"/>
  <c r="H34" i="10"/>
  <c r="P34" i="10"/>
  <c r="Y34" i="10"/>
  <c r="J34" i="10"/>
  <c r="K34" i="10"/>
  <c r="V34" i="10"/>
  <c r="Q34" i="10"/>
  <c r="L34" i="10"/>
  <c r="M34" i="10"/>
  <c r="J139" i="20" l="1"/>
  <c r="J138" i="20"/>
  <c r="J145" i="20"/>
  <c r="J142" i="20"/>
  <c r="J151" i="20"/>
  <c r="J148" i="20"/>
  <c r="J134" i="20"/>
  <c r="J136" i="20"/>
  <c r="J141" i="20"/>
  <c r="J149" i="20"/>
  <c r="J150" i="20"/>
  <c r="J135" i="20"/>
  <c r="J146" i="20"/>
  <c r="J137" i="20"/>
  <c r="J147" i="20"/>
  <c r="D152" i="20"/>
  <c r="G152" i="20"/>
  <c r="L84" i="20"/>
  <c r="N84" i="20" s="1"/>
  <c r="L75" i="20"/>
  <c r="N75" i="20" s="1"/>
  <c r="L72" i="20"/>
  <c r="L138" i="20" s="1"/>
  <c r="L71" i="20"/>
  <c r="L137" i="20" s="1"/>
  <c r="L83" i="20"/>
  <c r="N83" i="20" s="1"/>
  <c r="L73" i="20"/>
  <c r="L139" i="20" s="1"/>
  <c r="L82" i="20"/>
  <c r="N82" i="20" s="1"/>
  <c r="L70" i="20"/>
  <c r="N70" i="20" s="1"/>
  <c r="L74" i="20"/>
  <c r="N74" i="20" s="1"/>
  <c r="L77" i="20"/>
  <c r="N77" i="20" s="1"/>
  <c r="L78" i="20"/>
  <c r="L144" i="20" s="1"/>
  <c r="L85" i="20"/>
  <c r="N85" i="20" s="1"/>
  <c r="L76" i="20"/>
  <c r="N76" i="20" s="1"/>
  <c r="L68" i="20"/>
  <c r="N68" i="20" s="1"/>
  <c r="L81" i="20"/>
  <c r="N81" i="20" s="1"/>
  <c r="L79" i="20"/>
  <c r="N79" i="20" s="1"/>
  <c r="L69" i="20"/>
  <c r="N69" i="20" s="1"/>
  <c r="L80" i="20"/>
  <c r="N80" i="20" s="1"/>
  <c r="S68" i="20"/>
  <c r="T68" i="20" s="1"/>
  <c r="G118" i="20"/>
  <c r="U68" i="20"/>
  <c r="U134" i="20" s="1"/>
  <c r="D28" i="20"/>
  <c r="D47" i="20" s="1"/>
  <c r="B142" i="10"/>
  <c r="L133" i="20"/>
  <c r="S138" i="20"/>
  <c r="S142" i="20"/>
  <c r="S147" i="20"/>
  <c r="G21" i="20"/>
  <c r="H45" i="20" s="1"/>
  <c r="U150" i="20"/>
  <c r="G16" i="20"/>
  <c r="H40" i="20" s="1"/>
  <c r="U145" i="20"/>
  <c r="S148" i="20"/>
  <c r="G20" i="20"/>
  <c r="H44" i="20" s="1"/>
  <c r="U149" i="20"/>
  <c r="G11" i="20"/>
  <c r="H35" i="20" s="1"/>
  <c r="U140" i="20"/>
  <c r="S140" i="20"/>
  <c r="S150" i="20"/>
  <c r="G19" i="20"/>
  <c r="H43" i="20" s="1"/>
  <c r="U148" i="20"/>
  <c r="G5" i="20"/>
  <c r="H29" i="20" s="1"/>
  <c r="S146" i="20"/>
  <c r="G9" i="20"/>
  <c r="H33" i="20" s="1"/>
  <c r="U138" i="20"/>
  <c r="G15" i="20"/>
  <c r="H39" i="20" s="1"/>
  <c r="U144" i="20"/>
  <c r="G10" i="20"/>
  <c r="H34" i="20" s="1"/>
  <c r="U139" i="20"/>
  <c r="Z128" i="10"/>
  <c r="E14" i="20" s="1"/>
  <c r="J143" i="20"/>
  <c r="S145" i="20"/>
  <c r="G18" i="20"/>
  <c r="H42" i="20" s="1"/>
  <c r="U147" i="20"/>
  <c r="R159" i="20"/>
  <c r="S137" i="20"/>
  <c r="G14" i="20"/>
  <c r="H38" i="20" s="1"/>
  <c r="U143" i="20"/>
  <c r="Z125" i="10"/>
  <c r="E11" i="20" s="1"/>
  <c r="J140" i="20"/>
  <c r="S149" i="20"/>
  <c r="S136" i="20"/>
  <c r="G8" i="20"/>
  <c r="U137" i="20"/>
  <c r="S151" i="20"/>
  <c r="Z129" i="10"/>
  <c r="E15" i="20" s="1"/>
  <c r="J144" i="20"/>
  <c r="G13" i="20"/>
  <c r="H37" i="20" s="1"/>
  <c r="U142" i="20"/>
  <c r="G22" i="20"/>
  <c r="H46" i="20" s="1"/>
  <c r="U151" i="20"/>
  <c r="S135" i="20"/>
  <c r="G17" i="20"/>
  <c r="H41" i="20" s="1"/>
  <c r="U146" i="20"/>
  <c r="S144" i="20"/>
  <c r="G7" i="20"/>
  <c r="U136" i="20"/>
  <c r="G6" i="20"/>
  <c r="U135" i="20"/>
  <c r="G12" i="20"/>
  <c r="H36" i="20" s="1"/>
  <c r="U141" i="20"/>
  <c r="Z134" i="10"/>
  <c r="E20" i="20" s="1"/>
  <c r="Z133" i="10"/>
  <c r="E19" i="20" s="1"/>
  <c r="Z130" i="10"/>
  <c r="E16" i="20" s="1"/>
  <c r="Z120" i="10"/>
  <c r="E6" i="20" s="1"/>
  <c r="Z127" i="10"/>
  <c r="E13" i="20" s="1"/>
  <c r="I60" i="20"/>
  <c r="Z131" i="10"/>
  <c r="E17" i="20" s="1"/>
  <c r="Z123" i="10"/>
  <c r="E9" i="20" s="1"/>
  <c r="Z136" i="10"/>
  <c r="E22" i="20" s="1"/>
  <c r="Z126" i="10"/>
  <c r="E12" i="20" s="1"/>
  <c r="Z121" i="10"/>
  <c r="E7" i="20" s="1"/>
  <c r="Z135" i="10"/>
  <c r="E21" i="20" s="1"/>
  <c r="Z122" i="10"/>
  <c r="E8" i="20" s="1"/>
  <c r="Z124" i="10"/>
  <c r="E10" i="20" s="1"/>
  <c r="Z119" i="10"/>
  <c r="E53" i="20" s="1"/>
  <c r="Z118" i="10"/>
  <c r="E4" i="20" s="1"/>
  <c r="F28" i="20" s="1"/>
  <c r="Z132" i="10"/>
  <c r="E18" i="20" s="1"/>
  <c r="G53" i="20"/>
  <c r="N60" i="20"/>
  <c r="M125" i="20"/>
  <c r="I191" i="18"/>
  <c r="C321" i="18"/>
  <c r="O68" i="20" s="1"/>
  <c r="Q68" i="20" s="1"/>
  <c r="C329" i="18"/>
  <c r="Q191" i="18"/>
  <c r="C322" i="18"/>
  <c r="J191" i="18"/>
  <c r="C334" i="18"/>
  <c r="V191" i="18"/>
  <c r="K191" i="18"/>
  <c r="C323" i="18"/>
  <c r="C336" i="18"/>
  <c r="X191" i="18"/>
  <c r="P191" i="18"/>
  <c r="C328" i="18"/>
  <c r="C330" i="18"/>
  <c r="R191" i="18"/>
  <c r="C326" i="18"/>
  <c r="N191" i="18"/>
  <c r="M191" i="18"/>
  <c r="C325" i="18"/>
  <c r="C320" i="18"/>
  <c r="O67" i="20" s="1"/>
  <c r="O133" i="20" s="1"/>
  <c r="H191" i="18"/>
  <c r="Y191" i="18"/>
  <c r="C337" i="18"/>
  <c r="C335" i="18"/>
  <c r="W191" i="18"/>
  <c r="O191" i="18"/>
  <c r="C327" i="18"/>
  <c r="C338" i="18"/>
  <c r="Z191" i="18"/>
  <c r="C331" i="18"/>
  <c r="S191" i="18"/>
  <c r="C324" i="18"/>
  <c r="L191" i="18"/>
  <c r="C332" i="18"/>
  <c r="T191" i="18"/>
  <c r="U191" i="18"/>
  <c r="C333" i="18"/>
  <c r="C229" i="12"/>
  <c r="B40" i="21"/>
  <c r="C137" i="5"/>
  <c r="K84" i="5"/>
  <c r="B229" i="12"/>
  <c r="C206" i="12"/>
  <c r="E47" i="5"/>
  <c r="L125" i="20"/>
  <c r="H60" i="20"/>
  <c r="O60" i="20"/>
  <c r="F60" i="20"/>
  <c r="B35" i="21"/>
  <c r="B26" i="43" s="1"/>
  <c r="C26" i="43" s="1"/>
  <c r="B19" i="21"/>
  <c r="B10" i="43" s="1"/>
  <c r="C10" i="43" s="1"/>
  <c r="B18" i="21"/>
  <c r="B9" i="43" s="1"/>
  <c r="C9" i="43" s="1"/>
  <c r="B30" i="21"/>
  <c r="B21" i="43" s="1"/>
  <c r="C21" i="43" s="1"/>
  <c r="B17" i="21"/>
  <c r="B28" i="21"/>
  <c r="B19" i="43" s="1"/>
  <c r="C19" i="43" s="1"/>
  <c r="B33" i="21"/>
  <c r="B24" i="43" s="1"/>
  <c r="C24" i="43" s="1"/>
  <c r="B27" i="21"/>
  <c r="B18" i="43" s="1"/>
  <c r="C18" i="43" s="1"/>
  <c r="B21" i="21"/>
  <c r="B12" i="43" s="1"/>
  <c r="C12" i="43" s="1"/>
  <c r="B26" i="21"/>
  <c r="B17" i="43" s="1"/>
  <c r="C17" i="43" s="1"/>
  <c r="B32" i="21"/>
  <c r="B23" i="43" s="1"/>
  <c r="C23" i="43" s="1"/>
  <c r="B31" i="21"/>
  <c r="B22" i="43" s="1"/>
  <c r="C22" i="43" s="1"/>
  <c r="B25" i="21"/>
  <c r="B16" i="43" s="1"/>
  <c r="C16" i="43" s="1"/>
  <c r="B20" i="21"/>
  <c r="B11" i="43" s="1"/>
  <c r="C11" i="43" s="1"/>
  <c r="B22" i="21"/>
  <c r="B13" i="43" s="1"/>
  <c r="C13" i="43" s="1"/>
  <c r="B29" i="21"/>
  <c r="B20" i="43" s="1"/>
  <c r="C20" i="43" s="1"/>
  <c r="B24" i="21"/>
  <c r="B15" i="43" s="1"/>
  <c r="C15" i="43" s="1"/>
  <c r="B34" i="21"/>
  <c r="B25" i="43" s="1"/>
  <c r="C25" i="43" s="1"/>
  <c r="B23" i="21"/>
  <c r="B14" i="43" s="1"/>
  <c r="C14" i="43" s="1"/>
  <c r="G110" i="10"/>
  <c r="B141" i="10" s="1"/>
  <c r="H4" i="20" l="1"/>
  <c r="I28" i="20" s="1"/>
  <c r="B30" i="43" s="1"/>
  <c r="B8" i="43"/>
  <c r="C8" i="43" s="1"/>
  <c r="L150" i="20"/>
  <c r="L141" i="20"/>
  <c r="B143" i="10"/>
  <c r="L135" i="20"/>
  <c r="L147" i="20"/>
  <c r="L136" i="20"/>
  <c r="L149" i="20"/>
  <c r="L142" i="20"/>
  <c r="L145" i="20"/>
  <c r="L148" i="20"/>
  <c r="N73" i="20"/>
  <c r="L151" i="20"/>
  <c r="L143" i="20"/>
  <c r="N71" i="20"/>
  <c r="N78" i="20"/>
  <c r="N72" i="20"/>
  <c r="L146" i="20"/>
  <c r="L140" i="20"/>
  <c r="S134" i="20"/>
  <c r="V80" i="20"/>
  <c r="V146" i="20" s="1"/>
  <c r="O85" i="20"/>
  <c r="Q85" i="20" s="1"/>
  <c r="O69" i="20"/>
  <c r="Q69" i="20" s="1"/>
  <c r="V73" i="20"/>
  <c r="V139" i="20" s="1"/>
  <c r="V82" i="20"/>
  <c r="V148" i="20" s="1"/>
  <c r="H118" i="20"/>
  <c r="V68" i="20"/>
  <c r="V134" i="20" s="1"/>
  <c r="O74" i="20"/>
  <c r="Q74" i="20" s="1"/>
  <c r="O72" i="20"/>
  <c r="Q72" i="20" s="1"/>
  <c r="O79" i="20"/>
  <c r="Q79" i="20" s="1"/>
  <c r="O83" i="20"/>
  <c r="Q83" i="20" s="1"/>
  <c r="O76" i="20"/>
  <c r="Q76" i="20" s="1"/>
  <c r="V85" i="20"/>
  <c r="V151" i="20" s="1"/>
  <c r="O70" i="20"/>
  <c r="Q70" i="20" s="1"/>
  <c r="V79" i="20"/>
  <c r="V145" i="20" s="1"/>
  <c r="V77" i="20"/>
  <c r="V143" i="20" s="1"/>
  <c r="O71" i="20"/>
  <c r="Q71" i="20" s="1"/>
  <c r="O82" i="20"/>
  <c r="Q82" i="20" s="1"/>
  <c r="O73" i="20"/>
  <c r="Q73" i="20" s="1"/>
  <c r="V69" i="20"/>
  <c r="V135" i="20" s="1"/>
  <c r="V84" i="20"/>
  <c r="V150" i="20" s="1"/>
  <c r="V71" i="20"/>
  <c r="V137" i="20" s="1"/>
  <c r="V72" i="20"/>
  <c r="V138" i="20" s="1"/>
  <c r="V83" i="20"/>
  <c r="V149" i="20" s="1"/>
  <c r="O84" i="20"/>
  <c r="Q84" i="20" s="1"/>
  <c r="V70" i="20"/>
  <c r="V136" i="20" s="1"/>
  <c r="V78" i="20"/>
  <c r="V144" i="20" s="1"/>
  <c r="O78" i="20"/>
  <c r="Q78" i="20" s="1"/>
  <c r="O77" i="20"/>
  <c r="Q77" i="20" s="1"/>
  <c r="O81" i="20"/>
  <c r="Q81" i="20" s="1"/>
  <c r="V81" i="20"/>
  <c r="V147" i="20" s="1"/>
  <c r="V76" i="20"/>
  <c r="V142" i="20" s="1"/>
  <c r="V74" i="20"/>
  <c r="V140" i="20" s="1"/>
  <c r="V75" i="20"/>
  <c r="V141" i="20" s="1"/>
  <c r="O80" i="20"/>
  <c r="Q80" i="20" s="1"/>
  <c r="O75" i="20"/>
  <c r="Q75" i="20" s="1"/>
  <c r="F98" i="20"/>
  <c r="F34" i="20"/>
  <c r="F102" i="20"/>
  <c r="F38" i="20"/>
  <c r="F105" i="20"/>
  <c r="F41" i="20"/>
  <c r="F101" i="20"/>
  <c r="F37" i="20"/>
  <c r="F109" i="20"/>
  <c r="F45" i="20"/>
  <c r="F104" i="20"/>
  <c r="F40" i="20"/>
  <c r="F100" i="20"/>
  <c r="F36" i="20"/>
  <c r="F107" i="20"/>
  <c r="F43" i="20"/>
  <c r="F106" i="20"/>
  <c r="F42" i="20"/>
  <c r="F110" i="20"/>
  <c r="F46" i="20"/>
  <c r="F108" i="20"/>
  <c r="F44" i="20"/>
  <c r="F99" i="20"/>
  <c r="F35" i="20"/>
  <c r="F97" i="20"/>
  <c r="F33" i="20"/>
  <c r="F103" i="20"/>
  <c r="F39" i="20"/>
  <c r="H110" i="20"/>
  <c r="H93" i="20"/>
  <c r="H108" i="20"/>
  <c r="H98" i="20"/>
  <c r="H102" i="20"/>
  <c r="H101" i="20"/>
  <c r="H107" i="20"/>
  <c r="H99" i="20"/>
  <c r="H106" i="20"/>
  <c r="H103" i="20"/>
  <c r="H104" i="20"/>
  <c r="H100" i="20"/>
  <c r="H105" i="20"/>
  <c r="H97" i="20"/>
  <c r="H109" i="20"/>
  <c r="F92" i="20"/>
  <c r="J152" i="20"/>
  <c r="T141" i="20"/>
  <c r="S141" i="20"/>
  <c r="T139" i="20"/>
  <c r="S139" i="20"/>
  <c r="I125" i="20"/>
  <c r="L134" i="20"/>
  <c r="T143" i="20"/>
  <c r="S143" i="20"/>
  <c r="B343" i="18"/>
  <c r="B344" i="18"/>
  <c r="T146" i="20"/>
  <c r="T140" i="20"/>
  <c r="T138" i="20"/>
  <c r="T144" i="20"/>
  <c r="E54" i="5"/>
  <c r="D137" i="5" s="1"/>
  <c r="T149" i="20"/>
  <c r="O134" i="20"/>
  <c r="E5" i="20"/>
  <c r="F29" i="20" s="1"/>
  <c r="E118" i="20"/>
  <c r="T151" i="20"/>
  <c r="T142" i="20"/>
  <c r="T145" i="20"/>
  <c r="T148" i="20"/>
  <c r="T150" i="20"/>
  <c r="T137" i="20"/>
  <c r="T136" i="20"/>
  <c r="T135" i="20"/>
  <c r="G54" i="20"/>
  <c r="V67" i="20"/>
  <c r="H5" i="20"/>
  <c r="T147" i="20"/>
  <c r="T134" i="20"/>
  <c r="K143" i="20"/>
  <c r="K144" i="20"/>
  <c r="K135" i="20"/>
  <c r="K140" i="20"/>
  <c r="K60" i="20"/>
  <c r="F326" i="18"/>
  <c r="D10" i="20" s="1"/>
  <c r="E34" i="20" s="1"/>
  <c r="F322" i="18"/>
  <c r="D6" i="20" s="1"/>
  <c r="L6" i="20" s="1"/>
  <c r="F334" i="18"/>
  <c r="D18" i="20" s="1"/>
  <c r="E42" i="20" s="1"/>
  <c r="F333" i="18"/>
  <c r="D17" i="20" s="1"/>
  <c r="E41" i="20" s="1"/>
  <c r="F329" i="18"/>
  <c r="D13" i="20" s="1"/>
  <c r="E37" i="20" s="1"/>
  <c r="F324" i="18"/>
  <c r="D8" i="20" s="1"/>
  <c r="L8" i="20" s="1"/>
  <c r="F338" i="18"/>
  <c r="D22" i="20" s="1"/>
  <c r="E46" i="20" s="1"/>
  <c r="F332" i="18"/>
  <c r="D16" i="20" s="1"/>
  <c r="E40" i="20" s="1"/>
  <c r="F330" i="18"/>
  <c r="D14" i="20" s="1"/>
  <c r="E38" i="20" s="1"/>
  <c r="F331" i="18"/>
  <c r="D15" i="20" s="1"/>
  <c r="E39" i="20" s="1"/>
  <c r="F325" i="18"/>
  <c r="D9" i="20" s="1"/>
  <c r="E33" i="20" s="1"/>
  <c r="F327" i="18"/>
  <c r="D11" i="20" s="1"/>
  <c r="E35" i="20" s="1"/>
  <c r="F323" i="18"/>
  <c r="D7" i="20" s="1"/>
  <c r="L7" i="20" s="1"/>
  <c r="F337" i="18"/>
  <c r="D21" i="20" s="1"/>
  <c r="E45" i="20" s="1"/>
  <c r="F335" i="18"/>
  <c r="D19" i="20" s="1"/>
  <c r="E43" i="20" s="1"/>
  <c r="F328" i="18"/>
  <c r="D12" i="20" s="1"/>
  <c r="E36" i="20" s="1"/>
  <c r="F320" i="18"/>
  <c r="D4" i="20" s="1"/>
  <c r="E28" i="20" s="1"/>
  <c r="F321" i="18"/>
  <c r="D53" i="20" s="1"/>
  <c r="L53" i="20" s="1"/>
  <c r="F336" i="18"/>
  <c r="D20" i="20" s="1"/>
  <c r="E44" i="20" s="1"/>
  <c r="L159" i="20"/>
  <c r="M159" i="20"/>
  <c r="K147" i="20"/>
  <c r="K151" i="20"/>
  <c r="K150" i="20"/>
  <c r="H53" i="20"/>
  <c r="K136" i="20"/>
  <c r="K148" i="20"/>
  <c r="K146" i="20"/>
  <c r="K141" i="20"/>
  <c r="K137" i="20"/>
  <c r="K139" i="20"/>
  <c r="K142" i="20"/>
  <c r="K138" i="20"/>
  <c r="K145" i="20"/>
  <c r="K149" i="20"/>
  <c r="H18" i="20"/>
  <c r="H14" i="20"/>
  <c r="H20" i="20"/>
  <c r="H19" i="20"/>
  <c r="H10" i="20"/>
  <c r="H21" i="20"/>
  <c r="H15" i="20"/>
  <c r="H8" i="20"/>
  <c r="H11" i="20"/>
  <c r="H16" i="20"/>
  <c r="H17" i="20"/>
  <c r="H9" i="20"/>
  <c r="H7" i="20"/>
  <c r="H6" i="20"/>
  <c r="H13" i="20"/>
  <c r="H12" i="20"/>
  <c r="H22" i="20"/>
  <c r="N125" i="20"/>
  <c r="D206" i="12"/>
  <c r="G4" i="20" s="1"/>
  <c r="H28" i="20" s="1"/>
  <c r="C230" i="12"/>
  <c r="C231" i="12" s="1"/>
  <c r="H151" i="20"/>
  <c r="H140" i="20"/>
  <c r="H136" i="20"/>
  <c r="H147" i="20"/>
  <c r="H144" i="20"/>
  <c r="H149" i="20"/>
  <c r="H145" i="20"/>
  <c r="B41" i="21"/>
  <c r="B42" i="21" s="1"/>
  <c r="C139" i="5"/>
  <c r="H134" i="20"/>
  <c r="O125" i="20"/>
  <c r="G125" i="20"/>
  <c r="F125" i="20"/>
  <c r="E134" i="20"/>
  <c r="D125" i="20"/>
  <c r="N134" i="20"/>
  <c r="J159" i="20"/>
  <c r="H125" i="20"/>
  <c r="H159" i="20" s="1"/>
  <c r="K134" i="20"/>
  <c r="E139" i="20"/>
  <c r="E142" i="20"/>
  <c r="E146" i="20"/>
  <c r="E136" i="20"/>
  <c r="E141" i="20"/>
  <c r="E140" i="20"/>
  <c r="E150" i="20"/>
  <c r="E148" i="20"/>
  <c r="E135" i="20"/>
  <c r="E138" i="20"/>
  <c r="E149" i="20"/>
  <c r="E144" i="20"/>
  <c r="E147" i="20"/>
  <c r="E137" i="20"/>
  <c r="E145" i="20"/>
  <c r="E143" i="20"/>
  <c r="E151" i="20"/>
  <c r="I92" i="20" l="1"/>
  <c r="C30" i="43"/>
  <c r="L152" i="20"/>
  <c r="O149" i="20"/>
  <c r="O143" i="20"/>
  <c r="O150" i="20"/>
  <c r="O137" i="20"/>
  <c r="O138" i="20"/>
  <c r="O141" i="20"/>
  <c r="O144" i="20"/>
  <c r="O142" i="20"/>
  <c r="O140" i="20"/>
  <c r="O135" i="20"/>
  <c r="O146" i="20"/>
  <c r="O139" i="20"/>
  <c r="O151" i="20"/>
  <c r="V133" i="20"/>
  <c r="V152" i="20" s="1"/>
  <c r="V86" i="20"/>
  <c r="O147" i="20"/>
  <c r="O148" i="20"/>
  <c r="O136" i="20"/>
  <c r="O145" i="20"/>
  <c r="B61" i="20"/>
  <c r="I101" i="20"/>
  <c r="I37" i="20"/>
  <c r="B36" i="43" s="1"/>
  <c r="C36" i="43" s="1"/>
  <c r="I103" i="20"/>
  <c r="I39" i="20"/>
  <c r="B38" i="43" s="1"/>
  <c r="C38" i="43" s="1"/>
  <c r="I100" i="20"/>
  <c r="I36" i="20"/>
  <c r="B35" i="43" s="1"/>
  <c r="C35" i="43" s="1"/>
  <c r="I98" i="20"/>
  <c r="I34" i="20"/>
  <c r="B33" i="43" s="1"/>
  <c r="C33" i="43" s="1"/>
  <c r="I97" i="20"/>
  <c r="I33" i="20"/>
  <c r="B32" i="43" s="1"/>
  <c r="C32" i="43" s="1"/>
  <c r="I107" i="20"/>
  <c r="I43" i="20"/>
  <c r="B42" i="43" s="1"/>
  <c r="C42" i="43" s="1"/>
  <c r="I93" i="20"/>
  <c r="I29" i="20"/>
  <c r="B31" i="43" s="1"/>
  <c r="C31" i="43" s="1"/>
  <c r="I109" i="20"/>
  <c r="I45" i="20"/>
  <c r="B44" i="43" s="1"/>
  <c r="C44" i="43" s="1"/>
  <c r="I105" i="20"/>
  <c r="I41" i="20"/>
  <c r="B40" i="43" s="1"/>
  <c r="C40" i="43" s="1"/>
  <c r="I108" i="20"/>
  <c r="I44" i="20"/>
  <c r="B43" i="43" s="1"/>
  <c r="C43" i="43" s="1"/>
  <c r="I104" i="20"/>
  <c r="I40" i="20"/>
  <c r="B39" i="43" s="1"/>
  <c r="C39" i="43" s="1"/>
  <c r="I102" i="20"/>
  <c r="I38" i="20"/>
  <c r="B37" i="43" s="1"/>
  <c r="C37" i="43" s="1"/>
  <c r="I110" i="20"/>
  <c r="I46" i="20"/>
  <c r="B45" i="43" s="1"/>
  <c r="C45" i="43" s="1"/>
  <c r="I99" i="20"/>
  <c r="I35" i="20"/>
  <c r="B34" i="43" s="1"/>
  <c r="C34" i="43" s="1"/>
  <c r="I106" i="20"/>
  <c r="I42" i="20"/>
  <c r="B41" i="43" s="1"/>
  <c r="C41" i="43" s="1"/>
  <c r="E104" i="20"/>
  <c r="E102" i="20"/>
  <c r="E103" i="20"/>
  <c r="L21" i="20"/>
  <c r="E109" i="20"/>
  <c r="L13" i="20"/>
  <c r="E101" i="20"/>
  <c r="F93" i="20"/>
  <c r="F111" i="20" s="1"/>
  <c r="L11" i="20"/>
  <c r="E99" i="20"/>
  <c r="L17" i="20"/>
  <c r="E105" i="20"/>
  <c r="E92" i="20"/>
  <c r="L10" i="20"/>
  <c r="E98" i="20"/>
  <c r="L20" i="20"/>
  <c r="E108" i="20"/>
  <c r="L18" i="20"/>
  <c r="E106" i="20"/>
  <c r="L12" i="20"/>
  <c r="E100" i="20"/>
  <c r="L9" i="20"/>
  <c r="E97" i="20"/>
  <c r="H92" i="20"/>
  <c r="H111" i="20" s="1"/>
  <c r="L19" i="20"/>
  <c r="E107" i="20"/>
  <c r="L22" i="20"/>
  <c r="E110" i="20"/>
  <c r="D111" i="20"/>
  <c r="D112" i="20" s="1"/>
  <c r="S152" i="20"/>
  <c r="L4" i="20"/>
  <c r="L14" i="20"/>
  <c r="L15" i="20"/>
  <c r="L16" i="20"/>
  <c r="E54" i="20"/>
  <c r="D5" i="20"/>
  <c r="E29" i="20" s="1"/>
  <c r="D118" i="20"/>
  <c r="B345" i="18"/>
  <c r="F159" i="20"/>
  <c r="H23" i="20"/>
  <c r="Q67" i="20"/>
  <c r="Q133" i="20" s="1"/>
  <c r="H54" i="20"/>
  <c r="U67" i="20"/>
  <c r="C54" i="20"/>
  <c r="I159" i="20"/>
  <c r="G159" i="20"/>
  <c r="E23" i="20"/>
  <c r="D159" i="20"/>
  <c r="O159" i="20"/>
  <c r="N159" i="20"/>
  <c r="C23" i="20"/>
  <c r="T67" i="20"/>
  <c r="T133" i="20" s="1"/>
  <c r="T152" i="20" s="1"/>
  <c r="H135" i="20"/>
  <c r="H143" i="20"/>
  <c r="E67" i="20"/>
  <c r="B230" i="12"/>
  <c r="B231" i="12" s="1"/>
  <c r="H137" i="20"/>
  <c r="H146" i="20"/>
  <c r="K67" i="20"/>
  <c r="K133" i="20" s="1"/>
  <c r="K152" i="20" s="1"/>
  <c r="H142" i="20"/>
  <c r="H141" i="20"/>
  <c r="H138" i="20"/>
  <c r="H148" i="20"/>
  <c r="H139" i="20"/>
  <c r="E125" i="20"/>
  <c r="K125" i="20"/>
  <c r="K159" i="20" s="1"/>
  <c r="P125" i="20"/>
  <c r="H67" i="20"/>
  <c r="H133" i="20" s="1"/>
  <c r="H150" i="20"/>
  <c r="N146" i="20"/>
  <c r="N150" i="20"/>
  <c r="N148" i="20"/>
  <c r="N142" i="20"/>
  <c r="N139" i="20"/>
  <c r="N145" i="20"/>
  <c r="N138" i="20"/>
  <c r="N147" i="20"/>
  <c r="N135" i="20"/>
  <c r="N67" i="20"/>
  <c r="N133" i="20" s="1"/>
  <c r="N141" i="20"/>
  <c r="N149" i="20"/>
  <c r="N151" i="20"/>
  <c r="N144" i="20"/>
  <c r="N137" i="20"/>
  <c r="N143" i="20"/>
  <c r="B46" i="43" l="1"/>
  <c r="C46" i="43"/>
  <c r="O152" i="20"/>
  <c r="U133" i="20"/>
  <c r="U152" i="20" s="1"/>
  <c r="U86" i="20"/>
  <c r="E93" i="20"/>
  <c r="L118" i="20"/>
  <c r="L119" i="20" s="1"/>
  <c r="M92" i="20"/>
  <c r="I111" i="20"/>
  <c r="M101" i="20"/>
  <c r="M102" i="20"/>
  <c r="M100" i="20"/>
  <c r="M98" i="20"/>
  <c r="M99" i="20"/>
  <c r="M109" i="20"/>
  <c r="M107" i="20"/>
  <c r="M104" i="20"/>
  <c r="M106" i="20"/>
  <c r="M110" i="20"/>
  <c r="M97" i="20"/>
  <c r="M103" i="20"/>
  <c r="M105" i="20"/>
  <c r="M108" i="20"/>
  <c r="H152" i="20"/>
  <c r="E133" i="20"/>
  <c r="Q134" i="20"/>
  <c r="L5" i="20"/>
  <c r="L54" i="20" s="1"/>
  <c r="M43" i="20"/>
  <c r="M34" i="20"/>
  <c r="M35" i="20"/>
  <c r="M38" i="20"/>
  <c r="M44" i="20"/>
  <c r="M37" i="20"/>
  <c r="M42" i="20"/>
  <c r="M36" i="20"/>
  <c r="M46" i="20"/>
  <c r="M45" i="20"/>
  <c r="M29" i="20"/>
  <c r="M40" i="20"/>
  <c r="M41" i="20"/>
  <c r="M39" i="20"/>
  <c r="M33" i="20"/>
  <c r="D23" i="20"/>
  <c r="D54" i="20"/>
  <c r="E47" i="20"/>
  <c r="G23" i="20"/>
  <c r="I47" i="20"/>
  <c r="F47" i="20"/>
  <c r="F112" i="20" s="1"/>
  <c r="E159" i="20"/>
  <c r="P159" i="20"/>
  <c r="D139" i="5"/>
  <c r="H47" i="20"/>
  <c r="H112" i="20" s="1"/>
  <c r="Q141" i="20"/>
  <c r="Q139" i="20"/>
  <c r="Q149" i="20"/>
  <c r="N136" i="20"/>
  <c r="Q147" i="20"/>
  <c r="N140" i="20"/>
  <c r="Q151" i="20"/>
  <c r="Q142" i="20"/>
  <c r="Q143" i="20"/>
  <c r="Q145" i="20"/>
  <c r="Q135" i="20"/>
  <c r="Q148" i="20"/>
  <c r="Q144" i="20"/>
  <c r="Q150" i="20"/>
  <c r="Q146" i="20"/>
  <c r="Q136" i="20"/>
  <c r="Q138" i="20"/>
  <c r="Q140" i="20"/>
  <c r="Q137" i="20"/>
  <c r="I112" i="20" l="1"/>
  <c r="M28" i="20"/>
  <c r="M47" i="20" s="1"/>
  <c r="N152" i="20"/>
  <c r="M93" i="20"/>
  <c r="M111" i="20" s="1"/>
  <c r="E111" i="20"/>
  <c r="Q152" i="20"/>
  <c r="E152" i="20"/>
  <c r="B160" i="20"/>
  <c r="M112" i="20" l="1"/>
  <c r="E112" i="20"/>
  <c r="E143" i="14"/>
  <c r="I8" i="20" s="1"/>
  <c r="M8" i="20" s="1"/>
  <c r="B164" i="14"/>
  <c r="B165" i="14" s="1"/>
  <c r="B10" i="40" s="1"/>
  <c r="E142" i="14"/>
  <c r="I7" i="20" s="1"/>
  <c r="M7" i="20" s="1"/>
  <c r="E141" i="14"/>
  <c r="I6" i="20" s="1"/>
  <c r="M6" i="20" s="1"/>
  <c r="E144" i="14"/>
  <c r="I9" i="20" s="1"/>
  <c r="M9" i="20" s="1"/>
  <c r="E155" i="14"/>
  <c r="I20" i="20" s="1"/>
  <c r="M20" i="20" s="1"/>
  <c r="E149" i="14"/>
  <c r="I14" i="20" s="1"/>
  <c r="E145" i="14"/>
  <c r="I10" i="20" s="1"/>
  <c r="E147" i="14"/>
  <c r="I12" i="20" s="1"/>
  <c r="E148" i="14"/>
  <c r="I13" i="20" s="1"/>
  <c r="E154" i="14"/>
  <c r="I19" i="20" s="1"/>
  <c r="E150" i="14"/>
  <c r="I15" i="20" s="1"/>
  <c r="M15" i="20" s="1"/>
  <c r="E151" i="14"/>
  <c r="I16" i="20" s="1"/>
  <c r="J40" i="20" s="1"/>
  <c r="E152" i="14"/>
  <c r="I17" i="20" s="1"/>
  <c r="E146" i="14"/>
  <c r="I11" i="20" s="1"/>
  <c r="E156" i="14"/>
  <c r="I21" i="20" s="1"/>
  <c r="J109" i="20" s="1"/>
  <c r="E153" i="14"/>
  <c r="I18" i="20" s="1"/>
  <c r="E157" i="14"/>
  <c r="I22" i="20" s="1"/>
  <c r="E140" i="14"/>
  <c r="I118" i="20" s="1"/>
  <c r="E139" i="14"/>
  <c r="I4" i="20" s="1"/>
  <c r="I5" i="20" l="1"/>
  <c r="J29" i="20" s="1"/>
  <c r="N29" i="20" s="1"/>
  <c r="J42" i="20"/>
  <c r="O42" i="20" s="1"/>
  <c r="M18" i="20"/>
  <c r="J106" i="20"/>
  <c r="J41" i="20"/>
  <c r="N41" i="20" s="1"/>
  <c r="J105" i="20"/>
  <c r="N105" i="20" s="1"/>
  <c r="M17" i="20"/>
  <c r="J104" i="20"/>
  <c r="O104" i="20" s="1"/>
  <c r="N109" i="20"/>
  <c r="O109" i="20"/>
  <c r="M12" i="20"/>
  <c r="J100" i="20"/>
  <c r="J36" i="20"/>
  <c r="J35" i="20"/>
  <c r="J99" i="20"/>
  <c r="M11" i="20"/>
  <c r="M10" i="20"/>
  <c r="J34" i="20"/>
  <c r="J98" i="20"/>
  <c r="N40" i="20"/>
  <c r="O40" i="20"/>
  <c r="M22" i="20"/>
  <c r="J110" i="20"/>
  <c r="J46" i="20"/>
  <c r="J43" i="20"/>
  <c r="J107" i="20"/>
  <c r="M19" i="20"/>
  <c r="J37" i="20"/>
  <c r="M13" i="20"/>
  <c r="J101" i="20"/>
  <c r="M4" i="20"/>
  <c r="B152" i="20"/>
  <c r="B86" i="20"/>
  <c r="J28" i="20"/>
  <c r="J92" i="20"/>
  <c r="M14" i="20"/>
  <c r="J38" i="20"/>
  <c r="J102" i="20"/>
  <c r="B119" i="20"/>
  <c r="M118" i="20"/>
  <c r="B126" i="20"/>
  <c r="J103" i="20"/>
  <c r="I53" i="20"/>
  <c r="M53" i="20" s="1"/>
  <c r="J97" i="20"/>
  <c r="J39" i="20"/>
  <c r="J45" i="20"/>
  <c r="J33" i="20"/>
  <c r="M21" i="20"/>
  <c r="M16" i="20"/>
  <c r="J108" i="20"/>
  <c r="J44" i="20"/>
  <c r="N104" i="20" l="1"/>
  <c r="O41" i="20"/>
  <c r="M5" i="20"/>
  <c r="M54" i="20" s="1"/>
  <c r="N42" i="20"/>
  <c r="O105" i="20"/>
  <c r="Z86" i="20"/>
  <c r="O29" i="20"/>
  <c r="J93" i="20"/>
  <c r="J111" i="20" s="1"/>
  <c r="I23" i="20"/>
  <c r="B23" i="20" s="1"/>
  <c r="N106" i="20"/>
  <c r="O106" i="20"/>
  <c r="N97" i="20"/>
  <c r="O97" i="20"/>
  <c r="N37" i="20"/>
  <c r="O37" i="20"/>
  <c r="N34" i="20"/>
  <c r="O34" i="20"/>
  <c r="N102" i="20"/>
  <c r="O102" i="20"/>
  <c r="N98" i="20"/>
  <c r="O98" i="20"/>
  <c r="O43" i="20"/>
  <c r="N43" i="20"/>
  <c r="N99" i="20"/>
  <c r="O99" i="20"/>
  <c r="N38" i="20"/>
  <c r="O38" i="20"/>
  <c r="O108" i="20"/>
  <c r="N108" i="20"/>
  <c r="O92" i="20"/>
  <c r="N92" i="20"/>
  <c r="O35" i="20"/>
  <c r="N35" i="20"/>
  <c r="O103" i="20"/>
  <c r="N103" i="20"/>
  <c r="N28" i="20"/>
  <c r="O28" i="20"/>
  <c r="J47" i="20"/>
  <c r="N36" i="20"/>
  <c r="O36" i="20"/>
  <c r="N46" i="20"/>
  <c r="O46" i="20"/>
  <c r="O100" i="20"/>
  <c r="N100" i="20"/>
  <c r="N110" i="20"/>
  <c r="O110" i="20"/>
  <c r="O45" i="20"/>
  <c r="N45" i="20"/>
  <c r="N101" i="20"/>
  <c r="O101" i="20"/>
  <c r="N107" i="20"/>
  <c r="O107" i="20"/>
  <c r="N44" i="20"/>
  <c r="O44" i="20"/>
  <c r="N39" i="20"/>
  <c r="O39" i="20"/>
  <c r="I54" i="20"/>
  <c r="M119" i="20"/>
  <c r="O33" i="20"/>
  <c r="N33" i="20"/>
  <c r="N93" i="20" l="1"/>
  <c r="N111" i="20" s="1"/>
  <c r="O93" i="20"/>
  <c r="O111" i="20" s="1"/>
  <c r="J112" i="20"/>
  <c r="B112" i="20"/>
  <c r="O47" i="20"/>
  <c r="N47" i="20"/>
  <c r="B54" i="20"/>
  <c r="B9" i="40" l="1"/>
  <c r="B11" i="40" s="1"/>
  <c r="E7" i="35" s="1"/>
  <c r="R101" i="20"/>
  <c r="N112" i="20"/>
  <c r="O112" i="20"/>
  <c r="E6" i="35" l="1"/>
  <c r="E110" i="35" s="1"/>
  <c r="E59" i="35"/>
  <c r="E111" i="35"/>
  <c r="E58" i="3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Shaffie Juma</author>
    <author>David Hernando</author>
  </authors>
  <commentList>
    <comment ref="B10" authorId="0" shapeId="0" xr:uid="{7F495CB2-B0D9-483C-A332-A109707C3CB7}">
      <text>
        <r>
          <rPr>
            <b/>
            <sz val="9"/>
            <color indexed="81"/>
            <rFont val="Tahoma"/>
            <family val="2"/>
          </rPr>
          <t>Shaffie Juma:</t>
        </r>
        <r>
          <rPr>
            <sz val="9"/>
            <color indexed="81"/>
            <rFont val="Tahoma"/>
            <family val="2"/>
          </rPr>
          <t xml:space="preserve">
The load factors for paving/construction and crushing/
processing equipment are 0.59 and 0.43, respectively. The median load factor value of 0.51 was selected.</t>
        </r>
      </text>
    </comment>
    <comment ref="B19" authorId="0" shapeId="0" xr:uid="{F55F5A7D-BC23-46FC-8BD0-ED6DD931A2B0}">
      <text>
        <r>
          <rPr>
            <b/>
            <sz val="9"/>
            <color indexed="81"/>
            <rFont val="Tahoma"/>
            <family val="2"/>
          </rPr>
          <t>Shaffie Juma:</t>
        </r>
        <r>
          <rPr>
            <sz val="9"/>
            <color indexed="81"/>
            <rFont val="Tahoma"/>
            <family val="2"/>
          </rPr>
          <t xml:space="preserve">
Load factor for all electric equipments </t>
        </r>
      </text>
    </comment>
    <comment ref="S179" authorId="1" shapeId="0" xr:uid="{3C1240FB-5332-4E23-9FEC-BD36E2441B66}">
      <text>
        <r>
          <rPr>
            <b/>
            <sz val="9"/>
            <color indexed="81"/>
            <rFont val="Tahoma"/>
            <family val="2"/>
          </rPr>
          <t>David Hernando:</t>
        </r>
        <r>
          <rPr>
            <sz val="9"/>
            <color indexed="81"/>
            <rFont val="Tahoma"/>
            <family val="2"/>
          </rPr>
          <t xml:space="preserve">
This looks up the previous material, rather than the additive. We need to fix this</t>
        </r>
      </text>
    </comment>
    <comment ref="C195" authorId="0" shapeId="0" xr:uid="{C3A1E21F-36B2-4E0F-83B7-6CA6EB578B23}">
      <text>
        <r>
          <rPr>
            <b/>
            <sz val="9"/>
            <color indexed="81"/>
            <rFont val="Tahoma"/>
            <family val="2"/>
          </rPr>
          <t>Shaffie Juma:</t>
        </r>
        <r>
          <rPr>
            <sz val="9"/>
            <color indexed="81"/>
            <rFont val="Tahoma"/>
            <family val="2"/>
          </rPr>
          <t xml:space="preserve">
If the energy source is electricity, we have to define the conversion values for electricity plants.  This factor is used to convert energy produced by asphalt plant form MJ/ton to kWh/ton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Shaffie Juma</author>
  </authors>
  <commentList>
    <comment ref="E59" authorId="0" shapeId="0" xr:uid="{0104266C-6632-40C2-8D70-B8EC57E9D829}">
      <text>
        <r>
          <rPr>
            <b/>
            <sz val="9"/>
            <color indexed="81"/>
            <rFont val="Tahoma"/>
            <family val="2"/>
          </rPr>
          <t>Shaffie Juma:</t>
        </r>
        <r>
          <rPr>
            <sz val="9"/>
            <color indexed="81"/>
            <rFont val="Tahoma"/>
            <family val="2"/>
          </rPr>
          <t xml:space="preserve">
Add that pink LCI have been retrieved from respective sheet</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<sst xmlns="http://schemas.openxmlformats.org/spreadsheetml/2006/main" count="4830" uniqueCount="1052">
  <si>
    <t>This LCA-based tool has been developed by the University of Antwerp as part of the PIONEERS (Portable Innovation Open Network for Efficiency and Emissions Reduction Solutions) project using funding from the European Union’s Horizon 2020 research and innovation programme under Grant Agreement 101037564.</t>
  </si>
  <si>
    <t>https://pioneers-ports.eu/</t>
  </si>
  <si>
    <t>https://cordis.europa.eu/project/id/101037564</t>
  </si>
  <si>
    <t>Use of this spreadsheet is restricted to consortium partners during the duration of the project only (from Oct 1, 2021 to Sep 30, 2026). This spreadsheet contains confidential information that falls under the regulations of the collaboration agreement of the PIONEERS project.</t>
  </si>
  <si>
    <t>For more information and access, contact the Sustainable Pavements and Asphalt Research (SuPAR) group at the University of Antwerp.</t>
  </si>
  <si>
    <t>Data collection form for LCA-based tool</t>
  </si>
  <si>
    <t>1. General Information</t>
  </si>
  <si>
    <t>Date</t>
  </si>
  <si>
    <t>Mixture ID</t>
  </si>
  <si>
    <t>Mixture type (SB250)</t>
  </si>
  <si>
    <t>APO-A</t>
  </si>
  <si>
    <t>Mixture type (EN 13108)</t>
  </si>
  <si>
    <t>AC 20 base 70/100</t>
  </si>
  <si>
    <t>Total binder cotent (by weight of mix)</t>
  </si>
  <si>
    <t>Asphalt binder replacement</t>
  </si>
  <si>
    <t>2. Mixture Production</t>
  </si>
  <si>
    <t>Asphalt plant location (city/town)</t>
  </si>
  <si>
    <t>Plant type</t>
  </si>
  <si>
    <t>Batch with parallel drum</t>
  </si>
  <si>
    <t>Average hour plant production (t/h)</t>
  </si>
  <si>
    <t>Asphalt plant: primary energy source type for heating and drying</t>
  </si>
  <si>
    <t>Natural_gas</t>
  </si>
  <si>
    <t>Asphalt plant: secondary energy source type for heating and drying</t>
  </si>
  <si>
    <t>Asphalt plant: electric components</t>
  </si>
  <si>
    <t>Yes</t>
  </si>
  <si>
    <t>Electricity</t>
  </si>
  <si>
    <t>Secondary  energy source for asphalt plant operation &amp; percentage</t>
  </si>
  <si>
    <t>No</t>
  </si>
  <si>
    <t>Mixture production temperature range (°C)</t>
  </si>
  <si>
    <t>155⁰C - 185⁰C</t>
  </si>
  <si>
    <r>
      <t>Mixture bulk density (SVM) (kg/m</t>
    </r>
    <r>
      <rPr>
        <vertAlign val="superscript"/>
        <sz val="11"/>
        <color theme="1"/>
        <rFont val="Aptos Narrow"/>
        <family val="2"/>
        <scheme val="minor"/>
      </rPr>
      <t>3</t>
    </r>
    <r>
      <rPr>
        <sz val="11"/>
        <color theme="1"/>
        <rFont val="Aptos Narrow"/>
        <family val="2"/>
        <scheme val="minor"/>
      </rPr>
      <t>)</t>
    </r>
  </si>
  <si>
    <t>Annual average daily temperature of production location  (°C)</t>
  </si>
  <si>
    <t>Type</t>
  </si>
  <si>
    <t>Energy source</t>
  </si>
  <si>
    <t>Asphalt mix loading operation</t>
  </si>
  <si>
    <t>Wheel_loader_338tph_Komatsu_WA500</t>
  </si>
  <si>
    <t>Diesel</t>
  </si>
  <si>
    <t>3. Layer Specifications</t>
  </si>
  <si>
    <t xml:space="preserve">Layer </t>
  </si>
  <si>
    <t>Thickness (mm)</t>
  </si>
  <si>
    <t>Wearing Course 1</t>
  </si>
  <si>
    <t>4. Mixture Components and Transporation Distances</t>
  </si>
  <si>
    <r>
      <t xml:space="preserve"> - For </t>
    </r>
    <r>
      <rPr>
        <b/>
        <sz val="11"/>
        <color theme="1"/>
        <rFont val="Aptos Narrow"/>
        <family val="2"/>
        <scheme val="minor"/>
      </rPr>
      <t>virgin binder</t>
    </r>
    <r>
      <rPr>
        <sz val="11"/>
        <color theme="1"/>
        <rFont val="Aptos Narrow"/>
        <family val="2"/>
        <scheme val="minor"/>
      </rPr>
      <t xml:space="preserve">, enter the location and transportation mode and distance from the </t>
    </r>
    <r>
      <rPr>
        <b/>
        <sz val="11"/>
        <color theme="1"/>
        <rFont val="Aptos Narrow"/>
        <family val="2"/>
        <scheme val="minor"/>
      </rPr>
      <t>refinery</t>
    </r>
    <r>
      <rPr>
        <sz val="11"/>
        <color theme="1"/>
        <rFont val="Aptos Narrow"/>
        <family val="2"/>
        <scheme val="minor"/>
      </rPr>
      <t xml:space="preserve">
 - For </t>
    </r>
    <r>
      <rPr>
        <b/>
        <sz val="11"/>
        <color theme="1"/>
        <rFont val="Aptos Narrow"/>
        <family val="2"/>
        <scheme val="minor"/>
      </rPr>
      <t>aggregate and filler</t>
    </r>
    <r>
      <rPr>
        <sz val="11"/>
        <color theme="1"/>
        <rFont val="Aptos Narrow"/>
        <family val="2"/>
        <scheme val="minor"/>
      </rPr>
      <t xml:space="preserve">, enter the location and transportation mode and distance from the </t>
    </r>
    <r>
      <rPr>
        <b/>
        <sz val="11"/>
        <color theme="1"/>
        <rFont val="Aptos Narrow"/>
        <family val="2"/>
        <scheme val="minor"/>
      </rPr>
      <t>quarry</t>
    </r>
    <r>
      <rPr>
        <sz val="11"/>
        <color theme="1"/>
        <rFont val="Aptos Narrow"/>
        <family val="2"/>
        <scheme val="minor"/>
      </rPr>
      <t xml:space="preserve">
 - For </t>
    </r>
    <r>
      <rPr>
        <b/>
        <sz val="11"/>
        <color theme="1"/>
        <rFont val="Aptos Narrow"/>
        <family val="2"/>
        <scheme val="minor"/>
      </rPr>
      <t>waste</t>
    </r>
    <r>
      <rPr>
        <sz val="11"/>
        <color theme="1"/>
        <rFont val="Aptos Narrow"/>
        <family val="2"/>
        <scheme val="minor"/>
      </rPr>
      <t xml:space="preserve">, enter the location and transportation mode and distance from the </t>
    </r>
    <r>
      <rPr>
        <b/>
        <sz val="11"/>
        <color theme="1"/>
        <rFont val="Aptos Narrow"/>
        <family val="2"/>
        <scheme val="minor"/>
      </rPr>
      <t>processing plant</t>
    </r>
    <r>
      <rPr>
        <sz val="11"/>
        <color theme="1"/>
        <rFont val="Aptos Narrow"/>
        <family val="2"/>
        <scheme val="minor"/>
      </rPr>
      <t xml:space="preserve">
 - For </t>
    </r>
    <r>
      <rPr>
        <b/>
        <sz val="11"/>
        <color theme="1"/>
        <rFont val="Aptos Narrow"/>
        <family val="2"/>
        <scheme val="minor"/>
      </rPr>
      <t>additives</t>
    </r>
    <r>
      <rPr>
        <sz val="11"/>
        <color theme="1"/>
        <rFont val="Aptos Narrow"/>
        <family val="2"/>
        <scheme val="minor"/>
      </rPr>
      <t xml:space="preserve">, enter the location and transportation mode and distance from the </t>
    </r>
    <r>
      <rPr>
        <b/>
        <sz val="11"/>
        <color theme="1"/>
        <rFont val="Aptos Narrow"/>
        <family val="2"/>
        <scheme val="minor"/>
      </rPr>
      <t>factory</t>
    </r>
  </si>
  <si>
    <t>Mixture Components</t>
  </si>
  <si>
    <t>% (by weight of mixture)</t>
  </si>
  <si>
    <t>Biogenic origin - type</t>
  </si>
  <si>
    <t>% Biogenic content (by weight of product)</t>
  </si>
  <si>
    <t>Biogenic status</t>
  </si>
  <si>
    <t>Stockpile covered?</t>
  </si>
  <si>
    <t>Transportation distance (km) from point of extraction to asphalt plant and fuel type</t>
  </si>
  <si>
    <t>Location (city/town)</t>
  </si>
  <si>
    <t>Transport status</t>
  </si>
  <si>
    <t>Route 1</t>
  </si>
  <si>
    <t>Route 2</t>
  </si>
  <si>
    <t>Route 3</t>
  </si>
  <si>
    <t>Mode of transport</t>
  </si>
  <si>
    <t>Distance (km)</t>
  </si>
  <si>
    <t>List</t>
  </si>
  <si>
    <t>Check</t>
  </si>
  <si>
    <t>Virgin binder</t>
  </si>
  <si>
    <t>Conventional_Bitumen</t>
  </si>
  <si>
    <t>Barge_tanker</t>
  </si>
  <si>
    <t>Virgin crushed coarse aggregate 1 (&gt;2 mm)</t>
  </si>
  <si>
    <t>Ship</t>
  </si>
  <si>
    <t>heavy_fuel_oil</t>
  </si>
  <si>
    <t>Virgin crushed coarse aggregate 2 (&gt;2 mm)</t>
  </si>
  <si>
    <t>Virgin crushed coarse aggregate 3 (&gt;2 mm)</t>
  </si>
  <si>
    <t>Virgin crushed fine aggregate 1 (≤2 mm)</t>
  </si>
  <si>
    <t>Gaurain-Ramecroix</t>
  </si>
  <si>
    <t>Truck</t>
  </si>
  <si>
    <t>Diesel_Euro5</t>
  </si>
  <si>
    <t>Virgin crushed fine aggregate 2 (≤2 mm)</t>
  </si>
  <si>
    <t>Virgin crushed fine aggregate 3 (≤2 mm)</t>
  </si>
  <si>
    <t>Virgin natural fine aggregate 1 (≤2 mm)</t>
  </si>
  <si>
    <t>Train</t>
  </si>
  <si>
    <t>Virgin natural fine aggregate 2 (≤2 mm)</t>
  </si>
  <si>
    <t>Virgin natural fine aggregate 3 (≤2 mm)</t>
  </si>
  <si>
    <t>Filler 1</t>
  </si>
  <si>
    <t>Limestone_residue</t>
  </si>
  <si>
    <t>Biodiesel_20%</t>
  </si>
  <si>
    <t>Filler 2</t>
  </si>
  <si>
    <t>RAP 1</t>
  </si>
  <si>
    <t>Electric</t>
  </si>
  <si>
    <t>RAP 2</t>
  </si>
  <si>
    <t>Other_waste 1</t>
  </si>
  <si>
    <t>Steel_slag_aggregate</t>
  </si>
  <si>
    <t>Schoten</t>
  </si>
  <si>
    <t>Biodiesel_4.5%</t>
  </si>
  <si>
    <t>Other_waste 2</t>
  </si>
  <si>
    <t>Crumb_rubber</t>
  </si>
  <si>
    <t>Additive 1</t>
  </si>
  <si>
    <t>No_additives</t>
  </si>
  <si>
    <t>Electric_green</t>
  </si>
  <si>
    <t>Additive 2</t>
  </si>
  <si>
    <t>Rejuvenator_waxy</t>
  </si>
  <si>
    <t>Additive 3</t>
  </si>
  <si>
    <t xml:space="preserve">Total </t>
  </si>
  <si>
    <t>Energy consumption to evaporate water</t>
  </si>
  <si>
    <t>5. Transportation of Asphalt Mix to Site</t>
  </si>
  <si>
    <t xml:space="preserve">Asphalt mix </t>
  </si>
  <si>
    <t>6. Construction</t>
  </si>
  <si>
    <t>Paving width (m)</t>
  </si>
  <si>
    <t>Laydown operation</t>
  </si>
  <si>
    <t>Paving machine 1</t>
  </si>
  <si>
    <t>Paver_medium_scale_project_129kW</t>
  </si>
  <si>
    <t>Paving machine 2</t>
  </si>
  <si>
    <t>No_paver</t>
  </si>
  <si>
    <t>Excavator</t>
  </si>
  <si>
    <t>Excavator_Hitachi_ZX1357_160kW</t>
  </si>
  <si>
    <t>Compaction operation</t>
  </si>
  <si>
    <t>Roller 1</t>
  </si>
  <si>
    <t>Roller_medium_scale_project_55kW</t>
  </si>
  <si>
    <t>Roller 2</t>
  </si>
  <si>
    <t>7. Deconstruction</t>
  </si>
  <si>
    <t>Milling depth (m)</t>
  </si>
  <si>
    <t>Asphalt milling operation</t>
  </si>
  <si>
    <t>Cold milling machine 1</t>
  </si>
  <si>
    <t>Milling_medium_scale_project_Wirtgen_W210XPi_571kW</t>
  </si>
  <si>
    <t>Cold milling machine 2</t>
  </si>
  <si>
    <t>No_milling_machine</t>
  </si>
  <si>
    <t xml:space="preserve">Sweeper truck </t>
  </si>
  <si>
    <t>Sweeper_truck_volvo_186kW</t>
  </si>
  <si>
    <t>LCA results for declared unit (cradle-to-gate analysis: A1-A3, D)</t>
  </si>
  <si>
    <t>General Information</t>
  </si>
  <si>
    <t xml:space="preserve">Impact results (per declared unit) </t>
  </si>
  <si>
    <t>Declared unit</t>
  </si>
  <si>
    <t>1 ton of asphalt mixture</t>
  </si>
  <si>
    <t xml:space="preserve">Total PEF Score </t>
  </si>
  <si>
    <t>mpt/ton</t>
  </si>
  <si>
    <t xml:space="preserve">Global Warming </t>
  </si>
  <si>
    <r>
      <t>kgCO</t>
    </r>
    <r>
      <rPr>
        <vertAlign val="subscript"/>
        <sz val="11"/>
        <color theme="1"/>
        <rFont val="Aptos Narrow"/>
        <family val="2"/>
        <scheme val="minor"/>
      </rPr>
      <t>2</t>
    </r>
    <r>
      <rPr>
        <sz val="11"/>
        <color theme="1"/>
        <rFont val="Aptos Narrow"/>
        <family val="2"/>
        <scheme val="minor"/>
      </rPr>
      <t>-eq/ton</t>
    </r>
  </si>
  <si>
    <t>Asphalt plant location</t>
  </si>
  <si>
    <t>Mix temperature range</t>
  </si>
  <si>
    <t>Total binder (by weight of mix)</t>
  </si>
  <si>
    <r>
      <t>Bulk density [kg/m</t>
    </r>
    <r>
      <rPr>
        <vertAlign val="superscript"/>
        <sz val="11"/>
        <color theme="1"/>
        <rFont val="Aptos Narrow"/>
        <family val="2"/>
        <scheme val="minor"/>
      </rPr>
      <t>3</t>
    </r>
    <r>
      <rPr>
        <sz val="11"/>
        <color theme="1"/>
        <rFont val="Aptos Narrow"/>
        <family val="2"/>
        <scheme val="minor"/>
      </rPr>
      <t>]</t>
    </r>
  </si>
  <si>
    <t>LCA results for functional unit (cradle-to-grave analysis: A1-C3, D)</t>
  </si>
  <si>
    <t xml:space="preserve">Impact results (per funtional unit)  </t>
  </si>
  <si>
    <t>Functional unit</t>
  </si>
  <si>
    <r>
      <t>mpt/m</t>
    </r>
    <r>
      <rPr>
        <vertAlign val="superscript"/>
        <sz val="11"/>
        <color theme="1"/>
        <rFont val="Aptos Narrow"/>
        <family val="2"/>
        <scheme val="minor"/>
      </rPr>
      <t>2</t>
    </r>
  </si>
  <si>
    <r>
      <t>kgCO</t>
    </r>
    <r>
      <rPr>
        <vertAlign val="subscript"/>
        <sz val="11"/>
        <color theme="1"/>
        <rFont val="Aptos Narrow"/>
        <family val="2"/>
        <scheme val="minor"/>
      </rPr>
      <t>2</t>
    </r>
    <r>
      <rPr>
        <sz val="11"/>
        <color theme="1"/>
        <rFont val="Aptos Narrow"/>
        <family val="2"/>
        <scheme val="minor"/>
      </rPr>
      <t>-eq/m</t>
    </r>
    <r>
      <rPr>
        <vertAlign val="superscript"/>
        <sz val="11"/>
        <color theme="1"/>
        <rFont val="Aptos Narrow"/>
        <family val="2"/>
        <scheme val="minor"/>
      </rPr>
      <t>2</t>
    </r>
  </si>
  <si>
    <t>Asphalt plant</t>
  </si>
  <si>
    <t>Total binder</t>
  </si>
  <si>
    <t xml:space="preserve">Impact results (per ton excl. module D)  </t>
  </si>
  <si>
    <r>
      <t>kgCO</t>
    </r>
    <r>
      <rPr>
        <vertAlign val="subscript"/>
        <sz val="11"/>
        <color theme="1"/>
        <rFont val="Aptos Narrow"/>
        <family val="2"/>
        <scheme val="minor"/>
      </rPr>
      <t>2</t>
    </r>
    <r>
      <rPr>
        <sz val="11"/>
        <color theme="1"/>
        <rFont val="Aptos Narrow"/>
        <family val="2"/>
        <scheme val="minor"/>
      </rPr>
      <t>-eq/ ton</t>
    </r>
  </si>
  <si>
    <t>Check machinery</t>
  </si>
  <si>
    <t>Check transportation</t>
  </si>
  <si>
    <t>Check sum of primary &amp; secondary equals 100%</t>
  </si>
  <si>
    <t>Check mix contents adds to 100%</t>
  </si>
  <si>
    <t xml:space="preserve">Check asphalt mix components </t>
  </si>
  <si>
    <t>Checks asphalt mix loading operations</t>
  </si>
  <si>
    <t>Check Results tab</t>
  </si>
  <si>
    <t>Check table results in all life cycle phases</t>
  </si>
  <si>
    <t>Environmental impacts per ton of asphalt mix per life cycle stage</t>
  </si>
  <si>
    <t>Impact Categories</t>
  </si>
  <si>
    <t>Unit</t>
  </si>
  <si>
    <t>C2' - Transport Secondary Raw Material</t>
  </si>
  <si>
    <t>A3- Production</t>
  </si>
  <si>
    <t>A4- Transport</t>
  </si>
  <si>
    <t>A5- Construction</t>
  </si>
  <si>
    <t>C1 - Deconstruction</t>
  </si>
  <si>
    <t>C3' - Secondary Raw Material</t>
  </si>
  <si>
    <t>D- Burdens &amp; Savings</t>
  </si>
  <si>
    <t xml:space="preserve">Acidification </t>
  </si>
  <si>
    <t>accumulated exceedance (AE) mol H+ -eq</t>
  </si>
  <si>
    <t xml:space="preserve">Climate change </t>
  </si>
  <si>
    <t>global warming potential (GWP100) kgCO2-Eq</t>
  </si>
  <si>
    <t xml:space="preserve">Climate change: biogenic </t>
  </si>
  <si>
    <t xml:space="preserve">Climate change: fossil </t>
  </si>
  <si>
    <t xml:space="preserve">Land use and land use change </t>
  </si>
  <si>
    <t xml:space="preserve">Ecotoxicity: freshwater </t>
  </si>
  <si>
    <t>comparative toxic unit for ecosystems (CTUe)</t>
  </si>
  <si>
    <t xml:space="preserve">Energy resources: non-renewable </t>
  </si>
  <si>
    <t>abiotic depletion potential (ADP): fossil fuels MJ, net calorific value</t>
  </si>
  <si>
    <t xml:space="preserve">Eutrophication: freshwater </t>
  </si>
  <si>
    <t>fraction of nutrients reaching freshwater end compartment (P)</t>
  </si>
  <si>
    <t xml:space="preserve">Eutrophication: marine </t>
  </si>
  <si>
    <t>fraction of nutrients reaching marine end compartment (N) kg N-Eq</t>
  </si>
  <si>
    <t xml:space="preserve">Eutrophication: terrestrial </t>
  </si>
  <si>
    <t>accumulated exceedance (AE) mol N-Eq</t>
  </si>
  <si>
    <t>Human toxicity: carcinogenic</t>
  </si>
  <si>
    <t>comparative toxic unit for human (CTUh)</t>
  </si>
  <si>
    <t xml:space="preserve">Human toxicity: non-carcinogenic </t>
  </si>
  <si>
    <t xml:space="preserve">Ionising radiation: human health </t>
  </si>
  <si>
    <t>human exposure efficiency relative to u235 kBq U235-Eq</t>
  </si>
  <si>
    <t xml:space="preserve">Land use </t>
  </si>
  <si>
    <t>soil quality index dimensionless</t>
  </si>
  <si>
    <t xml:space="preserve">Material resources: metals/minerals </t>
  </si>
  <si>
    <t>abiotic depletion potential (ADP): elements (ultimate reserves) kg Sb-Eq</t>
  </si>
  <si>
    <t>Ozone depletion</t>
  </si>
  <si>
    <t>ozone depletion potential (ODP) kg CFC1-Eq</t>
  </si>
  <si>
    <t>Particulate matter formation</t>
  </si>
  <si>
    <t xml:space="preserve">impact on human health </t>
  </si>
  <si>
    <t>Photochemical oxidant formation: human health</t>
  </si>
  <si>
    <t>tropospheric ozone concentration increase kg NMVOC-Eq</t>
  </si>
  <si>
    <t xml:space="preserve">Water use </t>
  </si>
  <si>
    <t>user deprivation potential (deprivation-weighted water consumption) m3 world eq deprived</t>
  </si>
  <si>
    <t>Single score per ton of asphalt mix per life cycle stage</t>
  </si>
  <si>
    <t>The total single score per impact categories are multiplied by 1000 to convert them from Points scale to Millipoint scale</t>
  </si>
  <si>
    <t>Normalization factor [unit/person.year]</t>
  </si>
  <si>
    <t>Weighting factor [%]</t>
  </si>
  <si>
    <t>Total</t>
  </si>
  <si>
    <t>Global warming impact per ton of asphalt mix per life cycle stage</t>
  </si>
  <si>
    <t>Same as row 5</t>
  </si>
  <si>
    <t>Impact category</t>
  </si>
  <si>
    <t>D- Burden &amp; Savings</t>
  </si>
  <si>
    <t>Climate change</t>
  </si>
  <si>
    <t xml:space="preserve"> Global warming potential (GWP100) kgCO2-Eq</t>
  </si>
  <si>
    <t>Global warming impact per ton of mix per process (A1-A3, D)</t>
  </si>
  <si>
    <t>Used for Result Dashboard - Figure I-4 (bottom right)</t>
  </si>
  <si>
    <t>Impact categories</t>
  </si>
  <si>
    <t>Unit/ton</t>
  </si>
  <si>
    <t>Aggregate</t>
  </si>
  <si>
    <t>Filler</t>
  </si>
  <si>
    <t>RAP</t>
  </si>
  <si>
    <t xml:space="preserve">Other Waste </t>
  </si>
  <si>
    <t>Additives</t>
  </si>
  <si>
    <t>Plant</t>
  </si>
  <si>
    <t>Life cycle stage</t>
  </si>
  <si>
    <t>A3 - Production</t>
  </si>
  <si>
    <t>D - Burden &amp; Savings</t>
  </si>
  <si>
    <t>Environmental impacts per ton of mix per process</t>
  </si>
  <si>
    <t>Aggregates</t>
  </si>
  <si>
    <t>Asphalt Plant</t>
  </si>
  <si>
    <t>Transport- Asphalt Mix</t>
  </si>
  <si>
    <t>Construction: Paver</t>
  </si>
  <si>
    <t>Construction: Excavator</t>
  </si>
  <si>
    <t>Construction: Roller</t>
  </si>
  <si>
    <t>Total Construction</t>
  </si>
  <si>
    <t>Total Deconstruction</t>
  </si>
  <si>
    <t>Burdens</t>
  </si>
  <si>
    <t>Total Burdens</t>
  </si>
  <si>
    <t>Savings</t>
  </si>
  <si>
    <t>Total Savings</t>
  </si>
  <si>
    <t>Total Module D</t>
  </si>
  <si>
    <t>A1</t>
  </si>
  <si>
    <t>A2</t>
  </si>
  <si>
    <t>C3'</t>
  </si>
  <si>
    <t>C2'</t>
  </si>
  <si>
    <t>A3</t>
  </si>
  <si>
    <t>A4</t>
  </si>
  <si>
    <t>A5</t>
  </si>
  <si>
    <t>A2' - Tansport</t>
  </si>
  <si>
    <t>C3' - Waste processing</t>
  </si>
  <si>
    <t>Avoided binder</t>
  </si>
  <si>
    <t>Avoided filler</t>
  </si>
  <si>
    <t>Avoided aggregate</t>
  </si>
  <si>
    <t>Avoided sand</t>
  </si>
  <si>
    <t>Transport: Avoided binder</t>
  </si>
  <si>
    <t>Transport: Avoided filler</t>
  </si>
  <si>
    <t>Transport: Avoided aggregate</t>
  </si>
  <si>
    <t>Transport: Avoided sand</t>
  </si>
  <si>
    <t>C1</t>
  </si>
  <si>
    <t>C3</t>
  </si>
  <si>
    <t>Unit/m2</t>
  </si>
  <si>
    <t>Deconstruction</t>
  </si>
  <si>
    <t>Single score per m2 per life cycle stage</t>
  </si>
  <si>
    <t>Global warming impact per m2 per life cycle stage (A1-D)</t>
  </si>
  <si>
    <t xml:space="preserve"> Global warming potential (GWP100) kgCO2-Eq/m2</t>
  </si>
  <si>
    <t>Global warming impact per m2 per process (A1-D)</t>
  </si>
  <si>
    <t>Used for Result Dashboard - Figure II-4 (bottom right)</t>
  </si>
  <si>
    <t>Agg</t>
  </si>
  <si>
    <t>Additive</t>
  </si>
  <si>
    <t>Mix</t>
  </si>
  <si>
    <t>A4 - Transport</t>
  </si>
  <si>
    <t>A5 - Construction</t>
  </si>
  <si>
    <t>A2' - Transport</t>
  </si>
  <si>
    <t>Binder</t>
  </si>
  <si>
    <t>Sand</t>
  </si>
  <si>
    <t>A2' - Transport: Binder</t>
  </si>
  <si>
    <t>A2' - Transport: Filler</t>
  </si>
  <si>
    <t>A2' -  Transport:  Aggregate</t>
  </si>
  <si>
    <t>A2' - Transport: Sand</t>
  </si>
  <si>
    <t>Global warming impact per ton of mix per process (A1-D)</t>
  </si>
  <si>
    <t>Used for Result Dashboard - Figure III-4 (bottom right)</t>
  </si>
  <si>
    <t xml:space="preserve"> Global warming potential (GWP100) kgCO2-Eq/ton</t>
  </si>
  <si>
    <t xml:space="preserve"> Impacts: Asphalt mix components</t>
  </si>
  <si>
    <t>Components</t>
  </si>
  <si>
    <t>Materials</t>
  </si>
  <si>
    <t>Mass (ton]</t>
  </si>
  <si>
    <t xml:space="preserve"> acidification | accumulated exceedance (AE) mol H+ -eq</t>
  </si>
  <si>
    <t>climate change | global warming potential (GWP100) kgCO2-Eq</t>
  </si>
  <si>
    <t>climate change: biogenic | global warming potential (GWP100) kgCO2-Eq</t>
  </si>
  <si>
    <t>climate change: fossil | global warming potential (GWP100) kgCO2-Eq</t>
  </si>
  <si>
    <t>land use and land use change | global warming potential (GWP100) kgCO2-Eq</t>
  </si>
  <si>
    <t>ecotoxicity: freshwater | comparative toxic unit for ecosystems (CTUe)</t>
  </si>
  <si>
    <t>energy resources: non-renewable | abiotic depletion potential (ADP): fossil fuels MJ, net calorific value</t>
  </si>
  <si>
    <t>eutrophication: freshwater | fraction of nutrients reaching freshwater end compartment (P)</t>
  </si>
  <si>
    <t>eutrophication: marine | fraction of nutrients reaching marine end compartment (N) kg N-Eq</t>
  </si>
  <si>
    <t>eutrophication: terrestrial | accumulated exceedance (AE) mol N-Eq</t>
  </si>
  <si>
    <t>human toxicity: carcinogenic | comparative toxic unit for human (CTUh)</t>
  </si>
  <si>
    <t xml:space="preserve"> human toxicity: non-carcinogenic | comparative toxic unit for human (CTUh)</t>
  </si>
  <si>
    <t>ionising radiation: human health | human exposure efficiency relative to u235 kBq U235-Eq</t>
  </si>
  <si>
    <t>land use | soil quality index dimensionless</t>
  </si>
  <si>
    <t>material resources: metals/minerals | abiotic depletion potential (ADP): elements (ultimate reserves) kg Sb-Eq</t>
  </si>
  <si>
    <t>ozone depletion|ozone depletion potential (ODP) kg CFC-11-Eq</t>
  </si>
  <si>
    <t xml:space="preserve">particulate matter formation | impact on human health </t>
  </si>
  <si>
    <t>photochemical oxidant formation: human health | tropospheric ozone concentration increase kg NMVOC-Eq</t>
  </si>
  <si>
    <t>water use | user deprivation potential (deprivation-weighted water consumption) m3 world eq deprived</t>
  </si>
  <si>
    <t>Reclaimed Asphalt Pavement</t>
  </si>
  <si>
    <t>Recycled Waste</t>
  </si>
  <si>
    <t xml:space="preserve"> Impacts: Biogenic asphalt mix components</t>
  </si>
  <si>
    <t>Binder_biogenic</t>
  </si>
  <si>
    <t>Total  Impacts: Asphalt mix components + Biogenic component</t>
  </si>
  <si>
    <t>Calculated by taking (100%-Biogenic %) x material + Biogenic % x material</t>
  </si>
  <si>
    <t>(PEF) Environmental impact categories</t>
  </si>
  <si>
    <t>Total Impacts (incl. biogenic materials)</t>
  </si>
  <si>
    <t>The  impact results have been reorganized from the above data to present the outcomes for each impact category.</t>
  </si>
  <si>
    <t xml:space="preserve"> Impacts: Asphalt mix components (per impact category)</t>
  </si>
  <si>
    <t>Fillers</t>
  </si>
  <si>
    <t>Other Waste</t>
  </si>
  <si>
    <t>Total Aggregates</t>
  </si>
  <si>
    <t>Added filler 1</t>
  </si>
  <si>
    <t>Added filler 2</t>
  </si>
  <si>
    <t>Total Fillers</t>
  </si>
  <si>
    <t>Total RAP</t>
  </si>
  <si>
    <t>Other Waste 1</t>
  </si>
  <si>
    <t>Other Waste 2</t>
  </si>
  <si>
    <t>Total Additives</t>
  </si>
  <si>
    <t>acidification | accumulated exceedance (AE) mol H+ -eq</t>
  </si>
  <si>
    <t>human toxicity: non-carcinogenic | comparative toxic unit for human (CTUh)</t>
  </si>
  <si>
    <t>Impacts: Asphalt mix biogenic components (per impact category)</t>
  </si>
  <si>
    <t>Total Impacts: Asphalt mix components  + Asphalt mix biogenic components per Impact Category (Declared Unit)</t>
  </si>
  <si>
    <t>A1: Total Raw Materials</t>
  </si>
  <si>
    <t>Total Other Waste</t>
  </si>
  <si>
    <t>Non-biogenic</t>
  </si>
  <si>
    <t>Biogenic</t>
  </si>
  <si>
    <t>Top tables</t>
  </si>
  <si>
    <t>Bottom tables</t>
  </si>
  <si>
    <t>Electric truck energy consumption and weight metrics</t>
  </si>
  <si>
    <t>Electric trucks</t>
  </si>
  <si>
    <t>Source</t>
  </si>
  <si>
    <t>Source link</t>
  </si>
  <si>
    <t>Energy consumption (kWh/km]</t>
  </si>
  <si>
    <t>Tesla</t>
  </si>
  <si>
    <t>https://www.tesla.com/semi</t>
  </si>
  <si>
    <t>Combined weight (tons)</t>
  </si>
  <si>
    <t>Energy consumption (kWh/tkm]</t>
  </si>
  <si>
    <t>The PEF impacts are calculated for each individual transport route. A total of three routes have been taken into consideration.</t>
  </si>
  <si>
    <t>Transport Route 1 : PEF Impact Calculations for Each Asphalt Mix Component</t>
  </si>
  <si>
    <t>List- Transport mode</t>
  </si>
  <si>
    <t>List- Energy source</t>
  </si>
  <si>
    <t>Total Route 1</t>
  </si>
  <si>
    <t>Transport Route 2 : PEF Impact Calculations for Each Asphalt Mix Component</t>
  </si>
  <si>
    <t>Total Route 2</t>
  </si>
  <si>
    <t>Transport Route 3: PEF Impact Calculations for Each Asphalt Mix Component</t>
  </si>
  <si>
    <t>Total Transport PEF Impact: Route 1 + Route 2 + Route 3 (For Each Asphalt Mix Component)</t>
  </si>
  <si>
    <t>See input data</t>
  </si>
  <si>
    <t xml:space="preserve">Total Impacts </t>
  </si>
  <si>
    <t>The PEF impact results have been reorganized from the above data to present the outcomes for each impact category.</t>
  </si>
  <si>
    <t>Transport: Total Impacts Route 1 + Route 2 + Route 3 per Impact Category (Declared Unit)</t>
  </si>
  <si>
    <t>Total Filler</t>
  </si>
  <si>
    <t>A2 Total</t>
  </si>
  <si>
    <t>check tables</t>
  </si>
  <si>
    <t>Rejuvebit paper: On the road again! An economic and environmental break-even and hotspot
analysis of reclaimed asphalt pavement and rejuvenators</t>
  </si>
  <si>
    <t>check tables (previous)</t>
  </si>
  <si>
    <t>RAP processing</t>
  </si>
  <si>
    <t>Crushing of reclaimed asphalt pavement</t>
  </si>
  <si>
    <t>Mobile_jaw_crusher_400tph_RAP</t>
  </si>
  <si>
    <t>Stacking of RCA by a wheel loader</t>
  </si>
  <si>
    <t>Wheel_loader_338tph_Komatsu_WA500_RAP</t>
  </si>
  <si>
    <t>Conveying of RCA in a conveyor belt (feeders)</t>
  </si>
  <si>
    <t>Tracked_stacker_500tph_RAP</t>
  </si>
  <si>
    <t>Screening operation by mobile screener</t>
  </si>
  <si>
    <t>Mobile_screener_500tph_RAP</t>
  </si>
  <si>
    <t xml:space="preserve"> </t>
  </si>
  <si>
    <t>RCA Processing</t>
  </si>
  <si>
    <t>Crushing of recycled concrete aggregate</t>
  </si>
  <si>
    <t>Mobile_jaw_crusher_400tph_RCA</t>
  </si>
  <si>
    <t>Wheel_loader_338tph_Komatsu_WA500_RCA</t>
  </si>
  <si>
    <t>Tracked_stacker_500tph_RCA</t>
  </si>
  <si>
    <t>Mobile_screener_500tph_RCA</t>
  </si>
  <si>
    <t>Electric equipment load factor</t>
  </si>
  <si>
    <t>Load factor for all electric equipments</t>
  </si>
  <si>
    <t>Step 1: Wheel loader productivity calculation</t>
  </si>
  <si>
    <t>Details</t>
  </si>
  <si>
    <t>Input</t>
  </si>
  <si>
    <t>Type of wheel loader</t>
  </si>
  <si>
    <t>Komatsu WA500</t>
  </si>
  <si>
    <t>Komatsu Wheel Loader WA500-8</t>
  </si>
  <si>
    <t xml:space="preserve">https://www.komatsu.eu/en/wheel-loaders/wheel-loaders/wa500-8    </t>
  </si>
  <si>
    <t>Number of wheel loaders</t>
  </si>
  <si>
    <t>Load factor (steady state)</t>
  </si>
  <si>
    <t>Median Life, Annual Activity, and Load Factor Values for Nonroad Engine Emissions Modeling - Report No. NR-005A  (1998)</t>
  </si>
  <si>
    <t>Specific fuel consumption (kg/kWh/h)</t>
  </si>
  <si>
    <t xml:space="preserve">Klanfar, Mario &amp; Korman, Tomislav &amp; Kujundžić, Trpimir. (2016). Fuel consumption and engine load factors of equipment in quarrying of crushed stone. Tehnicki Vjesnik. 23. 163-169. 10.17559/TV-20141027115647. </t>
  </si>
  <si>
    <t xml:space="preserve">https://doi.org/10.17559/TV-20141027115647  </t>
  </si>
  <si>
    <t>Density of RAP (ton/m3)</t>
  </si>
  <si>
    <t>User Guidelines for Waste and Byproduct Materials in Pavement Construction; Publication Number: FHWA-RD-97-148</t>
  </si>
  <si>
    <t xml:space="preserve">https://www.fhwa.dot.gov/publications/research/infrastructure/pavements/97148/046.cfm </t>
  </si>
  <si>
    <t>Cycle time in minutes</t>
  </si>
  <si>
    <t>SEBD0351-42, Caterpillar  English Performance Handbook, Edition 42, Section</t>
  </si>
  <si>
    <t>Number of cycles for a wheel loader per hour</t>
  </si>
  <si>
    <t>Bucket size (m3)</t>
  </si>
  <si>
    <t>Total capacity of wheel loader (ton/h)</t>
  </si>
  <si>
    <t>Operational time of wheel loader per ton (h)</t>
  </si>
  <si>
    <t>Amount of RAP / Total capacity of wheel loader</t>
  </si>
  <si>
    <t>Fuel consumption (kg/h)</t>
  </si>
  <si>
    <t>Fuel consumption = Power x Load factor x Specific fuel consumption</t>
  </si>
  <si>
    <t>DOI: 10.17559/TV-20141027115647</t>
  </si>
  <si>
    <t>Density of RCA (ton/m3)</t>
  </si>
  <si>
    <t>G. G. Giwangkara et al 2019 IOP Conf. Ser.: Mater. Sci. Eng. 527 012061</t>
  </si>
  <si>
    <t>doi:10.1088/1757-899X/527/1/012061</t>
  </si>
  <si>
    <t>Operational time of wheel loader (h) Other Waste 1</t>
  </si>
  <si>
    <t>Amount of RCA in mix / Total capacity of wheel loader</t>
  </si>
  <si>
    <t>Operational time of wheel loader (h) Other Waste 2</t>
  </si>
  <si>
    <t>Total operational time of wheel loader per ton (h/ton)</t>
  </si>
  <si>
    <t>Type of crusher</t>
  </si>
  <si>
    <t>MOBICAT MC 120(i) PRO</t>
  </si>
  <si>
    <t xml:space="preserve">https://www.wirtgen-group.com/ocs/en-us/kleemann/mc-120i-pro-139-p/ </t>
  </si>
  <si>
    <t>Number of crushers</t>
  </si>
  <si>
    <t>Production capacity (ton/h)</t>
  </si>
  <si>
    <t>Power rating (kW)</t>
  </si>
  <si>
    <t>Quantity of RAP (ton)</t>
  </si>
  <si>
    <t>Operational time per quantity of RAP per ton of asphalt mix (h)</t>
  </si>
  <si>
    <t>Quantity of RAP (ton)/Production capacity</t>
  </si>
  <si>
    <t>Type of tracked stacker</t>
  </si>
  <si>
    <t>ST100T Tracked stacker</t>
  </si>
  <si>
    <t xml:space="preserve">https://mccloskeyinternational.com/home-page/mccloskey-stackers/st100t-tracked-stacker/   </t>
  </si>
  <si>
    <t>Number of tracked stackers</t>
  </si>
  <si>
    <t>Operational time per quantity of RAP per ton of asphalt mix</t>
  </si>
  <si>
    <t>Operational time is dependent on the crushing operation hence the productivity of crusher was used to calculate operational time</t>
  </si>
  <si>
    <t>Type of screener</t>
  </si>
  <si>
    <t>MSC 953i EVO</t>
  </si>
  <si>
    <t xml:space="preserve">https://www.wirtgen-group.com/ocs/en-us/kleemann/msc-953i-evo-167-p/ </t>
  </si>
  <si>
    <t>Number of screeners</t>
  </si>
  <si>
    <t>RCA_crusher_400tph</t>
  </si>
  <si>
    <t>Quantity of RCA 1 (ton)</t>
  </si>
  <si>
    <t>Quantity of RCA 2 (ton)</t>
  </si>
  <si>
    <t>Operational time per quantity of RCA 1 per ton of asphalt mix (h)</t>
  </si>
  <si>
    <t>Quantity of RAP (ton)/Production capacity ; IF statement is added if the other waste input is recycled concrete aggregate</t>
  </si>
  <si>
    <t>Operational time per quantity of RCA 2 per ton of asphalt mix (h)</t>
  </si>
  <si>
    <t>Total operational time (h/ton)</t>
  </si>
  <si>
    <t>RCA_Tracked_stacker_500tph</t>
  </si>
  <si>
    <t>Number of stackers</t>
  </si>
  <si>
    <t>Operational time per quantity of RCA 1 per ton of asphalt mix</t>
  </si>
  <si>
    <t>Operational time per quantity of RCA 2 per ton of asphalt mix</t>
  </si>
  <si>
    <t xml:space="preserve">DOI: 10.17559/TV-20141027115647 </t>
  </si>
  <si>
    <t>RCA_screener_500tph</t>
  </si>
  <si>
    <t>Total operational time per ton of asphalt mix (h/ton)</t>
  </si>
  <si>
    <t>Summary of Machine Productivity and Power Ratings</t>
  </si>
  <si>
    <t>The tables below presents a summary of the machine properties calculated from the above data</t>
  </si>
  <si>
    <t>Machine type</t>
  </si>
  <si>
    <t>Operational time per quantity of material per ton of asphalt mix</t>
  </si>
  <si>
    <t>Power (kW)</t>
  </si>
  <si>
    <t>No_crusher_RAP</t>
  </si>
  <si>
    <t>No_crusher_RCA</t>
  </si>
  <si>
    <t>No_stacker_RAP</t>
  </si>
  <si>
    <t>No_stacker_RCA</t>
  </si>
  <si>
    <t>No_screener_RAP</t>
  </si>
  <si>
    <t>No_screener_RCA</t>
  </si>
  <si>
    <t>No_wheel_loader</t>
  </si>
  <si>
    <t>Activity</t>
  </si>
  <si>
    <t>Component</t>
  </si>
  <si>
    <t>Number of machines</t>
  </si>
  <si>
    <t>List - Energy Source</t>
  </si>
  <si>
    <t xml:space="preserve">Reclaimed Asphalt Pavement (RAP)  Processing </t>
  </si>
  <si>
    <t xml:space="preserve">Crushing of reclaimed asphalt pavement </t>
  </si>
  <si>
    <t>Stacking of RAP by a wheel loader</t>
  </si>
  <si>
    <t>Conveying of RAP in a conveyor belt (feeders/ tracked stacker)</t>
  </si>
  <si>
    <t>Recycled Concrete Aggregate (RCA) Processing</t>
  </si>
  <si>
    <t>Excavator - Conveying to rasper</t>
  </si>
  <si>
    <t>Type of excavator</t>
  </si>
  <si>
    <t>R30Z-9AK Mini Excavator</t>
  </si>
  <si>
    <t xml:space="preserve"> https://www.lectura-specs.com/en/model/construction-machinery/mini-excavators-hyundai/r30z-9ak-11735507   </t>
  </si>
  <si>
    <t>Load factor</t>
  </si>
  <si>
    <t>Bulk density crumb rubber (ton/m3)</t>
  </si>
  <si>
    <t>Journal of Engineering Science and Technology Vol. 16, No. 1 (2021) 510 - 526 © School of Engineering, Taylor’s University   Characterization Of Tyre Rubber Ash and Crumb as Fine Aggregate Resource</t>
  </si>
  <si>
    <t>Safety load (%) fill capacity</t>
  </si>
  <si>
    <t>Cycle time (medium size excavator) (s)</t>
  </si>
  <si>
    <t>Number of cycles per hour</t>
  </si>
  <si>
    <t>Efficiency factor</t>
  </si>
  <si>
    <t>Productivity (ton/h)</t>
  </si>
  <si>
    <t>Productivity excavator (ton/h) = Bulk density(ton/m3) x Bucket size(m3) x Safety load (%) x Cycles per h x Efficiency factor</t>
  </si>
  <si>
    <t>Forklift 3.5 tons</t>
  </si>
  <si>
    <t>Lifting capacity (ton)</t>
  </si>
  <si>
    <t>Type of forklift</t>
  </si>
  <si>
    <t>Toyota</t>
  </si>
  <si>
    <t>Toyota 06-8FGJ35 Forklift</t>
  </si>
  <si>
    <t xml:space="preserve">https://media.toyota-forklifts.eu/published/22508_Original%20document_toyota%20mh.pdf </t>
  </si>
  <si>
    <t xml:space="preserve">https://doi.org/10.17559/TV-20141027115647    </t>
  </si>
  <si>
    <t>Cycle time (min)</t>
  </si>
  <si>
    <t>Assumption</t>
  </si>
  <si>
    <t>Productivity forklift =Lifting capacity (ton) x Number of cycles per hour x Efficiency factor</t>
  </si>
  <si>
    <t>Step 1: Transport of crumb rubber to plant</t>
  </si>
  <si>
    <t>Process</t>
  </si>
  <si>
    <t xml:space="preserve">Transport mode </t>
  </si>
  <si>
    <t>Amount</t>
  </si>
  <si>
    <t>Transport distance (km)</t>
  </si>
  <si>
    <t>Transportation</t>
  </si>
  <si>
    <t>Diesel_Euro6</t>
  </si>
  <si>
    <t>Step 2: Recycled tires conveyed into the shredder  (20 minutes)</t>
  </si>
  <si>
    <t>Equipment</t>
  </si>
  <si>
    <t>Operational time (h/ton)</t>
  </si>
  <si>
    <t>Energy consumption (kWh)</t>
  </si>
  <si>
    <t>Shredder motor</t>
  </si>
  <si>
    <t>Barclay</t>
  </si>
  <si>
    <t>Classifier</t>
  </si>
  <si>
    <t>Conveyor belt</t>
  </si>
  <si>
    <t>Step 3: Shredded tires conveyed into the rasper (15 minutes)</t>
  </si>
  <si>
    <t>Rasper</t>
  </si>
  <si>
    <t>Eldan recyling motor: SC109/250</t>
  </si>
  <si>
    <t xml:space="preserve">Excavator </t>
  </si>
  <si>
    <t>Step 4: Tire chunks coveyed into the Granulator (15 minutes)</t>
  </si>
  <si>
    <t xml:space="preserve">Granulation  </t>
  </si>
  <si>
    <t>Eldan granulator HG209</t>
  </si>
  <si>
    <t>Air conveyor</t>
  </si>
  <si>
    <t>Step 5: Tire granules are processed through the Cracker Mill (120 minutes)</t>
  </si>
  <si>
    <t>Cracker mill</t>
  </si>
  <si>
    <t xml:space="preserve">Eldan cracker mill </t>
  </si>
  <si>
    <t>Cooler</t>
  </si>
  <si>
    <t>Industrial sieve</t>
  </si>
  <si>
    <t>Tuffman equipment 3' 5hp</t>
  </si>
  <si>
    <t xml:space="preserve">Forklift  </t>
  </si>
  <si>
    <t>Crumb rubber production</t>
  </si>
  <si>
    <t>List- Transport mode (if applicable)</t>
  </si>
  <si>
    <t xml:space="preserve">Transport distance (km) </t>
  </si>
  <si>
    <t xml:space="preserve">Energy consumption (kWh) </t>
  </si>
  <si>
    <t>Transport of crumb rubber to plant</t>
  </si>
  <si>
    <t>Not applicable</t>
  </si>
  <si>
    <t xml:space="preserve">Recycled tires conveyed into the Shredder  </t>
  </si>
  <si>
    <t>Shredded tires conveyed into the Rasper</t>
  </si>
  <si>
    <t>Tire chunks coveyed into the Granulator</t>
  </si>
  <si>
    <t>Tire granules are processed through the Cracker Mill</t>
  </si>
  <si>
    <t>Excavator_crumb_rubber</t>
  </si>
  <si>
    <t>Forklift_crumb_rubber</t>
  </si>
  <si>
    <t>Total Impact per ton</t>
  </si>
  <si>
    <t>The total impact per ton of crumb rubber production is used as an inventory for crumb rubber (A1- Raw Material Supply LCI).</t>
  </si>
  <si>
    <t>Total Impact</t>
  </si>
  <si>
    <t>RAP Processing</t>
  </si>
  <si>
    <t>Total impacts</t>
  </si>
  <si>
    <t>Top table</t>
  </si>
  <si>
    <t>Bottom table</t>
  </si>
  <si>
    <t>Link to source</t>
  </si>
  <si>
    <t>Komatsu WA500 Diesel</t>
  </si>
  <si>
    <t>Bulk density (ton/m3)</t>
  </si>
  <si>
    <t xml:space="preserve">Contractor input </t>
  </si>
  <si>
    <t>https://doi.org/10.17559/TV-20141027115647</t>
  </si>
  <si>
    <t>Productivity (t/h)</t>
  </si>
  <si>
    <t>Productivity (ton/h) = Bulk density (ton/m3) x Cycle time(cycle/hr)  x bucket size (m3)</t>
  </si>
  <si>
    <t>Fuel consumption per ton (kg/t)</t>
  </si>
  <si>
    <t>Average production temperature (°C)</t>
  </si>
  <si>
    <t xml:space="preserve">Source </t>
  </si>
  <si>
    <t>Link to Source</t>
  </si>
  <si>
    <r>
      <t>155</t>
    </r>
    <r>
      <rPr>
        <sz val="11"/>
        <color theme="1"/>
        <rFont val="Calibri"/>
        <family val="2"/>
      </rPr>
      <t>⁰</t>
    </r>
    <r>
      <rPr>
        <sz val="11"/>
        <color theme="1"/>
        <rFont val="Aptos Narrow"/>
        <family val="2"/>
      </rPr>
      <t>C - 185⁰C</t>
    </r>
  </si>
  <si>
    <t xml:space="preserve">https://doi.org/10.1063/5.0058285 </t>
  </si>
  <si>
    <t>110⁰C - 145⁰C</t>
  </si>
  <si>
    <t>60⁰C - 95⁰C</t>
  </si>
  <si>
    <t>Tool mixture production temperature range (°C)</t>
  </si>
  <si>
    <t>Step 4: Define electricity consumption of equipment in asphalt plant per ton of asphalt mix</t>
  </si>
  <si>
    <t xml:space="preserve">Unit </t>
  </si>
  <si>
    <t>Value</t>
  </si>
  <si>
    <t>Electric equipment operation in asphalt plant</t>
  </si>
  <si>
    <t>kWh/ton</t>
  </si>
  <si>
    <t>https://doi.org/10.1016/j.resconrec.2023.106992</t>
  </si>
  <si>
    <t>Step 5: Define energy conversion values for electric and hydrogen powered asphalt plant burners</t>
  </si>
  <si>
    <t>Energy content value</t>
  </si>
  <si>
    <t>Energy equivalence (Electricity: 1 MJ to kWh)</t>
  </si>
  <si>
    <t>kWh</t>
  </si>
  <si>
    <t>kg</t>
  </si>
  <si>
    <t>Step 6: Asphalt mix production Energy Calculation</t>
  </si>
  <si>
    <t>6a. Input thermodynamic model parameters</t>
  </si>
  <si>
    <t>Parameters</t>
  </si>
  <si>
    <t>Values</t>
  </si>
  <si>
    <t>Sources</t>
  </si>
  <si>
    <t>Casing loss factor</t>
  </si>
  <si>
    <t>http://dx.doi.org/10.2139/ssrn.4809938</t>
  </si>
  <si>
    <t>Annual avg daily temp prod location (To)</t>
  </si>
  <si>
    <t>Specific heat capacity of water (Cw) kJ/ (kg.K)</t>
  </si>
  <si>
    <t>Latent heat required to evaporate water (Lv) (kJ/kg)</t>
  </si>
  <si>
    <t>Specific heat capacity of water vapour (Cvap) [kJ/(kg.K)]</t>
  </si>
  <si>
    <t>6b. Input heating temperatures and specific heat capacities</t>
  </si>
  <si>
    <t>Specific Heat Capacities kJ/(kg.K)</t>
  </si>
  <si>
    <t>Heating temperature of material</t>
  </si>
  <si>
    <t>Polymer_Modified_Bitumen</t>
  </si>
  <si>
    <t>Cement</t>
  </si>
  <si>
    <t>Silica_fume</t>
  </si>
  <si>
    <t>No_filler</t>
  </si>
  <si>
    <t>Recycled_concrete_aggregate</t>
  </si>
  <si>
    <t>Recycled_plastic</t>
  </si>
  <si>
    <t>No_other_waste</t>
  </si>
  <si>
    <t>Rejuvenator_biobased</t>
  </si>
  <si>
    <t>Cellulose_fibres</t>
  </si>
  <si>
    <t>6c. Calculation of moisture content of materials</t>
  </si>
  <si>
    <t>Input moisture content of the materials</t>
  </si>
  <si>
    <t>Status [ Covered /Uncovered ]</t>
  </si>
  <si>
    <t>Moisture content</t>
  </si>
  <si>
    <t>Residual</t>
  </si>
  <si>
    <t>List - Material type</t>
  </si>
  <si>
    <t>Status moisture content</t>
  </si>
  <si>
    <t>Mass (ton)</t>
  </si>
  <si>
    <t>Moisture content (%)</t>
  </si>
  <si>
    <t>N/A</t>
  </si>
  <si>
    <t>Other waste 1</t>
  </si>
  <si>
    <t>Other waste 2</t>
  </si>
  <si>
    <t>Yes = Covered, No = Not covered</t>
  </si>
  <si>
    <t xml:space="preserve">6d. Calculation of Total Thermal Energy per ton of asphalt mix (MJ/ton)  </t>
  </si>
  <si>
    <t>Units</t>
  </si>
  <si>
    <t>Dry mass fraction of material (mi)</t>
  </si>
  <si>
    <t>%</t>
  </si>
  <si>
    <t>Specific heat capacity of material (ci)</t>
  </si>
  <si>
    <t>kJ/(kg.K)</t>
  </si>
  <si>
    <t>Heating temperature of material (Ti)</t>
  </si>
  <si>
    <t>°C</t>
  </si>
  <si>
    <t>Moisture content of material (Wi)</t>
  </si>
  <si>
    <t>Dry component heating (Q_dry)</t>
  </si>
  <si>
    <t>Heating water to boiling (Q_water)</t>
  </si>
  <si>
    <t>Water vaporization (Q_vap)</t>
  </si>
  <si>
    <t>Heating vapor to final temperature (Q_vap_heat)</t>
  </si>
  <si>
    <t>Total energy</t>
  </si>
  <si>
    <t>MJ</t>
  </si>
  <si>
    <t xml:space="preserve">Total thermal energy </t>
  </si>
  <si>
    <t>MJ/ton</t>
  </si>
  <si>
    <t>Percentage of total thermal energy required to evaporate moisture</t>
  </si>
  <si>
    <t>Moisture content check</t>
  </si>
  <si>
    <t>6e. Calculation of environmental impacts per ton of asphalt mix (Unit/ton)</t>
  </si>
  <si>
    <t>List- Energy Source</t>
  </si>
  <si>
    <t>Percentage mix (%)</t>
  </si>
  <si>
    <t>Asphalt mix</t>
  </si>
  <si>
    <t>Productivity (tph)</t>
  </si>
  <si>
    <t>Asphalt mix loading operations</t>
  </si>
  <si>
    <t>Production: Total Impacts per Impact Category (Declared Unit)</t>
  </si>
  <si>
    <t>Asphalt Mix Production</t>
  </si>
  <si>
    <t>Wheel loader operation</t>
  </si>
  <si>
    <t>Total production</t>
  </si>
  <si>
    <t>top table</t>
  </si>
  <si>
    <t>bottom table</t>
  </si>
  <si>
    <t>Energy consumption (kWh/km)</t>
  </si>
  <si>
    <t>Energy consumption (kWh/tkm)</t>
  </si>
  <si>
    <t>Transport: PEF Impact Calculations</t>
  </si>
  <si>
    <t>Impacts</t>
  </si>
  <si>
    <t>check table</t>
  </si>
  <si>
    <t>Step 1: Paver machine properties</t>
  </si>
  <si>
    <t>Small project paver</t>
  </si>
  <si>
    <t>Paver name</t>
  </si>
  <si>
    <t>Diesel_paver_small_scale_project</t>
  </si>
  <si>
    <t>Green Road Paver</t>
  </si>
  <si>
    <t>Type of paver</t>
  </si>
  <si>
    <t>Green Road Equipment</t>
  </si>
  <si>
    <t>Geba- Green Road Machinery</t>
  </si>
  <si>
    <t xml:space="preserve">https://www.geba.nl/en/ </t>
  </si>
  <si>
    <t xml:space="preserve">https://doi.org/10.17559/TV-20141027115647 </t>
  </si>
  <si>
    <t>Paving speed (m/min)</t>
  </si>
  <si>
    <t>Primary data ( site)</t>
  </si>
  <si>
    <t>Maximum paving width (m)</t>
  </si>
  <si>
    <t>Pavement thickness (m)</t>
  </si>
  <si>
    <t>Cold milling machine productivity analysis for determining
operator efficiency values in road maintenance projects</t>
  </si>
  <si>
    <t>doi:10.1088/1757-899X/1010/1/012036</t>
  </si>
  <si>
    <t>Productivity = speed (m/min) x max paving width (m) x thickness (m) x 60 min/h x density x Efficiency (ton/m3)</t>
  </si>
  <si>
    <t>Medium project paver</t>
  </si>
  <si>
    <t>Diesel_paver_medium_scale_project</t>
  </si>
  <si>
    <t>Vogele Super 1800-3i</t>
  </si>
  <si>
    <t xml:space="preserve">https://www.wirtgen-group.com/ocs/en-be/voegele/road-pavers-50-c/ </t>
  </si>
  <si>
    <t>US Environmental Protection Agency 2010</t>
  </si>
  <si>
    <t>Large project paver</t>
  </si>
  <si>
    <t>Diesel_paver_large_scale_project</t>
  </si>
  <si>
    <t>Vogele Super 3000-3i</t>
  </si>
  <si>
    <t>Productivity = speed (m/min) x max paving width (m) x thickness (m) x 60 min/h x density (ton/m3)</t>
  </si>
  <si>
    <t>Hitachi ZE 135</t>
  </si>
  <si>
    <t xml:space="preserve">https://www.hitachicm.com/nl/nl/machines/graafmachines/medium-graafmachines/product.ze135/ </t>
  </si>
  <si>
    <t>Bulk density asphalt mix (ton/m3)</t>
  </si>
  <si>
    <t xml:space="preserve">rated load </t>
  </si>
  <si>
    <t xml:space="preserve">https://www.cat.com/en_US/articles/for-owners/finding-your-excavator-lift-capacity.html </t>
  </si>
  <si>
    <r>
      <t>S</t>
    </r>
    <r>
      <rPr>
        <b/>
        <i/>
        <sz val="16"/>
        <color theme="1"/>
        <rFont val="Aptos Narrow"/>
        <family val="2"/>
        <scheme val="minor"/>
      </rPr>
      <t>tep 2: Roller Machine Properties</t>
    </r>
  </si>
  <si>
    <t>Input roller to paver time ratio</t>
  </si>
  <si>
    <t>Ratio of roller time to paver time</t>
  </si>
  <si>
    <t>Roller operates 45 minutes longer than the paver</t>
  </si>
  <si>
    <t>Small project roller</t>
  </si>
  <si>
    <t>Type of roller</t>
  </si>
  <si>
    <t>Bomag BW 80 AD-5</t>
  </si>
  <si>
    <t xml:space="preserve">https://www.bomag.com/ww-en/machinery/categories/asphalt-rollers/#filter-filter1 </t>
  </si>
  <si>
    <t>Max drum width (m)</t>
  </si>
  <si>
    <t>Medium project roller</t>
  </si>
  <si>
    <t>Bomag BW 151AD - 5 AM</t>
  </si>
  <si>
    <t xml:space="preserve">https://doi.org/10.17559/TV-20141027115647   </t>
  </si>
  <si>
    <t>Large project roller</t>
  </si>
  <si>
    <t>Bomag BW 203 AD -4</t>
  </si>
  <si>
    <t>The table below presents a summary of the machine properties calculated from the above data</t>
  </si>
  <si>
    <t>Paver_small_scale_project_25kW</t>
  </si>
  <si>
    <t>Paver_large_scale_project_354kW</t>
  </si>
  <si>
    <t>Roller_small_scale_project_30kW</t>
  </si>
  <si>
    <t>Roller_large_scale_project_100kW</t>
  </si>
  <si>
    <t>No_excavator</t>
  </si>
  <si>
    <t>No_roller</t>
  </si>
  <si>
    <t>Step 3: PEF Impact Calculations Paver &amp; Roller</t>
  </si>
  <si>
    <t xml:space="preserve">Number of equipments </t>
  </si>
  <si>
    <t>Paving and compaction operations</t>
  </si>
  <si>
    <t>Paving operations</t>
  </si>
  <si>
    <t>Compaction operations</t>
  </si>
  <si>
    <t>Roller machine 1</t>
  </si>
  <si>
    <t>Roller machine 2</t>
  </si>
  <si>
    <t>Pavers</t>
  </si>
  <si>
    <t>Rollers</t>
  </si>
  <si>
    <t>Step 1: Milling machine properties</t>
  </si>
  <si>
    <t>Small project milling machine</t>
  </si>
  <si>
    <t>Diesel_milling_small_scale_project</t>
  </si>
  <si>
    <t>Type of milling machine</t>
  </si>
  <si>
    <t>Wirtgen W120 Ri</t>
  </si>
  <si>
    <t>https://www.wirtgen-group.com/ocs/en-be/wirtgen/cold-milling-machines-61-c/</t>
  </si>
  <si>
    <t>Milling speed (m/min)</t>
  </si>
  <si>
    <t>Maximum milling width (m)</t>
  </si>
  <si>
    <t xml:space="preserve">https://doi:10.1088/1757-899X/1010/1/012036 </t>
  </si>
  <si>
    <t>Productivity = speed (m/min) x max milling width (m) x thickness (m) x 60 min/h  x Bulk density (ton/m3) x efficiency factor</t>
  </si>
  <si>
    <t>Medium project milling machine</t>
  </si>
  <si>
    <t>Diesel_milling_medium_scale_project</t>
  </si>
  <si>
    <t>Wirtgen W210 XP</t>
  </si>
  <si>
    <t xml:space="preserve">https://www.wirtgen-group.com/ocs/en-be/wirtgen/cold-milling-machines-61-c/ </t>
  </si>
  <si>
    <t>Primary data Paving speeds</t>
  </si>
  <si>
    <t>Distance (m)</t>
  </si>
  <si>
    <t>Time (min)</t>
  </si>
  <si>
    <t>Speed m/min</t>
  </si>
  <si>
    <t>Average speed</t>
  </si>
  <si>
    <t>Large project milling machine</t>
  </si>
  <si>
    <t>Diesel_milling_large_scale_project</t>
  </si>
  <si>
    <t>Wirtgen W250 Fi</t>
  </si>
  <si>
    <t>Sweeper truck</t>
  </si>
  <si>
    <t>Sweeper name</t>
  </si>
  <si>
    <t>Diesel_sweeper_truck_volvo</t>
  </si>
  <si>
    <t>Type of sweeper</t>
  </si>
  <si>
    <t xml:space="preserve"> Volvo FL D8K</t>
  </si>
  <si>
    <t>Volvo FL D8K</t>
  </si>
  <si>
    <t>https://stpi.it.volvo.com/STPIFiles/Volvo/ModelRange/fl42rs512l_gbr_eng.pdf</t>
  </si>
  <si>
    <t>Fuel consumption (kg/t)</t>
  </si>
  <si>
    <t>Milling_small_scale_project_Wirtgen_W35Ri_45kW</t>
  </si>
  <si>
    <t>Milling_large_scale_project_Wirtgen_W250Fi_753kW</t>
  </si>
  <si>
    <t>Depends on speed of the cold milling machine chosen</t>
  </si>
  <si>
    <t>Dependant on cold milling machine 1</t>
  </si>
  <si>
    <t>Step 2: PEF Impact Calculations Milling Machines</t>
  </si>
  <si>
    <t>Milling Operations</t>
  </si>
  <si>
    <t>Milling operation impact</t>
  </si>
  <si>
    <t>Conducting a Life Cycle Inventory (LCI) and Impact Assessment (LCIA) for diesel and biodiesel combustion</t>
  </si>
  <si>
    <t>Step 1: Retrieve the activity for transport, freight, lorry, 16-32 metric ton, 100% diesel, EURO 6 and 
transport, freight, lorry 28 metric ton, fatty acid methyl ester 100%</t>
  </si>
  <si>
    <t>Step 2: Calculate the emissions per kg of diesel and emissions per kg of biodiesel</t>
  </si>
  <si>
    <t>Step 3: Create new activity for 1 kg of biodiesel and diesel combustion in Activity browser</t>
  </si>
  <si>
    <t>Step 4: Add technosphere flows for lubricating oil and waste mineral oil from the activity Diesel, burned in building machine( accounts for oils and lubrication for machine operations)</t>
  </si>
  <si>
    <t xml:space="preserve">Step 5: Add biosphere flows for biodiesel and diesel </t>
  </si>
  <si>
    <t>Step 6: Calculate the respective Impacts for the LCI of diesel and bio diesel combustion</t>
  </si>
  <si>
    <t>Transport, freight, lorry 28 metric ton, fatty acid methyl ester 100%</t>
  </si>
  <si>
    <t>Transport, freight, lorry, 16-32 metric ton, 100% diesel, EURO 6</t>
  </si>
  <si>
    <t xml:space="preserve">Technosphere flow </t>
  </si>
  <si>
    <t>fatty acid methyl ester</t>
  </si>
  <si>
    <t>kilogram</t>
  </si>
  <si>
    <t>market for brake wear emissions, lorry</t>
  </si>
  <si>
    <t>lorry, 28 metric ton</t>
  </si>
  <si>
    <t>unit</t>
  </si>
  <si>
    <t>market group for diesel, low-sulfur</t>
  </si>
  <si>
    <t>maintenance, lorry 28 metric ton</t>
  </si>
  <si>
    <t>market for lorry, 28 metric ton</t>
  </si>
  <si>
    <t>road</t>
  </si>
  <si>
    <t>meter-year</t>
  </si>
  <si>
    <t>market for maintenance, lorry 28 metric ton</t>
  </si>
  <si>
    <t>road maintenance</t>
  </si>
  <si>
    <t>market for road</t>
  </si>
  <si>
    <t>market for road maintenance</t>
  </si>
  <si>
    <t>market for road wear emissions, lorry</t>
  </si>
  <si>
    <t>market for tyre wear emissions, lorry</t>
  </si>
  <si>
    <t>Biosphere flow</t>
  </si>
  <si>
    <t>Compartment</t>
  </si>
  <si>
    <t>Emissions/kg biodiesel</t>
  </si>
  <si>
    <t>1,1,1,2-Tetrafluoroethane</t>
  </si>
  <si>
    <t>air</t>
  </si>
  <si>
    <t>Acetaldehyde</t>
  </si>
  <si>
    <t>Ammonia</t>
  </si>
  <si>
    <t>Acrolein</t>
  </si>
  <si>
    <t>Benzene</t>
  </si>
  <si>
    <t>Cadmium II</t>
  </si>
  <si>
    <t>Arsenic ion</t>
  </si>
  <si>
    <t>Carbon dioxide, fossil</t>
  </si>
  <si>
    <t>Benzaldehyde</t>
  </si>
  <si>
    <t>Carbon dioxide, non-fossil</t>
  </si>
  <si>
    <t>Carbon monoxide, fossil</t>
  </si>
  <si>
    <t>Butane</t>
  </si>
  <si>
    <t>Carbon monoxide, non-fossil</t>
  </si>
  <si>
    <t>Chromium III</t>
  </si>
  <si>
    <t>Copper ion</t>
  </si>
  <si>
    <t>Dinitrogen monoxide</t>
  </si>
  <si>
    <t>Lead II</t>
  </si>
  <si>
    <t>Chromium VI</t>
  </si>
  <si>
    <t>Methane, fossil</t>
  </si>
  <si>
    <t>Methane, non-fossil</t>
  </si>
  <si>
    <t>NMVOC, non-methane volatile organic compounds</t>
  </si>
  <si>
    <t>Ethane</t>
  </si>
  <si>
    <t>Nickel II</t>
  </si>
  <si>
    <t>Formaldehyde</t>
  </si>
  <si>
    <t>Nitrogen oxides</t>
  </si>
  <si>
    <t>Heptane</t>
  </si>
  <si>
    <t>Particulate Matter, &lt; 2.5 um</t>
  </si>
  <si>
    <t>Particulate Matter, &gt; 10 um</t>
  </si>
  <si>
    <t>Mercury II</t>
  </si>
  <si>
    <t>Particulate Matter, &gt; 2.5 um and &lt; 10um</t>
  </si>
  <si>
    <t>Zinc II</t>
  </si>
  <si>
    <t>soil</t>
  </si>
  <si>
    <t>PAH, polycyclic aromatic hydrocarbons</t>
  </si>
  <si>
    <t>Pentane</t>
  </si>
  <si>
    <t>Propane</t>
  </si>
  <si>
    <t>water</t>
  </si>
  <si>
    <t>Selenium IV</t>
  </si>
  <si>
    <t>Styrene</t>
  </si>
  <si>
    <t>Sulfur dioxide</t>
  </si>
  <si>
    <t>Toluene</t>
  </si>
  <si>
    <t>m-Xylene</t>
  </si>
  <si>
    <t>o-Xylene</t>
  </si>
  <si>
    <t>Reference</t>
  </si>
  <si>
    <t>100% biodiesel combustion</t>
  </si>
  <si>
    <t>100% diesel combustion</t>
  </si>
  <si>
    <t xml:space="preserve">Electricity </t>
  </si>
  <si>
    <t>Electricity green mix</t>
  </si>
  <si>
    <t>Biodiesel_7%</t>
  </si>
  <si>
    <t>Biodiesel_10%</t>
  </si>
  <si>
    <t>Biodiesel_100%</t>
  </si>
  <si>
    <t>Transport LCI -EURO 5</t>
  </si>
  <si>
    <t>transport, freight, lorry 28 metric ton, fatty acid methyl ester 100% | CHECK transport, freight, lorry 28 metric ton, fatty acid methyl ester 100% | CH | ton kilometer | GPP_tool</t>
  </si>
  <si>
    <t>ton kilometer</t>
  </si>
  <si>
    <t>transport, freight, lorry, 16-32 metric ton, 100% diesel, EURO 5 | transport, freight, lorry, 16-32 metric ton, 100% Diesel,</t>
  </si>
  <si>
    <t>GPP electric truck electricity, low voltage</t>
  </si>
  <si>
    <t>kilowatt hour</t>
  </si>
  <si>
    <t>GPP electric truck electricity, low voltage, green electricity grid</t>
  </si>
  <si>
    <t>Electric truck</t>
  </si>
  <si>
    <t>Electric truck green</t>
  </si>
  <si>
    <t>Transport LCI -EURO 6</t>
  </si>
  <si>
    <t>transport, freight, lorry, 16-32 metric ton, 100% diesel, EURO 6 | transport, freight, lorry, 16-32 metric ton, 100% diesel, EURO 6 | RER | ton kilometer | GPP_tool</t>
  </si>
  <si>
    <t>Calculation of Environmental Burdens</t>
  </si>
  <si>
    <t>Step 1: Assign transportation modes and distances for RAP</t>
  </si>
  <si>
    <t>Transport mode</t>
  </si>
  <si>
    <t>Fuel Source</t>
  </si>
  <si>
    <t>Transport distance</t>
  </si>
  <si>
    <t>Reclaimed Asphalt Pavement (RAP)</t>
  </si>
  <si>
    <t>RAP parameters</t>
  </si>
  <si>
    <t>RAP (%) by mass of asphalt mix</t>
  </si>
  <si>
    <t>Net outflowof RAP (%)</t>
  </si>
  <si>
    <t>Step 2: Calculation of Transport Burdens</t>
  </si>
  <si>
    <t xml:space="preserve">Reclaimed Asphalt Pavement </t>
  </si>
  <si>
    <t xml:space="preserve">RAP </t>
  </si>
  <si>
    <t xml:space="preserve"> Step 3: Calculation of Reclaimed Asphalt Pavement Burdens</t>
  </si>
  <si>
    <t>RAP wheel loader operations</t>
  </si>
  <si>
    <t>KOMATSU WA500</t>
  </si>
  <si>
    <t xml:space="preserve">https://www.komatsu.eu/en/wheel-loaders/wheel-loaders/wa500-8 </t>
  </si>
  <si>
    <t>Fuel consumption  (kg/h)</t>
  </si>
  <si>
    <t>Operational time of wheel loader (h)</t>
  </si>
  <si>
    <t>Net outflow RAP / Total capacity of wheel loader</t>
  </si>
  <si>
    <t>Specific fuel consumption kg/kWh/h</t>
  </si>
  <si>
    <t>https://www.wirtgen-group.com/ocs/en-us/kleemann/mc-120i-pro-139-p/</t>
  </si>
  <si>
    <t>Fuel consumption (kg/hr)</t>
  </si>
  <si>
    <t>Net outflow RAP (ton)/Production capacity</t>
  </si>
  <si>
    <t>3b. Conveying crushed Reclaimed Asphalt  Pavement</t>
  </si>
  <si>
    <t xml:space="preserve">Operational time is dependent on the crushing operation </t>
  </si>
  <si>
    <t>3c. Screening of crushed Reclaimed Asphalt Pavement</t>
  </si>
  <si>
    <t>Fuel consumption  (kg/hr)</t>
  </si>
  <si>
    <t>Operational time per quantity (h)</t>
  </si>
  <si>
    <t>Step 4: Calculation of Avoided Products</t>
  </si>
  <si>
    <t>Quantity</t>
  </si>
  <si>
    <t>Recycling rate of RAP for asphalt mixes</t>
  </si>
  <si>
    <t>Reviewing the variability in product category rules for asphalt pavements – A quantitative evaluation of methodological framework differences for environmental product declarations</t>
  </si>
  <si>
    <t>https://doi.org/10.1016/j.jclepro.2024.140580</t>
  </si>
  <si>
    <t>Recycling rate of RAP for other products</t>
  </si>
  <si>
    <t>Amount  in Recycled RAP</t>
  </si>
  <si>
    <t>Bitumen (%)</t>
  </si>
  <si>
    <t xml:space="preserve">https://doi.org/10.1016/j.jclepro.2024.140580 </t>
  </si>
  <si>
    <t>Filler (%)</t>
  </si>
  <si>
    <t>Fine aggregate (%)</t>
  </si>
  <si>
    <t>Coarse aggregate (%)</t>
  </si>
  <si>
    <t>Calculation of avoided quantities</t>
  </si>
  <si>
    <t>To asphalt (%)</t>
  </si>
  <si>
    <t>To others (%)</t>
  </si>
  <si>
    <t>Avoided binder (ton)</t>
  </si>
  <si>
    <t>Avoided filler (ton)</t>
  </si>
  <si>
    <t>Avoided aggregates (ton)</t>
  </si>
  <si>
    <t>Avoided sand (ton)</t>
  </si>
  <si>
    <t>List- type</t>
  </si>
  <si>
    <t>Step 5: Calculation of transport of Avoided Products</t>
  </si>
  <si>
    <t>Benefits and Burdens: Total Impacts per Impact Category (Declared Unit)</t>
  </si>
  <si>
    <t>Total Savings (with transport)</t>
  </si>
  <si>
    <t>Transport</t>
  </si>
  <si>
    <t>Waste processing</t>
  </si>
  <si>
    <t xml:space="preserve">Avoided binder </t>
  </si>
  <si>
    <t>Avoided aggregates</t>
  </si>
  <si>
    <t xml:space="preserve">Avoided sand </t>
  </si>
  <si>
    <t xml:space="preserve">Transport: Avoided binder </t>
  </si>
  <si>
    <t xml:space="preserve">Transport: Avoided filler </t>
  </si>
  <si>
    <t xml:space="preserve">Transport: Avoided aggregates </t>
  </si>
  <si>
    <t xml:space="preserve">Transport: Avoided sand </t>
  </si>
  <si>
    <t>Benefits and Burdens: Total Impacts per Impact Category (Functional Unit)</t>
  </si>
  <si>
    <t>Declared unit (ton)</t>
  </si>
  <si>
    <t>Functional unit (m2)</t>
  </si>
  <si>
    <t>ID</t>
  </si>
  <si>
    <t>Life Cycle Stage</t>
  </si>
  <si>
    <t>Material or Energy Source</t>
  </si>
  <si>
    <t>Index</t>
  </si>
  <si>
    <t>limestone production, crushed, washed | CH</t>
  </si>
  <si>
    <t>ton</t>
  </si>
  <si>
    <t xml:space="preserve">sand | sand quarry operation, extraction from river bed | RoW </t>
  </si>
  <si>
    <t>cement production, CEM III/A | Europe without Switzerland</t>
  </si>
  <si>
    <t>silica fume, densified</t>
  </si>
  <si>
    <t xml:space="preserve">limestone  production, milled, loose | Europe without Switzerland | </t>
  </si>
  <si>
    <t>silica fume, densified | silica fume, densified, Recycled Content cut-off | GLO</t>
  </si>
  <si>
    <t>Eurobitumen</t>
  </si>
  <si>
    <t>Binder_bio</t>
  </si>
  <si>
    <t>Company X biogenic bitumen component |  retrieved from EPD X</t>
  </si>
  <si>
    <t>Rejuvenator_biobased_soybean</t>
  </si>
  <si>
    <t>paraffin | paraffin production | RER |ton | PoAB_NEW</t>
  </si>
  <si>
    <t>cellulose fibre production | CH</t>
  </si>
  <si>
    <t>soybean oil, refined | soybean oil refinery operation | RoW | ton | PoAB_NEW</t>
  </si>
  <si>
    <t>polyethylene production, high density, granulate, recycled  | RoW</t>
  </si>
  <si>
    <t>ground granulated blast furnace slag production | RoW</t>
  </si>
  <si>
    <t>Retrieved from C3' Secondary Raw Material - Crumb rubber production (A1)</t>
  </si>
  <si>
    <t>polyethylene production, high density, granulate, recycled</t>
  </si>
  <si>
    <t>market for electricity, low voltage</t>
  </si>
  <si>
    <t>100% diesel combustion incl markets for diesel machines in crumb rubber production | RER</t>
  </si>
  <si>
    <t>100% diesel combustion incl markets for diesel | RER</t>
  </si>
  <si>
    <t>4.5% fatty acid methyl ester (rapeoil) &amp;  95.5% diesel combustion  | CH | RER</t>
  </si>
  <si>
    <t>7% fatty acid methyl ester (rapeoil) &amp;  93% diesel combustion   | CH | RER</t>
  </si>
  <si>
    <t>10% fatty acid methyl ester (rapeoil) &amp;  90% diesel combustion   | CH | RER</t>
  </si>
  <si>
    <t>20% fatty acid methyl ester (rapeoil) &amp;  80% diesel combustion   | CH | RER</t>
  </si>
  <si>
    <t>100% fatty acid methyl ester (rape oil) combustion  | CH</t>
  </si>
  <si>
    <t>market for electricity, low voltage | BE</t>
  </si>
  <si>
    <t>market for green electricity grid mix, low voltage | BE</t>
  </si>
  <si>
    <t>transport, freight, lorry, 16-32 metric ton, 100% diesel, EURO 5 | RER</t>
  </si>
  <si>
    <t>tkm</t>
  </si>
  <si>
    <t>transport, freight, lorry, 16-32 metric ton, 100% diesel, EURO 6 | RER</t>
  </si>
  <si>
    <t>transport, freight, lorry, 16-32 metric ton,4.5% fatty acid methyl ester (rapeoil) &amp;  95.5%  diesel, EURO 6 | CH | RER</t>
  </si>
  <si>
    <t>transport, freight, lorry, 16-32 metric ton,7% fatty acid methyl ester (rapeoil) &amp;  93%  diesel, EURO 6  | CH | RER</t>
  </si>
  <si>
    <t>transport, freight, lorry, 16-32 metric ton,10% fatty acid methyl ester (rapeoil) &amp;  90%  diesel, EURO 6  | CH | RER</t>
  </si>
  <si>
    <t>transport, freight, lorry, 16-32 metric ton,20% fatty acid methyl ester (rapeoil) &amp;  80%  diesel, EURO 6  | CH | RER</t>
  </si>
  <si>
    <t>transport, freight, lorry 28 metric ton, fatty acid methyl ester (rape oil)  100% |CH</t>
  </si>
  <si>
    <t>market for electricity, low voltage, market for road, market for road wear emissions lorry, market for brake wear emissions lorry ,market for tyre wear emissions lorry | BE</t>
  </si>
  <si>
    <t>market for green electricity grid mix, low voltage, market for road, market for road wear emissions lorry, market for brake wear emissions lorry ,market for tyre wear emissions lorry | BE</t>
  </si>
  <si>
    <t>Barge</t>
  </si>
  <si>
    <t>transport, freight, inland waterways, barge, diesel | RER</t>
  </si>
  <si>
    <t xml:space="preserve">transport, freight, inland waterways, barge tanker | transport, freight, inland waterways, barge tanker | RER </t>
  </si>
  <si>
    <t>transport, freight, sea, transoceanic ship | GLO</t>
  </si>
  <si>
    <t>transport, freight, train, diesel | Europe without Switzerland</t>
  </si>
  <si>
    <t>transport, freight, train, electric | Europe without Switzerland</t>
  </si>
  <si>
    <t>heat production, propane, at industrial furnace &gt;100kW | RoW</t>
  </si>
  <si>
    <t>heat production, natural gas, at industrial furnace &gt;100kW | Europe without CH</t>
  </si>
  <si>
    <t>Heavy_fuel</t>
  </si>
  <si>
    <t>heat production, heavy fuel oil, at industrial furnace 1MW | Europe without CH</t>
  </si>
  <si>
    <t>Electricity_green</t>
  </si>
  <si>
    <t>market for green electricity grid mix, low voltage</t>
  </si>
  <si>
    <t>Hydrogen (grey)</t>
  </si>
  <si>
    <t>hydrogen production, steam methane reforming  |grey hydrogen| ReR</t>
  </si>
  <si>
    <t>market for electricity, low voltage| BE</t>
  </si>
  <si>
    <t>market for green electricity grid mix, low voltage| BE</t>
  </si>
  <si>
    <t>Asphalt plant: Electric components</t>
  </si>
  <si>
    <t>none</t>
  </si>
  <si>
    <t>100% diesel combustion incl markets for diesel machines | RER</t>
  </si>
  <si>
    <t>market for Belgian electricity grid mix, low voltage| BE</t>
  </si>
  <si>
    <t>market for Belgian electricity grid mix, low voltage | BE</t>
  </si>
  <si>
    <t>List entries are utilized to generate drop-down lists and dependent drop-down lists.</t>
  </si>
  <si>
    <t>List for transport modes materials</t>
  </si>
  <si>
    <t>Transport_mode</t>
  </si>
  <si>
    <t>List for wheel loaders</t>
  </si>
  <si>
    <t>Wheel_loader_types</t>
  </si>
  <si>
    <t>Wheel_loader_types_RAP</t>
  </si>
  <si>
    <t>Wheel_loader_types_RCA</t>
  </si>
  <si>
    <t>List for crushing operation</t>
  </si>
  <si>
    <t>Crusher_types_RAP</t>
  </si>
  <si>
    <t>Crusher_types_RCA</t>
  </si>
  <si>
    <t>List for tracked stackers (conveyor belts)</t>
  </si>
  <si>
    <t>Stacker_types_RAP</t>
  </si>
  <si>
    <t>Stacker_types_RCA</t>
  </si>
  <si>
    <t>List of mobile screeners</t>
  </si>
  <si>
    <t>Screener_types_RAP</t>
  </si>
  <si>
    <t>Screener_types_RCA</t>
  </si>
  <si>
    <t>List of asphalt pavers</t>
  </si>
  <si>
    <t>Paver_types</t>
  </si>
  <si>
    <t>List of roller compactors</t>
  </si>
  <si>
    <t>Roller_types</t>
  </si>
  <si>
    <t>List of milling machines</t>
  </si>
  <si>
    <t>Milling_types</t>
  </si>
  <si>
    <t>List of excavators</t>
  </si>
  <si>
    <t>Excavator_types</t>
  </si>
  <si>
    <t>Sweeper truck types</t>
  </si>
  <si>
    <t>Types_sweeper_truck</t>
  </si>
  <si>
    <t>No_sweeper_truck</t>
  </si>
  <si>
    <t>Electric_component</t>
  </si>
  <si>
    <t>LCA results for a modified declared unit (cradle-to-grave analysis: A1-C3, D)</t>
  </si>
  <si>
    <t>Heavy_fuel_oil</t>
  </si>
  <si>
    <t>Impact Calculations Other Waste</t>
  </si>
  <si>
    <t>Waste Processing</t>
  </si>
  <si>
    <t>A. Reclaimed Asphalt Pavement (RAP)  and Recycled Concrete Aggregate (RCA) Processing  Input Parameters</t>
  </si>
  <si>
    <t>B. Crumb Rubber Processing</t>
  </si>
  <si>
    <t>Total impacts for crumb rubber processing per ton of crumb rubber</t>
  </si>
  <si>
    <t>Total Impacts: RAP and Other Waste  per Impact Category (Declared Unit)</t>
  </si>
  <si>
    <t>check tables (RAP process &amp; RCA process &amp; Other Waste)</t>
  </si>
  <si>
    <t>Step 3: Determine the average production temperature based on temperature range selected by contractor</t>
  </si>
  <si>
    <t>1a. Input parameters</t>
  </si>
  <si>
    <t>1b. Calculation of environmental impacts of wheel loader per ton of asphalt mix (Unit/ton)</t>
  </si>
  <si>
    <t>3a. Crushing of reclaimed asphalt pavement</t>
  </si>
  <si>
    <t>Total: A1-A3,C2',C3' (excl D)</t>
  </si>
  <si>
    <t>Construction: Total Impacts per Impact Category (Declared Unit)</t>
  </si>
  <si>
    <t>Deconstruction: Total Impacts per Impact Category  (Declared Unit)</t>
  </si>
  <si>
    <t>Transport: Total Impacts per Impact Category (Declared Unit)</t>
  </si>
  <si>
    <t>Total A1-A5,C1,C2',C3' (excl. D)</t>
  </si>
  <si>
    <t>Step 1:  Reclaimed Asphalt Pavement Processing</t>
  </si>
  <si>
    <t>1a. Wheel loading operations RAP</t>
  </si>
  <si>
    <t>1b. Crushing of reclaimed asphalt pavement</t>
  </si>
  <si>
    <t>1c. Conveying crushed reclaimed asphalt pavement</t>
  </si>
  <si>
    <t>1d. Screening of crushed reclaimed asphalt pavement</t>
  </si>
  <si>
    <t>Step 2:  Recycled Concrete Aggregate Processing</t>
  </si>
  <si>
    <t>2a. Wheel loading operations RCA</t>
  </si>
  <si>
    <t>2b. Crushing of Recycled Concrete Aggregate</t>
  </si>
  <si>
    <t>2c. Conveying crushed Recycled Concrete Aggregate</t>
  </si>
  <si>
    <t>2d. Screening of crushed Recycled Concrete Aggregate</t>
  </si>
  <si>
    <t>Step 3:  Impact Calculations (RAP and RCA)</t>
  </si>
  <si>
    <t>The processing of waste comprises of two sections A: Reclamed Asphalt Pavement and Recycled Concrete Aggregate) processing and B; Crumb rubber recycling.</t>
  </si>
  <si>
    <t xml:space="preserve">Weight of tyres to produce 1 ton crumb rubber </t>
  </si>
  <si>
    <t>Electricity Conversion factor from MJ to kWh</t>
  </si>
  <si>
    <t>Total (incl. D)</t>
  </si>
  <si>
    <t>Burden &amp; Savings</t>
  </si>
  <si>
    <t>Environmental impacts per m2 per process (A1-D)</t>
  </si>
  <si>
    <t>Version 2.1 (released date: March 31, 2025)</t>
  </si>
  <si>
    <t>C2' - Transport Secondary</t>
  </si>
  <si>
    <t xml:space="preserve">A1 - Primary Material </t>
  </si>
  <si>
    <t>C3' - Secondary Material</t>
  </si>
  <si>
    <t>A1 - Primary Raw Material</t>
  </si>
  <si>
    <t>A2 - Transport Primary Raw Material</t>
  </si>
  <si>
    <t>A2 - Transport Primary</t>
  </si>
  <si>
    <t>Additiv</t>
  </si>
  <si>
    <t>Construction</t>
  </si>
  <si>
    <t>Total Route 3</t>
  </si>
  <si>
    <t>Check Asphalt plant: electric components</t>
  </si>
  <si>
    <t xml:space="preserve">Moins, Ben &amp; Hernando, David &amp; Seghers, Dieter &amp; Van den bergh, Wim &amp; Audenaert, Amaryllis. (2024). Establishing greenhouse gas emission benchmarks for the asphalt industry - Are short-term reduction targets feasible using current practice or are more extensive measures needed?. Resources Conservation and Recycling. 212. 10.1016/j.resconrec.2024.107994. </t>
  </si>
  <si>
    <t xml:space="preserve">https://www.inchcalculator.com/convert/megajoule-to-kilowatt-hour/ </t>
  </si>
  <si>
    <t>Energy equivalence (Grey hydrogen: MJ to kg)</t>
  </si>
  <si>
    <t>https://www.energy.gov/eere/fuelcells/hydrogen-storage#:~:text=On%20a%20mass%20basis%2C%20hydrogen,meet%20DOE%20hydrogen%20storage%20targets.</t>
  </si>
  <si>
    <r>
      <t>Mass per FU (ton/m</t>
    </r>
    <r>
      <rPr>
        <b/>
        <vertAlign val="superscript"/>
        <sz val="11"/>
        <color theme="1"/>
        <rFont val="Aptos Narrow"/>
        <family val="2"/>
        <scheme val="minor"/>
      </rPr>
      <t>2</t>
    </r>
    <r>
      <rPr>
        <b/>
        <sz val="11"/>
        <color theme="1"/>
        <rFont val="Aptos Narrow"/>
        <family val="2"/>
        <scheme val="minor"/>
      </rPr>
      <t>)</t>
    </r>
  </si>
  <si>
    <t>Example</t>
  </si>
  <si>
    <t>Roller 3</t>
  </si>
  <si>
    <t>Roller 4</t>
  </si>
  <si>
    <t>Roller machine 3</t>
  </si>
  <si>
    <t>Roller machine 4</t>
  </si>
  <si>
    <t>Cold milling machine 3</t>
  </si>
  <si>
    <t>Asphalt Mixture Production</t>
  </si>
  <si>
    <t>Step 2:  Define Annual average daily temperature of production location &amp; temperature range and average production temperature (°C)</t>
  </si>
  <si>
    <t>Asphalt Transport Results</t>
  </si>
  <si>
    <t>Bruto (kg)</t>
  </si>
  <si>
    <t>Single Score</t>
  </si>
  <si>
    <t>Bruto (ton)</t>
  </si>
  <si>
    <t>Impact Category</t>
  </si>
  <si>
    <t>Total Single Score</t>
  </si>
  <si>
    <t>801/64/2010/13RE-1234/0</t>
  </si>
  <si>
    <t>AB-3A1</t>
  </si>
  <si>
    <t>AC 20 onderlaag 50/70</t>
  </si>
  <si>
    <t>straat 1, 1000 Gaurain-Ramecroix</t>
  </si>
  <si>
    <t>Koudekerk-aan-de-Rijn</t>
  </si>
  <si>
    <t>Beez</t>
  </si>
  <si>
    <t>Soignies</t>
  </si>
  <si>
    <t>Neufvilles</t>
  </si>
  <si>
    <t>Genk</t>
  </si>
  <si>
    <t>Ankersmit Maastricht</t>
  </si>
  <si>
    <t>Productieproces</t>
  </si>
  <si>
    <t>Iepermanlei 29, Antwerpen</t>
  </si>
  <si>
    <t>Rosenberg, 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</si>
</sst>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0.0%"/>
    <numFmt numFmtId="165" formatCode="0.0000"/>
    <numFmt numFmtId="166" formatCode="0.0"/>
    <numFmt numFmtId="167" formatCode="0.00000000"/>
    <numFmt numFmtId="168" formatCode="0.000%"/>
    <numFmt numFmtId="169" formatCode="0.0000%"/>
    <numFmt numFmtId="170" formatCode="0.000"/>
    <numFmt numFmtId="171" formatCode="0.0000000000000000%"/>
    <numFmt numFmtId="172" formatCode="[$-409]d\-mmm\-yy;@"/>
    <numFmt numFmtId="173" formatCode="0E+00"/>
    <numFmt numFmtId="174" formatCode="0.00000000000"/>
  </numFmts>
  <fonts count="43" x14ac:knownFonts="1">
    <font>
      <sz val="11"/>
      <color theme="1"/>
      <name val="Aptos Narrow"/>
      <family val="2"/>
      <scheme val="minor"/>
    </font>
    <font>
      <sz val="11"/>
      <color rgb="FFFF0000"/>
      <name val="Aptos Narrow"/>
      <family val="2"/>
      <scheme val="minor"/>
    </font>
    <font>
      <b/>
      <sz val="11"/>
      <color theme="1"/>
      <name val="Aptos Narrow"/>
      <family val="2"/>
      <scheme val="minor"/>
    </font>
    <font>
      <sz val="11"/>
      <name val="Aptos Narrow"/>
      <family val="2"/>
      <scheme val="minor"/>
    </font>
    <font>
      <b/>
      <sz val="11"/>
      <color rgb="FFFF0000"/>
      <name val="Aptos Narrow"/>
      <family val="2"/>
      <scheme val="minor"/>
    </font>
    <font>
      <sz val="8"/>
      <name val="Aptos Narrow"/>
      <family val="2"/>
      <scheme val="minor"/>
    </font>
    <font>
      <u/>
      <sz val="11"/>
      <color theme="10"/>
      <name val="Aptos Narrow"/>
      <family val="2"/>
      <scheme val="minor"/>
    </font>
    <font>
      <b/>
      <sz val="11"/>
      <name val="Aptos Narrow"/>
      <family val="2"/>
      <scheme val="minor"/>
    </font>
    <font>
      <b/>
      <i/>
      <sz val="11"/>
      <color theme="1"/>
      <name val="Aptos Narrow"/>
      <family val="2"/>
      <scheme val="minor"/>
    </font>
    <font>
      <i/>
      <sz val="11"/>
      <color theme="1"/>
      <name val="Aptos Narrow"/>
      <family val="2"/>
      <scheme val="minor"/>
    </font>
    <font>
      <sz val="11"/>
      <color rgb="FF006100"/>
      <name val="Aptos Narrow"/>
      <family val="2"/>
      <scheme val="minor"/>
    </font>
    <font>
      <sz val="11"/>
      <color theme="1"/>
      <name val="Aptos Narrow"/>
      <family val="2"/>
      <scheme val="minor"/>
    </font>
    <font>
      <b/>
      <sz val="18"/>
      <color theme="1"/>
      <name val="Aptos Narrow"/>
      <family val="2"/>
      <scheme val="minor"/>
    </font>
    <font>
      <b/>
      <sz val="14"/>
      <color theme="1"/>
      <name val="Aptos Narrow"/>
      <family val="2"/>
      <scheme val="minor"/>
    </font>
    <font>
      <b/>
      <i/>
      <sz val="14"/>
      <color theme="1"/>
      <name val="Aptos Narrow"/>
      <family val="2"/>
      <scheme val="minor"/>
    </font>
    <font>
      <i/>
      <sz val="14"/>
      <color theme="1"/>
      <name val="Aptos Narrow"/>
      <family val="2"/>
      <scheme val="minor"/>
    </font>
    <font>
      <b/>
      <sz val="16"/>
      <color theme="1"/>
      <name val="Aptos Narrow"/>
      <family val="2"/>
      <scheme val="minor"/>
    </font>
    <font>
      <sz val="11"/>
      <color theme="1"/>
      <name val="Aptos Narrow"/>
      <family val="2"/>
    </font>
    <font>
      <sz val="11"/>
      <color theme="1"/>
      <name val="Calibri"/>
      <family val="2"/>
    </font>
    <font>
      <sz val="14"/>
      <color theme="1"/>
      <name val="Aptos Narrow"/>
      <family val="2"/>
      <scheme val="minor"/>
    </font>
    <font>
      <i/>
      <sz val="12"/>
      <color theme="1"/>
      <name val="Aptos Narrow"/>
      <family val="2"/>
      <scheme val="minor"/>
    </font>
    <font>
      <i/>
      <sz val="16"/>
      <color theme="1"/>
      <name val="Aptos Narrow"/>
      <family val="2"/>
      <scheme val="minor"/>
    </font>
    <font>
      <sz val="16"/>
      <color theme="1"/>
      <name val="Aptos Narrow"/>
      <family val="2"/>
      <scheme val="minor"/>
    </font>
    <font>
      <b/>
      <sz val="12"/>
      <color theme="1"/>
      <name val="Aptos Narrow"/>
      <family val="2"/>
      <scheme val="minor"/>
    </font>
    <font>
      <b/>
      <i/>
      <sz val="16"/>
      <color theme="1"/>
      <name val="Aptos Narrow"/>
      <family val="2"/>
      <scheme val="minor"/>
    </font>
    <font>
      <b/>
      <i/>
      <sz val="18"/>
      <color theme="1"/>
      <name val="Aptos Narrow"/>
      <family val="2"/>
      <scheme val="minor"/>
    </font>
    <font>
      <b/>
      <i/>
      <sz val="12"/>
      <color theme="1"/>
      <name val="Aptos Narrow"/>
      <family val="2"/>
      <scheme val="minor"/>
    </font>
    <font>
      <b/>
      <i/>
      <sz val="18"/>
      <name val="Aptos Narrow"/>
      <family val="2"/>
      <scheme val="minor"/>
    </font>
    <font>
      <b/>
      <i/>
      <sz val="14"/>
      <name val="Aptos Narrow"/>
      <family val="2"/>
      <scheme val="minor"/>
    </font>
    <font>
      <sz val="12"/>
      <color theme="1"/>
      <name val="Aptos Narrow"/>
      <family val="2"/>
      <scheme val="minor"/>
    </font>
    <font>
      <sz val="11"/>
      <color theme="8" tint="-0.249977111117893"/>
      <name val="Aptos Narrow"/>
      <family val="2"/>
      <scheme val="minor"/>
    </font>
    <font>
      <vertAlign val="subscript"/>
      <sz val="11"/>
      <color theme="1"/>
      <name val="Aptos Narrow"/>
      <family val="2"/>
      <scheme val="minor"/>
    </font>
    <font>
      <vertAlign val="superscript"/>
      <sz val="11"/>
      <color theme="1"/>
      <name val="Aptos Narrow"/>
      <family val="2"/>
      <scheme val="minor"/>
    </font>
    <font>
      <sz val="9"/>
      <color indexed="81"/>
      <name val="Tahoma"/>
      <family val="2"/>
    </font>
    <font>
      <b/>
      <sz val="9"/>
      <color indexed="81"/>
      <name val="Tahoma"/>
      <family val="2"/>
    </font>
    <font>
      <sz val="11"/>
      <color theme="8"/>
      <name val="Aptos Narrow"/>
      <family val="2"/>
      <scheme val="minor"/>
    </font>
    <font>
      <sz val="11"/>
      <color theme="9"/>
      <name val="Aptos Narrow"/>
      <family val="2"/>
      <scheme val="minor"/>
    </font>
    <font>
      <sz val="11"/>
      <color rgb="FF00B050"/>
      <name val="Aptos Narrow"/>
      <family val="2"/>
      <scheme val="minor"/>
    </font>
    <font>
      <b/>
      <sz val="11"/>
      <color theme="8"/>
      <name val="Aptos Narrow"/>
      <family val="2"/>
      <scheme val="minor"/>
    </font>
    <font>
      <sz val="11"/>
      <color rgb="FF12501A"/>
      <name val="Aptos Narrow"/>
      <family val="2"/>
      <scheme val="minor"/>
    </font>
    <font>
      <sz val="11"/>
      <color theme="2" tint="-9.9978637043366805E-2"/>
      <name val="Aptos Narrow"/>
      <family val="2"/>
      <scheme val="minor"/>
    </font>
    <font>
      <b/>
      <sz val="11"/>
      <color theme="2" tint="-9.9978637043366805E-2"/>
      <name val="Aptos Narrow"/>
      <family val="2"/>
      <scheme val="minor"/>
    </font>
    <font>
      <b/>
      <vertAlign val="superscript"/>
      <sz val="11"/>
      <color theme="1"/>
      <name val="Aptos Narrow"/>
      <family val="2"/>
      <scheme val="minor"/>
    </font>
  </fonts>
  <fills count="11">
    <fill>
      <patternFill patternType="none"/>
    </fill>
    <fill>
      <patternFill patternType="gray125"/>
    </fill>
    <fill>
      <patternFill patternType="solid">
        <fgColor theme="2"/>
        <bgColor indexed="64"/>
      </patternFill>
    </fill>
    <fill>
      <patternFill patternType="solid">
        <fgColor theme="6" tint="0.79998168889431442"/>
        <bgColor indexed="64"/>
      </patternFill>
    </fill>
    <fill>
      <patternFill patternType="solid">
        <fgColor theme="2" tint="-9.9978637043366805E-2"/>
        <bgColor indexed="64"/>
      </patternFill>
    </fill>
    <fill>
      <patternFill patternType="solid">
        <fgColor rgb="FFC6EFCE"/>
      </patternFill>
    </fill>
    <fill>
      <patternFill patternType="solid">
        <fgColor theme="8" tint="0.79998168889431442"/>
        <bgColor indexed="64"/>
      </patternFill>
    </fill>
    <fill>
      <patternFill patternType="solid">
        <fgColor theme="0"/>
        <bgColor indexed="64"/>
      </patternFill>
    </fill>
    <fill>
      <patternFill patternType="solid">
        <fgColor rgb="FFEFC3E9"/>
        <bgColor indexed="64"/>
      </patternFill>
    </fill>
    <fill>
      <patternFill patternType="solid">
        <fgColor theme="3" tint="0.89999084444715716"/>
        <bgColor indexed="64"/>
      </patternFill>
    </fill>
    <fill>
      <patternFill patternType="solid">
        <fgColor theme="0" tint="-0.14999847407452621"/>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s>
  <cellStyleXfs count="4">
    <xf numFmtId="0" fontId="0" fillId="0" borderId="0"/>
    <xf numFmtId="0" fontId="6" fillId="0" borderId="0" applyNumberFormat="0" applyFill="0" applyBorder="0" applyAlignment="0" applyProtection="0"/>
    <xf numFmtId="0" fontId="10" fillId="5" borderId="0" applyNumberFormat="0" applyBorder="0" applyAlignment="0" applyProtection="0"/>
    <xf numFmtId="9" fontId="11" fillId="0" borderId="0" applyFont="0" applyFill="0" applyBorder="0" applyAlignment="0" applyProtection="0"/>
  </cellStyleXfs>
  <cellXfs count="433">
    <xf numFmtId="0" fontId="0" fillId="0" borderId="0" xfId="0"/>
    <xf numFmtId="0" fontId="0" fillId="0" borderId="1" xfId="0" applyBorder="1"/>
    <xf numFmtId="0" fontId="0" fillId="0" borderId="1" xfId="0" applyBorder="1" applyAlignment="1">
      <alignment horizontal="left"/>
    </xf>
    <xf numFmtId="0" fontId="2" fillId="0" borderId="0" xfId="0" applyFont="1"/>
    <xf numFmtId="0" fontId="2" fillId="2" borderId="1" xfId="0" applyFont="1" applyFill="1" applyBorder="1"/>
    <xf numFmtId="0" fontId="2" fillId="2" borderId="1" xfId="0" applyFont="1" applyFill="1" applyBorder="1" applyAlignment="1">
      <alignment vertical="center"/>
    </xf>
    <xf numFmtId="0" fontId="0" fillId="0" borderId="1" xfId="0" applyBorder="1" applyAlignment="1">
      <alignment horizontal="left" vertical="center"/>
    </xf>
    <xf numFmtId="9" fontId="0" fillId="0" borderId="1" xfId="0" applyNumberFormat="1" applyBorder="1"/>
    <xf numFmtId="0" fontId="1" fillId="0" borderId="1" xfId="0" applyFont="1" applyBorder="1"/>
    <xf numFmtId="0" fontId="0" fillId="0" borderId="4" xfId="0" applyBorder="1"/>
    <xf numFmtId="0" fontId="0" fillId="2" borderId="1" xfId="0" applyFill="1" applyBorder="1"/>
    <xf numFmtId="0" fontId="1" fillId="0" borderId="0" xfId="0" applyFont="1"/>
    <xf numFmtId="0" fontId="4" fillId="0" borderId="0" xfId="0" applyFont="1"/>
    <xf numFmtId="0" fontId="3" fillId="0" borderId="1" xfId="0" applyFont="1" applyBorder="1"/>
    <xf numFmtId="0" fontId="2" fillId="0" borderId="1" xfId="0" applyFont="1" applyBorder="1" applyAlignment="1">
      <alignment horizontal="center" vertical="center" wrapText="1"/>
    </xf>
    <xf numFmtId="0" fontId="0" fillId="0" borderId="0" xfId="0" applyAlignment="1">
      <alignment horizontal="center"/>
    </xf>
    <xf numFmtId="0" fontId="2" fillId="0" borderId="0" xfId="0" applyFont="1" applyAlignment="1">
      <alignment vertical="center"/>
    </xf>
    <xf numFmtId="0" fontId="2" fillId="0" borderId="0" xfId="0" applyFont="1" applyAlignment="1">
      <alignment vertical="center" wrapText="1"/>
    </xf>
    <xf numFmtId="0" fontId="2" fillId="0" borderId="1" xfId="0" applyFont="1" applyBorder="1"/>
    <xf numFmtId="0" fontId="2" fillId="0" borderId="1" xfId="0" applyFont="1" applyBorder="1" applyAlignment="1">
      <alignment wrapText="1"/>
    </xf>
    <xf numFmtId="0" fontId="6" fillId="0" borderId="0" xfId="1"/>
    <xf numFmtId="0" fontId="0" fillId="0" borderId="1" xfId="0" applyBorder="1" applyAlignment="1">
      <alignment horizontal="center"/>
    </xf>
    <xf numFmtId="0" fontId="0" fillId="0" borderId="1" xfId="0" applyBorder="1" applyAlignment="1">
      <alignment horizontal="right"/>
    </xf>
    <xf numFmtId="9" fontId="0" fillId="0" borderId="0" xfId="0" applyNumberFormat="1"/>
    <xf numFmtId="0" fontId="3" fillId="0" borderId="0" xfId="0" applyFont="1"/>
    <xf numFmtId="0" fontId="2" fillId="0" borderId="0" xfId="0" applyFont="1" applyAlignment="1">
      <alignment horizontal="center" vertical="center" wrapText="1"/>
    </xf>
    <xf numFmtId="0" fontId="0" fillId="4" borderId="0" xfId="0" applyFill="1"/>
    <xf numFmtId="0" fontId="8" fillId="0" borderId="0" xfId="0" applyFont="1" applyAlignment="1">
      <alignment horizontal="left"/>
    </xf>
    <xf numFmtId="0" fontId="0" fillId="0" borderId="0" xfId="0" applyAlignment="1">
      <alignment wrapText="1"/>
    </xf>
    <xf numFmtId="0" fontId="0" fillId="0" borderId="0" xfId="0" applyAlignment="1">
      <alignment horizontal="left"/>
    </xf>
    <xf numFmtId="0" fontId="6" fillId="0" borderId="1" xfId="1" applyBorder="1"/>
    <xf numFmtId="0" fontId="0" fillId="0" borderId="12" xfId="0" applyBorder="1"/>
    <xf numFmtId="0" fontId="8" fillId="0" borderId="0" xfId="0" applyFont="1"/>
    <xf numFmtId="0" fontId="6" fillId="0" borderId="1" xfId="1" applyBorder="1" applyAlignment="1">
      <alignment vertical="top"/>
    </xf>
    <xf numFmtId="0" fontId="10" fillId="0" borderId="0" xfId="2" applyFill="1" applyBorder="1"/>
    <xf numFmtId="0" fontId="8" fillId="0" borderId="1" xfId="0" applyFont="1" applyBorder="1"/>
    <xf numFmtId="0" fontId="9" fillId="0" borderId="0" xfId="0" applyFont="1"/>
    <xf numFmtId="0" fontId="2" fillId="0" borderId="0" xfId="0" applyFont="1" applyAlignment="1">
      <alignment horizontal="center" vertical="center"/>
    </xf>
    <xf numFmtId="0" fontId="2" fillId="0" borderId="0" xfId="0" applyFont="1" applyAlignment="1">
      <alignment horizontal="center"/>
    </xf>
    <xf numFmtId="0" fontId="0" fillId="0" borderId="1" xfId="0" applyBorder="1" applyAlignment="1">
      <alignment horizontal="left" wrapText="1"/>
    </xf>
    <xf numFmtId="0" fontId="2" fillId="0" borderId="1" xfId="0" applyFont="1" applyBorder="1" applyAlignment="1">
      <alignment horizontal="center"/>
    </xf>
    <xf numFmtId="0" fontId="1" fillId="0" borderId="0" xfId="0" applyFont="1" applyAlignment="1">
      <alignment horizontal="left"/>
    </xf>
    <xf numFmtId="0" fontId="2" fillId="0" borderId="1" xfId="0" applyFont="1" applyBorder="1" applyAlignment="1">
      <alignment horizontal="left"/>
    </xf>
    <xf numFmtId="0" fontId="6" fillId="0" borderId="0" xfId="1" applyBorder="1" applyAlignment="1">
      <alignment vertical="top"/>
    </xf>
    <xf numFmtId="0" fontId="2" fillId="0" borderId="1" xfId="1" applyFont="1" applyBorder="1" applyAlignment="1">
      <alignment vertical="top"/>
    </xf>
    <xf numFmtId="0" fontId="0" fillId="0" borderId="5" xfId="0" applyBorder="1"/>
    <xf numFmtId="0" fontId="11" fillId="0" borderId="1" xfId="1" applyFont="1" applyBorder="1" applyAlignment="1">
      <alignment vertical="top"/>
    </xf>
    <xf numFmtId="0" fontId="2" fillId="0" borderId="0" xfId="0" applyFont="1" applyAlignment="1">
      <alignment horizontal="left"/>
    </xf>
    <xf numFmtId="0" fontId="9" fillId="0" borderId="1" xfId="0" applyFont="1" applyBorder="1" applyAlignment="1">
      <alignment horizontal="left"/>
    </xf>
    <xf numFmtId="0" fontId="0" fillId="0" borderId="2" xfId="0" applyBorder="1" applyAlignment="1">
      <alignment horizontal="left"/>
    </xf>
    <xf numFmtId="1" fontId="0" fillId="0" borderId="0" xfId="0" applyNumberFormat="1"/>
    <xf numFmtId="0" fontId="2" fillId="0" borderId="1" xfId="0" applyFont="1" applyBorder="1" applyAlignment="1">
      <alignment vertical="center" wrapText="1"/>
    </xf>
    <xf numFmtId="0" fontId="2" fillId="0" borderId="5" xfId="0" applyFont="1" applyBorder="1" applyAlignment="1">
      <alignment horizontal="left" vertical="center"/>
    </xf>
    <xf numFmtId="0" fontId="0" fillId="0" borderId="1" xfId="0" applyBorder="1" applyAlignment="1">
      <alignment wrapText="1"/>
    </xf>
    <xf numFmtId="0" fontId="2" fillId="0" borderId="0" xfId="0" applyFont="1" applyAlignment="1">
      <alignment horizontal="left" vertical="center"/>
    </xf>
    <xf numFmtId="0" fontId="0" fillId="0" borderId="0" xfId="0" applyAlignment="1">
      <alignment horizontal="left" vertical="center"/>
    </xf>
    <xf numFmtId="0" fontId="3" fillId="0" borderId="1" xfId="2" applyFont="1" applyFill="1" applyBorder="1"/>
    <xf numFmtId="0" fontId="2" fillId="0" borderId="0" xfId="0" applyFont="1" applyAlignment="1">
      <alignment horizontal="left" vertical="center" wrapText="1"/>
    </xf>
    <xf numFmtId="166" fontId="0" fillId="0" borderId="0" xfId="0" applyNumberFormat="1"/>
    <xf numFmtId="0" fontId="2" fillId="0" borderId="0" xfId="0" applyFont="1" applyAlignment="1">
      <alignment wrapText="1"/>
    </xf>
    <xf numFmtId="1" fontId="0" fillId="0" borderId="0" xfId="0" applyNumberFormat="1" applyAlignment="1">
      <alignment horizontal="left"/>
    </xf>
    <xf numFmtId="0" fontId="3" fillId="0" borderId="1" xfId="0" applyFont="1" applyBorder="1" applyAlignment="1">
      <alignment horizontal="left"/>
    </xf>
    <xf numFmtId="0" fontId="0" fillId="4" borderId="1" xfId="0" applyFill="1" applyBorder="1"/>
    <xf numFmtId="0" fontId="7" fillId="0" borderId="0" xfId="0" applyFont="1"/>
    <xf numFmtId="166" fontId="0" fillId="0" borderId="0" xfId="0" applyNumberFormat="1" applyAlignment="1">
      <alignment horizontal="left"/>
    </xf>
    <xf numFmtId="0" fontId="3" fillId="0" borderId="0" xfId="0" applyFont="1" applyAlignment="1">
      <alignment horizontal="left"/>
    </xf>
    <xf numFmtId="0" fontId="1" fillId="0" borderId="0" xfId="0" applyFont="1" applyAlignment="1">
      <alignment horizontal="left" wrapText="1"/>
    </xf>
    <xf numFmtId="167" fontId="0" fillId="0" borderId="0" xfId="0" applyNumberFormat="1"/>
    <xf numFmtId="164" fontId="0" fillId="0" borderId="0" xfId="0" applyNumberFormat="1"/>
    <xf numFmtId="0" fontId="3" fillId="0" borderId="1" xfId="1" applyFont="1" applyFill="1" applyBorder="1"/>
    <xf numFmtId="0" fontId="2" fillId="2" borderId="1" xfId="0" applyFont="1" applyFill="1" applyBorder="1" applyAlignment="1">
      <alignment wrapText="1"/>
    </xf>
    <xf numFmtId="10" fontId="0" fillId="0" borderId="0" xfId="0" applyNumberFormat="1"/>
    <xf numFmtId="0" fontId="13" fillId="0" borderId="0" xfId="0" applyFont="1"/>
    <xf numFmtId="0" fontId="0" fillId="0" borderId="1" xfId="0" applyBorder="1" applyAlignment="1">
      <alignment vertical="center"/>
    </xf>
    <xf numFmtId="0" fontId="14" fillId="0" borderId="0" xfId="0" applyFont="1"/>
    <xf numFmtId="0" fontId="14" fillId="0" borderId="15" xfId="0" applyFont="1" applyBorder="1" applyAlignment="1">
      <alignment horizontal="left"/>
    </xf>
    <xf numFmtId="0" fontId="16" fillId="0" borderId="0" xfId="0" applyFont="1"/>
    <xf numFmtId="0" fontId="15" fillId="0" borderId="0" xfId="0" applyFont="1"/>
    <xf numFmtId="0" fontId="15" fillId="0" borderId="0" xfId="0" applyFont="1" applyAlignment="1">
      <alignment horizontal="left"/>
    </xf>
    <xf numFmtId="0" fontId="3" fillId="0" borderId="0" xfId="2" applyFont="1" applyFill="1" applyBorder="1"/>
    <xf numFmtId="0" fontId="19" fillId="0" borderId="0" xfId="0" applyFont="1"/>
    <xf numFmtId="0" fontId="20" fillId="0" borderId="0" xfId="0" applyFont="1"/>
    <xf numFmtId="0" fontId="21" fillId="0" borderId="0" xfId="0" applyFont="1"/>
    <xf numFmtId="0" fontId="8" fillId="0" borderId="1" xfId="0" applyFont="1" applyBorder="1" applyAlignment="1">
      <alignment vertical="center" wrapText="1"/>
    </xf>
    <xf numFmtId="0" fontId="22" fillId="0" borderId="0" xfId="0" applyFont="1"/>
    <xf numFmtId="0" fontId="0" fillId="0" borderId="0" xfId="0" applyAlignment="1">
      <alignment horizontal="left" wrapText="1"/>
    </xf>
    <xf numFmtId="0" fontId="7" fillId="0" borderId="0" xfId="0" applyFont="1" applyAlignment="1">
      <alignment wrapText="1"/>
    </xf>
    <xf numFmtId="11" fontId="0" fillId="0" borderId="0" xfId="0" applyNumberFormat="1"/>
    <xf numFmtId="0" fontId="3" fillId="0" borderId="1" xfId="0" applyFont="1" applyBorder="1" applyAlignment="1">
      <alignment wrapText="1"/>
    </xf>
    <xf numFmtId="0" fontId="0" fillId="0" borderId="6" xfId="0" applyBorder="1"/>
    <xf numFmtId="0" fontId="0" fillId="6" borderId="1" xfId="0" applyFill="1" applyBorder="1" applyAlignment="1">
      <alignment horizontal="left"/>
    </xf>
    <xf numFmtId="168" fontId="0" fillId="0" borderId="0" xfId="0" applyNumberFormat="1"/>
    <xf numFmtId="0" fontId="0" fillId="0" borderId="0" xfId="3" applyNumberFormat="1" applyFont="1" applyBorder="1"/>
    <xf numFmtId="165" fontId="0" fillId="0" borderId="0" xfId="0" applyNumberFormat="1"/>
    <xf numFmtId="0" fontId="0" fillId="2" borderId="0" xfId="0" applyFill="1"/>
    <xf numFmtId="0" fontId="0" fillId="0" borderId="0" xfId="0" applyAlignment="1">
      <alignment horizontal="right"/>
    </xf>
    <xf numFmtId="0" fontId="0" fillId="6" borderId="1" xfId="0" applyFill="1" applyBorder="1"/>
    <xf numFmtId="0" fontId="3" fillId="6" borderId="1" xfId="0" applyFont="1" applyFill="1" applyBorder="1"/>
    <xf numFmtId="0" fontId="0" fillId="6" borderId="0" xfId="0" applyFill="1"/>
    <xf numFmtId="0" fontId="24" fillId="0" borderId="0" xfId="0" applyFont="1"/>
    <xf numFmtId="0" fontId="25" fillId="0" borderId="0" xfId="0" applyFont="1"/>
    <xf numFmtId="0" fontId="0" fillId="2" borderId="1" xfId="0" applyFill="1" applyBorder="1" applyAlignment="1">
      <alignment horizontal="center" vertical="center" wrapText="1"/>
    </xf>
    <xf numFmtId="0" fontId="0" fillId="4" borderId="1" xfId="0" applyFill="1" applyBorder="1" applyAlignment="1">
      <alignment vertical="center"/>
    </xf>
    <xf numFmtId="0" fontId="0" fillId="4" borderId="1" xfId="0" applyFill="1" applyBorder="1" applyAlignment="1">
      <alignment horizontal="center" vertical="center" wrapText="1"/>
    </xf>
    <xf numFmtId="0" fontId="0" fillId="4" borderId="1" xfId="0" applyFill="1" applyBorder="1" applyAlignment="1">
      <alignment horizontal="center" vertical="center"/>
    </xf>
    <xf numFmtId="0" fontId="0" fillId="0" borderId="1" xfId="0" applyBorder="1" applyAlignment="1">
      <alignment horizontal="center" vertical="center" wrapText="1"/>
    </xf>
    <xf numFmtId="0" fontId="0" fillId="6" borderId="1" xfId="0" applyFill="1" applyBorder="1" applyAlignment="1">
      <alignment horizontal="center"/>
    </xf>
    <xf numFmtId="0" fontId="0" fillId="4" borderId="4" xfId="0" applyFill="1" applyBorder="1"/>
    <xf numFmtId="0" fontId="3" fillId="4" borderId="1" xfId="0" applyFont="1" applyFill="1" applyBorder="1" applyAlignment="1">
      <alignment horizontal="center" vertical="center" wrapText="1"/>
    </xf>
    <xf numFmtId="0" fontId="0" fillId="0" borderId="0" xfId="0" applyAlignment="1">
      <alignment horizontal="center" vertical="center"/>
    </xf>
    <xf numFmtId="0" fontId="25" fillId="0" borderId="0" xfId="0" applyFont="1" applyAlignment="1">
      <alignment horizontal="left"/>
    </xf>
    <xf numFmtId="0" fontId="27" fillId="0" borderId="0" xfId="2" applyFont="1" applyFill="1" applyBorder="1"/>
    <xf numFmtId="0" fontId="2" fillId="6" borderId="1" xfId="0" applyFont="1" applyFill="1" applyBorder="1" applyAlignment="1">
      <alignment horizontal="left"/>
    </xf>
    <xf numFmtId="0" fontId="3" fillId="6" borderId="1" xfId="0" applyFont="1" applyFill="1" applyBorder="1" applyAlignment="1">
      <alignment horizontal="left"/>
    </xf>
    <xf numFmtId="0" fontId="6" fillId="0" borderId="1" xfId="1" applyBorder="1" applyAlignment="1">
      <alignment vertical="top" wrapText="1"/>
    </xf>
    <xf numFmtId="0" fontId="27" fillId="0" borderId="0" xfId="0" applyFont="1"/>
    <xf numFmtId="0" fontId="28" fillId="0" borderId="0" xfId="0" applyFont="1"/>
    <xf numFmtId="0" fontId="26" fillId="0" borderId="0" xfId="0" applyFont="1"/>
    <xf numFmtId="10" fontId="0" fillId="6" borderId="1" xfId="0" applyNumberFormat="1" applyFill="1" applyBorder="1"/>
    <xf numFmtId="0" fontId="0" fillId="6" borderId="1" xfId="0" applyFill="1" applyBorder="1" applyAlignment="1">
      <alignment horizontal="right"/>
    </xf>
    <xf numFmtId="1" fontId="0" fillId="6" borderId="1" xfId="0" applyNumberFormat="1" applyFill="1" applyBorder="1" applyAlignment="1">
      <alignment horizontal="left"/>
    </xf>
    <xf numFmtId="0" fontId="2" fillId="0" borderId="1" xfId="1" applyFont="1" applyBorder="1" applyAlignment="1">
      <alignment horizontal="left" vertical="top" wrapText="1"/>
    </xf>
    <xf numFmtId="0" fontId="6" fillId="0" borderId="1" xfId="1" applyBorder="1" applyAlignment="1">
      <alignment horizontal="left" wrapText="1"/>
    </xf>
    <xf numFmtId="0" fontId="6" fillId="0" borderId="1" xfId="1" applyBorder="1" applyAlignment="1">
      <alignment wrapText="1"/>
    </xf>
    <xf numFmtId="0" fontId="2" fillId="0" borderId="0" xfId="0" applyFont="1" applyAlignment="1">
      <alignment horizontal="center" wrapText="1"/>
    </xf>
    <xf numFmtId="0" fontId="0" fillId="0" borderId="1" xfId="0" applyBorder="1" applyAlignment="1">
      <alignment vertical="center" wrapText="1"/>
    </xf>
    <xf numFmtId="0" fontId="0" fillId="4" borderId="1" xfId="0" applyFill="1" applyBorder="1" applyAlignment="1">
      <alignment horizontal="center"/>
    </xf>
    <xf numFmtId="0" fontId="0" fillId="2" borderId="1" xfId="0" applyFill="1" applyBorder="1" applyAlignment="1">
      <alignment vertical="center" wrapText="1"/>
    </xf>
    <xf numFmtId="0" fontId="0" fillId="4" borderId="4" xfId="0" applyFill="1" applyBorder="1" applyAlignment="1">
      <alignment horizontal="left"/>
    </xf>
    <xf numFmtId="2" fontId="0" fillId="6" borderId="1" xfId="0" applyNumberFormat="1" applyFill="1" applyBorder="1"/>
    <xf numFmtId="164" fontId="0" fillId="6" borderId="1" xfId="0" applyNumberFormat="1" applyFill="1" applyBorder="1"/>
    <xf numFmtId="164" fontId="1" fillId="0" borderId="0" xfId="0" applyNumberFormat="1" applyFont="1"/>
    <xf numFmtId="0" fontId="12" fillId="0" borderId="0" xfId="0" applyFont="1"/>
    <xf numFmtId="0" fontId="2" fillId="2" borderId="0" xfId="0" applyFont="1" applyFill="1"/>
    <xf numFmtId="0" fontId="29" fillId="0" borderId="0" xfId="0" applyFont="1"/>
    <xf numFmtId="169" fontId="0" fillId="0" borderId="0" xfId="0" applyNumberFormat="1"/>
    <xf numFmtId="164" fontId="0" fillId="0" borderId="0" xfId="3" applyNumberFormat="1" applyFont="1"/>
    <xf numFmtId="164" fontId="3" fillId="0" borderId="0" xfId="3" applyNumberFormat="1" applyFont="1" applyFill="1" applyBorder="1"/>
    <xf numFmtId="164" fontId="0" fillId="0" borderId="0" xfId="3" applyNumberFormat="1" applyFont="1" applyFill="1" applyBorder="1"/>
    <xf numFmtId="0" fontId="0" fillId="7" borderId="1" xfId="0" applyFill="1" applyBorder="1"/>
    <xf numFmtId="0" fontId="0" fillId="7" borderId="6" xfId="0" applyFill="1" applyBorder="1"/>
    <xf numFmtId="0" fontId="0" fillId="0" borderId="2" xfId="0" applyBorder="1"/>
    <xf numFmtId="0" fontId="6" fillId="0" borderId="0" xfId="1" applyBorder="1"/>
    <xf numFmtId="0" fontId="0" fillId="0" borderId="1" xfId="0" applyBorder="1" applyAlignment="1">
      <alignment vertical="top"/>
    </xf>
    <xf numFmtId="0" fontId="0" fillId="0" borderId="1" xfId="0" applyBorder="1" applyAlignment="1">
      <alignment horizontal="left" vertical="top" wrapText="1"/>
    </xf>
    <xf numFmtId="1" fontId="0" fillId="6" borderId="1" xfId="0" applyNumberFormat="1" applyFill="1" applyBorder="1" applyAlignment="1">
      <alignment horizontal="right"/>
    </xf>
    <xf numFmtId="2" fontId="0" fillId="0" borderId="0" xfId="0" applyNumberFormat="1" applyAlignment="1">
      <alignment horizontal="left"/>
    </xf>
    <xf numFmtId="0" fontId="1" fillId="0" borderId="5" xfId="0" applyFont="1" applyBorder="1"/>
    <xf numFmtId="0" fontId="30" fillId="0" borderId="0" xfId="0" applyFont="1" applyAlignment="1">
      <alignment horizontal="right"/>
    </xf>
    <xf numFmtId="0" fontId="0" fillId="0" borderId="8" xfId="0" applyBorder="1"/>
    <xf numFmtId="0" fontId="2" fillId="0" borderId="15" xfId="0" applyFont="1" applyBorder="1"/>
    <xf numFmtId="164" fontId="3" fillId="8" borderId="1" xfId="0" applyNumberFormat="1" applyFont="1" applyFill="1" applyBorder="1" applyAlignment="1">
      <alignment horizontal="left"/>
    </xf>
    <xf numFmtId="0" fontId="0" fillId="8" borderId="1" xfId="0" applyFill="1" applyBorder="1" applyAlignment="1">
      <alignment horizontal="left"/>
    </xf>
    <xf numFmtId="10" fontId="3" fillId="6" borderId="1" xfId="0" applyNumberFormat="1" applyFont="1" applyFill="1" applyBorder="1"/>
    <xf numFmtId="0" fontId="0" fillId="8" borderId="1" xfId="0" applyFill="1" applyBorder="1"/>
    <xf numFmtId="0" fontId="0" fillId="8" borderId="4" xfId="0" applyFill="1" applyBorder="1"/>
    <xf numFmtId="0" fontId="0" fillId="8" borderId="1" xfId="0" applyFill="1" applyBorder="1" applyAlignment="1">
      <alignment vertical="center"/>
    </xf>
    <xf numFmtId="0" fontId="0" fillId="8" borderId="1" xfId="0" applyFill="1" applyBorder="1" applyAlignment="1">
      <alignment horizontal="center" vertical="center"/>
    </xf>
    <xf numFmtId="0" fontId="3" fillId="8" borderId="1" xfId="0" applyFont="1" applyFill="1" applyBorder="1"/>
    <xf numFmtId="0" fontId="1" fillId="8" borderId="1" xfId="0" applyFont="1" applyFill="1" applyBorder="1"/>
    <xf numFmtId="0" fontId="3" fillId="8" borderId="1" xfId="0" applyFont="1" applyFill="1" applyBorder="1" applyAlignment="1">
      <alignment horizontal="left"/>
    </xf>
    <xf numFmtId="11" fontId="0" fillId="6" borderId="1" xfId="0" applyNumberFormat="1" applyFill="1" applyBorder="1"/>
    <xf numFmtId="10" fontId="0" fillId="6" borderId="1" xfId="3" applyNumberFormat="1" applyFont="1" applyFill="1" applyBorder="1"/>
    <xf numFmtId="0" fontId="0" fillId="8" borderId="1" xfId="0" applyFill="1" applyBorder="1" applyAlignment="1">
      <alignment horizontal="center"/>
    </xf>
    <xf numFmtId="10" fontId="3" fillId="8" borderId="1" xfId="0" applyNumberFormat="1" applyFont="1" applyFill="1" applyBorder="1" applyAlignment="1">
      <alignment horizontal="right"/>
    </xf>
    <xf numFmtId="10" fontId="0" fillId="8" borderId="1" xfId="0" applyNumberFormat="1" applyFill="1" applyBorder="1"/>
    <xf numFmtId="164" fontId="3" fillId="8" borderId="1" xfId="0" applyNumberFormat="1" applyFont="1" applyFill="1" applyBorder="1" applyAlignment="1">
      <alignment horizontal="right"/>
    </xf>
    <xf numFmtId="164" fontId="3" fillId="8" borderId="1" xfId="0" applyNumberFormat="1" applyFont="1" applyFill="1" applyBorder="1" applyAlignment="1">
      <alignment horizontal="right" vertical="center"/>
    </xf>
    <xf numFmtId="164" fontId="0" fillId="8" borderId="1" xfId="0" applyNumberFormat="1" applyFill="1" applyBorder="1" applyAlignment="1">
      <alignment horizontal="right" vertical="center"/>
    </xf>
    <xf numFmtId="164" fontId="0" fillId="8" borderId="1" xfId="0" applyNumberFormat="1" applyFill="1" applyBorder="1"/>
    <xf numFmtId="0" fontId="3" fillId="8" borderId="1" xfId="0" applyFont="1" applyFill="1" applyBorder="1" applyAlignment="1">
      <alignment horizontal="right"/>
    </xf>
    <xf numFmtId="0" fontId="3" fillId="8" borderId="1" xfId="0" applyFont="1" applyFill="1" applyBorder="1" applyAlignment="1">
      <alignment horizontal="right" vertical="center"/>
    </xf>
    <xf numFmtId="4" fontId="0" fillId="8" borderId="1" xfId="0" applyNumberFormat="1" applyFill="1" applyBorder="1" applyAlignment="1">
      <alignment horizontal="right" vertical="center"/>
    </xf>
    <xf numFmtId="0" fontId="0" fillId="8" borderId="1" xfId="0" applyFill="1" applyBorder="1" applyAlignment="1">
      <alignment horizontal="right" vertical="center"/>
    </xf>
    <xf numFmtId="0" fontId="0" fillId="8" borderId="1" xfId="0" applyFill="1" applyBorder="1" applyAlignment="1">
      <alignment horizontal="right"/>
    </xf>
    <xf numFmtId="9" fontId="0" fillId="8" borderId="1" xfId="0" applyNumberFormat="1" applyFill="1" applyBorder="1"/>
    <xf numFmtId="0" fontId="0" fillId="8" borderId="2" xfId="0" applyFill="1" applyBorder="1"/>
    <xf numFmtId="170" fontId="0" fillId="8" borderId="1" xfId="0" applyNumberFormat="1" applyFill="1" applyBorder="1"/>
    <xf numFmtId="166" fontId="0" fillId="8" borderId="1" xfId="0" applyNumberFormat="1" applyFill="1" applyBorder="1" applyAlignment="1">
      <alignment horizontal="left"/>
    </xf>
    <xf numFmtId="2" fontId="0" fillId="8" borderId="1" xfId="0" applyNumberFormat="1" applyFill="1" applyBorder="1" applyAlignment="1">
      <alignment horizontal="left"/>
    </xf>
    <xf numFmtId="2" fontId="0" fillId="8" borderId="1" xfId="0" quotePrefix="1" applyNumberFormat="1" applyFill="1" applyBorder="1" applyAlignment="1">
      <alignment horizontal="left"/>
    </xf>
    <xf numFmtId="1" fontId="0" fillId="8" borderId="1" xfId="0" applyNumberFormat="1" applyFill="1" applyBorder="1" applyAlignment="1">
      <alignment horizontal="left"/>
    </xf>
    <xf numFmtId="0" fontId="0" fillId="8" borderId="1" xfId="0" applyFill="1" applyBorder="1" applyAlignment="1">
      <alignment wrapText="1"/>
    </xf>
    <xf numFmtId="0" fontId="11" fillId="6" borderId="1" xfId="1" applyFont="1" applyFill="1" applyBorder="1" applyAlignment="1">
      <alignment vertical="top"/>
    </xf>
    <xf numFmtId="9" fontId="0" fillId="6" borderId="1" xfId="3" applyFont="1" applyFill="1" applyBorder="1" applyAlignment="1">
      <alignment horizontal="left"/>
    </xf>
    <xf numFmtId="9" fontId="0" fillId="6" borderId="1" xfId="0" applyNumberFormat="1" applyFill="1" applyBorder="1" applyAlignment="1">
      <alignment horizontal="left"/>
    </xf>
    <xf numFmtId="2" fontId="0" fillId="6" borderId="0" xfId="0" applyNumberFormat="1" applyFill="1" applyAlignment="1">
      <alignment horizontal="left"/>
    </xf>
    <xf numFmtId="2" fontId="0" fillId="8" borderId="1" xfId="0" applyNumberFormat="1" applyFill="1" applyBorder="1"/>
    <xf numFmtId="1" fontId="0" fillId="8" borderId="1" xfId="0" applyNumberFormat="1" applyFill="1" applyBorder="1"/>
    <xf numFmtId="1" fontId="3" fillId="8" borderId="1" xfId="0" applyNumberFormat="1" applyFont="1" applyFill="1" applyBorder="1"/>
    <xf numFmtId="9" fontId="0" fillId="8" borderId="1" xfId="3" applyFont="1" applyFill="1" applyBorder="1"/>
    <xf numFmtId="0" fontId="0" fillId="8" borderId="1" xfId="3" applyNumberFormat="1" applyFont="1" applyFill="1" applyBorder="1"/>
    <xf numFmtId="0" fontId="0" fillId="8" borderId="1" xfId="0" applyFill="1" applyBorder="1" applyAlignment="1">
      <alignment horizontal="left" vertical="center"/>
    </xf>
    <xf numFmtId="164" fontId="0" fillId="6" borderId="6" xfId="3" applyNumberFormat="1" applyFont="1" applyFill="1" applyBorder="1"/>
    <xf numFmtId="164" fontId="0" fillId="6" borderId="1" xfId="3" applyNumberFormat="1" applyFont="1" applyFill="1" applyBorder="1"/>
    <xf numFmtId="165" fontId="0" fillId="8" borderId="1" xfId="0" applyNumberFormat="1" applyFill="1" applyBorder="1"/>
    <xf numFmtId="165" fontId="0" fillId="8" borderId="4" xfId="0" applyNumberFormat="1" applyFill="1" applyBorder="1"/>
    <xf numFmtId="2" fontId="0" fillId="8" borderId="1" xfId="0" applyNumberFormat="1" applyFill="1" applyBorder="1" applyAlignment="1">
      <alignment horizontal="right"/>
    </xf>
    <xf numFmtId="0" fontId="6" fillId="0" borderId="2" xfId="1" applyBorder="1" applyAlignment="1">
      <alignment vertical="top"/>
    </xf>
    <xf numFmtId="0" fontId="3" fillId="0" borderId="2" xfId="1" applyFont="1" applyBorder="1"/>
    <xf numFmtId="0" fontId="3" fillId="0" borderId="2" xfId="0" applyFont="1" applyBorder="1"/>
    <xf numFmtId="0" fontId="3" fillId="0" borderId="1" xfId="1" applyFont="1" applyBorder="1" applyAlignment="1">
      <alignment vertical="top"/>
    </xf>
    <xf numFmtId="0" fontId="3" fillId="0" borderId="2" xfId="1" applyFont="1" applyBorder="1" applyAlignment="1">
      <alignment vertical="top" wrapText="1"/>
    </xf>
    <xf numFmtId="0" fontId="3" fillId="8" borderId="1" xfId="0" applyFont="1" applyFill="1" applyBorder="1" applyAlignment="1">
      <alignment vertical="center" wrapText="1"/>
    </xf>
    <xf numFmtId="0" fontId="30" fillId="0" borderId="1" xfId="0" applyFont="1" applyBorder="1"/>
    <xf numFmtId="0" fontId="0" fillId="2" borderId="1" xfId="0" applyFill="1" applyBorder="1" applyAlignment="1">
      <alignment horizontal="right"/>
    </xf>
    <xf numFmtId="1" fontId="0" fillId="8" borderId="1" xfId="0" applyNumberFormat="1" applyFill="1" applyBorder="1" applyAlignment="1">
      <alignment horizontal="right"/>
    </xf>
    <xf numFmtId="9" fontId="0" fillId="6" borderId="1" xfId="0" applyNumberFormat="1" applyFill="1" applyBorder="1" applyAlignment="1">
      <alignment horizontal="right"/>
    </xf>
    <xf numFmtId="9" fontId="0" fillId="6" borderId="1" xfId="3" applyFont="1" applyFill="1" applyBorder="1" applyAlignment="1">
      <alignment horizontal="right"/>
    </xf>
    <xf numFmtId="0" fontId="0" fillId="0" borderId="8" xfId="0" applyBorder="1" applyAlignment="1">
      <alignment horizontal="left"/>
    </xf>
    <xf numFmtId="171" fontId="0" fillId="0" borderId="0" xfId="0" applyNumberFormat="1"/>
    <xf numFmtId="10" fontId="3" fillId="0" borderId="3" xfId="0" applyNumberFormat="1" applyFont="1" applyBorder="1"/>
    <xf numFmtId="0" fontId="0" fillId="0" borderId="1" xfId="1" applyFont="1" applyBorder="1" applyAlignment="1">
      <alignment vertical="top" wrapText="1"/>
    </xf>
    <xf numFmtId="0" fontId="6" fillId="0" borderId="1" xfId="1" applyBorder="1" applyAlignment="1">
      <alignment horizontal="center" vertical="center"/>
    </xf>
    <xf numFmtId="0" fontId="6" fillId="0" borderId="1" xfId="1" applyBorder="1" applyAlignment="1">
      <alignment vertical="center"/>
    </xf>
    <xf numFmtId="0" fontId="0" fillId="0" borderId="4" xfId="0" applyBorder="1" applyAlignment="1">
      <alignment horizontal="left"/>
    </xf>
    <xf numFmtId="0" fontId="0" fillId="0" borderId="6" xfId="0" applyBorder="1" applyAlignment="1">
      <alignment horizontal="left"/>
    </xf>
    <xf numFmtId="0" fontId="0" fillId="0" borderId="1" xfId="0" applyBorder="1" applyAlignment="1">
      <alignment horizontal="left" vertical="center" wrapText="1"/>
    </xf>
    <xf numFmtId="0" fontId="0" fillId="0" borderId="2" xfId="0" applyBorder="1" applyAlignment="1">
      <alignment wrapText="1"/>
    </xf>
    <xf numFmtId="0" fontId="3" fillId="0" borderId="1" xfId="1" applyFont="1" applyBorder="1"/>
    <xf numFmtId="0" fontId="0" fillId="0" borderId="2" xfId="0" applyBorder="1" applyAlignment="1">
      <alignment horizontal="left" wrapText="1"/>
    </xf>
    <xf numFmtId="0" fontId="3" fillId="0" borderId="1" xfId="1" applyFont="1" applyBorder="1" applyAlignment="1">
      <alignment wrapText="1"/>
    </xf>
    <xf numFmtId="0" fontId="3" fillId="0" borderId="2" xfId="1" applyFont="1" applyBorder="1" applyAlignment="1">
      <alignment wrapText="1"/>
    </xf>
    <xf numFmtId="0" fontId="0" fillId="0" borderId="1" xfId="0" applyBorder="1" applyAlignment="1">
      <alignment vertical="top" wrapText="1"/>
    </xf>
    <xf numFmtId="0" fontId="3" fillId="0" borderId="1" xfId="1" applyFont="1" applyBorder="1" applyAlignment="1">
      <alignment vertical="top" wrapText="1"/>
    </xf>
    <xf numFmtId="164" fontId="6" fillId="0" borderId="1" xfId="1" applyNumberFormat="1" applyBorder="1"/>
    <xf numFmtId="0" fontId="36" fillId="0" borderId="0" xfId="0" applyFont="1"/>
    <xf numFmtId="0" fontId="14" fillId="0" borderId="14" xfId="0" applyFont="1" applyBorder="1" applyAlignment="1">
      <alignment horizontal="left"/>
    </xf>
    <xf numFmtId="0" fontId="25" fillId="0" borderId="12" xfId="0" applyFont="1" applyBorder="1" applyAlignment="1">
      <alignment horizontal="left"/>
    </xf>
    <xf numFmtId="172" fontId="0" fillId="6" borderId="1" xfId="0" applyNumberFormat="1" applyFill="1" applyBorder="1" applyAlignment="1" applyProtection="1">
      <alignment horizontal="left"/>
      <protection locked="0"/>
    </xf>
    <xf numFmtId="0" fontId="0" fillId="6" borderId="1" xfId="0" applyFill="1" applyBorder="1" applyAlignment="1" applyProtection="1">
      <alignment horizontal="left"/>
      <protection locked="0"/>
    </xf>
    <xf numFmtId="10" fontId="0" fillId="6" borderId="1" xfId="0" applyNumberFormat="1" applyFill="1" applyBorder="1" applyAlignment="1" applyProtection="1">
      <alignment horizontal="left"/>
      <protection locked="0"/>
    </xf>
    <xf numFmtId="0" fontId="0" fillId="6" borderId="1" xfId="0" applyFill="1" applyBorder="1" applyProtection="1">
      <protection locked="0"/>
    </xf>
    <xf numFmtId="0" fontId="0" fillId="6" borderId="4" xfId="0" applyFill="1" applyBorder="1" applyProtection="1">
      <protection locked="0"/>
    </xf>
    <xf numFmtId="0" fontId="1" fillId="6" borderId="1" xfId="0" applyFont="1" applyFill="1" applyBorder="1" applyProtection="1">
      <protection locked="0"/>
    </xf>
    <xf numFmtId="9" fontId="0" fillId="6" borderId="1" xfId="0" applyNumberFormat="1" applyFill="1" applyBorder="1" applyProtection="1">
      <protection locked="0"/>
    </xf>
    <xf numFmtId="0" fontId="0" fillId="6" borderId="1" xfId="0" applyFill="1" applyBorder="1" applyAlignment="1" applyProtection="1">
      <alignment horizontal="right"/>
      <protection locked="0"/>
    </xf>
    <xf numFmtId="0" fontId="3" fillId="6" borderId="1" xfId="0" applyFont="1" applyFill="1" applyBorder="1" applyAlignment="1" applyProtection="1">
      <alignment horizontal="left"/>
      <protection locked="0"/>
    </xf>
    <xf numFmtId="10" fontId="0" fillId="6" borderId="1" xfId="0" applyNumberFormat="1" applyFill="1" applyBorder="1" applyProtection="1">
      <protection locked="0"/>
    </xf>
    <xf numFmtId="164" fontId="3" fillId="6" borderId="1" xfId="0" applyNumberFormat="1" applyFont="1" applyFill="1" applyBorder="1" applyProtection="1">
      <protection locked="0"/>
    </xf>
    <xf numFmtId="0" fontId="3" fillId="6" borderId="1" xfId="0" applyFont="1" applyFill="1" applyBorder="1" applyProtection="1">
      <protection locked="0"/>
    </xf>
    <xf numFmtId="0" fontId="3" fillId="6" borderId="4" xfId="0" applyFont="1" applyFill="1" applyBorder="1" applyProtection="1">
      <protection locked="0"/>
    </xf>
    <xf numFmtId="0" fontId="3" fillId="0" borderId="0" xfId="0" applyFont="1" applyAlignment="1">
      <alignment wrapText="1"/>
    </xf>
    <xf numFmtId="0" fontId="3" fillId="0" borderId="1" xfId="0" applyFont="1" applyBorder="1" applyAlignment="1">
      <alignment horizontal="center" vertical="center" wrapText="1"/>
    </xf>
    <xf numFmtId="0" fontId="3" fillId="0" borderId="1" xfId="0" applyFont="1" applyBorder="1" applyAlignment="1">
      <alignment horizontal="right" vertical="center" wrapText="1"/>
    </xf>
    <xf numFmtId="0" fontId="0" fillId="0" borderId="1" xfId="0" applyBorder="1" applyAlignment="1">
      <alignment horizontal="right" vertical="center"/>
    </xf>
    <xf numFmtId="0" fontId="0" fillId="4" borderId="1" xfId="0" applyFill="1" applyBorder="1" applyAlignment="1">
      <alignment horizontal="center" wrapText="1"/>
    </xf>
    <xf numFmtId="0" fontId="0" fillId="4" borderId="6" xfId="0" applyFill="1" applyBorder="1" applyAlignment="1">
      <alignment horizontal="center" vertical="center" wrapText="1"/>
    </xf>
    <xf numFmtId="0" fontId="0" fillId="4" borderId="4" xfId="0" applyFill="1" applyBorder="1" applyAlignment="1">
      <alignment horizontal="center" vertical="center" wrapText="1"/>
    </xf>
    <xf numFmtId="0" fontId="0" fillId="4" borderId="6" xfId="0" applyFill="1" applyBorder="1" applyAlignment="1">
      <alignment horizontal="center" vertical="center"/>
    </xf>
    <xf numFmtId="0" fontId="0" fillId="4" borderId="6" xfId="0" applyFill="1" applyBorder="1"/>
    <xf numFmtId="0" fontId="2" fillId="8" borderId="1" xfId="0" applyFont="1" applyFill="1" applyBorder="1"/>
    <xf numFmtId="0" fontId="1" fillId="0" borderId="0" xfId="0" applyFont="1" applyAlignment="1">
      <alignment horizontal="right" wrapText="1"/>
    </xf>
    <xf numFmtId="0" fontId="29" fillId="0" borderId="0" xfId="0" applyFont="1" applyAlignment="1">
      <alignment horizontal="right"/>
    </xf>
    <xf numFmtId="0" fontId="0" fillId="7" borderId="0" xfId="0" applyFill="1"/>
    <xf numFmtId="164" fontId="0" fillId="8" borderId="1" xfId="0" applyNumberFormat="1" applyFill="1" applyBorder="1" applyAlignment="1">
      <alignment horizontal="right"/>
    </xf>
    <xf numFmtId="10" fontId="30" fillId="0" borderId="0" xfId="0" applyNumberFormat="1" applyFont="1"/>
    <xf numFmtId="0" fontId="30" fillId="0" borderId="0" xfId="0" applyFont="1"/>
    <xf numFmtId="0" fontId="30" fillId="0" borderId="0" xfId="0" applyFont="1" applyAlignment="1">
      <alignment horizontal="right" wrapText="1"/>
    </xf>
    <xf numFmtId="0" fontId="30" fillId="0" borderId="0" xfId="0" applyFont="1" applyAlignment="1">
      <alignment wrapText="1"/>
    </xf>
    <xf numFmtId="0" fontId="3" fillId="6" borderId="1" xfId="0" applyFont="1" applyFill="1" applyBorder="1" applyAlignment="1">
      <alignment wrapText="1"/>
    </xf>
    <xf numFmtId="0" fontId="0" fillId="6" borderId="1" xfId="0" applyFill="1" applyBorder="1" applyAlignment="1">
      <alignment wrapText="1"/>
    </xf>
    <xf numFmtId="11" fontId="3" fillId="6" borderId="1" xfId="0" applyNumberFormat="1" applyFont="1" applyFill="1" applyBorder="1" applyAlignment="1">
      <alignment wrapText="1"/>
    </xf>
    <xf numFmtId="0" fontId="1" fillId="0" borderId="1" xfId="0" applyFont="1" applyBorder="1" applyAlignment="1">
      <alignment wrapText="1"/>
    </xf>
    <xf numFmtId="0" fontId="1" fillId="0" borderId="0" xfId="0" applyFont="1" applyAlignment="1">
      <alignment wrapText="1"/>
    </xf>
    <xf numFmtId="0" fontId="3" fillId="8" borderId="1" xfId="0" applyFont="1" applyFill="1" applyBorder="1" applyAlignment="1">
      <alignment wrapText="1"/>
    </xf>
    <xf numFmtId="0" fontId="35" fillId="0" borderId="1" xfId="0" applyFont="1" applyBorder="1" applyAlignment="1">
      <alignment wrapText="1"/>
    </xf>
    <xf numFmtId="0" fontId="3" fillId="0" borderId="1" xfId="0" applyFont="1" applyBorder="1" applyAlignment="1">
      <alignment horizontal="left" vertical="top" wrapText="1"/>
    </xf>
    <xf numFmtId="0" fontId="0" fillId="0" borderId="1" xfId="0" applyBorder="1" applyAlignment="1">
      <alignment horizontal="center" vertical="center"/>
    </xf>
    <xf numFmtId="0" fontId="0" fillId="0" borderId="6" xfId="0" applyBorder="1" applyAlignment="1">
      <alignment vertical="top"/>
    </xf>
    <xf numFmtId="172" fontId="0" fillId="0" borderId="1" xfId="0" applyNumberFormat="1" applyBorder="1" applyAlignment="1">
      <alignment horizontal="center" vertical="center"/>
    </xf>
    <xf numFmtId="14" fontId="0" fillId="0" borderId="0" xfId="0" applyNumberFormat="1" applyAlignment="1">
      <alignment horizontal="center" vertical="center"/>
    </xf>
    <xf numFmtId="0" fontId="0" fillId="0" borderId="4" xfId="0" applyBorder="1" applyAlignment="1">
      <alignment horizontal="center"/>
    </xf>
    <xf numFmtId="10" fontId="0" fillId="0" borderId="6" xfId="0" applyNumberFormat="1" applyBorder="1" applyAlignment="1">
      <alignment horizontal="center"/>
    </xf>
    <xf numFmtId="10" fontId="0" fillId="0" borderId="0" xfId="0" applyNumberFormat="1" applyAlignment="1">
      <alignment horizontal="center"/>
    </xf>
    <xf numFmtId="164" fontId="0" fillId="0" borderId="6" xfId="0" applyNumberFormat="1" applyBorder="1" applyAlignment="1">
      <alignment horizontal="center"/>
    </xf>
    <xf numFmtId="164" fontId="0" fillId="0" borderId="0" xfId="0" applyNumberFormat="1" applyAlignment="1">
      <alignment horizontal="center"/>
    </xf>
    <xf numFmtId="14" fontId="0" fillId="0" borderId="0" xfId="0" applyNumberFormat="1"/>
    <xf numFmtId="0" fontId="23" fillId="0" borderId="0" xfId="0" applyFont="1"/>
    <xf numFmtId="2" fontId="0" fillId="3" borderId="1" xfId="0" applyNumberFormat="1" applyFill="1" applyBorder="1" applyAlignment="1">
      <alignment horizontal="right"/>
    </xf>
    <xf numFmtId="0" fontId="0" fillId="3" borderId="1" xfId="0" applyFill="1" applyBorder="1" applyAlignment="1">
      <alignment horizontal="left"/>
    </xf>
    <xf numFmtId="166" fontId="0" fillId="3" borderId="1" xfId="0" applyNumberFormat="1" applyFill="1" applyBorder="1" applyAlignment="1">
      <alignment horizontal="right"/>
    </xf>
    <xf numFmtId="2" fontId="0" fillId="9" borderId="1" xfId="0" applyNumberFormat="1" applyFill="1" applyBorder="1"/>
    <xf numFmtId="0" fontId="0" fillId="9" borderId="1" xfId="0" applyFill="1" applyBorder="1" applyAlignment="1">
      <alignment horizontal="left"/>
    </xf>
    <xf numFmtId="2" fontId="0" fillId="2" borderId="1" xfId="0" applyNumberFormat="1" applyFill="1" applyBorder="1" applyAlignment="1">
      <alignment horizontal="right"/>
    </xf>
    <xf numFmtId="0" fontId="0" fillId="2" borderId="1" xfId="0" applyFill="1" applyBorder="1" applyAlignment="1">
      <alignment horizontal="left"/>
    </xf>
    <xf numFmtId="166" fontId="0" fillId="2" borderId="1" xfId="0" applyNumberFormat="1" applyFill="1" applyBorder="1" applyAlignment="1">
      <alignment horizontal="right"/>
    </xf>
    <xf numFmtId="0" fontId="0" fillId="7" borderId="0" xfId="0" applyFill="1" applyAlignment="1">
      <alignment wrapText="1"/>
    </xf>
    <xf numFmtId="0" fontId="6" fillId="7" borderId="0" xfId="1" applyFill="1" applyBorder="1"/>
    <xf numFmtId="0" fontId="37" fillId="7" borderId="0" xfId="0" applyFont="1" applyFill="1"/>
    <xf numFmtId="0" fontId="2" fillId="7" borderId="0" xfId="0" applyFont="1" applyFill="1" applyAlignment="1">
      <alignment wrapText="1"/>
    </xf>
    <xf numFmtId="0" fontId="1" fillId="0" borderId="6" xfId="0" applyFont="1" applyBorder="1"/>
    <xf numFmtId="0" fontId="0" fillId="8" borderId="1" xfId="0" applyFill="1" applyBorder="1" applyAlignment="1">
      <alignment horizontal="left" wrapText="1"/>
    </xf>
    <xf numFmtId="2" fontId="0" fillId="8" borderId="1" xfId="0" applyNumberFormat="1" applyFill="1" applyBorder="1" applyAlignment="1">
      <alignment horizontal="left" wrapText="1"/>
    </xf>
    <xf numFmtId="0" fontId="0" fillId="4" borderId="1" xfId="0" applyFill="1" applyBorder="1" applyAlignment="1">
      <alignment wrapText="1"/>
    </xf>
    <xf numFmtId="0" fontId="11" fillId="4" borderId="1" xfId="1" applyFont="1" applyFill="1" applyBorder="1" applyAlignment="1">
      <alignment vertical="top"/>
    </xf>
    <xf numFmtId="0" fontId="0" fillId="4" borderId="2" xfId="1" applyFont="1" applyFill="1" applyBorder="1" applyAlignment="1">
      <alignment vertical="top"/>
    </xf>
    <xf numFmtId="0" fontId="3" fillId="4" borderId="1" xfId="1" applyFont="1" applyFill="1" applyBorder="1" applyAlignment="1">
      <alignment vertical="top"/>
    </xf>
    <xf numFmtId="0" fontId="0" fillId="4" borderId="1" xfId="0" applyFill="1" applyBorder="1" applyAlignment="1">
      <alignment horizontal="left"/>
    </xf>
    <xf numFmtId="0" fontId="3" fillId="4" borderId="1" xfId="0" applyFont="1" applyFill="1" applyBorder="1"/>
    <xf numFmtId="0" fontId="0" fillId="4" borderId="1" xfId="0" applyFill="1" applyBorder="1" applyAlignment="1">
      <alignment horizontal="left" vertical="center" wrapText="1"/>
    </xf>
    <xf numFmtId="0" fontId="3" fillId="4" borderId="1" xfId="0" applyFont="1" applyFill="1" applyBorder="1" applyAlignment="1">
      <alignment vertical="center"/>
    </xf>
    <xf numFmtId="0" fontId="0" fillId="4" borderId="1" xfId="0" applyFill="1" applyBorder="1" applyAlignment="1">
      <alignment vertical="center" wrapText="1"/>
    </xf>
    <xf numFmtId="0" fontId="0" fillId="4" borderId="1" xfId="0" applyFill="1" applyBorder="1" applyAlignment="1">
      <alignment horizontal="left" wrapText="1"/>
    </xf>
    <xf numFmtId="0" fontId="11" fillId="4" borderId="1" xfId="1" applyFont="1" applyFill="1" applyBorder="1" applyAlignment="1">
      <alignment horizontal="left" vertical="top"/>
    </xf>
    <xf numFmtId="0" fontId="11" fillId="4" borderId="2" xfId="1" applyFont="1" applyFill="1" applyBorder="1" applyAlignment="1">
      <alignment vertical="top"/>
    </xf>
    <xf numFmtId="0" fontId="0" fillId="4" borderId="1" xfId="0" applyFill="1" applyBorder="1" applyAlignment="1">
      <alignment horizontal="left" vertical="center"/>
    </xf>
    <xf numFmtId="0" fontId="29" fillId="4" borderId="1" xfId="0" applyFont="1" applyFill="1" applyBorder="1"/>
    <xf numFmtId="0" fontId="0" fillId="4" borderId="1" xfId="0" applyFill="1" applyBorder="1" applyAlignment="1">
      <alignment horizontal="left" vertical="top"/>
    </xf>
    <xf numFmtId="0" fontId="0" fillId="4" borderId="4" xfId="0" applyFill="1" applyBorder="1" applyAlignment="1">
      <alignment vertical="center" wrapText="1"/>
    </xf>
    <xf numFmtId="0" fontId="0" fillId="0" borderId="7" xfId="0" applyBorder="1"/>
    <xf numFmtId="0" fontId="0" fillId="0" borderId="14" xfId="0" applyBorder="1"/>
    <xf numFmtId="165" fontId="0" fillId="0" borderId="1" xfId="0" applyNumberFormat="1" applyBorder="1"/>
    <xf numFmtId="9" fontId="0" fillId="6" borderId="1" xfId="0" applyNumberFormat="1" applyFill="1" applyBorder="1"/>
    <xf numFmtId="166" fontId="0" fillId="8" borderId="1" xfId="0" applyNumberFormat="1" applyFill="1" applyBorder="1"/>
    <xf numFmtId="49" fontId="0" fillId="6" borderId="1" xfId="0" applyNumberFormat="1" applyFill="1" applyBorder="1" applyAlignment="1" applyProtection="1">
      <alignment horizontal="left"/>
      <protection locked="0"/>
    </xf>
    <xf numFmtId="10" fontId="0" fillId="4" borderId="1" xfId="0" applyNumberFormat="1" applyFill="1" applyBorder="1" applyAlignment="1">
      <alignment horizontal="center" vertical="center" wrapText="1"/>
    </xf>
    <xf numFmtId="0" fontId="35" fillId="0" borderId="0" xfId="0" applyFont="1" applyAlignment="1">
      <alignment horizontal="right" wrapText="1"/>
    </xf>
    <xf numFmtId="0" fontId="38" fillId="0" borderId="0" xfId="0" applyFont="1" applyAlignment="1">
      <alignment wrapText="1"/>
    </xf>
    <xf numFmtId="0" fontId="35" fillId="0" borderId="0" xfId="0" applyFont="1"/>
    <xf numFmtId="0" fontId="0" fillId="4" borderId="2" xfId="0" applyFill="1" applyBorder="1" applyAlignment="1">
      <alignment vertical="center" wrapText="1"/>
    </xf>
    <xf numFmtId="0" fontId="0" fillId="4" borderId="10" xfId="0" applyFill="1" applyBorder="1" applyAlignment="1">
      <alignment horizontal="center" vertical="center" wrapText="1"/>
    </xf>
    <xf numFmtId="0" fontId="0" fillId="4" borderId="3" xfId="0" applyFill="1" applyBorder="1" applyAlignment="1">
      <alignment vertical="center" wrapText="1"/>
    </xf>
    <xf numFmtId="0" fontId="38" fillId="0" borderId="0" xfId="0" applyFont="1"/>
    <xf numFmtId="0" fontId="39" fillId="0" borderId="0" xfId="0" applyFont="1" applyAlignment="1">
      <alignment horizontal="right"/>
    </xf>
    <xf numFmtId="0" fontId="39" fillId="0" borderId="0" xfId="0" applyFont="1"/>
    <xf numFmtId="170" fontId="0" fillId="0" borderId="0" xfId="0" applyNumberFormat="1"/>
    <xf numFmtId="0" fontId="3" fillId="2" borderId="1" xfId="0" applyFont="1" applyFill="1" applyBorder="1"/>
    <xf numFmtId="0" fontId="3" fillId="0" borderId="6" xfId="0" applyFont="1" applyBorder="1" applyAlignment="1">
      <alignment horizontal="left"/>
    </xf>
    <xf numFmtId="1" fontId="30" fillId="0" borderId="0" xfId="0" applyNumberFormat="1" applyFont="1"/>
    <xf numFmtId="10" fontId="30" fillId="0" borderId="1" xfId="0" applyNumberFormat="1" applyFont="1" applyBorder="1"/>
    <xf numFmtId="173" fontId="1" fillId="8" borderId="1" xfId="0" applyNumberFormat="1" applyFont="1" applyFill="1" applyBorder="1"/>
    <xf numFmtId="174" fontId="0" fillId="0" borderId="0" xfId="0" applyNumberFormat="1"/>
    <xf numFmtId="0" fontId="0" fillId="10" borderId="1" xfId="0" applyFill="1" applyBorder="1"/>
    <xf numFmtId="0" fontId="14" fillId="0" borderId="0" xfId="0" applyFont="1" applyAlignment="1">
      <alignment horizontal="left"/>
    </xf>
    <xf numFmtId="0" fontId="0" fillId="0" borderId="0" xfId="0" applyAlignment="1">
      <alignment horizontal="left" vertical="top" wrapText="1"/>
    </xf>
    <xf numFmtId="0" fontId="0" fillId="4" borderId="4" xfId="0" applyFill="1" applyBorder="1" applyAlignment="1">
      <alignment horizontal="left" vertical="center" wrapText="1"/>
    </xf>
    <xf numFmtId="11" fontId="30" fillId="0" borderId="0" xfId="0" applyNumberFormat="1" applyFont="1"/>
    <xf numFmtId="11" fontId="39" fillId="0" borderId="0" xfId="0" applyNumberFormat="1" applyFont="1"/>
    <xf numFmtId="0" fontId="40" fillId="0" borderId="0" xfId="0" applyFont="1"/>
    <xf numFmtId="0" fontId="41" fillId="0" borderId="0" xfId="0" applyFont="1" applyAlignment="1">
      <alignment vertical="center"/>
    </xf>
    <xf numFmtId="0" fontId="40" fillId="0" borderId="0" xfId="0" applyFont="1" applyAlignment="1">
      <alignment wrapText="1"/>
    </xf>
    <xf numFmtId="0" fontId="3" fillId="6" borderId="14" xfId="0" applyFont="1" applyFill="1" applyBorder="1"/>
    <xf numFmtId="0" fontId="0" fillId="0" borderId="9" xfId="0" applyBorder="1" applyAlignment="1">
      <alignment wrapText="1"/>
    </xf>
    <xf numFmtId="0" fontId="0" fillId="0" borderId="9" xfId="0" applyBorder="1"/>
    <xf numFmtId="172" fontId="9" fillId="8" borderId="0" xfId="0" applyNumberFormat="1" applyFont="1" applyFill="1" applyAlignment="1" applyProtection="1">
      <alignment horizontal="left"/>
      <protection locked="0"/>
    </xf>
    <xf numFmtId="0" fontId="9" fillId="8" borderId="0" xfId="0" applyFont="1" applyFill="1" applyAlignment="1">
      <alignment horizontal="left"/>
    </xf>
    <xf numFmtId="0" fontId="9" fillId="8" borderId="0" xfId="0" applyFont="1" applyFill="1" applyAlignment="1" applyProtection="1">
      <alignment horizontal="left"/>
      <protection locked="0"/>
    </xf>
    <xf numFmtId="10" fontId="9" fillId="8" borderId="0" xfId="0" applyNumberFormat="1" applyFont="1" applyFill="1" applyAlignment="1" applyProtection="1">
      <alignment horizontal="left"/>
      <protection locked="0"/>
    </xf>
    <xf numFmtId="0" fontId="0" fillId="4" borderId="1" xfId="0" applyFill="1" applyBorder="1" applyAlignment="1">
      <alignment horizontal="left"/>
    </xf>
    <xf numFmtId="0" fontId="0" fillId="0" borderId="0" xfId="0" applyBorder="1"/>
    <xf numFmtId="0" fontId="0" fillId="0" borderId="1" xfId="0" applyFill="1" applyBorder="1"/>
    <xf numFmtId="0" fontId="0" fillId="0" borderId="1" xfId="0" applyBorder="1" applyProtection="1">
      <protection hidden="1"/>
    </xf>
    <xf numFmtId="0" fontId="2" fillId="2" borderId="1" xfId="0" applyFont="1" applyFill="1" applyBorder="1" applyAlignment="1">
      <alignment horizontal="center"/>
    </xf>
    <xf numFmtId="0" fontId="16" fillId="0" borderId="1" xfId="0" applyFont="1" applyBorder="1"/>
    <xf numFmtId="0" fontId="16" fillId="0" borderId="0" xfId="0" applyFont="1" applyFill="1" applyBorder="1"/>
    <xf numFmtId="0" fontId="2" fillId="2" borderId="1" xfId="0" applyFont="1" applyFill="1" applyBorder="1" applyAlignment="1">
      <alignment horizontal="left"/>
    </xf>
    <xf numFmtId="0" fontId="0" fillId="0" borderId="0" xfId="0" applyAlignment="1">
      <alignment horizontal="right"/>
    </xf>
    <xf numFmtId="0" fontId="2" fillId="2" borderId="2" xfId="0" applyFont="1" applyFill="1" applyBorder="1" applyAlignment="1">
      <alignment horizontal="center" vertical="center"/>
    </xf>
    <xf numFmtId="0" fontId="2" fillId="2" borderId="7" xfId="0" applyFont="1" applyFill="1" applyBorder="1" applyAlignment="1">
      <alignment horizontal="center" vertical="center"/>
    </xf>
    <xf numFmtId="0" fontId="2" fillId="2" borderId="3" xfId="0" applyFont="1" applyFill="1" applyBorder="1" applyAlignment="1">
      <alignment horizontal="center" vertical="center"/>
    </xf>
    <xf numFmtId="0" fontId="2" fillId="0" borderId="2" xfId="0" applyFont="1" applyBorder="1" applyAlignment="1">
      <alignment horizontal="center" vertical="center"/>
    </xf>
    <xf numFmtId="0" fontId="2" fillId="0" borderId="7" xfId="0" applyFont="1" applyBorder="1" applyAlignment="1">
      <alignment horizontal="center" vertical="center"/>
    </xf>
    <xf numFmtId="0" fontId="2" fillId="0" borderId="3" xfId="0" applyFont="1" applyBorder="1" applyAlignment="1">
      <alignment horizontal="center" vertical="center"/>
    </xf>
    <xf numFmtId="0" fontId="2" fillId="2" borderId="1" xfId="0" applyFont="1" applyFill="1" applyBorder="1" applyAlignment="1">
      <alignment horizontal="center" vertical="center" wrapText="1"/>
    </xf>
    <xf numFmtId="0" fontId="2" fillId="2" borderId="11" xfId="0" applyFont="1" applyFill="1" applyBorder="1" applyAlignment="1">
      <alignment horizontal="center" vertical="center" wrapText="1"/>
    </xf>
    <xf numFmtId="0" fontId="2" fillId="2" borderId="9" xfId="0" applyFont="1" applyFill="1" applyBorder="1" applyAlignment="1">
      <alignment horizontal="center" vertical="center" wrapText="1"/>
    </xf>
    <xf numFmtId="0" fontId="2" fillId="2" borderId="13" xfId="0" applyFont="1" applyFill="1" applyBorder="1" applyAlignment="1">
      <alignment horizontal="center" vertical="center" wrapText="1"/>
    </xf>
    <xf numFmtId="0" fontId="7" fillId="2" borderId="4"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2" fillId="2" borderId="1" xfId="0" applyFont="1" applyFill="1" applyBorder="1" applyAlignment="1">
      <alignment horizontal="center" vertical="center"/>
    </xf>
    <xf numFmtId="0" fontId="7" fillId="2" borderId="1" xfId="0" applyFont="1" applyFill="1" applyBorder="1" applyAlignment="1">
      <alignment horizontal="center" vertical="center" wrapText="1"/>
    </xf>
    <xf numFmtId="0" fontId="0" fillId="3" borderId="1" xfId="0" applyFill="1" applyBorder="1"/>
    <xf numFmtId="0" fontId="0" fillId="9" borderId="1" xfId="0" applyFill="1" applyBorder="1"/>
    <xf numFmtId="0" fontId="0" fillId="2" borderId="1" xfId="0" applyFill="1" applyBorder="1"/>
    <xf numFmtId="0" fontId="3" fillId="0" borderId="2" xfId="0" applyFont="1" applyBorder="1" applyAlignment="1">
      <alignment wrapText="1"/>
    </xf>
    <xf numFmtId="0" fontId="0" fillId="0" borderId="3" xfId="0" applyBorder="1" applyAlignment="1">
      <alignment wrapText="1"/>
    </xf>
    <xf numFmtId="0" fontId="0" fillId="4" borderId="2" xfId="0" applyFill="1" applyBorder="1" applyAlignment="1">
      <alignment horizontal="center" vertical="center"/>
    </xf>
    <xf numFmtId="0" fontId="0" fillId="4" borderId="3" xfId="0" applyFill="1" applyBorder="1" applyAlignment="1">
      <alignment horizontal="center" vertical="center"/>
    </xf>
    <xf numFmtId="0" fontId="0" fillId="4" borderId="1" xfId="0" applyFill="1" applyBorder="1" applyAlignment="1">
      <alignment horizontal="center" vertical="center"/>
    </xf>
    <xf numFmtId="0" fontId="0" fillId="4" borderId="2" xfId="0" applyFill="1" applyBorder="1" applyAlignment="1">
      <alignment horizontal="center" vertical="center" wrapText="1"/>
    </xf>
    <xf numFmtId="0" fontId="0" fillId="4" borderId="3" xfId="0" applyFill="1" applyBorder="1" applyAlignment="1">
      <alignment horizontal="center" vertical="center" wrapText="1"/>
    </xf>
    <xf numFmtId="0" fontId="0" fillId="4" borderId="7" xfId="0" applyFill="1" applyBorder="1" applyAlignment="1">
      <alignment horizontal="center" vertical="center" wrapText="1"/>
    </xf>
    <xf numFmtId="0" fontId="0" fillId="4" borderId="1" xfId="0" applyFill="1" applyBorder="1" applyAlignment="1">
      <alignment horizontal="center" vertical="center" wrapText="1"/>
    </xf>
    <xf numFmtId="0" fontId="0" fillId="4" borderId="4" xfId="0" applyFill="1" applyBorder="1" applyAlignment="1">
      <alignment horizontal="center" vertical="center"/>
    </xf>
    <xf numFmtId="0" fontId="0" fillId="4" borderId="6" xfId="0" applyFill="1" applyBorder="1" applyAlignment="1">
      <alignment horizontal="center" vertical="center"/>
    </xf>
    <xf numFmtId="0" fontId="0" fillId="4" borderId="7" xfId="0" applyFill="1" applyBorder="1" applyAlignment="1">
      <alignment horizontal="center" vertical="center"/>
    </xf>
    <xf numFmtId="0" fontId="0" fillId="4" borderId="10" xfId="0" applyFill="1" applyBorder="1" applyAlignment="1">
      <alignment horizontal="center" vertical="center" wrapText="1"/>
    </xf>
    <xf numFmtId="0" fontId="0" fillId="4" borderId="14" xfId="0" applyFill="1" applyBorder="1" applyAlignment="1">
      <alignment horizontal="center" vertical="center" wrapText="1"/>
    </xf>
    <xf numFmtId="0" fontId="0" fillId="4" borderId="4" xfId="0" applyFill="1" applyBorder="1" applyAlignment="1">
      <alignment horizontal="center" vertical="center" wrapText="1"/>
    </xf>
    <xf numFmtId="0" fontId="0" fillId="4" borderId="6" xfId="0" applyFill="1" applyBorder="1" applyAlignment="1">
      <alignment horizontal="center" vertical="center" wrapText="1"/>
    </xf>
    <xf numFmtId="0" fontId="2" fillId="2" borderId="1" xfId="0" applyFont="1" applyFill="1" applyBorder="1" applyAlignment="1">
      <alignment horizontal="left" vertical="center"/>
    </xf>
    <xf numFmtId="0" fontId="2" fillId="2" borderId="4" xfId="0" applyFont="1" applyFill="1" applyBorder="1" applyAlignment="1">
      <alignment horizontal="center" vertical="center"/>
    </xf>
    <xf numFmtId="0" fontId="2" fillId="2" borderId="6" xfId="0" applyFont="1" applyFill="1" applyBorder="1" applyAlignment="1">
      <alignment horizontal="center" vertical="center"/>
    </xf>
    <xf numFmtId="0" fontId="0" fillId="0" borderId="4" xfId="0" applyBorder="1" applyAlignment="1">
      <alignment horizontal="left" vertical="center"/>
    </xf>
    <xf numFmtId="0" fontId="0" fillId="0" borderId="5" xfId="0" applyBorder="1" applyAlignment="1">
      <alignment horizontal="left" vertical="center"/>
    </xf>
    <xf numFmtId="0" fontId="0" fillId="0" borderId="6" xfId="0" applyBorder="1" applyAlignment="1">
      <alignment horizontal="left" vertical="center"/>
    </xf>
    <xf numFmtId="0" fontId="0" fillId="0" borderId="4" xfId="0" applyBorder="1" applyAlignment="1">
      <alignment vertical="center"/>
    </xf>
    <xf numFmtId="0" fontId="0" fillId="0" borderId="6" xfId="0" applyBorder="1" applyAlignment="1">
      <alignment vertical="center"/>
    </xf>
    <xf numFmtId="0" fontId="3" fillId="0" borderId="1" xfId="0" applyFont="1" applyBorder="1" applyAlignment="1">
      <alignment horizontal="left" vertical="center"/>
    </xf>
    <xf numFmtId="0" fontId="0" fillId="0" borderId="1" xfId="0" applyBorder="1" applyAlignment="1">
      <alignment horizontal="left" vertical="center"/>
    </xf>
    <xf numFmtId="0" fontId="0" fillId="4" borderId="1" xfId="0" applyFill="1" applyBorder="1" applyAlignment="1">
      <alignment horizontal="center" wrapText="1"/>
    </xf>
    <xf numFmtId="0" fontId="2" fillId="0" borderId="1" xfId="0" applyFont="1" applyBorder="1" applyAlignment="1">
      <alignment horizontal="center"/>
    </xf>
    <xf numFmtId="0" fontId="0" fillId="0" borderId="15" xfId="0" applyBorder="1" applyAlignment="1">
      <alignment horizontal="left" wrapText="1"/>
    </xf>
    <xf numFmtId="0" fontId="0" fillId="2" borderId="1" xfId="0" applyFill="1" applyBorder="1" applyAlignment="1">
      <alignment horizontal="left"/>
    </xf>
    <xf numFmtId="0" fontId="0" fillId="0" borderId="1" xfId="0" applyBorder="1" applyAlignment="1">
      <alignment horizontal="center"/>
    </xf>
    <xf numFmtId="0" fontId="0" fillId="0" borderId="6" xfId="0" applyBorder="1" applyAlignment="1">
      <alignment horizontal="center"/>
    </xf>
    <xf numFmtId="0" fontId="0" fillId="4" borderId="1" xfId="0" applyFill="1" applyBorder="1" applyAlignment="1">
      <alignment horizontal="center"/>
    </xf>
    <xf numFmtId="0" fontId="0" fillId="0" borderId="1" xfId="0" applyBorder="1" applyAlignment="1">
      <alignment horizontal="center" vertical="center"/>
    </xf>
    <xf numFmtId="0" fontId="0" fillId="0" borderId="2" xfId="0" applyBorder="1" applyAlignment="1">
      <alignment horizontal="center"/>
    </xf>
    <xf numFmtId="0" fontId="0" fillId="0" borderId="7" xfId="0" applyBorder="1" applyAlignment="1">
      <alignment horizontal="center"/>
    </xf>
    <xf numFmtId="0" fontId="0" fillId="0" borderId="3" xfId="0" applyBorder="1"/>
    <xf numFmtId="0" fontId="2" fillId="0" borderId="0" xfId="0" applyFont="1" applyAlignment="1">
      <alignment horizontal="left"/>
    </xf>
    <xf numFmtId="0" fontId="0" fillId="4" borderId="1" xfId="0" applyFill="1" applyBorder="1" applyAlignment="1">
      <alignment horizontal="left"/>
    </xf>
    <xf numFmtId="0" fontId="2" fillId="0" borderId="0" xfId="0" applyFont="1" applyAlignment="1">
      <alignment horizontal="center"/>
    </xf>
    <xf numFmtId="0" fontId="2" fillId="0" borderId="2" xfId="0" applyFont="1" applyBorder="1" applyAlignment="1">
      <alignment horizontal="center"/>
    </xf>
    <xf numFmtId="0" fontId="2" fillId="0" borderId="7" xfId="0" applyFont="1" applyBorder="1" applyAlignment="1">
      <alignment horizontal="center"/>
    </xf>
    <xf numFmtId="0" fontId="2" fillId="0" borderId="3" xfId="0" applyFont="1" applyBorder="1" applyAlignment="1">
      <alignment horizontal="center"/>
    </xf>
    <xf numFmtId="0" fontId="0" fillId="4" borderId="2" xfId="0" applyFill="1" applyBorder="1" applyAlignment="1">
      <alignment horizontal="center"/>
    </xf>
    <xf numFmtId="0" fontId="0" fillId="4" borderId="7" xfId="0" applyFill="1" applyBorder="1" applyAlignment="1">
      <alignment horizontal="center"/>
    </xf>
    <xf numFmtId="0" fontId="0" fillId="4" borderId="3" xfId="0" applyFill="1" applyBorder="1" applyAlignment="1">
      <alignment horizontal="center"/>
    </xf>
    <xf numFmtId="0" fontId="0" fillId="4" borderId="4" xfId="0" applyFill="1" applyBorder="1"/>
    <xf numFmtId="0" fontId="0" fillId="4" borderId="6" xfId="0" applyFill="1" applyBorder="1"/>
    <xf numFmtId="0" fontId="0" fillId="0" borderId="3" xfId="0" applyBorder="1" applyAlignment="1">
      <alignment horizontal="center"/>
    </xf>
    <xf numFmtId="0" fontId="0" fillId="0" borderId="1" xfId="0" applyBorder="1" applyAlignment="1">
      <alignment horizontal="left" vertical="top" wrapText="1"/>
    </xf>
    <xf numFmtId="0" fontId="6" fillId="0" borderId="1" xfId="1" applyBorder="1" applyAlignment="1">
      <alignment horizontal="left" vertical="top"/>
    </xf>
    <xf numFmtId="0" fontId="0" fillId="0" borderId="1" xfId="0" applyBorder="1" applyAlignment="1">
      <alignment horizontal="left" vertical="top"/>
    </xf>
    <xf numFmtId="0" fontId="0" fillId="0" borderId="4" xfId="0" applyBorder="1" applyAlignment="1">
      <alignment horizontal="left" vertical="top" wrapText="1"/>
    </xf>
    <xf numFmtId="0" fontId="0" fillId="0" borderId="6" xfId="0" applyBorder="1" applyAlignment="1">
      <alignment horizontal="left" vertical="top" wrapText="1"/>
    </xf>
    <xf numFmtId="0" fontId="6" fillId="0" borderId="4" xfId="1" applyBorder="1" applyAlignment="1">
      <alignment horizontal="left" vertical="top"/>
    </xf>
    <xf numFmtId="0" fontId="6" fillId="0" borderId="6" xfId="1" applyBorder="1" applyAlignment="1">
      <alignment horizontal="left" vertical="top"/>
    </xf>
    <xf numFmtId="0" fontId="0" fillId="4" borderId="1" xfId="0" applyFill="1" applyBorder="1"/>
  </cellXfs>
  <cellStyles count="4">
    <cellStyle name="Good" xfId="2" builtinId="26"/>
    <cellStyle name="Hyperlink" xfId="1" builtinId="8"/>
    <cellStyle name="Normal" xfId="0" builtinId="0"/>
    <cellStyle name="Per cent" xfId="3" builtinId="5"/>
  </cellStyles>
  <dxfs count="55">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strike/>
        <color rgb="FFFF0000"/>
      </font>
    </dxf>
    <dxf>
      <font>
        <strike/>
        <color rgb="FFFF0000"/>
      </font>
    </dxf>
    <dxf>
      <font>
        <strike/>
        <color rgb="FFFF0000"/>
      </font>
    </dxf>
    <dxf>
      <font>
        <strike/>
        <color rgb="FFFF0000"/>
      </font>
    </dxf>
    <dxf>
      <fill>
        <patternFill>
          <bgColor rgb="FFFF0000"/>
        </patternFill>
      </fill>
    </dxf>
    <dxf>
      <font>
        <strike/>
        <color rgb="FFFF0000"/>
      </font>
    </dxf>
  </dxfs>
  <tableStyles count="0" defaultTableStyle="TableStyleMedium2" defaultPivotStyle="PivotStyleLight16"/>
  <colors>
    <mruColors>
      <color rgb="FFEFC3E9"/>
      <color rgb="FF816331"/>
      <color rgb="FF009999"/>
      <color rgb="FFCCCC00"/>
      <color rgb="FFFFCC66"/>
      <color rgb="FFFF9933"/>
      <color rgb="FFA50021"/>
      <color rgb="FFFF7C80"/>
      <color rgb="FFFF0000"/>
      <color rgb="FFD2002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a:t>PEF Single Score by Life Cycle Stage</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650869606689772"/>
          <c:y val="0.11324135802469136"/>
          <c:w val="0.5314846904708912"/>
          <c:h val="0.61830925925925928"/>
        </c:manualLayout>
      </c:layout>
      <c:barChart>
        <c:barDir val="col"/>
        <c:grouping val="stacked"/>
        <c:varyColors val="0"/>
        <c:ser>
          <c:idx val="0"/>
          <c:order val="0"/>
          <c:tx>
            <c:strRef>
              <c:f>Results!$D$27</c:f>
              <c:strCache>
                <c:ptCount val="1"/>
                <c:pt idx="0">
                  <c:v>A1 - Primary Material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Results!$D$47</c:f>
              <c:numCache>
                <c:formatCode>General</c:formatCode>
                <c:ptCount val="1"/>
                <c:pt idx="0">
                  <c:v>2.5382236947455259</c:v>
                </c:pt>
              </c:numCache>
            </c:numRef>
          </c:val>
          <c:extLst>
            <c:ext xmlns:c16="http://schemas.microsoft.com/office/drawing/2014/chart" uri="{C3380CC4-5D6E-409C-BE32-E72D297353CC}">
              <c16:uniqueId val="{00000000-3B5E-45FE-85A9-D56628026098}"/>
            </c:ext>
          </c:extLst>
        </c:ser>
        <c:ser>
          <c:idx val="4"/>
          <c:order val="1"/>
          <c:tx>
            <c:strRef>
              <c:f>Results!$E$27</c:f>
              <c:strCache>
                <c:ptCount val="1"/>
                <c:pt idx="0">
                  <c:v>C3' - Secondary Material</c:v>
                </c:pt>
              </c:strCache>
            </c:strRef>
          </c:tx>
          <c:spPr>
            <a:pattFill prst="pct75">
              <a:fgClr>
                <a:srgbClr val="A50021"/>
              </a:fgClr>
              <a:bgClr>
                <a:sysClr val="windowText" lastClr="000000"/>
              </a:bgClr>
            </a:patt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Results!$E$47</c:f>
              <c:numCache>
                <c:formatCode>General</c:formatCode>
                <c:ptCount val="1"/>
                <c:pt idx="0">
                  <c:v>8.2057024911274066E-3</c:v>
                </c:pt>
              </c:numCache>
            </c:numRef>
          </c:val>
          <c:extLst>
            <c:ext xmlns:c16="http://schemas.microsoft.com/office/drawing/2014/chart" uri="{C3380CC4-5D6E-409C-BE32-E72D297353CC}">
              <c16:uniqueId val="{0000000D-D4FB-4D06-81AB-DA126946E75C}"/>
            </c:ext>
          </c:extLst>
        </c:ser>
        <c:ser>
          <c:idx val="1"/>
          <c:order val="2"/>
          <c:tx>
            <c:strRef>
              <c:f>Results!$F$27</c:f>
              <c:strCache>
                <c:ptCount val="1"/>
                <c:pt idx="0">
                  <c:v>A2 - Transport Primary</c:v>
                </c:pt>
              </c:strCache>
            </c:strRef>
          </c:tx>
          <c:spPr>
            <a:solidFill>
              <a:srgbClr val="FF000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Results!$F$47</c:f>
              <c:numCache>
                <c:formatCode>General</c:formatCode>
                <c:ptCount val="1"/>
                <c:pt idx="0">
                  <c:v>0.82882370666317073</c:v>
                </c:pt>
              </c:numCache>
            </c:numRef>
          </c:val>
          <c:extLst>
            <c:ext xmlns:c16="http://schemas.microsoft.com/office/drawing/2014/chart" uri="{C3380CC4-5D6E-409C-BE32-E72D297353CC}">
              <c16:uniqueId val="{0000000A-D4FB-4D06-81AB-DA126946E75C}"/>
            </c:ext>
          </c:extLst>
        </c:ser>
        <c:ser>
          <c:idx val="2"/>
          <c:order val="3"/>
          <c:tx>
            <c:strRef>
              <c:f>Results!$G$27</c:f>
              <c:strCache>
                <c:ptCount val="1"/>
                <c:pt idx="0">
                  <c:v>C2' - Transport Secondary</c:v>
                </c:pt>
              </c:strCache>
            </c:strRef>
          </c:tx>
          <c:spPr>
            <a:pattFill prst="pct75">
              <a:fgClr>
                <a:srgbClr val="FF0000"/>
              </a:fgClr>
              <a:bgClr>
                <a:sysClr val="windowText" lastClr="000000"/>
              </a:bgClr>
            </a:pattFill>
            <a:ln>
              <a:noFill/>
            </a:ln>
            <a:effectLst/>
          </c:spPr>
          <c:invertIfNegative val="0"/>
          <c:val>
            <c:numRef>
              <c:f>Results!$G$47</c:f>
              <c:numCache>
                <c:formatCode>General</c:formatCode>
                <c:ptCount val="1"/>
                <c:pt idx="0">
                  <c:v>0.14003663074857009</c:v>
                </c:pt>
              </c:numCache>
            </c:numRef>
          </c:val>
          <c:extLst>
            <c:ext xmlns:c16="http://schemas.microsoft.com/office/drawing/2014/chart" uri="{C3380CC4-5D6E-409C-BE32-E72D297353CC}">
              <c16:uniqueId val="{0000000B-D4FB-4D06-81AB-DA126946E75C}"/>
            </c:ext>
          </c:extLst>
        </c:ser>
        <c:ser>
          <c:idx val="3"/>
          <c:order val="4"/>
          <c:tx>
            <c:strRef>
              <c:f>Results!$H$27</c:f>
              <c:strCache>
                <c:ptCount val="1"/>
                <c:pt idx="0">
                  <c:v>A3- Production</c:v>
                </c:pt>
              </c:strCache>
            </c:strRef>
          </c:tx>
          <c:spPr>
            <a:solidFill>
              <a:srgbClr val="FF7C8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Results!$H$47</c:f>
              <c:numCache>
                <c:formatCode>General</c:formatCode>
                <c:ptCount val="1"/>
                <c:pt idx="0">
                  <c:v>1.0957071521886901</c:v>
                </c:pt>
              </c:numCache>
            </c:numRef>
          </c:val>
          <c:extLst>
            <c:ext xmlns:c16="http://schemas.microsoft.com/office/drawing/2014/chart" uri="{C3380CC4-5D6E-409C-BE32-E72D297353CC}">
              <c16:uniqueId val="{0000000C-D4FB-4D06-81AB-DA126946E75C}"/>
            </c:ext>
          </c:extLst>
        </c:ser>
        <c:ser>
          <c:idx val="5"/>
          <c:order val="5"/>
          <c:tx>
            <c:strRef>
              <c:f>Results!$L$27</c:f>
              <c:strCache>
                <c:ptCount val="1"/>
                <c:pt idx="0">
                  <c:v>D- Burdens &amp; Savings</c:v>
                </c:pt>
              </c:strCache>
            </c:strRef>
          </c:tx>
          <c:spPr>
            <a:solidFill>
              <a:srgbClr val="0099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Results!$L$47</c:f>
              <c:numCache>
                <c:formatCode>General</c:formatCode>
                <c:ptCount val="1"/>
                <c:pt idx="0">
                  <c:v>-2.8735178658569742</c:v>
                </c:pt>
              </c:numCache>
            </c:numRef>
          </c:val>
          <c:extLst>
            <c:ext xmlns:c16="http://schemas.microsoft.com/office/drawing/2014/chart" uri="{C3380CC4-5D6E-409C-BE32-E72D297353CC}">
              <c16:uniqueId val="{0000000E-D4FB-4D06-81AB-DA126946E75C}"/>
            </c:ext>
          </c:extLst>
        </c:ser>
        <c:dLbls>
          <c:showLegendKey val="0"/>
          <c:showVal val="0"/>
          <c:showCatName val="0"/>
          <c:showSerName val="0"/>
          <c:showPercent val="0"/>
          <c:showBubbleSize val="0"/>
        </c:dLbls>
        <c:gapWidth val="150"/>
        <c:overlap val="100"/>
        <c:axId val="620451487"/>
        <c:axId val="620451967"/>
      </c:barChart>
      <c:catAx>
        <c:axId val="620451487"/>
        <c:scaling>
          <c:orientation val="minMax"/>
        </c:scaling>
        <c:delete val="1"/>
        <c:axPos val="b"/>
        <c:numFmt formatCode="General" sourceLinked="1"/>
        <c:majorTickMark val="none"/>
        <c:minorTickMark val="none"/>
        <c:tickLblPos val="nextTo"/>
        <c:crossAx val="620451967"/>
        <c:crosses val="autoZero"/>
        <c:auto val="1"/>
        <c:lblAlgn val="ctr"/>
        <c:lblOffset val="100"/>
        <c:noMultiLvlLbl val="0"/>
      </c:catAx>
      <c:valAx>
        <c:axId val="6204519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a:t>mpt/ton</a:t>
                </a:r>
              </a:p>
            </c:rich>
          </c:tx>
          <c:layout>
            <c:manualLayout>
              <c:xMode val="edge"/>
              <c:yMode val="edge"/>
              <c:x val="3.3040682331245429E-2"/>
              <c:y val="0.3443151243309778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51487"/>
        <c:crosses val="autoZero"/>
        <c:crossBetween val="between"/>
        <c:majorUnit val="1"/>
      </c:valAx>
      <c:spPr>
        <a:noFill/>
        <a:ln>
          <a:noFill/>
        </a:ln>
        <a:effectLst/>
      </c:spPr>
    </c:plotArea>
    <c:legend>
      <c:legendPos val="b"/>
      <c:layout>
        <c:manualLayout>
          <c:xMode val="edge"/>
          <c:yMode val="edge"/>
          <c:x val="6.8213341910531092E-2"/>
          <c:y val="0.75218156954951942"/>
          <c:w val="0.92408981437911608"/>
          <c:h val="0.22282999006365165"/>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chart>
  <c:spPr>
    <a:solidFill>
      <a:schemeClr val="bg1"/>
    </a:solidFill>
    <a:ln w="9525" cap="flat" cmpd="sng" algn="ctr">
      <a:noFill/>
      <a:round/>
    </a:ln>
    <a:effectLst/>
  </c:spPr>
  <c:txPr>
    <a:bodyPr/>
    <a:lstStyle/>
    <a:p>
      <a:pPr>
        <a:defRPr sz="800"/>
      </a:pPr>
      <a:endParaRPr lang="LID4096"/>
    </a:p>
  </c:txPr>
  <c:printSettings>
    <c:headerFooter/>
    <c:pageMargins b="0.75" l="0.7" r="0.7" t="0.75" header="0.3" footer="0.3"/>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a:t>PEF Single Score by Impact Category</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11994742762128326"/>
          <c:y val="0.11857222222222222"/>
          <c:w val="0.33893672839506178"/>
          <c:h val="0.85864197530864184"/>
        </c:manualLayout>
      </c:layout>
      <c:barChart>
        <c:barDir val="col"/>
        <c:grouping val="stacked"/>
        <c:varyColors val="0"/>
        <c:ser>
          <c:idx val="0"/>
          <c:order val="0"/>
          <c:tx>
            <c:strRef>
              <c:f>Results!$A$28</c:f>
              <c:strCache>
                <c:ptCount val="1"/>
                <c:pt idx="0">
                  <c:v>Acidification </c:v>
                </c:pt>
              </c:strCache>
            </c:strRef>
          </c:tx>
          <c:spPr>
            <a:solidFill>
              <a:srgbClr val="38477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Results!$M$28</c:f>
              <c:numCache>
                <c:formatCode>General</c:formatCode>
                <c:ptCount val="1"/>
                <c:pt idx="0">
                  <c:v>0.14416331787201775</c:v>
                </c:pt>
              </c:numCache>
            </c:numRef>
          </c:val>
          <c:extLst>
            <c:ext xmlns:c16="http://schemas.microsoft.com/office/drawing/2014/chart" uri="{C3380CC4-5D6E-409C-BE32-E72D297353CC}">
              <c16:uniqueId val="{00000000-99E5-4CAD-80E4-42CAB6B4CD5B}"/>
            </c:ext>
          </c:extLst>
        </c:ser>
        <c:ser>
          <c:idx val="1"/>
          <c:order val="1"/>
          <c:tx>
            <c:strRef>
              <c:f>Results!$A$29</c:f>
              <c:strCache>
                <c:ptCount val="1"/>
                <c:pt idx="0">
                  <c:v>Climate change </c:v>
                </c:pt>
              </c:strCache>
            </c:strRef>
          </c:tx>
          <c:spPr>
            <a:solidFill>
              <a:srgbClr val="8EA1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Results!$M$29</c:f>
              <c:numCache>
                <c:formatCode>General</c:formatCode>
                <c:ptCount val="1"/>
                <c:pt idx="0">
                  <c:v>1.3358926868573457</c:v>
                </c:pt>
              </c:numCache>
            </c:numRef>
          </c:val>
          <c:extLst>
            <c:ext xmlns:c16="http://schemas.microsoft.com/office/drawing/2014/chart" uri="{C3380CC4-5D6E-409C-BE32-E72D297353CC}">
              <c16:uniqueId val="{00000001-99E5-4CAD-80E4-42CAB6B4CD5B}"/>
            </c:ext>
          </c:extLst>
        </c:ser>
        <c:ser>
          <c:idx val="5"/>
          <c:order val="5"/>
          <c:tx>
            <c:strRef>
              <c:f>Results!$A$33</c:f>
              <c:strCache>
                <c:ptCount val="1"/>
                <c:pt idx="0">
                  <c:v>Ecotoxicity: freshwater </c:v>
                </c:pt>
              </c:strCache>
            </c:strRef>
          </c:tx>
          <c:spPr>
            <a:solidFill>
              <a:srgbClr val="A6C9EB"/>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Results!$M$33</c:f>
              <c:numCache>
                <c:formatCode>General</c:formatCode>
                <c:ptCount val="1"/>
                <c:pt idx="0">
                  <c:v>0.30362478653754404</c:v>
                </c:pt>
              </c:numCache>
            </c:numRef>
          </c:val>
          <c:extLst>
            <c:ext xmlns:c16="http://schemas.microsoft.com/office/drawing/2014/chart" uri="{C3380CC4-5D6E-409C-BE32-E72D297353CC}">
              <c16:uniqueId val="{00000005-99E5-4CAD-80E4-42CAB6B4CD5B}"/>
            </c:ext>
          </c:extLst>
        </c:ser>
        <c:ser>
          <c:idx val="6"/>
          <c:order val="6"/>
          <c:tx>
            <c:strRef>
              <c:f>Results!$A$34</c:f>
              <c:strCache>
                <c:ptCount val="1"/>
                <c:pt idx="0">
                  <c:v>Energy resources: non-renewable </c:v>
                </c:pt>
              </c:strCache>
            </c:strRef>
          </c:tx>
          <c:spPr>
            <a:solidFill>
              <a:srgbClr val="F38947"/>
            </a:solidFill>
            <a:ln>
              <a:noFill/>
            </a:ln>
            <a:effectLst/>
          </c:spPr>
          <c:invertIfNegative val="0"/>
          <c:dLbls>
            <c:dLbl>
              <c:idx val="0"/>
              <c:layout>
                <c:manualLayout>
                  <c:x val="0"/>
                  <c:y val="-4.2884846757584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507-4C68-A8CD-4CE21C15316F}"/>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Results!$M$34</c:f>
              <c:numCache>
                <c:formatCode>General</c:formatCode>
                <c:ptCount val="1"/>
                <c:pt idx="0">
                  <c:v>1.9189736968991691</c:v>
                </c:pt>
              </c:numCache>
            </c:numRef>
          </c:val>
          <c:extLst>
            <c:ext xmlns:c16="http://schemas.microsoft.com/office/drawing/2014/chart" uri="{C3380CC4-5D6E-409C-BE32-E72D297353CC}">
              <c16:uniqueId val="{00000006-99E5-4CAD-80E4-42CAB6B4CD5B}"/>
            </c:ext>
          </c:extLst>
        </c:ser>
        <c:ser>
          <c:idx val="7"/>
          <c:order val="7"/>
          <c:tx>
            <c:strRef>
              <c:f>Results!$A$35</c:f>
              <c:strCache>
                <c:ptCount val="1"/>
                <c:pt idx="0">
                  <c:v>Eutrophication: freshwater </c:v>
                </c:pt>
              </c:strCache>
            </c:strRef>
          </c:tx>
          <c:spPr>
            <a:solidFill>
              <a:srgbClr val="617038"/>
            </a:solidFill>
            <a:ln>
              <a:noFill/>
            </a:ln>
            <a:effectLst/>
          </c:spPr>
          <c:invertIfNegative val="0"/>
          <c:dPt>
            <c:idx val="0"/>
            <c:invertIfNegative val="0"/>
            <c:bubble3D val="0"/>
            <c:spPr>
              <a:solidFill>
                <a:srgbClr val="617038"/>
              </a:solidFill>
              <a:ln>
                <a:noFill/>
              </a:ln>
              <a:effectLst/>
            </c:spPr>
            <c:extLst>
              <c:ext xmlns:c16="http://schemas.microsoft.com/office/drawing/2014/chart" uri="{C3380CC4-5D6E-409C-BE32-E72D297353CC}">
                <c16:uniqueId val="{00000002-811C-4636-BEE9-2D90FF94D96A}"/>
              </c:ext>
            </c:extLst>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Results!$M$35</c:f>
              <c:numCache>
                <c:formatCode>General</c:formatCode>
                <c:ptCount val="1"/>
                <c:pt idx="0">
                  <c:v>2.8545313409388852E-2</c:v>
                </c:pt>
              </c:numCache>
            </c:numRef>
          </c:val>
          <c:extLst>
            <c:ext xmlns:c16="http://schemas.microsoft.com/office/drawing/2014/chart" uri="{C3380CC4-5D6E-409C-BE32-E72D297353CC}">
              <c16:uniqueId val="{00000007-99E5-4CAD-80E4-42CAB6B4CD5B}"/>
            </c:ext>
          </c:extLst>
        </c:ser>
        <c:ser>
          <c:idx val="8"/>
          <c:order val="8"/>
          <c:tx>
            <c:strRef>
              <c:f>Results!$A$36</c:f>
              <c:strCache>
                <c:ptCount val="1"/>
                <c:pt idx="0">
                  <c:v>Eutrophication: marine </c:v>
                </c:pt>
              </c:strCache>
            </c:strRef>
          </c:tx>
          <c:spPr>
            <a:solidFill>
              <a:srgbClr val="89974F"/>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Results!$M$36</c:f>
              <c:numCache>
                <c:formatCode>General</c:formatCode>
                <c:ptCount val="1"/>
                <c:pt idx="0">
                  <c:v>5.664841591612281E-2</c:v>
                </c:pt>
              </c:numCache>
            </c:numRef>
          </c:val>
          <c:extLst>
            <c:ext xmlns:c16="http://schemas.microsoft.com/office/drawing/2014/chart" uri="{C3380CC4-5D6E-409C-BE32-E72D297353CC}">
              <c16:uniqueId val="{00000008-99E5-4CAD-80E4-42CAB6B4CD5B}"/>
            </c:ext>
          </c:extLst>
        </c:ser>
        <c:ser>
          <c:idx val="9"/>
          <c:order val="9"/>
          <c:tx>
            <c:strRef>
              <c:f>Results!$A$37</c:f>
              <c:strCache>
                <c:ptCount val="1"/>
                <c:pt idx="0">
                  <c:v>Eutrophication: terrestrial </c:v>
                </c:pt>
              </c:strCache>
            </c:strRef>
          </c:tx>
          <c:spPr>
            <a:solidFill>
              <a:srgbClr val="BEC8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Results!$M$37</c:f>
              <c:numCache>
                <c:formatCode>General</c:formatCode>
                <c:ptCount val="1"/>
                <c:pt idx="0">
                  <c:v>9.1526959487820414E-2</c:v>
                </c:pt>
              </c:numCache>
            </c:numRef>
          </c:val>
          <c:extLst>
            <c:ext xmlns:c16="http://schemas.microsoft.com/office/drawing/2014/chart" uri="{C3380CC4-5D6E-409C-BE32-E72D297353CC}">
              <c16:uniqueId val="{00000009-99E5-4CAD-80E4-42CAB6B4CD5B}"/>
            </c:ext>
          </c:extLst>
        </c:ser>
        <c:ser>
          <c:idx val="10"/>
          <c:order val="10"/>
          <c:tx>
            <c:strRef>
              <c:f>Results!$A$38</c:f>
              <c:strCache>
                <c:ptCount val="1"/>
                <c:pt idx="0">
                  <c:v>Human toxicity: carcinogenic</c:v>
                </c:pt>
              </c:strCache>
            </c:strRef>
          </c:tx>
          <c:spPr>
            <a:solidFill>
              <a:srgbClr val="816331"/>
            </a:solidFill>
            <a:ln>
              <a:noFill/>
            </a:ln>
            <a:effectLst/>
          </c:spPr>
          <c:invertIfNegative val="0"/>
          <c:val>
            <c:numRef>
              <c:f>Results!$M$38</c:f>
              <c:numCache>
                <c:formatCode>General</c:formatCode>
                <c:ptCount val="1"/>
                <c:pt idx="0">
                  <c:v>1.917523497196174E-2</c:v>
                </c:pt>
              </c:numCache>
            </c:numRef>
          </c:val>
          <c:extLst>
            <c:ext xmlns:c16="http://schemas.microsoft.com/office/drawing/2014/chart" uri="{C3380CC4-5D6E-409C-BE32-E72D297353CC}">
              <c16:uniqueId val="{0000000A-99E5-4CAD-80E4-42CAB6B4CD5B}"/>
            </c:ext>
          </c:extLst>
        </c:ser>
        <c:ser>
          <c:idx val="11"/>
          <c:order val="11"/>
          <c:tx>
            <c:strRef>
              <c:f>Results!$A$39</c:f>
              <c:strCache>
                <c:ptCount val="1"/>
                <c:pt idx="0">
                  <c:v>Human toxicity: non-carcinogenic </c:v>
                </c:pt>
              </c:strCache>
            </c:strRef>
          </c:tx>
          <c:spPr>
            <a:solidFill>
              <a:srgbClr val="E0AD46"/>
            </a:solidFill>
            <a:ln>
              <a:noFill/>
            </a:ln>
            <a:effectLst/>
          </c:spPr>
          <c:invertIfNegative val="0"/>
          <c:val>
            <c:numRef>
              <c:f>Results!$M$39</c:f>
              <c:numCache>
                <c:formatCode>General</c:formatCode>
                <c:ptCount val="1"/>
                <c:pt idx="0">
                  <c:v>3.9669860260296883E-2</c:v>
                </c:pt>
              </c:numCache>
            </c:numRef>
          </c:val>
          <c:extLst>
            <c:ext xmlns:c16="http://schemas.microsoft.com/office/drawing/2014/chart" uri="{C3380CC4-5D6E-409C-BE32-E72D297353CC}">
              <c16:uniqueId val="{0000000B-99E5-4CAD-80E4-42CAB6B4CD5B}"/>
            </c:ext>
          </c:extLst>
        </c:ser>
        <c:ser>
          <c:idx val="12"/>
          <c:order val="12"/>
          <c:tx>
            <c:strRef>
              <c:f>Results!$A$40</c:f>
              <c:strCache>
                <c:ptCount val="1"/>
                <c:pt idx="0">
                  <c:v>Ionising radiation: human health </c:v>
                </c:pt>
              </c:strCache>
            </c:strRef>
          </c:tx>
          <c:spPr>
            <a:solidFill>
              <a:srgbClr val="F9C2A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Results!$M$40</c:f>
              <c:numCache>
                <c:formatCode>General</c:formatCode>
                <c:ptCount val="1"/>
                <c:pt idx="0">
                  <c:v>3.5699579029559135E-2</c:v>
                </c:pt>
              </c:numCache>
            </c:numRef>
          </c:val>
          <c:extLst>
            <c:ext xmlns:c16="http://schemas.microsoft.com/office/drawing/2014/chart" uri="{C3380CC4-5D6E-409C-BE32-E72D297353CC}">
              <c16:uniqueId val="{0000000C-99E5-4CAD-80E4-42CAB6B4CD5B}"/>
            </c:ext>
          </c:extLst>
        </c:ser>
        <c:ser>
          <c:idx val="13"/>
          <c:order val="13"/>
          <c:tx>
            <c:strRef>
              <c:f>Results!$A$41</c:f>
              <c:strCache>
                <c:ptCount val="1"/>
                <c:pt idx="0">
                  <c:v>Land use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Results!$M$41</c:f>
              <c:numCache>
                <c:formatCode>General</c:formatCode>
                <c:ptCount val="1"/>
                <c:pt idx="0">
                  <c:v>4.192453238635159E-2</c:v>
                </c:pt>
              </c:numCache>
            </c:numRef>
          </c:val>
          <c:extLst>
            <c:ext xmlns:c16="http://schemas.microsoft.com/office/drawing/2014/chart" uri="{C3380CC4-5D6E-409C-BE32-E72D297353CC}">
              <c16:uniqueId val="{0000000D-99E5-4CAD-80E4-42CAB6B4CD5B}"/>
            </c:ext>
          </c:extLst>
        </c:ser>
        <c:ser>
          <c:idx val="14"/>
          <c:order val="14"/>
          <c:tx>
            <c:strRef>
              <c:f>Results!$A$42</c:f>
              <c:strCache>
                <c:ptCount val="1"/>
                <c:pt idx="0">
                  <c:v>Material resources: metals/minerals </c:v>
                </c:pt>
              </c:strCache>
            </c:strRef>
          </c:tx>
          <c:spPr>
            <a:solidFill>
              <a:srgbClr val="276FB4"/>
            </a:solidFill>
            <a:ln>
              <a:noFill/>
            </a:ln>
            <a:effectLst/>
          </c:spPr>
          <c:invertIfNegative val="0"/>
          <c:val>
            <c:numRef>
              <c:f>Results!$M$42</c:f>
              <c:numCache>
                <c:formatCode>General</c:formatCode>
                <c:ptCount val="1"/>
                <c:pt idx="0">
                  <c:v>3.2766222897070351E-7</c:v>
                </c:pt>
              </c:numCache>
            </c:numRef>
          </c:val>
          <c:extLst>
            <c:ext xmlns:c16="http://schemas.microsoft.com/office/drawing/2014/chart" uri="{C3380CC4-5D6E-409C-BE32-E72D297353CC}">
              <c16:uniqueId val="{0000000E-99E5-4CAD-80E4-42CAB6B4CD5B}"/>
            </c:ext>
          </c:extLst>
        </c:ser>
        <c:ser>
          <c:idx val="15"/>
          <c:order val="15"/>
          <c:tx>
            <c:strRef>
              <c:f>Results!$A$43</c:f>
              <c:strCache>
                <c:ptCount val="1"/>
                <c:pt idx="0">
                  <c:v>Ozone depletion</c:v>
                </c:pt>
              </c:strCache>
            </c:strRef>
          </c:tx>
          <c:spPr>
            <a:solidFill>
              <a:srgbClr val="CE5689"/>
            </a:solidFill>
            <a:ln>
              <a:noFill/>
            </a:ln>
            <a:effectLst/>
          </c:spPr>
          <c:invertIfNegative val="0"/>
          <c:val>
            <c:numRef>
              <c:f>Results!$M$43</c:f>
              <c:numCache>
                <c:formatCode>General</c:formatCode>
                <c:ptCount val="1"/>
                <c:pt idx="0">
                  <c:v>3.6542729082418846E-3</c:v>
                </c:pt>
              </c:numCache>
            </c:numRef>
          </c:val>
          <c:extLst>
            <c:ext xmlns:c16="http://schemas.microsoft.com/office/drawing/2014/chart" uri="{C3380CC4-5D6E-409C-BE32-E72D297353CC}">
              <c16:uniqueId val="{0000000F-99E5-4CAD-80E4-42CAB6B4CD5B}"/>
            </c:ext>
          </c:extLst>
        </c:ser>
        <c:ser>
          <c:idx val="16"/>
          <c:order val="16"/>
          <c:tx>
            <c:strRef>
              <c:f>Results!$A$44</c:f>
              <c:strCache>
                <c:ptCount val="1"/>
                <c:pt idx="0">
                  <c:v>Particulate matter formation</c:v>
                </c:pt>
              </c:strCache>
            </c:strRef>
          </c:tx>
          <c:spPr>
            <a:solidFill>
              <a:srgbClr val="6B3E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Results!$M$44</c:f>
              <c:numCache>
                <c:formatCode>General</c:formatCode>
                <c:ptCount val="1"/>
                <c:pt idx="0">
                  <c:v>0.36218525384588429</c:v>
                </c:pt>
              </c:numCache>
            </c:numRef>
          </c:val>
          <c:extLst>
            <c:ext xmlns:c16="http://schemas.microsoft.com/office/drawing/2014/chart" uri="{C3380CC4-5D6E-409C-BE32-E72D297353CC}">
              <c16:uniqueId val="{00000053-2212-4931-8B35-6096D2F4A1BA}"/>
            </c:ext>
          </c:extLst>
        </c:ser>
        <c:ser>
          <c:idx val="17"/>
          <c:order val="17"/>
          <c:tx>
            <c:strRef>
              <c:f>Results!$A$45</c:f>
              <c:strCache>
                <c:ptCount val="1"/>
                <c:pt idx="0">
                  <c:v>Photochemical oxidant formation: human health</c:v>
                </c:pt>
              </c:strCache>
            </c:strRef>
          </c:tx>
          <c:spPr>
            <a:solidFill>
              <a:srgbClr val="924F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Results!$M$45</c:f>
              <c:numCache>
                <c:formatCode>General</c:formatCode>
                <c:ptCount val="1"/>
                <c:pt idx="0">
                  <c:v>0.18762816634622392</c:v>
                </c:pt>
              </c:numCache>
            </c:numRef>
          </c:val>
          <c:extLst>
            <c:ext xmlns:c16="http://schemas.microsoft.com/office/drawing/2014/chart" uri="{C3380CC4-5D6E-409C-BE32-E72D297353CC}">
              <c16:uniqueId val="{00000054-2212-4931-8B35-6096D2F4A1BA}"/>
            </c:ext>
          </c:extLst>
        </c:ser>
        <c:ser>
          <c:idx val="18"/>
          <c:order val="18"/>
          <c:tx>
            <c:strRef>
              <c:f>Results!$A$46</c:f>
              <c:strCache>
                <c:ptCount val="1"/>
                <c:pt idx="0">
                  <c:v>Water use </c:v>
                </c:pt>
              </c:strCache>
            </c:strRef>
          </c:tx>
          <c:spPr>
            <a:solidFill>
              <a:srgbClr val="CA90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Results!$M$46</c:f>
              <c:numCache>
                <c:formatCode>General</c:formatCode>
                <c:ptCount val="1"/>
                <c:pt idx="0">
                  <c:v>4.1684482446927504E-2</c:v>
                </c:pt>
              </c:numCache>
            </c:numRef>
          </c:val>
          <c:extLst>
            <c:ext xmlns:c16="http://schemas.microsoft.com/office/drawing/2014/chart" uri="{C3380CC4-5D6E-409C-BE32-E72D297353CC}">
              <c16:uniqueId val="{00000055-2212-4931-8B35-6096D2F4A1BA}"/>
            </c:ext>
          </c:extLst>
        </c:ser>
        <c:dLbls>
          <c:showLegendKey val="0"/>
          <c:showVal val="0"/>
          <c:showCatName val="0"/>
          <c:showSerName val="0"/>
          <c:showPercent val="0"/>
          <c:showBubbleSize val="0"/>
        </c:dLbls>
        <c:gapWidth val="150"/>
        <c:overlap val="100"/>
        <c:axId val="620475487"/>
        <c:axId val="620493247"/>
        <c:extLst>
          <c:ext xmlns:c15="http://schemas.microsoft.com/office/drawing/2012/chart" uri="{02D57815-91ED-43cb-92C2-25804820EDAC}">
            <c15:filteredBarSeries>
              <c15:ser>
                <c:idx val="2"/>
                <c:order val="2"/>
                <c:tx>
                  <c:strRef>
                    <c:extLst>
                      <c:ext uri="{02D57815-91ED-43cb-92C2-25804820EDAC}">
                        <c15:formulaRef>
                          <c15:sqref>Results!$A$30</c15:sqref>
                        </c15:formulaRef>
                      </c:ext>
                    </c:extLst>
                    <c:strCache>
                      <c:ptCount val="1"/>
                      <c:pt idx="0">
                        <c:v>Climate change: biogenic </c:v>
                      </c:pt>
                    </c:strCache>
                  </c:strRef>
                </c:tx>
                <c:spPr>
                  <a:solidFill>
                    <a:schemeClr val="tx2">
                      <a:lumMod val="25000"/>
                      <a:lumOff val="75000"/>
                    </a:schemeClr>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val>
                  <c:numRef>
                    <c:extLst>
                      <c:ext uri="{02D57815-91ED-43cb-92C2-25804820EDAC}">
                        <c15:formulaRef>
                          <c15:sqref>Results!$M$30</c15:sqref>
                        </c15:formulaRef>
                      </c:ext>
                    </c:extLst>
                    <c:numCache>
                      <c:formatCode>General</c:formatCode>
                      <c:ptCount val="1"/>
                    </c:numCache>
                  </c:numRef>
                </c:val>
                <c:extLst>
                  <c:ext xmlns:c16="http://schemas.microsoft.com/office/drawing/2014/chart" uri="{C3380CC4-5D6E-409C-BE32-E72D297353CC}">
                    <c16:uniqueId val="{00000002-99E5-4CAD-80E4-42CAB6B4CD5B}"/>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Results!$A$31</c15:sqref>
                        </c15:formulaRef>
                      </c:ext>
                    </c:extLst>
                    <c:strCache>
                      <c:ptCount val="1"/>
                      <c:pt idx="0">
                        <c:v>Climate change: fossil </c:v>
                      </c:pt>
                    </c:strCache>
                  </c:strRef>
                </c:tx>
                <c:spPr>
                  <a:solidFill>
                    <a:srgbClr val="F38947"/>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extLst xmlns:c15="http://schemas.microsoft.com/office/drawing/2012/chart">
                      <c:ext xmlns:c15="http://schemas.microsoft.com/office/drawing/2012/chart" uri="{02D57815-91ED-43cb-92C2-25804820EDAC}">
                        <c15:formulaRef>
                          <c15:sqref>Results!$M$31</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03-99E5-4CAD-80E4-42CAB6B4CD5B}"/>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Results!$A$32</c15:sqref>
                        </c15:formulaRef>
                      </c:ext>
                    </c:extLst>
                    <c:strCache>
                      <c:ptCount val="1"/>
                      <c:pt idx="0">
                        <c:v>Land use and land use change </c:v>
                      </c:pt>
                    </c:strCache>
                  </c:strRef>
                </c:tx>
                <c:spPr>
                  <a:solidFill>
                    <a:srgbClr val="617038"/>
                  </a:solidFill>
                  <a:ln>
                    <a:noFill/>
                  </a:ln>
                  <a:effectLst/>
                </c:spPr>
                <c:invertIfNegative val="0"/>
                <c:val>
                  <c:numRef>
                    <c:extLst xmlns:c15="http://schemas.microsoft.com/office/drawing/2012/chart">
                      <c:ext xmlns:c15="http://schemas.microsoft.com/office/drawing/2012/chart" uri="{02D57815-91ED-43cb-92C2-25804820EDAC}">
                        <c15:formulaRef>
                          <c15:sqref>Results!$M$32</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04-99E5-4CAD-80E4-42CAB6B4CD5B}"/>
                  </c:ext>
                </c:extLst>
              </c15:ser>
            </c15:filteredBarSeries>
          </c:ext>
        </c:extLst>
      </c:barChart>
      <c:catAx>
        <c:axId val="620475487"/>
        <c:scaling>
          <c:orientation val="minMax"/>
        </c:scaling>
        <c:delete val="1"/>
        <c:axPos val="b"/>
        <c:numFmt formatCode="General" sourceLinked="1"/>
        <c:majorTickMark val="none"/>
        <c:minorTickMark val="none"/>
        <c:tickLblPos val="nextTo"/>
        <c:crossAx val="620493247"/>
        <c:crosses val="autoZero"/>
        <c:auto val="1"/>
        <c:lblAlgn val="ctr"/>
        <c:lblOffset val="100"/>
        <c:noMultiLvlLbl val="0"/>
      </c:catAx>
      <c:valAx>
        <c:axId val="620493247"/>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a:t>mpt/ton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75487"/>
        <c:crosses val="autoZero"/>
        <c:crossBetween val="between"/>
      </c:valAx>
      <c:spPr>
        <a:noFill/>
        <a:ln>
          <a:noFill/>
        </a:ln>
        <a:effectLst/>
      </c:spPr>
    </c:plotArea>
    <c:legend>
      <c:legendPos val="r"/>
      <c:layout>
        <c:manualLayout>
          <c:xMode val="edge"/>
          <c:yMode val="edge"/>
          <c:x val="0.43628343621399179"/>
          <c:y val="0.11797376543209878"/>
          <c:w val="0.55814994855967082"/>
          <c:h val="0.86626820987654318"/>
        </c:manualLayout>
      </c:layout>
      <c:overlay val="1"/>
      <c:spPr>
        <a:solidFill>
          <a:schemeClr val="bg1"/>
        </a:solidFill>
        <a:ln>
          <a:noFill/>
        </a:ln>
        <a:effectLst/>
      </c:spPr>
      <c:txPr>
        <a:bodyPr rot="0" spcFirstLastPara="1" vertOverflow="ellipsis" vert="horz" wrap="square" anchor="t" anchorCtr="0"/>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chart>
  <c:spPr>
    <a:solidFill>
      <a:sysClr val="window" lastClr="FFFFFF"/>
    </a:solidFill>
    <a:ln w="9525" cap="flat" cmpd="sng" algn="ctr">
      <a:noFill/>
      <a:round/>
    </a:ln>
    <a:effectLst/>
  </c:spPr>
  <c:txPr>
    <a:bodyPr/>
    <a:lstStyle/>
    <a:p>
      <a:pPr>
        <a:defRPr sz="800"/>
      </a:pPr>
      <a:endParaRPr lang="LID4096"/>
    </a:p>
  </c:txPr>
  <c:printSettings>
    <c:headerFooter>
      <c:oddHeader>&amp;LGeneral Information</c:oddHeader>
    </c:headerFooter>
    <c:pageMargins b="0.75" l="0.7" r="0.7" t="0.75" header="0.3" footer="0.3"/>
    <c:pageSetup paperSize="9"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 (GWP100) by Life Cycle Stage</a:t>
            </a:r>
          </a:p>
        </c:rich>
      </c:tx>
      <c:layout>
        <c:manualLayout>
          <c:xMode val="edge"/>
          <c:yMode val="edge"/>
          <c:x val="0.10519827466569967"/>
          <c:y val="2.8651258906988313E-2"/>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977841687339398"/>
          <c:y val="0.18417530864197532"/>
          <c:w val="0.52385022307505513"/>
          <c:h val="0.52477376543209875"/>
        </c:manualLayout>
      </c:layout>
      <c:barChart>
        <c:barDir val="col"/>
        <c:grouping val="stacked"/>
        <c:varyColors val="0"/>
        <c:ser>
          <c:idx val="0"/>
          <c:order val="0"/>
          <c:tx>
            <c:strRef>
              <c:f>Results!$C$52</c:f>
              <c:strCache>
                <c:ptCount val="1"/>
                <c:pt idx="0">
                  <c:v>A1 - Primary Material </c:v>
                </c:pt>
              </c:strCache>
            </c:strRef>
          </c:tx>
          <c:spPr>
            <a:solidFill>
              <a:srgbClr val="A50021"/>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Results!$C$53</c:f>
              <c:numCache>
                <c:formatCode>General</c:formatCode>
                <c:ptCount val="1"/>
                <c:pt idx="0">
                  <c:v>14.97120941098617</c:v>
                </c:pt>
              </c:numCache>
            </c:numRef>
          </c:val>
          <c:extLst>
            <c:ext xmlns:c16="http://schemas.microsoft.com/office/drawing/2014/chart" uri="{C3380CC4-5D6E-409C-BE32-E72D297353CC}">
              <c16:uniqueId val="{00000000-E683-43BB-AD9B-E4568DD6497E}"/>
            </c:ext>
          </c:extLst>
        </c:ser>
        <c:ser>
          <c:idx val="7"/>
          <c:order val="1"/>
          <c:tx>
            <c:strRef>
              <c:f>Results!$D$52</c:f>
              <c:strCache>
                <c:ptCount val="1"/>
                <c:pt idx="0">
                  <c:v>C3' - Secondary Material</c:v>
                </c:pt>
              </c:strCache>
            </c:strRef>
          </c:tx>
          <c:spPr>
            <a:pattFill prst="pct75">
              <a:fgClr>
                <a:srgbClr val="A50021"/>
              </a:fgClr>
              <a:bgClr>
                <a:schemeClr val="tx1"/>
              </a:bgClr>
            </a:patt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Results!$D$53</c:f>
              <c:numCache>
                <c:formatCode>General</c:formatCode>
                <c:ptCount val="1"/>
                <c:pt idx="0">
                  <c:v>0.16679033795373477</c:v>
                </c:pt>
              </c:numCache>
            </c:numRef>
          </c:val>
          <c:extLst>
            <c:ext xmlns:c16="http://schemas.microsoft.com/office/drawing/2014/chart" uri="{C3380CC4-5D6E-409C-BE32-E72D297353CC}">
              <c16:uniqueId val="{00000009-0E8A-4002-916E-3512A34B09E0}"/>
            </c:ext>
          </c:extLst>
        </c:ser>
        <c:ser>
          <c:idx val="1"/>
          <c:order val="2"/>
          <c:tx>
            <c:strRef>
              <c:f>Results!$E$52</c:f>
              <c:strCache>
                <c:ptCount val="1"/>
                <c:pt idx="0">
                  <c:v>A2 - Transport Primary</c:v>
                </c:pt>
              </c:strCache>
            </c:strRef>
          </c:tx>
          <c:spPr>
            <a:solidFill>
              <a:srgbClr val="FF0000"/>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Results!$E$53</c:f>
              <c:numCache>
                <c:formatCode>General</c:formatCode>
                <c:ptCount val="1"/>
                <c:pt idx="0">
                  <c:v>13.804483802643313</c:v>
                </c:pt>
              </c:numCache>
            </c:numRef>
          </c:val>
          <c:extLst>
            <c:ext xmlns:c16="http://schemas.microsoft.com/office/drawing/2014/chart" uri="{C3380CC4-5D6E-409C-BE32-E72D297353CC}">
              <c16:uniqueId val="{00000003-0E8A-4002-916E-3512A34B09E0}"/>
            </c:ext>
          </c:extLst>
        </c:ser>
        <c:ser>
          <c:idx val="2"/>
          <c:order val="3"/>
          <c:tx>
            <c:strRef>
              <c:f>Results!$F$52</c:f>
              <c:strCache>
                <c:ptCount val="1"/>
                <c:pt idx="0">
                  <c:v>C2' - Transport Secondary</c:v>
                </c:pt>
              </c:strCache>
            </c:strRef>
          </c:tx>
          <c:spPr>
            <a:pattFill prst="pct75">
              <a:fgClr>
                <a:srgbClr val="FF0000"/>
              </a:fgClr>
              <a:bgClr>
                <a:schemeClr val="tx1"/>
              </a:bgClr>
            </a:pattFill>
            <a:ln>
              <a:noFill/>
            </a:ln>
            <a:effectLst/>
          </c:spPr>
          <c:invertIfNegative val="0"/>
          <c:val>
            <c:numRef>
              <c:f>Results!$F$53</c:f>
              <c:numCache>
                <c:formatCode>General</c:formatCode>
                <c:ptCount val="1"/>
                <c:pt idx="0">
                  <c:v>2.3811728849999998</c:v>
                </c:pt>
              </c:numCache>
            </c:numRef>
          </c:val>
          <c:extLst>
            <c:ext xmlns:c16="http://schemas.microsoft.com/office/drawing/2014/chart" uri="{C3380CC4-5D6E-409C-BE32-E72D297353CC}">
              <c16:uniqueId val="{00000004-0E8A-4002-916E-3512A34B09E0}"/>
            </c:ext>
          </c:extLst>
        </c:ser>
        <c:ser>
          <c:idx val="3"/>
          <c:order val="4"/>
          <c:tx>
            <c:strRef>
              <c:f>Results!$G$52</c:f>
              <c:strCache>
                <c:ptCount val="1"/>
                <c:pt idx="0">
                  <c:v>A3- Production</c:v>
                </c:pt>
              </c:strCache>
            </c:strRef>
          </c:tx>
          <c:spPr>
            <a:solidFill>
              <a:srgbClr val="FF7C80"/>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Results!$G$53</c:f>
              <c:numCache>
                <c:formatCode>General</c:formatCode>
                <c:ptCount val="1"/>
                <c:pt idx="0">
                  <c:v>20.056831519468545</c:v>
                </c:pt>
              </c:numCache>
            </c:numRef>
          </c:val>
          <c:extLst>
            <c:ext xmlns:c16="http://schemas.microsoft.com/office/drawing/2014/chart" uri="{C3380CC4-5D6E-409C-BE32-E72D297353CC}">
              <c16:uniqueId val="{00000005-0E8A-4002-916E-3512A34B09E0}"/>
            </c:ext>
          </c:extLst>
        </c:ser>
        <c:ser>
          <c:idx val="8"/>
          <c:order val="8"/>
          <c:tx>
            <c:strRef>
              <c:f>Results!$K$52</c:f>
              <c:strCache>
                <c:ptCount val="1"/>
                <c:pt idx="0">
                  <c:v>D- Burden &amp; Savings</c:v>
                </c:pt>
              </c:strCache>
            </c:strRef>
          </c:tx>
          <c:spPr>
            <a:solidFill>
              <a:srgbClr val="009999"/>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Results!$K$53</c:f>
              <c:numCache>
                <c:formatCode>General</c:formatCode>
                <c:ptCount val="1"/>
                <c:pt idx="0">
                  <c:v>-19.549325643075992</c:v>
                </c:pt>
              </c:numCache>
            </c:numRef>
          </c:val>
          <c:extLst>
            <c:ext xmlns:c16="http://schemas.microsoft.com/office/drawing/2014/chart" uri="{C3380CC4-5D6E-409C-BE32-E72D297353CC}">
              <c16:uniqueId val="{0000000A-0E8A-4002-916E-3512A34B09E0}"/>
            </c:ext>
          </c:extLst>
        </c:ser>
        <c:dLbls>
          <c:showLegendKey val="0"/>
          <c:showVal val="0"/>
          <c:showCatName val="0"/>
          <c:showSerName val="0"/>
          <c:showPercent val="0"/>
          <c:showBubbleSize val="0"/>
        </c:dLbls>
        <c:gapWidth val="150"/>
        <c:overlap val="100"/>
        <c:axId val="620379967"/>
        <c:axId val="620396767"/>
        <c:extLst>
          <c:ext xmlns:c15="http://schemas.microsoft.com/office/drawing/2012/chart" uri="{02D57815-91ED-43cb-92C2-25804820EDAC}">
            <c15:filteredBarSeries>
              <c15:ser>
                <c:idx val="4"/>
                <c:order val="5"/>
                <c:tx>
                  <c:strRef>
                    <c:extLst>
                      <c:ext uri="{02D57815-91ED-43cb-92C2-25804820EDAC}">
                        <c15:formulaRef>
                          <c15:sqref>Results!$H$52</c15:sqref>
                        </c15:formulaRef>
                      </c:ext>
                    </c:extLst>
                    <c:strCache>
                      <c:ptCount val="1"/>
                      <c:pt idx="0">
                        <c:v>A4- Transport</c:v>
                      </c:pt>
                    </c:strCache>
                  </c:strRef>
                </c:tx>
                <c:spPr>
                  <a:solidFill>
                    <a:srgbClr val="FF9933"/>
                  </a:solidFill>
                  <a:ln>
                    <a:noFill/>
                  </a:ln>
                  <a:effectLst/>
                </c:spPr>
                <c:invertIfNegative val="0"/>
                <c:val>
                  <c:numRef>
                    <c:extLst>
                      <c:ext uri="{02D57815-91ED-43cb-92C2-25804820EDAC}">
                        <c15:formulaRef>
                          <c15:sqref>Results!$H$53</c15:sqref>
                        </c15:formulaRef>
                      </c:ext>
                    </c:extLst>
                    <c:numCache>
                      <c:formatCode>General</c:formatCode>
                      <c:ptCount val="1"/>
                      <c:pt idx="0">
                        <c:v>3.1747701841127993</c:v>
                      </c:pt>
                    </c:numCache>
                  </c:numRef>
                </c:val>
                <c:extLst>
                  <c:ext xmlns:c16="http://schemas.microsoft.com/office/drawing/2014/chart" uri="{C3380CC4-5D6E-409C-BE32-E72D297353CC}">
                    <c16:uniqueId val="{00000006-0E8A-4002-916E-3512A34B09E0}"/>
                  </c:ext>
                </c:extLst>
              </c15:ser>
            </c15:filteredBarSeries>
            <c15:filteredBarSeries>
              <c15:ser>
                <c:idx val="5"/>
                <c:order val="6"/>
                <c:tx>
                  <c:strRef>
                    <c:extLst xmlns:c15="http://schemas.microsoft.com/office/drawing/2012/chart">
                      <c:ext xmlns:c15="http://schemas.microsoft.com/office/drawing/2012/chart" uri="{02D57815-91ED-43cb-92C2-25804820EDAC}">
                        <c15:formulaRef>
                          <c15:sqref>Results!$I$52</c15:sqref>
                        </c15:formulaRef>
                      </c:ext>
                    </c:extLst>
                    <c:strCache>
                      <c:ptCount val="1"/>
                      <c:pt idx="0">
                        <c:v>A5- Construction</c:v>
                      </c:pt>
                    </c:strCache>
                  </c:strRef>
                </c:tx>
                <c:spPr>
                  <a:solidFill>
                    <a:srgbClr val="FFCC66"/>
                  </a:solidFill>
                  <a:ln>
                    <a:noFill/>
                  </a:ln>
                  <a:effectLst/>
                </c:spPr>
                <c:invertIfNegative val="0"/>
                <c:val>
                  <c:numRef>
                    <c:extLst xmlns:c15="http://schemas.microsoft.com/office/drawing/2012/chart">
                      <c:ext xmlns:c15="http://schemas.microsoft.com/office/drawing/2012/chart" uri="{02D57815-91ED-43cb-92C2-25804820EDAC}">
                        <c15:formulaRef>
                          <c15:sqref>Results!$I$53</c15:sqref>
                        </c15:formulaRef>
                      </c:ext>
                    </c:extLst>
                    <c:numCache>
                      <c:formatCode>General</c:formatCode>
                      <c:ptCount val="1"/>
                      <c:pt idx="0">
                        <c:v>1.1562033017188762</c:v>
                      </c:pt>
                    </c:numCache>
                  </c:numRef>
                </c:val>
                <c:extLst xmlns:c15="http://schemas.microsoft.com/office/drawing/2012/chart">
                  <c:ext xmlns:c16="http://schemas.microsoft.com/office/drawing/2014/chart" uri="{C3380CC4-5D6E-409C-BE32-E72D297353CC}">
                    <c16:uniqueId val="{00000007-0E8A-4002-916E-3512A34B09E0}"/>
                  </c:ext>
                </c:extLst>
              </c15:ser>
            </c15:filteredBarSeries>
            <c15:filteredBarSeries>
              <c15:ser>
                <c:idx val="6"/>
                <c:order val="7"/>
                <c:tx>
                  <c:strRef>
                    <c:extLst xmlns:c15="http://schemas.microsoft.com/office/drawing/2012/chart">
                      <c:ext xmlns:c15="http://schemas.microsoft.com/office/drawing/2012/chart" uri="{02D57815-91ED-43cb-92C2-25804820EDAC}">
                        <c15:formulaRef>
                          <c15:sqref>Results!$J$52</c15:sqref>
                        </c15:formulaRef>
                      </c:ext>
                    </c:extLst>
                    <c:strCache>
                      <c:ptCount val="1"/>
                      <c:pt idx="0">
                        <c:v>C1 - Deconstruction</c:v>
                      </c:pt>
                    </c:strCache>
                  </c:strRef>
                </c:tx>
                <c:spPr>
                  <a:solidFill>
                    <a:srgbClr val="CCCC00"/>
                  </a:solidFill>
                  <a:ln>
                    <a:noFill/>
                  </a:ln>
                  <a:effectLst/>
                </c:spPr>
                <c:invertIfNegative val="0"/>
                <c:val>
                  <c:numRef>
                    <c:extLst xmlns:c15="http://schemas.microsoft.com/office/drawing/2012/chart">
                      <c:ext xmlns:c15="http://schemas.microsoft.com/office/drawing/2012/chart" uri="{02D57815-91ED-43cb-92C2-25804820EDAC}">
                        <c15:formulaRef>
                          <c15:sqref>Results!$J$53</c15:sqref>
                        </c15:formulaRef>
                      </c:ext>
                    </c:extLst>
                    <c:numCache>
                      <c:formatCode>General</c:formatCode>
                      <c:ptCount val="1"/>
                      <c:pt idx="0">
                        <c:v>0.87737079908012983</c:v>
                      </c:pt>
                    </c:numCache>
                  </c:numRef>
                </c:val>
                <c:extLst xmlns:c15="http://schemas.microsoft.com/office/drawing/2012/chart">
                  <c:ext xmlns:c16="http://schemas.microsoft.com/office/drawing/2014/chart" uri="{C3380CC4-5D6E-409C-BE32-E72D297353CC}">
                    <c16:uniqueId val="{00000008-0E8A-4002-916E-3512A34B09E0}"/>
                  </c:ext>
                </c:extLst>
              </c15:ser>
            </c15:filteredBarSeries>
          </c:ext>
        </c:extLst>
      </c:barChart>
      <c:catAx>
        <c:axId val="620379967"/>
        <c:scaling>
          <c:orientation val="minMax"/>
        </c:scaling>
        <c:delete val="1"/>
        <c:axPos val="b"/>
        <c:numFmt formatCode="General" sourceLinked="1"/>
        <c:majorTickMark val="none"/>
        <c:minorTickMark val="none"/>
        <c:tickLblPos val="nextTo"/>
        <c:crossAx val="620396767"/>
        <c:crosses val="autoZero"/>
        <c:auto val="1"/>
        <c:lblAlgn val="ctr"/>
        <c:lblOffset val="100"/>
        <c:noMultiLvlLbl val="0"/>
      </c:catAx>
      <c:valAx>
        <c:axId val="6203967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-eq/ton</a:t>
                </a:r>
              </a:p>
            </c:rich>
          </c:tx>
          <c:layout>
            <c:manualLayout>
              <c:xMode val="edge"/>
              <c:yMode val="edge"/>
              <c:x val="3.420933977455716E-2"/>
              <c:y val="0.3041827160493826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379967"/>
        <c:crosses val="autoZero"/>
        <c:crossBetween val="between"/>
        <c:majorUnit val="10"/>
      </c:valAx>
      <c:spPr>
        <a:noFill/>
        <a:ln>
          <a:noFill/>
        </a:ln>
        <a:effectLst/>
      </c:spPr>
    </c:plotArea>
    <c:legend>
      <c:legendPos val="b"/>
      <c:layout>
        <c:manualLayout>
          <c:xMode val="edge"/>
          <c:yMode val="edge"/>
          <c:x val="5.1665458937198067E-2"/>
          <c:y val="0.72662135330052424"/>
          <c:w val="0.88251409017713367"/>
          <c:h val="0.2653297727616265"/>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900"/>
      </a:pPr>
      <a:endParaRPr lang="LID4096"/>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a:t>
            </a:r>
            <a:r>
              <a:rPr lang="nl-BE" sz="1050" baseline="0"/>
              <a:t> (GWP100) by Process</a:t>
            </a:r>
            <a:endParaRPr lang="nl-BE" sz="1050"/>
          </a:p>
        </c:rich>
      </c:tx>
      <c:layout>
        <c:manualLayout>
          <c:xMode val="edge"/>
          <c:yMode val="edge"/>
          <c:x val="0.15229688915332354"/>
          <c:y val="8.5970736336273938E-3"/>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41758552713099695"/>
          <c:y val="9.7087777777777773E-2"/>
          <c:w val="0.54395345431606457"/>
          <c:h val="0.76136416666666662"/>
        </c:manualLayout>
      </c:layout>
      <c:barChart>
        <c:barDir val="bar"/>
        <c:grouping val="clustered"/>
        <c:varyColors val="0"/>
        <c:ser>
          <c:idx val="0"/>
          <c:order val="0"/>
          <c:spPr>
            <a:solidFill>
              <a:srgbClr val="92D050"/>
            </a:solidFill>
            <a:ln>
              <a:noFill/>
            </a:ln>
            <a:effectLst/>
          </c:spPr>
          <c:invertIfNegative val="0"/>
          <c:dLbls>
            <c:numFmt formatCode="#,##0.00" sourceLinked="0"/>
            <c:spPr>
              <a:noFill/>
              <a:ln>
                <a:noFill/>
              </a:ln>
              <a:effectLst/>
            </c:spPr>
            <c:txPr>
              <a:bodyPr rot="0" spcFirstLastPara="1" vertOverflow="ellipsis" vert="horz" wrap="square" anchor="ctr" anchorCtr="1"/>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Results!$C$58:$P$59</c15:sqref>
                  </c15:fullRef>
                </c:ext>
              </c:extLst>
              <c:f>Results!$C$58:$P$59</c:f>
              <c:multiLvlStrCache>
                <c:ptCount val="13"/>
                <c:lvl>
                  <c:pt idx="0">
                    <c:v>A1 - Primary Material </c:v>
                  </c:pt>
                  <c:pt idx="1">
                    <c:v>A2 - Transport Primary</c:v>
                  </c:pt>
                  <c:pt idx="2">
                    <c:v>A1 - Primary Material </c:v>
                  </c:pt>
                  <c:pt idx="3">
                    <c:v>A2 - Transport Primary</c:v>
                  </c:pt>
                  <c:pt idx="4">
                    <c:v>A1 - Primary Material </c:v>
                  </c:pt>
                  <c:pt idx="5">
                    <c:v>A2 - Transport Primary</c:v>
                  </c:pt>
                  <c:pt idx="6">
                    <c:v>C3' - Secondary Material</c:v>
                  </c:pt>
                  <c:pt idx="7">
                    <c:v>C2' - Transport Secondary</c:v>
                  </c:pt>
                  <c:pt idx="8">
                    <c:v>C3' - Secondary Material</c:v>
                  </c:pt>
                  <c:pt idx="9">
                    <c:v>C2' - Transport Secondary</c:v>
                  </c:pt>
                  <c:pt idx="10">
                    <c:v>A1 - Primary Material </c:v>
                  </c:pt>
                  <c:pt idx="11">
                    <c:v>A2 - Transport Primary</c:v>
                  </c:pt>
                  <c:pt idx="12">
                    <c:v>A3 - Production</c:v>
                  </c:pt>
                </c:lvl>
                <c:lvl>
                  <c:pt idx="0">
                    <c:v>Aggregate</c:v>
                  </c:pt>
                  <c:pt idx="2">
                    <c:v>Virgin binder</c:v>
                  </c:pt>
                  <c:pt idx="4">
                    <c:v>Filler</c:v>
                  </c:pt>
                  <c:pt idx="6">
                    <c:v>RAP</c:v>
                  </c:pt>
                  <c:pt idx="8">
                    <c:v>Other Waste </c:v>
                  </c:pt>
                  <c:pt idx="10">
                    <c:v>Additiv</c:v>
                  </c:pt>
                  <c:pt idx="12">
                    <c:v> </c:v>
                  </c:pt>
                </c:lvl>
              </c:multiLvlStrCache>
            </c:multiLvlStrRef>
          </c:cat>
          <c:val>
            <c:numRef>
              <c:extLst>
                <c:ext xmlns:c15="http://schemas.microsoft.com/office/drawing/2012/chart" uri="{02D57815-91ED-43cb-92C2-25804820EDAC}">
                  <c15:fullRef>
                    <c15:sqref>Results!$C$60:$P$60</c15:sqref>
                  </c15:fullRef>
                </c:ext>
              </c:extLst>
              <c:f>Results!$C$60:$O$60</c:f>
              <c:numCache>
                <c:formatCode>General</c:formatCode>
                <c:ptCount val="13"/>
                <c:pt idx="0">
                  <c:v>2.2293018000920592</c:v>
                </c:pt>
                <c:pt idx="1">
                  <c:v>12.067875368229734</c:v>
                </c:pt>
                <c:pt idx="2">
                  <c:v>11.7448</c:v>
                </c:pt>
                <c:pt idx="3">
                  <c:v>0.92165995176527982</c:v>
                </c:pt>
                <c:pt idx="4">
                  <c:v>0.3428723486060043</c:v>
                </c:pt>
                <c:pt idx="5">
                  <c:v>0.16588837765499997</c:v>
                </c:pt>
                <c:pt idx="6">
                  <c:v>0.16679033795373477</c:v>
                </c:pt>
                <c:pt idx="7">
                  <c:v>2.3811728849999998</c:v>
                </c:pt>
                <c:pt idx="8">
                  <c:v>0</c:v>
                </c:pt>
                <c:pt idx="9">
                  <c:v>0</c:v>
                </c:pt>
                <c:pt idx="10">
                  <c:v>0.65423526228811013</c:v>
                </c:pt>
                <c:pt idx="11">
                  <c:v>0.64906010499329991</c:v>
                </c:pt>
                <c:pt idx="12">
                  <c:v>20.056831519468545</c:v>
                </c:pt>
              </c:numCache>
            </c:numRef>
          </c:val>
          <c:extLst>
            <c:ext xmlns:c16="http://schemas.microsoft.com/office/drawing/2014/chart" uri="{C3380CC4-5D6E-409C-BE32-E72D297353CC}">
              <c16:uniqueId val="{00000000-5546-47AE-A1E4-8C787282256C}"/>
            </c:ext>
          </c:extLst>
        </c:ser>
        <c:dLbls>
          <c:showLegendKey val="0"/>
          <c:showVal val="0"/>
          <c:showCatName val="0"/>
          <c:showSerName val="0"/>
          <c:showPercent val="0"/>
          <c:showBubbleSize val="0"/>
        </c:dLbls>
        <c:gapWidth val="219"/>
        <c:axId val="620420767"/>
        <c:axId val="620437087"/>
      </c:barChart>
      <c:catAx>
        <c:axId val="620420767"/>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37087"/>
        <c:crosses val="autoZero"/>
        <c:auto val="1"/>
        <c:lblAlgn val="ctr"/>
        <c:lblOffset val="100"/>
        <c:noMultiLvlLbl val="0"/>
      </c:catAx>
      <c:valAx>
        <c:axId val="62043708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-eq/ton</a:t>
                </a:r>
              </a:p>
            </c:rich>
          </c:tx>
          <c:layout>
            <c:manualLayout>
              <c:xMode val="edge"/>
              <c:yMode val="edge"/>
              <c:x val="0.53593166403508918"/>
              <c:y val="0.92216361111111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20767"/>
        <c:crosses val="autoZero"/>
        <c:crossBetween val="between"/>
      </c:valAx>
      <c:spPr>
        <a:noFill/>
        <a:ln>
          <a:solidFill>
            <a:schemeClr val="bg2">
              <a:lumMod val="90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59055118110236227" l="0.59055118110236227" r="0.59055118110236227" t="0.74803149606299213" header="0.31496062992125984" footer="0.31496062992125984"/>
    <c:pageSetup orientation="portrait"/>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PEF Single Score by Life Cycle Stage</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515700483091788"/>
          <c:y val="0.11846817814018459"/>
          <c:w val="0.52233695652173917"/>
          <c:h val="0.62424074074074076"/>
        </c:manualLayout>
      </c:layout>
      <c:barChart>
        <c:barDir val="col"/>
        <c:grouping val="stacked"/>
        <c:varyColors val="0"/>
        <c:ser>
          <c:idx val="0"/>
          <c:order val="0"/>
          <c:tx>
            <c:strRef>
              <c:f>Results!$D$27</c:f>
              <c:strCache>
                <c:ptCount val="1"/>
                <c:pt idx="0">
                  <c:v>A1 - Primary Material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Results!$D$47</c:f>
              <c:numCache>
                <c:formatCode>General</c:formatCode>
                <c:ptCount val="1"/>
                <c:pt idx="0">
                  <c:v>2.5382236947455259</c:v>
                </c:pt>
              </c:numCache>
            </c:numRef>
          </c:val>
          <c:extLst>
            <c:ext xmlns:c16="http://schemas.microsoft.com/office/drawing/2014/chart" uri="{C3380CC4-5D6E-409C-BE32-E72D297353CC}">
              <c16:uniqueId val="{00000000-1DDB-43A5-9A08-E8DD230B5646}"/>
            </c:ext>
          </c:extLst>
        </c:ser>
        <c:ser>
          <c:idx val="7"/>
          <c:order val="1"/>
          <c:tx>
            <c:strRef>
              <c:f>Results!$E$27</c:f>
              <c:strCache>
                <c:ptCount val="1"/>
                <c:pt idx="0">
                  <c:v>C3' - Secondary Material</c:v>
                </c:pt>
              </c:strCache>
            </c:strRef>
          </c:tx>
          <c:spPr>
            <a:pattFill prst="pct75">
              <a:fgClr>
                <a:srgbClr val="A50021"/>
              </a:fgClr>
              <a:bgClr>
                <a:schemeClr val="tx1"/>
              </a:bgClr>
            </a:patt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Results!$E$47</c:f>
              <c:numCache>
                <c:formatCode>General</c:formatCode>
                <c:ptCount val="1"/>
                <c:pt idx="0">
                  <c:v>8.2057024911274066E-3</c:v>
                </c:pt>
              </c:numCache>
            </c:numRef>
          </c:val>
          <c:extLst>
            <c:ext xmlns:c16="http://schemas.microsoft.com/office/drawing/2014/chart" uri="{C3380CC4-5D6E-409C-BE32-E72D297353CC}">
              <c16:uniqueId val="{00000006-FF52-4948-975F-4F73E925B71D}"/>
            </c:ext>
          </c:extLst>
        </c:ser>
        <c:ser>
          <c:idx val="1"/>
          <c:order val="2"/>
          <c:tx>
            <c:strRef>
              <c:f>Results!$F$27</c:f>
              <c:strCache>
                <c:ptCount val="1"/>
                <c:pt idx="0">
                  <c:v>A2 - Transport Primary</c:v>
                </c:pt>
              </c:strCache>
            </c:strRef>
          </c:tx>
          <c:spPr>
            <a:solidFill>
              <a:srgbClr val="FF000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Results!$F$47</c:f>
              <c:numCache>
                <c:formatCode>General</c:formatCode>
                <c:ptCount val="1"/>
                <c:pt idx="0">
                  <c:v>0.82882370666317073</c:v>
                </c:pt>
              </c:numCache>
            </c:numRef>
          </c:val>
          <c:extLst>
            <c:ext xmlns:c16="http://schemas.microsoft.com/office/drawing/2014/chart" uri="{C3380CC4-5D6E-409C-BE32-E72D297353CC}">
              <c16:uniqueId val="{00000000-FF52-4948-975F-4F73E925B71D}"/>
            </c:ext>
          </c:extLst>
        </c:ser>
        <c:ser>
          <c:idx val="2"/>
          <c:order val="3"/>
          <c:tx>
            <c:strRef>
              <c:f>Results!$G$27</c:f>
              <c:strCache>
                <c:ptCount val="1"/>
                <c:pt idx="0">
                  <c:v>C2' - Transport Secondary</c:v>
                </c:pt>
              </c:strCache>
            </c:strRef>
          </c:tx>
          <c:spPr>
            <a:pattFill prst="pct75">
              <a:fgClr>
                <a:srgbClr val="FF0000"/>
              </a:fgClr>
              <a:bgClr>
                <a:schemeClr val="tx1"/>
              </a:bgClr>
            </a:pattFill>
            <a:ln>
              <a:noFill/>
            </a:ln>
            <a:effectLst/>
          </c:spPr>
          <c:invertIfNegative val="0"/>
          <c:val>
            <c:numRef>
              <c:f>Results!$G$47</c:f>
              <c:numCache>
                <c:formatCode>General</c:formatCode>
                <c:ptCount val="1"/>
                <c:pt idx="0">
                  <c:v>0.14003663074857009</c:v>
                </c:pt>
              </c:numCache>
            </c:numRef>
          </c:val>
          <c:extLst>
            <c:ext xmlns:c16="http://schemas.microsoft.com/office/drawing/2014/chart" uri="{C3380CC4-5D6E-409C-BE32-E72D297353CC}">
              <c16:uniqueId val="{00000001-FF52-4948-975F-4F73E925B71D}"/>
            </c:ext>
          </c:extLst>
        </c:ser>
        <c:ser>
          <c:idx val="3"/>
          <c:order val="4"/>
          <c:tx>
            <c:strRef>
              <c:f>Results!$H$27</c:f>
              <c:strCache>
                <c:ptCount val="1"/>
                <c:pt idx="0">
                  <c:v>A3- Production</c:v>
                </c:pt>
              </c:strCache>
            </c:strRef>
          </c:tx>
          <c:spPr>
            <a:solidFill>
              <a:srgbClr val="FF7C8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Results!$H$47</c:f>
              <c:numCache>
                <c:formatCode>General</c:formatCode>
                <c:ptCount val="1"/>
                <c:pt idx="0">
                  <c:v>1.0957071521886901</c:v>
                </c:pt>
              </c:numCache>
            </c:numRef>
          </c:val>
          <c:extLst>
            <c:ext xmlns:c16="http://schemas.microsoft.com/office/drawing/2014/chart" uri="{C3380CC4-5D6E-409C-BE32-E72D297353CC}">
              <c16:uniqueId val="{00000002-FF52-4948-975F-4F73E925B71D}"/>
            </c:ext>
          </c:extLst>
        </c:ser>
        <c:ser>
          <c:idx val="4"/>
          <c:order val="5"/>
          <c:tx>
            <c:strRef>
              <c:f>Results!$I$27</c:f>
              <c:strCache>
                <c:ptCount val="1"/>
                <c:pt idx="0">
                  <c:v>A4- Transport</c:v>
                </c:pt>
              </c:strCache>
            </c:strRef>
          </c:tx>
          <c:spPr>
            <a:solidFill>
              <a:srgbClr val="FF9933"/>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Results!$I$47</c:f>
              <c:numCache>
                <c:formatCode>General</c:formatCode>
                <c:ptCount val="1"/>
                <c:pt idx="0">
                  <c:v>0.18670803904445349</c:v>
                </c:pt>
              </c:numCache>
            </c:numRef>
          </c:val>
          <c:extLst>
            <c:ext xmlns:c16="http://schemas.microsoft.com/office/drawing/2014/chart" uri="{C3380CC4-5D6E-409C-BE32-E72D297353CC}">
              <c16:uniqueId val="{00000003-FF52-4948-975F-4F73E925B71D}"/>
            </c:ext>
          </c:extLst>
        </c:ser>
        <c:ser>
          <c:idx val="5"/>
          <c:order val="6"/>
          <c:tx>
            <c:strRef>
              <c:f>Results!$J$27</c:f>
              <c:strCache>
                <c:ptCount val="1"/>
                <c:pt idx="0">
                  <c:v>A5- Construction</c:v>
                </c:pt>
              </c:strCache>
            </c:strRef>
          </c:tx>
          <c:spPr>
            <a:solidFill>
              <a:srgbClr val="FFCC66"/>
            </a:solidFill>
            <a:ln>
              <a:noFill/>
            </a:ln>
            <a:effectLst/>
          </c:spPr>
          <c:invertIfNegative val="0"/>
          <c:val>
            <c:numRef>
              <c:f>Results!$J$47</c:f>
              <c:numCache>
                <c:formatCode>General</c:formatCode>
                <c:ptCount val="1"/>
                <c:pt idx="0">
                  <c:v>5.688255344740651E-2</c:v>
                </c:pt>
              </c:numCache>
            </c:numRef>
          </c:val>
          <c:extLst>
            <c:ext xmlns:c16="http://schemas.microsoft.com/office/drawing/2014/chart" uri="{C3380CC4-5D6E-409C-BE32-E72D297353CC}">
              <c16:uniqueId val="{00000004-FF52-4948-975F-4F73E925B71D}"/>
            </c:ext>
          </c:extLst>
        </c:ser>
        <c:ser>
          <c:idx val="6"/>
          <c:order val="7"/>
          <c:tx>
            <c:strRef>
              <c:f>Results!$K$27</c:f>
              <c:strCache>
                <c:ptCount val="1"/>
                <c:pt idx="0">
                  <c:v>C1 - Deconstruction</c:v>
                </c:pt>
              </c:strCache>
            </c:strRef>
          </c:tx>
          <c:spPr>
            <a:solidFill>
              <a:srgbClr val="CCCC00"/>
            </a:solidFill>
            <a:ln>
              <a:noFill/>
            </a:ln>
            <a:effectLst/>
          </c:spPr>
          <c:invertIfNegative val="0"/>
          <c:val>
            <c:numRef>
              <c:f>Results!$K$47</c:f>
              <c:numCache>
                <c:formatCode>General</c:formatCode>
                <c:ptCount val="1"/>
                <c:pt idx="0">
                  <c:v>4.3164633155496616E-2</c:v>
                </c:pt>
              </c:numCache>
            </c:numRef>
          </c:val>
          <c:extLst>
            <c:ext xmlns:c16="http://schemas.microsoft.com/office/drawing/2014/chart" uri="{C3380CC4-5D6E-409C-BE32-E72D297353CC}">
              <c16:uniqueId val="{00000005-FF52-4948-975F-4F73E925B71D}"/>
            </c:ext>
          </c:extLst>
        </c:ser>
        <c:ser>
          <c:idx val="8"/>
          <c:order val="8"/>
          <c:tx>
            <c:strRef>
              <c:f>Results!$L$27</c:f>
              <c:strCache>
                <c:ptCount val="1"/>
                <c:pt idx="0">
                  <c:v>D- Burdens &amp; Savings</c:v>
                </c:pt>
              </c:strCache>
            </c:strRef>
          </c:tx>
          <c:spPr>
            <a:solidFill>
              <a:srgbClr val="0099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Results!$L$47</c:f>
              <c:numCache>
                <c:formatCode>General</c:formatCode>
                <c:ptCount val="1"/>
                <c:pt idx="0">
                  <c:v>-2.8735178658569742</c:v>
                </c:pt>
              </c:numCache>
            </c:numRef>
          </c:val>
          <c:extLst>
            <c:ext xmlns:c16="http://schemas.microsoft.com/office/drawing/2014/chart" uri="{C3380CC4-5D6E-409C-BE32-E72D297353CC}">
              <c16:uniqueId val="{00000001-DE9D-46B7-B860-FBADC2F3C619}"/>
            </c:ext>
          </c:extLst>
        </c:ser>
        <c:ser>
          <c:idx val="9"/>
          <c:order val="9"/>
          <c:tx>
            <c:v>Blank</c:v>
          </c:tx>
          <c:spPr>
            <a:noFill/>
            <a:ln>
              <a:noFill/>
            </a:ln>
            <a:effectLst/>
          </c:spPr>
          <c:invertIfNegative val="0"/>
          <c:val>
            <c:numLit>
              <c:formatCode>General</c:formatCode>
              <c:ptCount val="1"/>
              <c:pt idx="0">
                <c:v>0</c:v>
              </c:pt>
            </c:numLit>
          </c:val>
          <c:extLst>
            <c:ext xmlns:c16="http://schemas.microsoft.com/office/drawing/2014/chart" uri="{C3380CC4-5D6E-409C-BE32-E72D297353CC}">
              <c16:uniqueId val="{00000002-DE9D-46B7-B860-FBADC2F3C619}"/>
            </c:ext>
          </c:extLst>
        </c:ser>
        <c:dLbls>
          <c:showLegendKey val="0"/>
          <c:showVal val="0"/>
          <c:showCatName val="0"/>
          <c:showSerName val="0"/>
          <c:showPercent val="0"/>
          <c:showBubbleSize val="0"/>
        </c:dLbls>
        <c:gapWidth val="150"/>
        <c:overlap val="100"/>
        <c:axId val="620451487"/>
        <c:axId val="620451967"/>
      </c:barChart>
      <c:catAx>
        <c:axId val="620451487"/>
        <c:scaling>
          <c:orientation val="minMax"/>
        </c:scaling>
        <c:delete val="1"/>
        <c:axPos val="b"/>
        <c:numFmt formatCode="General" sourceLinked="1"/>
        <c:majorTickMark val="none"/>
        <c:minorTickMark val="none"/>
        <c:tickLblPos val="nextTo"/>
        <c:crossAx val="620451967"/>
        <c:crosses val="autoZero"/>
        <c:auto val="1"/>
        <c:lblAlgn val="ctr"/>
        <c:lblOffset val="100"/>
        <c:noMultiLvlLbl val="0"/>
      </c:catAx>
      <c:valAx>
        <c:axId val="6204519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mpt/ton</a:t>
                </a:r>
                <a:endParaRPr lang="nl-BE" sz="1000" baseline="30000"/>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51487"/>
        <c:crosses val="autoZero"/>
        <c:crossBetween val="between"/>
        <c:majorUnit val="1"/>
      </c:valAx>
      <c:spPr>
        <a:noFill/>
        <a:ln>
          <a:noFill/>
        </a:ln>
        <a:effectLst/>
      </c:spPr>
    </c:plotArea>
    <c:legend>
      <c:legendPos val="b"/>
      <c:legendEntry>
        <c:idx val="0"/>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LID4096"/>
          </a:p>
        </c:txPr>
      </c:legendEntry>
      <c:layout>
        <c:manualLayout>
          <c:xMode val="edge"/>
          <c:yMode val="edge"/>
          <c:x val="2.0975040257648944E-2"/>
          <c:y val="0.75046080246913593"/>
          <c:w val="0.94216183574879231"/>
          <c:h val="0.24953919753086423"/>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PEF Single Score by</a:t>
            </a:r>
            <a:r>
              <a:rPr lang="nl-BE" sz="1050" baseline="0"/>
              <a:t> Impact Category</a:t>
            </a:r>
            <a:endParaRPr lang="nl-BE" sz="1050"/>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11994742762128326"/>
          <c:y val="0.11857222222222222"/>
          <c:w val="0.33893681533646325"/>
          <c:h val="0.85864197530864184"/>
        </c:manualLayout>
      </c:layout>
      <c:barChart>
        <c:barDir val="col"/>
        <c:grouping val="stacked"/>
        <c:varyColors val="0"/>
        <c:ser>
          <c:idx val="0"/>
          <c:order val="0"/>
          <c:tx>
            <c:strRef>
              <c:f>Results!$A$28</c:f>
              <c:strCache>
                <c:ptCount val="1"/>
                <c:pt idx="0">
                  <c:v>Acidification </c:v>
                </c:pt>
              </c:strCache>
            </c:strRef>
          </c:tx>
          <c:spPr>
            <a:solidFill>
              <a:srgbClr val="38477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Results!$N$28</c:f>
              <c:numCache>
                <c:formatCode>General</c:formatCode>
                <c:ptCount val="1"/>
                <c:pt idx="0">
                  <c:v>0.15234168554652716</c:v>
                </c:pt>
              </c:numCache>
            </c:numRef>
          </c:val>
          <c:extLst>
            <c:ext xmlns:c16="http://schemas.microsoft.com/office/drawing/2014/chart" uri="{C3380CC4-5D6E-409C-BE32-E72D297353CC}">
              <c16:uniqueId val="{00000015-D8F7-4811-9660-51CC9C0F49AE}"/>
            </c:ext>
          </c:extLst>
        </c:ser>
        <c:ser>
          <c:idx val="1"/>
          <c:order val="1"/>
          <c:tx>
            <c:strRef>
              <c:f>Results!$A$29</c:f>
              <c:strCache>
                <c:ptCount val="1"/>
                <c:pt idx="0">
                  <c:v>Climate change </c:v>
                </c:pt>
              </c:strCache>
            </c:strRef>
          </c:tx>
          <c:spPr>
            <a:solidFill>
              <a:srgbClr val="8EA1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Results!$N$29</c:f>
              <c:numCache>
                <c:formatCode>General</c:formatCode>
                <c:ptCount val="1"/>
                <c:pt idx="0">
                  <c:v>1.4713096382650528</c:v>
                </c:pt>
              </c:numCache>
            </c:numRef>
          </c:val>
          <c:extLst>
            <c:ext xmlns:c16="http://schemas.microsoft.com/office/drawing/2014/chart" uri="{C3380CC4-5D6E-409C-BE32-E72D297353CC}">
              <c16:uniqueId val="{00000000-1991-431A-A66A-B5DF1E9C344E}"/>
            </c:ext>
          </c:extLst>
        </c:ser>
        <c:ser>
          <c:idx val="5"/>
          <c:order val="5"/>
          <c:tx>
            <c:strRef>
              <c:f>Results!$A$33</c:f>
              <c:strCache>
                <c:ptCount val="1"/>
                <c:pt idx="0">
                  <c:v>Ecotoxicity: freshwater </c:v>
                </c:pt>
              </c:strCache>
            </c:strRef>
          </c:tx>
          <c:spPr>
            <a:solidFill>
              <a:schemeClr val="accent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Results!$N$33</c:f>
              <c:numCache>
                <c:formatCode>General</c:formatCode>
                <c:ptCount val="1"/>
                <c:pt idx="0">
                  <c:v>0.30525488237528925</c:v>
                </c:pt>
              </c:numCache>
            </c:numRef>
          </c:val>
          <c:extLst>
            <c:ext xmlns:c16="http://schemas.microsoft.com/office/drawing/2014/chart" uri="{C3380CC4-5D6E-409C-BE32-E72D297353CC}">
              <c16:uniqueId val="{00000004-1991-431A-A66A-B5DF1E9C344E}"/>
            </c:ext>
          </c:extLst>
        </c:ser>
        <c:ser>
          <c:idx val="6"/>
          <c:order val="6"/>
          <c:tx>
            <c:strRef>
              <c:f>Results!$A$34</c:f>
              <c:strCache>
                <c:ptCount val="1"/>
                <c:pt idx="0">
                  <c:v>Energy resources: non-renewable </c:v>
                </c:pt>
              </c:strCache>
            </c:strRef>
          </c:tx>
          <c:spPr>
            <a:solidFill>
              <a:srgbClr val="F38947"/>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Results!$N$34</c:f>
              <c:numCache>
                <c:formatCode>General</c:formatCode>
                <c:ptCount val="1"/>
                <c:pt idx="0">
                  <c:v>1.9999798608318635</c:v>
                </c:pt>
              </c:numCache>
            </c:numRef>
          </c:val>
          <c:extLst>
            <c:ext xmlns:c16="http://schemas.microsoft.com/office/drawing/2014/chart" uri="{C3380CC4-5D6E-409C-BE32-E72D297353CC}">
              <c16:uniqueId val="{00000005-1991-431A-A66A-B5DF1E9C344E}"/>
            </c:ext>
          </c:extLst>
        </c:ser>
        <c:ser>
          <c:idx val="7"/>
          <c:order val="7"/>
          <c:tx>
            <c:strRef>
              <c:f>Results!$A$35</c:f>
              <c:strCache>
                <c:ptCount val="1"/>
                <c:pt idx="0">
                  <c:v>Eutrophication: freshwater </c:v>
                </c:pt>
              </c:strCache>
            </c:strRef>
          </c:tx>
          <c:spPr>
            <a:solidFill>
              <a:srgbClr val="617038"/>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Results!$N$35</c:f>
              <c:numCache>
                <c:formatCode>General</c:formatCode>
                <c:ptCount val="1"/>
                <c:pt idx="0">
                  <c:v>3.0207025837760915E-2</c:v>
                </c:pt>
              </c:numCache>
            </c:numRef>
          </c:val>
          <c:extLst>
            <c:ext xmlns:c16="http://schemas.microsoft.com/office/drawing/2014/chart" uri="{C3380CC4-5D6E-409C-BE32-E72D297353CC}">
              <c16:uniqueId val="{00000006-1991-431A-A66A-B5DF1E9C344E}"/>
            </c:ext>
          </c:extLst>
        </c:ser>
        <c:ser>
          <c:idx val="8"/>
          <c:order val="8"/>
          <c:tx>
            <c:strRef>
              <c:f>Results!$A$36</c:f>
              <c:strCache>
                <c:ptCount val="1"/>
                <c:pt idx="0">
                  <c:v>Eutrophication: marine </c:v>
                </c:pt>
              </c:strCache>
            </c:strRef>
          </c:tx>
          <c:spPr>
            <a:solidFill>
              <a:srgbClr val="89974F"/>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Results!$N$36</c:f>
              <c:numCache>
                <c:formatCode>General</c:formatCode>
                <c:ptCount val="1"/>
                <c:pt idx="0">
                  <c:v>5.9107226390674387E-2</c:v>
                </c:pt>
              </c:numCache>
            </c:numRef>
          </c:val>
          <c:extLst>
            <c:ext xmlns:c16="http://schemas.microsoft.com/office/drawing/2014/chart" uri="{C3380CC4-5D6E-409C-BE32-E72D297353CC}">
              <c16:uniqueId val="{00000007-1991-431A-A66A-B5DF1E9C344E}"/>
            </c:ext>
          </c:extLst>
        </c:ser>
        <c:ser>
          <c:idx val="9"/>
          <c:order val="9"/>
          <c:tx>
            <c:strRef>
              <c:f>Results!$A$37</c:f>
              <c:strCache>
                <c:ptCount val="1"/>
                <c:pt idx="0">
                  <c:v>Eutrophication: terrestrial </c:v>
                </c:pt>
              </c:strCache>
            </c:strRef>
          </c:tx>
          <c:spPr>
            <a:solidFill>
              <a:srgbClr val="BEC8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Results!$N$37</c:f>
              <c:numCache>
                <c:formatCode>General</c:formatCode>
                <c:ptCount val="1"/>
                <c:pt idx="0">
                  <c:v>9.5207792399477909E-2</c:v>
                </c:pt>
              </c:numCache>
            </c:numRef>
          </c:val>
          <c:extLst>
            <c:ext xmlns:c16="http://schemas.microsoft.com/office/drawing/2014/chart" uri="{C3380CC4-5D6E-409C-BE32-E72D297353CC}">
              <c16:uniqueId val="{00000008-1991-431A-A66A-B5DF1E9C344E}"/>
            </c:ext>
          </c:extLst>
        </c:ser>
        <c:ser>
          <c:idx val="10"/>
          <c:order val="10"/>
          <c:tx>
            <c:strRef>
              <c:f>Results!$A$38</c:f>
              <c:strCache>
                <c:ptCount val="1"/>
                <c:pt idx="0">
                  <c:v>Human toxicity: carcinogenic</c:v>
                </c:pt>
              </c:strCache>
            </c:strRef>
          </c:tx>
          <c:spPr>
            <a:solidFill>
              <a:srgbClr val="816331"/>
            </a:solidFill>
            <a:ln>
              <a:noFill/>
            </a:ln>
            <a:effectLst/>
          </c:spPr>
          <c:invertIfNegative val="0"/>
          <c:val>
            <c:numRef>
              <c:f>Results!$N$38</c:f>
              <c:numCache>
                <c:formatCode>General</c:formatCode>
                <c:ptCount val="1"/>
                <c:pt idx="0">
                  <c:v>1.9686504980701628E-2</c:v>
                </c:pt>
              </c:numCache>
            </c:numRef>
          </c:val>
          <c:extLst>
            <c:ext xmlns:c16="http://schemas.microsoft.com/office/drawing/2014/chart" uri="{C3380CC4-5D6E-409C-BE32-E72D297353CC}">
              <c16:uniqueId val="{00000009-1991-431A-A66A-B5DF1E9C344E}"/>
            </c:ext>
          </c:extLst>
        </c:ser>
        <c:ser>
          <c:idx val="11"/>
          <c:order val="11"/>
          <c:tx>
            <c:strRef>
              <c:f>Results!$A$39</c:f>
              <c:strCache>
                <c:ptCount val="1"/>
                <c:pt idx="0">
                  <c:v>Human toxicity: non-carcinogenic </c:v>
                </c:pt>
              </c:strCache>
            </c:strRef>
          </c:tx>
          <c:spPr>
            <a:solidFill>
              <a:srgbClr val="E0AD46"/>
            </a:solidFill>
            <a:ln>
              <a:noFill/>
            </a:ln>
            <a:effectLst/>
          </c:spPr>
          <c:invertIfNegative val="0"/>
          <c:val>
            <c:numRef>
              <c:f>Results!$N$39</c:f>
              <c:numCache>
                <c:formatCode>General</c:formatCode>
                <c:ptCount val="1"/>
                <c:pt idx="0">
                  <c:v>4.1766425183394573E-2</c:v>
                </c:pt>
              </c:numCache>
            </c:numRef>
          </c:val>
          <c:extLst>
            <c:ext xmlns:c16="http://schemas.microsoft.com/office/drawing/2014/chart" uri="{C3380CC4-5D6E-409C-BE32-E72D297353CC}">
              <c16:uniqueId val="{0000000A-1991-431A-A66A-B5DF1E9C344E}"/>
            </c:ext>
          </c:extLst>
        </c:ser>
        <c:ser>
          <c:idx val="12"/>
          <c:order val="12"/>
          <c:tx>
            <c:strRef>
              <c:f>Results!$A$40</c:f>
              <c:strCache>
                <c:ptCount val="1"/>
                <c:pt idx="0">
                  <c:v>Ionising radiation: human health </c:v>
                </c:pt>
              </c:strCache>
            </c:strRef>
          </c:tx>
          <c:spPr>
            <a:solidFill>
              <a:srgbClr val="F9C2A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Results!$N$40</c:f>
              <c:numCache>
                <c:formatCode>General</c:formatCode>
                <c:ptCount val="1"/>
                <c:pt idx="0">
                  <c:v>3.6025890441181228E-2</c:v>
                </c:pt>
              </c:numCache>
            </c:numRef>
          </c:val>
          <c:extLst>
            <c:ext xmlns:c16="http://schemas.microsoft.com/office/drawing/2014/chart" uri="{C3380CC4-5D6E-409C-BE32-E72D297353CC}">
              <c16:uniqueId val="{0000000B-1991-431A-A66A-B5DF1E9C344E}"/>
            </c:ext>
          </c:extLst>
        </c:ser>
        <c:ser>
          <c:idx val="13"/>
          <c:order val="13"/>
          <c:tx>
            <c:strRef>
              <c:f>Results!$A$41</c:f>
              <c:strCache>
                <c:ptCount val="1"/>
                <c:pt idx="0">
                  <c:v>Land use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Results!$N$41</c:f>
              <c:numCache>
                <c:formatCode>General</c:formatCode>
                <c:ptCount val="1"/>
                <c:pt idx="0">
                  <c:v>4.232046528768902E-2</c:v>
                </c:pt>
              </c:numCache>
            </c:numRef>
          </c:val>
          <c:extLst>
            <c:ext xmlns:c16="http://schemas.microsoft.com/office/drawing/2014/chart" uri="{C3380CC4-5D6E-409C-BE32-E72D297353CC}">
              <c16:uniqueId val="{0000000C-1991-431A-A66A-B5DF1E9C344E}"/>
            </c:ext>
          </c:extLst>
        </c:ser>
        <c:ser>
          <c:idx val="14"/>
          <c:order val="14"/>
          <c:tx>
            <c:strRef>
              <c:f>Results!$A$42</c:f>
              <c:strCache>
                <c:ptCount val="1"/>
                <c:pt idx="0">
                  <c:v>Material resources: metals/minerals </c:v>
                </c:pt>
              </c:strCache>
            </c:strRef>
          </c:tx>
          <c:spPr>
            <a:solidFill>
              <a:srgbClr val="276FB4"/>
            </a:solidFill>
            <a:ln>
              <a:noFill/>
            </a:ln>
            <a:effectLst/>
          </c:spPr>
          <c:invertIfNegative val="0"/>
          <c:val>
            <c:numRef>
              <c:f>Results!$N$42</c:f>
              <c:numCache>
                <c:formatCode>General</c:formatCode>
                <c:ptCount val="1"/>
                <c:pt idx="0">
                  <c:v>3.3255144365009836E-7</c:v>
                </c:pt>
              </c:numCache>
            </c:numRef>
          </c:val>
          <c:extLst>
            <c:ext xmlns:c16="http://schemas.microsoft.com/office/drawing/2014/chart" uri="{C3380CC4-5D6E-409C-BE32-E72D297353CC}">
              <c16:uniqueId val="{0000000D-1991-431A-A66A-B5DF1E9C344E}"/>
            </c:ext>
          </c:extLst>
        </c:ser>
        <c:ser>
          <c:idx val="15"/>
          <c:order val="15"/>
          <c:tx>
            <c:strRef>
              <c:f>Results!$A$43</c:f>
              <c:strCache>
                <c:ptCount val="1"/>
                <c:pt idx="0">
                  <c:v>Ozone depletion</c:v>
                </c:pt>
              </c:strCache>
            </c:strRef>
          </c:tx>
          <c:spPr>
            <a:solidFill>
              <a:srgbClr val="CE5689"/>
            </a:solidFill>
            <a:ln>
              <a:noFill/>
            </a:ln>
            <a:effectLst/>
          </c:spPr>
          <c:invertIfNegative val="0"/>
          <c:val>
            <c:numRef>
              <c:f>Results!$N$43</c:f>
              <c:numCache>
                <c:formatCode>General</c:formatCode>
                <c:ptCount val="1"/>
                <c:pt idx="0">
                  <c:v>3.7913263328852279E-3</c:v>
                </c:pt>
              </c:numCache>
            </c:numRef>
          </c:val>
          <c:extLst>
            <c:ext xmlns:c16="http://schemas.microsoft.com/office/drawing/2014/chart" uri="{C3380CC4-5D6E-409C-BE32-E72D297353CC}">
              <c16:uniqueId val="{0000000E-1991-431A-A66A-B5DF1E9C344E}"/>
            </c:ext>
          </c:extLst>
        </c:ser>
        <c:ser>
          <c:idx val="16"/>
          <c:order val="16"/>
          <c:tx>
            <c:strRef>
              <c:f>Results!$A$44</c:f>
              <c:strCache>
                <c:ptCount val="1"/>
                <c:pt idx="0">
                  <c:v>Particulate matter formation</c:v>
                </c:pt>
              </c:strCache>
            </c:strRef>
          </c:tx>
          <c:spPr>
            <a:solidFill>
              <a:srgbClr val="6B3E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Results!$N$44</c:f>
              <c:numCache>
                <c:formatCode>General</c:formatCode>
                <c:ptCount val="1"/>
                <c:pt idx="0">
                  <c:v>0.3948346999951593</c:v>
                </c:pt>
              </c:numCache>
            </c:numRef>
          </c:val>
          <c:extLst>
            <c:ext xmlns:c16="http://schemas.microsoft.com/office/drawing/2014/chart" uri="{C3380CC4-5D6E-409C-BE32-E72D297353CC}">
              <c16:uniqueId val="{0000000F-1991-431A-A66A-B5DF1E9C344E}"/>
            </c:ext>
          </c:extLst>
        </c:ser>
        <c:ser>
          <c:idx val="17"/>
          <c:order val="17"/>
          <c:tx>
            <c:strRef>
              <c:f>Results!$A$45</c:f>
              <c:strCache>
                <c:ptCount val="1"/>
                <c:pt idx="0">
                  <c:v>Photochemical oxidant formation: human health</c:v>
                </c:pt>
              </c:strCache>
            </c:strRef>
          </c:tx>
          <c:spPr>
            <a:solidFill>
              <a:srgbClr val="924F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Results!$N$45</c:f>
              <c:numCache>
                <c:formatCode>General</c:formatCode>
                <c:ptCount val="1"/>
                <c:pt idx="0">
                  <c:v>0.20324317910605064</c:v>
                </c:pt>
              </c:numCache>
            </c:numRef>
          </c:val>
          <c:extLst>
            <c:ext xmlns:c16="http://schemas.microsoft.com/office/drawing/2014/chart" uri="{C3380CC4-5D6E-409C-BE32-E72D297353CC}">
              <c16:uniqueId val="{00000010-1991-431A-A66A-B5DF1E9C344E}"/>
            </c:ext>
          </c:extLst>
        </c:ser>
        <c:ser>
          <c:idx val="18"/>
          <c:order val="18"/>
          <c:tx>
            <c:strRef>
              <c:f>Results!$A$46</c:f>
              <c:strCache>
                <c:ptCount val="1"/>
                <c:pt idx="0">
                  <c:v>Water use </c:v>
                </c:pt>
              </c:strCache>
            </c:strRef>
          </c:tx>
          <c:spPr>
            <a:solidFill>
              <a:srgbClr val="CA90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Results!$N$46</c:f>
              <c:numCache>
                <c:formatCode>General</c:formatCode>
                <c:ptCount val="1"/>
                <c:pt idx="0">
                  <c:v>4.2675176959289955E-2</c:v>
                </c:pt>
              </c:numCache>
            </c:numRef>
          </c:val>
          <c:extLst>
            <c:ext xmlns:c16="http://schemas.microsoft.com/office/drawing/2014/chart" uri="{C3380CC4-5D6E-409C-BE32-E72D297353CC}">
              <c16:uniqueId val="{00000011-1991-431A-A66A-B5DF1E9C344E}"/>
            </c:ext>
          </c:extLst>
        </c:ser>
        <c:dLbls>
          <c:showLegendKey val="0"/>
          <c:showVal val="0"/>
          <c:showCatName val="0"/>
          <c:showSerName val="0"/>
          <c:showPercent val="0"/>
          <c:showBubbleSize val="0"/>
        </c:dLbls>
        <c:gapWidth val="150"/>
        <c:overlap val="100"/>
        <c:axId val="620475487"/>
        <c:axId val="620493247"/>
        <c:extLst>
          <c:ext xmlns:c15="http://schemas.microsoft.com/office/drawing/2012/chart" uri="{02D57815-91ED-43cb-92C2-25804820EDAC}">
            <c15:filteredBarSeries>
              <c15:ser>
                <c:idx val="2"/>
                <c:order val="2"/>
                <c:tx>
                  <c:strRef>
                    <c:extLst>
                      <c:ext uri="{02D57815-91ED-43cb-92C2-25804820EDAC}">
                        <c15:formulaRef>
                          <c15:sqref>Results!$A$30</c15:sqref>
                        </c15:formulaRef>
                      </c:ext>
                    </c:extLst>
                    <c:strCache>
                      <c:ptCount val="1"/>
                      <c:pt idx="0">
                        <c:v>Climate change: biogenic </c:v>
                      </c:pt>
                    </c:strCache>
                  </c:strRef>
                </c:tx>
                <c:spPr>
                  <a:solidFill>
                    <a:schemeClr val="accent3"/>
                  </a:solidFill>
                  <a:ln>
                    <a:noFill/>
                  </a:ln>
                  <a:effectLst/>
                </c:spPr>
                <c:invertIfNegative val="0"/>
                <c:val>
                  <c:numRef>
                    <c:extLst>
                      <c:ext uri="{02D57815-91ED-43cb-92C2-25804820EDAC}">
                        <c15:formulaRef>
                          <c15:sqref>Results!$N$30</c15:sqref>
                        </c15:formulaRef>
                      </c:ext>
                    </c:extLst>
                    <c:numCache>
                      <c:formatCode>General</c:formatCode>
                      <c:ptCount val="1"/>
                    </c:numCache>
                  </c:numRef>
                </c:val>
                <c:extLst>
                  <c:ext xmlns:c16="http://schemas.microsoft.com/office/drawing/2014/chart" uri="{C3380CC4-5D6E-409C-BE32-E72D297353CC}">
                    <c16:uniqueId val="{00000001-1991-431A-A66A-B5DF1E9C344E}"/>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Results!$A$31</c15:sqref>
                        </c15:formulaRef>
                      </c:ext>
                    </c:extLst>
                    <c:strCache>
                      <c:ptCount val="1"/>
                      <c:pt idx="0">
                        <c:v>Climate change: fossil </c:v>
                      </c:pt>
                    </c:strCache>
                  </c:strRef>
                </c:tx>
                <c:spPr>
                  <a:solidFill>
                    <a:schemeClr val="accent4"/>
                  </a:solidFill>
                  <a:ln>
                    <a:noFill/>
                  </a:ln>
                  <a:effectLst/>
                </c:spPr>
                <c:invertIfNegative val="0"/>
                <c:val>
                  <c:numRef>
                    <c:extLst xmlns:c15="http://schemas.microsoft.com/office/drawing/2012/chart">
                      <c:ext xmlns:c15="http://schemas.microsoft.com/office/drawing/2012/chart" uri="{02D57815-91ED-43cb-92C2-25804820EDAC}">
                        <c15:formulaRef>
                          <c15:sqref>Results!$N$31</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02-1991-431A-A66A-B5DF1E9C344E}"/>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Results!$A$32</c15:sqref>
                        </c15:formulaRef>
                      </c:ext>
                    </c:extLst>
                    <c:strCache>
                      <c:ptCount val="1"/>
                      <c:pt idx="0">
                        <c:v>Land use and land use change </c:v>
                      </c:pt>
                    </c:strCache>
                  </c:strRef>
                </c:tx>
                <c:spPr>
                  <a:solidFill>
                    <a:schemeClr val="accent5"/>
                  </a:solidFill>
                  <a:ln>
                    <a:noFill/>
                  </a:ln>
                  <a:effectLst/>
                </c:spPr>
                <c:invertIfNegative val="0"/>
                <c:val>
                  <c:numRef>
                    <c:extLst xmlns:c15="http://schemas.microsoft.com/office/drawing/2012/chart">
                      <c:ext xmlns:c15="http://schemas.microsoft.com/office/drawing/2012/chart" uri="{02D57815-91ED-43cb-92C2-25804820EDAC}">
                        <c15:formulaRef>
                          <c15:sqref>Results!$N$32</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03-1991-431A-A66A-B5DF1E9C344E}"/>
                  </c:ext>
                </c:extLst>
              </c15:ser>
            </c15:filteredBarSeries>
          </c:ext>
        </c:extLst>
      </c:barChart>
      <c:catAx>
        <c:axId val="620475487"/>
        <c:scaling>
          <c:orientation val="minMax"/>
        </c:scaling>
        <c:delete val="1"/>
        <c:axPos val="b"/>
        <c:numFmt formatCode="General" sourceLinked="1"/>
        <c:majorTickMark val="none"/>
        <c:minorTickMark val="none"/>
        <c:tickLblPos val="nextTo"/>
        <c:crossAx val="620493247"/>
        <c:crosses val="autoZero"/>
        <c:auto val="1"/>
        <c:lblAlgn val="ctr"/>
        <c:lblOffset val="100"/>
        <c:noMultiLvlLbl val="0"/>
      </c:catAx>
      <c:valAx>
        <c:axId val="6204932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mpt/ton</a:t>
                </a:r>
                <a:endParaRPr lang="nl-BE" sz="1000" baseline="30000"/>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75487"/>
        <c:crosses val="autoZero"/>
        <c:crossBetween val="between"/>
      </c:valAx>
      <c:spPr>
        <a:noFill/>
        <a:ln>
          <a:noFill/>
        </a:ln>
        <a:effectLst/>
      </c:spPr>
    </c:plotArea>
    <c:legend>
      <c:legendPos val="r"/>
      <c:layout>
        <c:manualLayout>
          <c:xMode val="edge"/>
          <c:yMode val="edge"/>
          <c:x val="0.43186005291005292"/>
          <c:y val="0.12208858024691358"/>
          <c:w val="0.56551957671957676"/>
          <c:h val="0.86455401234567897"/>
        </c:manualLayout>
      </c:layout>
      <c:overlay val="0"/>
      <c:spPr>
        <a:solidFill>
          <a:schemeClr val="bg1"/>
        </a:solidFill>
        <a:ln>
          <a:noFill/>
        </a:ln>
        <a:effectLst/>
      </c:spPr>
      <c:txPr>
        <a:bodyPr rot="0" spcFirstLastPara="1" vertOverflow="ellipsis" vert="horz" wrap="square" anchor="t" anchorCtr="0"/>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a:t>
            </a:r>
            <a:r>
              <a:rPr lang="nl-BE" sz="1050" baseline="0"/>
              <a:t> (GWP100) by Process</a:t>
            </a:r>
            <a:endParaRPr lang="nl-BE" sz="1050"/>
          </a:p>
        </c:rich>
      </c:tx>
      <c:layout>
        <c:manualLayout>
          <c:xMode val="edge"/>
          <c:yMode val="edge"/>
          <c:x val="0.15229688915332354"/>
          <c:y val="8.5970736336273938E-3"/>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41758552713099695"/>
          <c:y val="9.7087777777777773E-2"/>
          <c:w val="0.54395345431606457"/>
          <c:h val="0.76136416666666662"/>
        </c:manualLayout>
      </c:layout>
      <c:barChart>
        <c:barDir val="bar"/>
        <c:grouping val="clustered"/>
        <c:varyColors val="0"/>
        <c:ser>
          <c:idx val="0"/>
          <c:order val="0"/>
          <c:spPr>
            <a:solidFill>
              <a:srgbClr val="92D05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Results!$C$157:$R$158</c:f>
              <c:multiLvlStrCache>
                <c:ptCount val="16"/>
                <c:lvl>
                  <c:pt idx="0">
                    <c:v>A1 - Primary Material </c:v>
                  </c:pt>
                  <c:pt idx="1">
                    <c:v>A2 - Transport Primary</c:v>
                  </c:pt>
                  <c:pt idx="2">
                    <c:v>A1 - Primary Material </c:v>
                  </c:pt>
                  <c:pt idx="3">
                    <c:v>A2 - Transport Primary</c:v>
                  </c:pt>
                  <c:pt idx="4">
                    <c:v>A1 - Primary Material </c:v>
                  </c:pt>
                  <c:pt idx="5">
                    <c:v>A2 - Transport Primary</c:v>
                  </c:pt>
                  <c:pt idx="6">
                    <c:v>C3' - Secondary Material</c:v>
                  </c:pt>
                  <c:pt idx="7">
                    <c:v>C2' - Transport Secondary</c:v>
                  </c:pt>
                  <c:pt idx="8">
                    <c:v>C3' - Secondary Material</c:v>
                  </c:pt>
                  <c:pt idx="9">
                    <c:v>C2' - Transport Secondary</c:v>
                  </c:pt>
                  <c:pt idx="10">
                    <c:v>A1 - Primary Material </c:v>
                  </c:pt>
                  <c:pt idx="11">
                    <c:v>A2 - Transport Primary</c:v>
                  </c:pt>
                  <c:pt idx="12">
                    <c:v>A3 - Production</c:v>
                  </c:pt>
                  <c:pt idx="13">
                    <c:v>A4 - Transport</c:v>
                  </c:pt>
                  <c:pt idx="14">
                    <c:v>A5 - Construction</c:v>
                  </c:pt>
                  <c:pt idx="15">
                    <c:v>C1 - Deconstruction</c:v>
                  </c:pt>
                </c:lvl>
                <c:lvl>
                  <c:pt idx="0">
                    <c:v>Agg</c:v>
                  </c:pt>
                  <c:pt idx="2">
                    <c:v>Virgin binder</c:v>
                  </c:pt>
                  <c:pt idx="4">
                    <c:v>Filler</c:v>
                  </c:pt>
                  <c:pt idx="6">
                    <c:v>RAP</c:v>
                  </c:pt>
                  <c:pt idx="8">
                    <c:v>Other Waste </c:v>
                  </c:pt>
                  <c:pt idx="10">
                    <c:v>Additiv</c:v>
                  </c:pt>
                  <c:pt idx="12">
                    <c:v> </c:v>
                  </c:pt>
                  <c:pt idx="13">
                    <c:v> </c:v>
                  </c:pt>
                  <c:pt idx="14">
                    <c:v> </c:v>
                  </c:pt>
                  <c:pt idx="15">
                    <c:v> </c:v>
                  </c:pt>
                </c:lvl>
              </c:multiLvlStrCache>
            </c:multiLvlStrRef>
          </c:cat>
          <c:val>
            <c:numRef>
              <c:f>Results!$C$159:$R$159</c:f>
              <c:numCache>
                <c:formatCode>General</c:formatCode>
                <c:ptCount val="16"/>
                <c:pt idx="0">
                  <c:v>2.2293018000920592</c:v>
                </c:pt>
                <c:pt idx="1">
                  <c:v>12.067875368229734</c:v>
                </c:pt>
                <c:pt idx="2">
                  <c:v>11.7448</c:v>
                </c:pt>
                <c:pt idx="3">
                  <c:v>0.92165995176527982</c:v>
                </c:pt>
                <c:pt idx="4">
                  <c:v>0.3428723486060043</c:v>
                </c:pt>
                <c:pt idx="5">
                  <c:v>0.16588837765499997</c:v>
                </c:pt>
                <c:pt idx="6">
                  <c:v>0.16679033795373477</c:v>
                </c:pt>
                <c:pt idx="7">
                  <c:v>2.3811728849999998</c:v>
                </c:pt>
                <c:pt idx="8">
                  <c:v>0</c:v>
                </c:pt>
                <c:pt idx="9">
                  <c:v>0</c:v>
                </c:pt>
                <c:pt idx="10">
                  <c:v>0.65423526228811013</c:v>
                </c:pt>
                <c:pt idx="11">
                  <c:v>0.64906010499329991</c:v>
                </c:pt>
                <c:pt idx="12">
                  <c:v>20.056831519468545</c:v>
                </c:pt>
                <c:pt idx="13">
                  <c:v>3.1747701841127993</c:v>
                </c:pt>
                <c:pt idx="14">
                  <c:v>1.1562033017188762</c:v>
                </c:pt>
                <c:pt idx="15">
                  <c:v>0.87737079908012994</c:v>
                </c:pt>
              </c:numCache>
            </c:numRef>
          </c:val>
          <c:extLst>
            <c:ext xmlns:c16="http://schemas.microsoft.com/office/drawing/2014/chart" uri="{C3380CC4-5D6E-409C-BE32-E72D297353CC}">
              <c16:uniqueId val="{00000000-645A-4B60-B48B-AA22643B401F}"/>
            </c:ext>
          </c:extLst>
        </c:ser>
        <c:dLbls>
          <c:showLegendKey val="0"/>
          <c:showVal val="0"/>
          <c:showCatName val="0"/>
          <c:showSerName val="0"/>
          <c:showPercent val="0"/>
          <c:showBubbleSize val="0"/>
        </c:dLbls>
        <c:gapWidth val="219"/>
        <c:axId val="620420767"/>
        <c:axId val="620437087"/>
      </c:barChart>
      <c:catAx>
        <c:axId val="620420767"/>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37087"/>
        <c:crosses val="autoZero"/>
        <c:auto val="1"/>
        <c:lblAlgn val="ctr"/>
        <c:lblOffset val="100"/>
        <c:noMultiLvlLbl val="0"/>
      </c:catAx>
      <c:valAx>
        <c:axId val="62043708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-eq/ton</a:t>
                </a:r>
              </a:p>
            </c:rich>
          </c:tx>
          <c:layout>
            <c:manualLayout>
              <c:xMode val="edge"/>
              <c:yMode val="edge"/>
              <c:x val="0.53593166403508918"/>
              <c:y val="0.92216361111111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20767"/>
        <c:crosses val="autoZero"/>
        <c:crossBetween val="between"/>
      </c:valAx>
      <c:spPr>
        <a:noFill/>
        <a:ln>
          <a:solidFill>
            <a:schemeClr val="bg2">
              <a:lumMod val="90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59055118110236227" l="0.59055118110236227" r="0.59055118110236227" t="0.74803149606299213" header="0.31496062992125984" footer="0.31496062992125984"/>
    <c:pageSetup orientation="portrait"/>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 (GWP100) by Life Cycle Stage</a:t>
            </a:r>
          </a:p>
        </c:rich>
      </c:tx>
      <c:layout>
        <c:manualLayout>
          <c:xMode val="edge"/>
          <c:yMode val="edge"/>
          <c:x val="0.10519827466569967"/>
          <c:y val="2.8651258906988313E-2"/>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977841687339398"/>
          <c:y val="0.17254517704517705"/>
          <c:w val="0.52385022307505513"/>
          <c:h val="0.53640384615384618"/>
        </c:manualLayout>
      </c:layout>
      <c:barChart>
        <c:barDir val="col"/>
        <c:grouping val="stacked"/>
        <c:varyColors val="0"/>
        <c:ser>
          <c:idx val="0"/>
          <c:order val="0"/>
          <c:tx>
            <c:strRef>
              <c:f>Results!$C$52</c:f>
              <c:strCache>
                <c:ptCount val="1"/>
                <c:pt idx="0">
                  <c:v>A1 - Primary Material </c:v>
                </c:pt>
              </c:strCache>
            </c:strRef>
          </c:tx>
          <c:spPr>
            <a:solidFill>
              <a:srgbClr val="A50021"/>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Results!$C$53</c:f>
              <c:numCache>
                <c:formatCode>General</c:formatCode>
                <c:ptCount val="1"/>
                <c:pt idx="0">
                  <c:v>14.97120941098617</c:v>
                </c:pt>
              </c:numCache>
            </c:numRef>
          </c:val>
          <c:extLst>
            <c:ext xmlns:c16="http://schemas.microsoft.com/office/drawing/2014/chart" uri="{C3380CC4-5D6E-409C-BE32-E72D297353CC}">
              <c16:uniqueId val="{00000000-F98B-45E0-A706-7042BEE3FC1F}"/>
            </c:ext>
          </c:extLst>
        </c:ser>
        <c:ser>
          <c:idx val="7"/>
          <c:order val="1"/>
          <c:tx>
            <c:strRef>
              <c:f>Results!$D$52</c:f>
              <c:strCache>
                <c:ptCount val="1"/>
                <c:pt idx="0">
                  <c:v>C3' - Secondary Material</c:v>
                </c:pt>
              </c:strCache>
            </c:strRef>
          </c:tx>
          <c:spPr>
            <a:pattFill prst="pct75">
              <a:fgClr>
                <a:srgbClr val="A50021"/>
              </a:fgClr>
              <a:bgClr>
                <a:schemeClr val="tx1"/>
              </a:bgClr>
            </a:patt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Results!$D$53</c:f>
              <c:numCache>
                <c:formatCode>General</c:formatCode>
                <c:ptCount val="1"/>
                <c:pt idx="0">
                  <c:v>0.16679033795373477</c:v>
                </c:pt>
              </c:numCache>
            </c:numRef>
          </c:val>
          <c:extLst>
            <c:ext xmlns:c16="http://schemas.microsoft.com/office/drawing/2014/chart" uri="{C3380CC4-5D6E-409C-BE32-E72D297353CC}">
              <c16:uniqueId val="{00000001-F98B-45E0-A706-7042BEE3FC1F}"/>
            </c:ext>
          </c:extLst>
        </c:ser>
        <c:ser>
          <c:idx val="1"/>
          <c:order val="2"/>
          <c:tx>
            <c:strRef>
              <c:f>Results!$E$52</c:f>
              <c:strCache>
                <c:ptCount val="1"/>
                <c:pt idx="0">
                  <c:v>A2 - Transport Primary</c:v>
                </c:pt>
              </c:strCache>
            </c:strRef>
          </c:tx>
          <c:spPr>
            <a:solidFill>
              <a:srgbClr val="FF0000"/>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Results!$E$53</c:f>
              <c:numCache>
                <c:formatCode>General</c:formatCode>
                <c:ptCount val="1"/>
                <c:pt idx="0">
                  <c:v>13.804483802643313</c:v>
                </c:pt>
              </c:numCache>
            </c:numRef>
          </c:val>
          <c:extLst>
            <c:ext xmlns:c16="http://schemas.microsoft.com/office/drawing/2014/chart" uri="{C3380CC4-5D6E-409C-BE32-E72D297353CC}">
              <c16:uniqueId val="{00000002-F98B-45E0-A706-7042BEE3FC1F}"/>
            </c:ext>
          </c:extLst>
        </c:ser>
        <c:ser>
          <c:idx val="2"/>
          <c:order val="3"/>
          <c:tx>
            <c:strRef>
              <c:f>Results!$F$52</c:f>
              <c:strCache>
                <c:ptCount val="1"/>
                <c:pt idx="0">
                  <c:v>C2' - Transport Secondary</c:v>
                </c:pt>
              </c:strCache>
            </c:strRef>
          </c:tx>
          <c:spPr>
            <a:pattFill prst="pct75">
              <a:fgClr>
                <a:srgbClr val="FF0000"/>
              </a:fgClr>
              <a:bgClr>
                <a:schemeClr val="tx1"/>
              </a:bgClr>
            </a:pattFill>
            <a:ln>
              <a:noFill/>
            </a:ln>
            <a:effectLst/>
          </c:spPr>
          <c:invertIfNegative val="0"/>
          <c:val>
            <c:numRef>
              <c:f>Results!$F$53</c:f>
              <c:numCache>
                <c:formatCode>General</c:formatCode>
                <c:ptCount val="1"/>
                <c:pt idx="0">
                  <c:v>2.3811728849999998</c:v>
                </c:pt>
              </c:numCache>
            </c:numRef>
          </c:val>
          <c:extLst>
            <c:ext xmlns:c16="http://schemas.microsoft.com/office/drawing/2014/chart" uri="{C3380CC4-5D6E-409C-BE32-E72D297353CC}">
              <c16:uniqueId val="{00000003-F98B-45E0-A706-7042BEE3FC1F}"/>
            </c:ext>
          </c:extLst>
        </c:ser>
        <c:ser>
          <c:idx val="3"/>
          <c:order val="4"/>
          <c:tx>
            <c:strRef>
              <c:f>Results!$G$52</c:f>
              <c:strCache>
                <c:ptCount val="1"/>
                <c:pt idx="0">
                  <c:v>A3- Production</c:v>
                </c:pt>
              </c:strCache>
            </c:strRef>
          </c:tx>
          <c:spPr>
            <a:solidFill>
              <a:srgbClr val="FF7C80"/>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Results!$G$53</c:f>
              <c:numCache>
                <c:formatCode>General</c:formatCode>
                <c:ptCount val="1"/>
                <c:pt idx="0">
                  <c:v>20.056831519468545</c:v>
                </c:pt>
              </c:numCache>
            </c:numRef>
          </c:val>
          <c:extLst>
            <c:ext xmlns:c16="http://schemas.microsoft.com/office/drawing/2014/chart" uri="{C3380CC4-5D6E-409C-BE32-E72D297353CC}">
              <c16:uniqueId val="{00000004-F98B-45E0-A706-7042BEE3FC1F}"/>
            </c:ext>
          </c:extLst>
        </c:ser>
        <c:ser>
          <c:idx val="4"/>
          <c:order val="5"/>
          <c:tx>
            <c:strRef>
              <c:f>Results!$H$52</c:f>
              <c:strCache>
                <c:ptCount val="1"/>
                <c:pt idx="0">
                  <c:v>A4- Transport</c:v>
                </c:pt>
              </c:strCache>
              <c:extLst xmlns:c15="http://schemas.microsoft.com/office/drawing/2012/chart"/>
            </c:strRef>
          </c:tx>
          <c:spPr>
            <a:solidFill>
              <a:srgbClr val="FF9933"/>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Results!$H$53</c:f>
              <c:numCache>
                <c:formatCode>General</c:formatCode>
                <c:ptCount val="1"/>
                <c:pt idx="0">
                  <c:v>3.1747701841127993</c:v>
                </c:pt>
              </c:numCache>
              <c:extLst xmlns:c15="http://schemas.microsoft.com/office/drawing/2012/chart"/>
            </c:numRef>
          </c:val>
          <c:extLst xmlns:c15="http://schemas.microsoft.com/office/drawing/2012/chart">
            <c:ext xmlns:c16="http://schemas.microsoft.com/office/drawing/2014/chart" uri="{C3380CC4-5D6E-409C-BE32-E72D297353CC}">
              <c16:uniqueId val="{00000005-F98B-45E0-A706-7042BEE3FC1F}"/>
            </c:ext>
          </c:extLst>
        </c:ser>
        <c:ser>
          <c:idx val="5"/>
          <c:order val="6"/>
          <c:tx>
            <c:strRef>
              <c:f>Results!$I$52</c:f>
              <c:strCache>
                <c:ptCount val="1"/>
                <c:pt idx="0">
                  <c:v>A5- Construction</c:v>
                </c:pt>
              </c:strCache>
              <c:extLst xmlns:c15="http://schemas.microsoft.com/office/drawing/2012/chart"/>
            </c:strRef>
          </c:tx>
          <c:spPr>
            <a:solidFill>
              <a:srgbClr val="FFCC66"/>
            </a:solidFill>
            <a:ln>
              <a:noFill/>
            </a:ln>
            <a:effectLst/>
          </c:spPr>
          <c:invertIfNegative val="0"/>
          <c:val>
            <c:numRef>
              <c:f>Results!$I$53</c:f>
              <c:numCache>
                <c:formatCode>General</c:formatCode>
                <c:ptCount val="1"/>
                <c:pt idx="0">
                  <c:v>1.1562033017188762</c:v>
                </c:pt>
              </c:numCache>
              <c:extLst xmlns:c15="http://schemas.microsoft.com/office/drawing/2012/chart"/>
            </c:numRef>
          </c:val>
          <c:extLst xmlns:c15="http://schemas.microsoft.com/office/drawing/2012/chart">
            <c:ext xmlns:c16="http://schemas.microsoft.com/office/drawing/2014/chart" uri="{C3380CC4-5D6E-409C-BE32-E72D297353CC}">
              <c16:uniqueId val="{00000006-F98B-45E0-A706-7042BEE3FC1F}"/>
            </c:ext>
          </c:extLst>
        </c:ser>
        <c:ser>
          <c:idx val="6"/>
          <c:order val="7"/>
          <c:tx>
            <c:strRef>
              <c:f>Results!$J$52</c:f>
              <c:strCache>
                <c:ptCount val="1"/>
                <c:pt idx="0">
                  <c:v>C1 - Deconstruction</c:v>
                </c:pt>
              </c:strCache>
              <c:extLst xmlns:c15="http://schemas.microsoft.com/office/drawing/2012/chart"/>
            </c:strRef>
          </c:tx>
          <c:spPr>
            <a:solidFill>
              <a:srgbClr val="CCCC00"/>
            </a:solidFill>
            <a:ln>
              <a:noFill/>
            </a:ln>
            <a:effectLst/>
          </c:spPr>
          <c:invertIfNegative val="0"/>
          <c:val>
            <c:numRef>
              <c:f>Results!$J$53</c:f>
              <c:numCache>
                <c:formatCode>General</c:formatCode>
                <c:ptCount val="1"/>
                <c:pt idx="0">
                  <c:v>0.87737079908012983</c:v>
                </c:pt>
              </c:numCache>
              <c:extLst xmlns:c15="http://schemas.microsoft.com/office/drawing/2012/chart"/>
            </c:numRef>
          </c:val>
          <c:extLst xmlns:c15="http://schemas.microsoft.com/office/drawing/2012/chart">
            <c:ext xmlns:c16="http://schemas.microsoft.com/office/drawing/2014/chart" uri="{C3380CC4-5D6E-409C-BE32-E72D297353CC}">
              <c16:uniqueId val="{00000007-F98B-45E0-A706-7042BEE3FC1F}"/>
            </c:ext>
          </c:extLst>
        </c:ser>
        <c:ser>
          <c:idx val="8"/>
          <c:order val="8"/>
          <c:tx>
            <c:strRef>
              <c:f>Results!$K$52</c:f>
              <c:strCache>
                <c:ptCount val="1"/>
                <c:pt idx="0">
                  <c:v>D- Burden &amp; Savings</c:v>
                </c:pt>
              </c:strCache>
            </c:strRef>
          </c:tx>
          <c:spPr>
            <a:solidFill>
              <a:srgbClr val="009999"/>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Results!$K$53</c:f>
              <c:numCache>
                <c:formatCode>General</c:formatCode>
                <c:ptCount val="1"/>
                <c:pt idx="0">
                  <c:v>-19.549325643075992</c:v>
                </c:pt>
              </c:numCache>
            </c:numRef>
          </c:val>
          <c:extLst>
            <c:ext xmlns:c16="http://schemas.microsoft.com/office/drawing/2014/chart" uri="{C3380CC4-5D6E-409C-BE32-E72D297353CC}">
              <c16:uniqueId val="{00000009-F98B-45E0-A706-7042BEE3FC1F}"/>
            </c:ext>
          </c:extLst>
        </c:ser>
        <c:ser>
          <c:idx val="9"/>
          <c:order val="9"/>
          <c:tx>
            <c:v>Blank</c:v>
          </c:tx>
          <c:spPr>
            <a:noFill/>
            <a:ln>
              <a:noFill/>
            </a:ln>
            <a:effectLst/>
          </c:spPr>
          <c:invertIfNegative val="0"/>
          <c:val>
            <c:numLit>
              <c:formatCode>General</c:formatCode>
              <c:ptCount val="1"/>
              <c:pt idx="0">
                <c:v>0</c:v>
              </c:pt>
            </c:numLit>
          </c:val>
          <c:extLst>
            <c:ext xmlns:c16="http://schemas.microsoft.com/office/drawing/2014/chart" uri="{C3380CC4-5D6E-409C-BE32-E72D297353CC}">
              <c16:uniqueId val="{0000000A-F98B-45E0-A706-7042BEE3FC1F}"/>
            </c:ext>
          </c:extLst>
        </c:ser>
        <c:dLbls>
          <c:showLegendKey val="0"/>
          <c:showVal val="0"/>
          <c:showCatName val="0"/>
          <c:showSerName val="0"/>
          <c:showPercent val="0"/>
          <c:showBubbleSize val="0"/>
        </c:dLbls>
        <c:gapWidth val="150"/>
        <c:overlap val="100"/>
        <c:axId val="620379967"/>
        <c:axId val="620396767"/>
        <c:extLst/>
      </c:barChart>
      <c:catAx>
        <c:axId val="620379967"/>
        <c:scaling>
          <c:orientation val="minMax"/>
        </c:scaling>
        <c:delete val="1"/>
        <c:axPos val="b"/>
        <c:numFmt formatCode="General" sourceLinked="1"/>
        <c:majorTickMark val="none"/>
        <c:minorTickMark val="none"/>
        <c:tickLblPos val="nextTo"/>
        <c:crossAx val="620396767"/>
        <c:crosses val="autoZero"/>
        <c:auto val="1"/>
        <c:lblAlgn val="ctr"/>
        <c:lblOffset val="100"/>
        <c:noMultiLvlLbl val="0"/>
      </c:catAx>
      <c:valAx>
        <c:axId val="6203967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-eq/ton</a:t>
                </a:r>
              </a:p>
            </c:rich>
          </c:tx>
          <c:layout>
            <c:manualLayout>
              <c:xMode val="edge"/>
              <c:yMode val="edge"/>
              <c:x val="3.420933977455716E-2"/>
              <c:y val="0.3041827160493826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379967"/>
        <c:crosses val="autoZero"/>
        <c:crossBetween val="between"/>
        <c:majorUnit val="10"/>
      </c:valAx>
      <c:spPr>
        <a:noFill/>
        <a:ln>
          <a:noFill/>
        </a:ln>
        <a:effectLst/>
      </c:spPr>
    </c:plotArea>
    <c:legend>
      <c:legendPos val="b"/>
      <c:legendEntry>
        <c:idx val="0"/>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LID4096"/>
          </a:p>
        </c:txPr>
      </c:legendEntry>
      <c:layout>
        <c:manualLayout>
          <c:xMode val="edge"/>
          <c:yMode val="edge"/>
          <c:x val="2.0572557847684473E-2"/>
          <c:y val="0.73437484737484737"/>
          <c:w val="0.93917058032046674"/>
          <c:h val="0.25757631257631258"/>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900"/>
      </a:pPr>
      <a:endParaRPr lang="LID4096"/>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PEF Single Score by Life Cycle Stage</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666022544283415"/>
          <c:y val="0.12658869944112283"/>
          <c:w val="0.5264440418679549"/>
          <c:h val="0.60360092592592596"/>
        </c:manualLayout>
      </c:layout>
      <c:barChart>
        <c:barDir val="col"/>
        <c:grouping val="stacked"/>
        <c:varyColors val="0"/>
        <c:ser>
          <c:idx val="0"/>
          <c:order val="0"/>
          <c:tx>
            <c:strRef>
              <c:f>Results!$D$91</c:f>
              <c:strCache>
                <c:ptCount val="1"/>
                <c:pt idx="0">
                  <c:v>A1 - Primary Material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Results!$D$111</c:f>
              <c:numCache>
                <c:formatCode>General</c:formatCode>
                <c:ptCount val="1"/>
                <c:pt idx="0">
                  <c:v>0.48733894939114109</c:v>
                </c:pt>
              </c:numCache>
            </c:numRef>
          </c:val>
          <c:extLst>
            <c:ext xmlns:c16="http://schemas.microsoft.com/office/drawing/2014/chart" uri="{C3380CC4-5D6E-409C-BE32-E72D297353CC}">
              <c16:uniqueId val="{00000000-3F33-456A-8F53-6199C725500F}"/>
            </c:ext>
          </c:extLst>
        </c:ser>
        <c:ser>
          <c:idx val="7"/>
          <c:order val="1"/>
          <c:tx>
            <c:strRef>
              <c:f>Results!$E$91</c:f>
              <c:strCache>
                <c:ptCount val="1"/>
                <c:pt idx="0">
                  <c:v>C3' - Secondary Material</c:v>
                </c:pt>
              </c:strCache>
            </c:strRef>
          </c:tx>
          <c:spPr>
            <a:pattFill prst="pct75">
              <a:fgClr>
                <a:srgbClr val="A50021"/>
              </a:fgClr>
              <a:bgClr>
                <a:schemeClr val="tx1"/>
              </a:bgClr>
            </a:patt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Results!$E$111</c:f>
              <c:numCache>
                <c:formatCode>General</c:formatCode>
                <c:ptCount val="1"/>
                <c:pt idx="0">
                  <c:v>1.575494878296462E-3</c:v>
                </c:pt>
              </c:numCache>
            </c:numRef>
          </c:val>
          <c:extLst>
            <c:ext xmlns:c16="http://schemas.microsoft.com/office/drawing/2014/chart" uri="{C3380CC4-5D6E-409C-BE32-E72D297353CC}">
              <c16:uniqueId val="{00000001-3F33-456A-8F53-6199C725500F}"/>
            </c:ext>
          </c:extLst>
        </c:ser>
        <c:ser>
          <c:idx val="1"/>
          <c:order val="2"/>
          <c:tx>
            <c:strRef>
              <c:f>Results!$F$91</c:f>
              <c:strCache>
                <c:ptCount val="1"/>
                <c:pt idx="0">
                  <c:v>A2 - Transport Primary</c:v>
                </c:pt>
              </c:strCache>
            </c:strRef>
          </c:tx>
          <c:spPr>
            <a:solidFill>
              <a:srgbClr val="FF000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Results!$F$111</c:f>
              <c:numCache>
                <c:formatCode>General</c:formatCode>
                <c:ptCount val="1"/>
                <c:pt idx="0">
                  <c:v>0.15913415167932873</c:v>
                </c:pt>
              </c:numCache>
            </c:numRef>
          </c:val>
          <c:extLst>
            <c:ext xmlns:c16="http://schemas.microsoft.com/office/drawing/2014/chart" uri="{C3380CC4-5D6E-409C-BE32-E72D297353CC}">
              <c16:uniqueId val="{00000002-3F33-456A-8F53-6199C725500F}"/>
            </c:ext>
          </c:extLst>
        </c:ser>
        <c:ser>
          <c:idx val="2"/>
          <c:order val="3"/>
          <c:tx>
            <c:strRef>
              <c:f>Results!$G$91</c:f>
              <c:strCache>
                <c:ptCount val="1"/>
                <c:pt idx="0">
                  <c:v>C2' - Transport Secondary</c:v>
                </c:pt>
              </c:strCache>
            </c:strRef>
          </c:tx>
          <c:spPr>
            <a:pattFill prst="pct75">
              <a:fgClr>
                <a:srgbClr val="FF0000"/>
              </a:fgClr>
              <a:bgClr>
                <a:schemeClr val="tx1"/>
              </a:bgClr>
            </a:pattFill>
            <a:ln>
              <a:noFill/>
            </a:ln>
            <a:effectLst/>
          </c:spPr>
          <c:invertIfNegative val="0"/>
          <c:val>
            <c:numRef>
              <c:f>Results!$G$111</c:f>
              <c:numCache>
                <c:formatCode>General</c:formatCode>
                <c:ptCount val="1"/>
                <c:pt idx="0">
                  <c:v>2.6887033103725453E-2</c:v>
                </c:pt>
              </c:numCache>
            </c:numRef>
          </c:val>
          <c:extLst>
            <c:ext xmlns:c16="http://schemas.microsoft.com/office/drawing/2014/chart" uri="{C3380CC4-5D6E-409C-BE32-E72D297353CC}">
              <c16:uniqueId val="{00000003-3F33-456A-8F53-6199C725500F}"/>
            </c:ext>
          </c:extLst>
        </c:ser>
        <c:ser>
          <c:idx val="3"/>
          <c:order val="4"/>
          <c:tx>
            <c:strRef>
              <c:f>Results!$H$91</c:f>
              <c:strCache>
                <c:ptCount val="1"/>
                <c:pt idx="0">
                  <c:v>A3- Production</c:v>
                </c:pt>
              </c:strCache>
            </c:strRef>
          </c:tx>
          <c:spPr>
            <a:solidFill>
              <a:srgbClr val="FF7C8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Results!$H$111</c:f>
              <c:numCache>
                <c:formatCode>General</c:formatCode>
                <c:ptCount val="1"/>
                <c:pt idx="0">
                  <c:v>0.21037577322022852</c:v>
                </c:pt>
              </c:numCache>
            </c:numRef>
          </c:val>
          <c:extLst>
            <c:ext xmlns:c16="http://schemas.microsoft.com/office/drawing/2014/chart" uri="{C3380CC4-5D6E-409C-BE32-E72D297353CC}">
              <c16:uniqueId val="{00000004-3F33-456A-8F53-6199C725500F}"/>
            </c:ext>
          </c:extLst>
        </c:ser>
        <c:ser>
          <c:idx val="4"/>
          <c:order val="5"/>
          <c:tx>
            <c:strRef>
              <c:f>Results!$I$91</c:f>
              <c:strCache>
                <c:ptCount val="1"/>
                <c:pt idx="0">
                  <c:v>A4- Transport</c:v>
                </c:pt>
              </c:strCache>
            </c:strRef>
          </c:tx>
          <c:spPr>
            <a:solidFill>
              <a:srgbClr val="FF9933"/>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Results!$I$111</c:f>
              <c:numCache>
                <c:formatCode>General</c:formatCode>
                <c:ptCount val="1"/>
                <c:pt idx="0">
                  <c:v>3.5847943496535084E-2</c:v>
                </c:pt>
              </c:numCache>
            </c:numRef>
          </c:val>
          <c:extLst>
            <c:ext xmlns:c16="http://schemas.microsoft.com/office/drawing/2014/chart" uri="{C3380CC4-5D6E-409C-BE32-E72D297353CC}">
              <c16:uniqueId val="{00000005-3F33-456A-8F53-6199C725500F}"/>
            </c:ext>
          </c:extLst>
        </c:ser>
        <c:ser>
          <c:idx val="5"/>
          <c:order val="6"/>
          <c:tx>
            <c:strRef>
              <c:f>Results!$J$91</c:f>
              <c:strCache>
                <c:ptCount val="1"/>
                <c:pt idx="0">
                  <c:v>A5- Construction</c:v>
                </c:pt>
              </c:strCache>
            </c:strRef>
          </c:tx>
          <c:spPr>
            <a:solidFill>
              <a:srgbClr val="FFCC66"/>
            </a:solidFill>
            <a:ln>
              <a:noFill/>
            </a:ln>
            <a:effectLst/>
          </c:spPr>
          <c:invertIfNegative val="0"/>
          <c:val>
            <c:numRef>
              <c:f>Results!$J$111</c:f>
              <c:numCache>
                <c:formatCode>General</c:formatCode>
                <c:ptCount val="1"/>
                <c:pt idx="0">
                  <c:v>1.0921450261902051E-2</c:v>
                </c:pt>
              </c:numCache>
            </c:numRef>
          </c:val>
          <c:extLst>
            <c:ext xmlns:c16="http://schemas.microsoft.com/office/drawing/2014/chart" uri="{C3380CC4-5D6E-409C-BE32-E72D297353CC}">
              <c16:uniqueId val="{00000006-3F33-456A-8F53-6199C725500F}"/>
            </c:ext>
          </c:extLst>
        </c:ser>
        <c:ser>
          <c:idx val="6"/>
          <c:order val="7"/>
          <c:tx>
            <c:strRef>
              <c:f>Results!$K$91</c:f>
              <c:strCache>
                <c:ptCount val="1"/>
                <c:pt idx="0">
                  <c:v>C1 - Deconstruction</c:v>
                </c:pt>
              </c:strCache>
            </c:strRef>
          </c:tx>
          <c:spPr>
            <a:solidFill>
              <a:srgbClr val="CCCC00"/>
            </a:solidFill>
            <a:ln>
              <a:noFill/>
            </a:ln>
            <a:effectLst/>
          </c:spPr>
          <c:invertIfNegative val="0"/>
          <c:val>
            <c:numRef>
              <c:f>Results!$K$111</c:f>
              <c:numCache>
                <c:formatCode>General</c:formatCode>
                <c:ptCount val="1"/>
                <c:pt idx="0">
                  <c:v>8.2876095658553448E-3</c:v>
                </c:pt>
              </c:numCache>
            </c:numRef>
          </c:val>
          <c:extLst>
            <c:ext xmlns:c16="http://schemas.microsoft.com/office/drawing/2014/chart" uri="{C3380CC4-5D6E-409C-BE32-E72D297353CC}">
              <c16:uniqueId val="{00000007-3F33-456A-8F53-6199C725500F}"/>
            </c:ext>
          </c:extLst>
        </c:ser>
        <c:ser>
          <c:idx val="8"/>
          <c:order val="8"/>
          <c:tx>
            <c:strRef>
              <c:f>Results!$L$91</c:f>
              <c:strCache>
                <c:ptCount val="1"/>
                <c:pt idx="0">
                  <c:v>D- Burdens &amp; Savings</c:v>
                </c:pt>
              </c:strCache>
            </c:strRef>
          </c:tx>
          <c:spPr>
            <a:solidFill>
              <a:srgbClr val="0099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Results!$L$111</c:f>
              <c:numCache>
                <c:formatCode>General</c:formatCode>
                <c:ptCount val="1"/>
                <c:pt idx="0">
                  <c:v>-0.55171543024453917</c:v>
                </c:pt>
              </c:numCache>
            </c:numRef>
          </c:val>
          <c:extLst>
            <c:ext xmlns:c16="http://schemas.microsoft.com/office/drawing/2014/chart" uri="{C3380CC4-5D6E-409C-BE32-E72D297353CC}">
              <c16:uniqueId val="{00000008-3F33-456A-8F53-6199C725500F}"/>
            </c:ext>
          </c:extLst>
        </c:ser>
        <c:ser>
          <c:idx val="9"/>
          <c:order val="9"/>
          <c:tx>
            <c:v>Blank</c:v>
          </c:tx>
          <c:spPr>
            <a:noFill/>
            <a:ln>
              <a:noFill/>
            </a:ln>
            <a:effectLst/>
          </c:spPr>
          <c:invertIfNegative val="0"/>
          <c:val>
            <c:numLit>
              <c:formatCode>General</c:formatCode>
              <c:ptCount val="1"/>
              <c:pt idx="0">
                <c:v>0</c:v>
              </c:pt>
            </c:numLit>
          </c:val>
          <c:extLst>
            <c:ext xmlns:c16="http://schemas.microsoft.com/office/drawing/2014/chart" uri="{C3380CC4-5D6E-409C-BE32-E72D297353CC}">
              <c16:uniqueId val="{00000009-3F33-456A-8F53-6199C725500F}"/>
            </c:ext>
          </c:extLst>
        </c:ser>
        <c:dLbls>
          <c:showLegendKey val="0"/>
          <c:showVal val="0"/>
          <c:showCatName val="0"/>
          <c:showSerName val="0"/>
          <c:showPercent val="0"/>
          <c:showBubbleSize val="0"/>
        </c:dLbls>
        <c:gapWidth val="150"/>
        <c:overlap val="100"/>
        <c:axId val="620451487"/>
        <c:axId val="620451967"/>
      </c:barChart>
      <c:catAx>
        <c:axId val="620451487"/>
        <c:scaling>
          <c:orientation val="minMax"/>
        </c:scaling>
        <c:delete val="1"/>
        <c:axPos val="b"/>
        <c:numFmt formatCode="General" sourceLinked="1"/>
        <c:majorTickMark val="none"/>
        <c:minorTickMark val="none"/>
        <c:tickLblPos val="nextTo"/>
        <c:crossAx val="620451967"/>
        <c:crosses val="autoZero"/>
        <c:auto val="1"/>
        <c:lblAlgn val="ctr"/>
        <c:lblOffset val="100"/>
        <c:noMultiLvlLbl val="0"/>
      </c:catAx>
      <c:valAx>
        <c:axId val="6204519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mpt/m</a:t>
                </a:r>
                <a:r>
                  <a:rPr lang="nl-BE" sz="1000" baseline="30000"/>
                  <a:t>2</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51487"/>
        <c:crosses val="autoZero"/>
        <c:crossBetween val="between"/>
        <c:majorUnit val="0.2"/>
      </c:valAx>
      <c:spPr>
        <a:noFill/>
        <a:ln>
          <a:noFill/>
        </a:ln>
        <a:effectLst/>
      </c:spPr>
    </c:plotArea>
    <c:legend>
      <c:legendPos val="b"/>
      <c:legendEntry>
        <c:idx val="0"/>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LID4096"/>
          </a:p>
        </c:txPr>
      </c:legendEntry>
      <c:layout>
        <c:manualLayout>
          <c:xMode val="edge"/>
          <c:yMode val="edge"/>
          <c:x val="2.0789452495974234E-2"/>
          <c:y val="0.74918425925925924"/>
          <c:w val="0.94188164251207729"/>
          <c:h val="0.24650401234567904"/>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 (GWP100) by Life Cycle Stage</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1970726949405553"/>
          <c:y val="0.15386450617283948"/>
          <c:w val="0.53414170692431551"/>
          <c:h val="0.54850549450549446"/>
        </c:manualLayout>
      </c:layout>
      <c:barChart>
        <c:barDir val="col"/>
        <c:grouping val="stacked"/>
        <c:varyColors val="0"/>
        <c:ser>
          <c:idx val="0"/>
          <c:order val="0"/>
          <c:tx>
            <c:strRef>
              <c:f>Results!$C$117</c:f>
              <c:strCache>
                <c:ptCount val="1"/>
                <c:pt idx="0">
                  <c:v>A1 - Primary Material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Results!$C$118</c:f>
              <c:numCache>
                <c:formatCode>General</c:formatCode>
                <c:ptCount val="1"/>
                <c:pt idx="0">
                  <c:v>2.8744722069093451</c:v>
                </c:pt>
              </c:numCache>
            </c:numRef>
          </c:val>
          <c:extLst>
            <c:ext xmlns:c16="http://schemas.microsoft.com/office/drawing/2014/chart" uri="{C3380CC4-5D6E-409C-BE32-E72D297353CC}">
              <c16:uniqueId val="{00000000-2130-4CC3-A0D1-A076D32B2B69}"/>
            </c:ext>
          </c:extLst>
        </c:ser>
        <c:ser>
          <c:idx val="7"/>
          <c:order val="1"/>
          <c:tx>
            <c:strRef>
              <c:f>Results!$D$117</c:f>
              <c:strCache>
                <c:ptCount val="1"/>
                <c:pt idx="0">
                  <c:v>C3' - Secondary Material</c:v>
                </c:pt>
              </c:strCache>
            </c:strRef>
          </c:tx>
          <c:spPr>
            <a:pattFill prst="pct75">
              <a:fgClr>
                <a:srgbClr val="A50021"/>
              </a:fgClr>
              <a:bgClr>
                <a:schemeClr val="tx1"/>
              </a:bgClr>
            </a:patt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Results!$D$118</c:f>
              <c:numCache>
                <c:formatCode>General</c:formatCode>
                <c:ptCount val="1"/>
                <c:pt idx="0">
                  <c:v>3.2023744887117074E-2</c:v>
                </c:pt>
              </c:numCache>
            </c:numRef>
          </c:val>
          <c:extLst>
            <c:ext xmlns:c16="http://schemas.microsoft.com/office/drawing/2014/chart" uri="{C3380CC4-5D6E-409C-BE32-E72D297353CC}">
              <c16:uniqueId val="{00000001-2130-4CC3-A0D1-A076D32B2B69}"/>
            </c:ext>
          </c:extLst>
        </c:ser>
        <c:ser>
          <c:idx val="1"/>
          <c:order val="2"/>
          <c:tx>
            <c:strRef>
              <c:f>Results!$E$117</c:f>
              <c:strCache>
                <c:ptCount val="1"/>
                <c:pt idx="0">
                  <c:v>A2 - Transport Primary</c:v>
                </c:pt>
              </c:strCache>
            </c:strRef>
          </c:tx>
          <c:spPr>
            <a:solidFill>
              <a:srgbClr val="FF000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Results!$E$118</c:f>
              <c:numCache>
                <c:formatCode>General</c:formatCode>
                <c:ptCount val="1"/>
                <c:pt idx="0">
                  <c:v>2.650460890107516</c:v>
                </c:pt>
              </c:numCache>
            </c:numRef>
          </c:val>
          <c:extLst>
            <c:ext xmlns:c16="http://schemas.microsoft.com/office/drawing/2014/chart" uri="{C3380CC4-5D6E-409C-BE32-E72D297353CC}">
              <c16:uniqueId val="{00000002-2130-4CC3-A0D1-A076D32B2B69}"/>
            </c:ext>
          </c:extLst>
        </c:ser>
        <c:ser>
          <c:idx val="2"/>
          <c:order val="3"/>
          <c:tx>
            <c:strRef>
              <c:f>Results!$F$117</c:f>
              <c:strCache>
                <c:ptCount val="1"/>
                <c:pt idx="0">
                  <c:v>C2' - Transport Secondary</c:v>
                </c:pt>
              </c:strCache>
            </c:strRef>
          </c:tx>
          <c:spPr>
            <a:pattFill prst="pct75">
              <a:fgClr>
                <a:srgbClr val="FF0000"/>
              </a:fgClr>
              <a:bgClr>
                <a:schemeClr val="tx1"/>
              </a:bgClr>
            </a:pattFill>
            <a:ln>
              <a:noFill/>
            </a:ln>
            <a:effectLst/>
          </c:spPr>
          <c:invertIfNegative val="0"/>
          <c:val>
            <c:numRef>
              <c:f>Results!$F$118</c:f>
              <c:numCache>
                <c:formatCode>General</c:formatCode>
                <c:ptCount val="1"/>
                <c:pt idx="0">
                  <c:v>0.45718519391999995</c:v>
                </c:pt>
              </c:numCache>
            </c:numRef>
          </c:val>
          <c:extLst>
            <c:ext xmlns:c16="http://schemas.microsoft.com/office/drawing/2014/chart" uri="{C3380CC4-5D6E-409C-BE32-E72D297353CC}">
              <c16:uniqueId val="{00000003-2130-4CC3-A0D1-A076D32B2B69}"/>
            </c:ext>
          </c:extLst>
        </c:ser>
        <c:ser>
          <c:idx val="3"/>
          <c:order val="4"/>
          <c:tx>
            <c:strRef>
              <c:f>Results!$G$117</c:f>
              <c:strCache>
                <c:ptCount val="1"/>
                <c:pt idx="0">
                  <c:v>A3- Production</c:v>
                </c:pt>
              </c:strCache>
            </c:strRef>
          </c:tx>
          <c:spPr>
            <a:solidFill>
              <a:srgbClr val="FF7C8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Results!$G$118</c:f>
              <c:numCache>
                <c:formatCode>General</c:formatCode>
                <c:ptCount val="1"/>
                <c:pt idx="0">
                  <c:v>3.8509116517379609</c:v>
                </c:pt>
              </c:numCache>
            </c:numRef>
          </c:val>
          <c:extLst>
            <c:ext xmlns:c16="http://schemas.microsoft.com/office/drawing/2014/chart" uri="{C3380CC4-5D6E-409C-BE32-E72D297353CC}">
              <c16:uniqueId val="{00000004-2130-4CC3-A0D1-A076D32B2B69}"/>
            </c:ext>
          </c:extLst>
        </c:ser>
        <c:ser>
          <c:idx val="4"/>
          <c:order val="5"/>
          <c:tx>
            <c:strRef>
              <c:f>Results!$H$117</c:f>
              <c:strCache>
                <c:ptCount val="1"/>
                <c:pt idx="0">
                  <c:v>A4- Transport</c:v>
                </c:pt>
              </c:strCache>
            </c:strRef>
          </c:tx>
          <c:spPr>
            <a:solidFill>
              <a:srgbClr val="FF9933"/>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Results!$H$118</c:f>
              <c:numCache>
                <c:formatCode>General</c:formatCode>
                <c:ptCount val="1"/>
                <c:pt idx="0">
                  <c:v>0.60955587534965749</c:v>
                </c:pt>
              </c:numCache>
            </c:numRef>
          </c:val>
          <c:extLst>
            <c:ext xmlns:c16="http://schemas.microsoft.com/office/drawing/2014/chart" uri="{C3380CC4-5D6E-409C-BE32-E72D297353CC}">
              <c16:uniqueId val="{00000005-2130-4CC3-A0D1-A076D32B2B69}"/>
            </c:ext>
          </c:extLst>
        </c:ser>
        <c:ser>
          <c:idx val="5"/>
          <c:order val="6"/>
          <c:tx>
            <c:strRef>
              <c:f>Results!$I$117</c:f>
              <c:strCache>
                <c:ptCount val="1"/>
                <c:pt idx="0">
                  <c:v>A5- Construction</c:v>
                </c:pt>
              </c:strCache>
            </c:strRef>
          </c:tx>
          <c:spPr>
            <a:solidFill>
              <a:srgbClr val="FFCC66"/>
            </a:solidFill>
            <a:ln>
              <a:noFill/>
            </a:ln>
            <a:effectLst/>
          </c:spPr>
          <c:invertIfNegative val="0"/>
          <c:val>
            <c:numRef>
              <c:f>Results!$I$118</c:f>
              <c:numCache>
                <c:formatCode>General</c:formatCode>
                <c:ptCount val="1"/>
                <c:pt idx="0">
                  <c:v>0.22199103393002423</c:v>
                </c:pt>
              </c:numCache>
            </c:numRef>
          </c:val>
          <c:extLst>
            <c:ext xmlns:c16="http://schemas.microsoft.com/office/drawing/2014/chart" uri="{C3380CC4-5D6E-409C-BE32-E72D297353CC}">
              <c16:uniqueId val="{00000006-2130-4CC3-A0D1-A076D32B2B69}"/>
            </c:ext>
          </c:extLst>
        </c:ser>
        <c:ser>
          <c:idx val="6"/>
          <c:order val="7"/>
          <c:tx>
            <c:strRef>
              <c:f>Results!$J$117</c:f>
              <c:strCache>
                <c:ptCount val="1"/>
                <c:pt idx="0">
                  <c:v>C1 - Deconstruction</c:v>
                </c:pt>
              </c:strCache>
            </c:strRef>
          </c:tx>
          <c:spPr>
            <a:solidFill>
              <a:srgbClr val="CCCC00"/>
            </a:solidFill>
            <a:ln>
              <a:noFill/>
            </a:ln>
            <a:effectLst/>
          </c:spPr>
          <c:invertIfNegative val="0"/>
          <c:val>
            <c:numRef>
              <c:f>Results!$J$118</c:f>
              <c:numCache>
                <c:formatCode>General</c:formatCode>
                <c:ptCount val="1"/>
                <c:pt idx="0">
                  <c:v>0.16845519342338494</c:v>
                </c:pt>
              </c:numCache>
            </c:numRef>
          </c:val>
          <c:extLst>
            <c:ext xmlns:c16="http://schemas.microsoft.com/office/drawing/2014/chart" uri="{C3380CC4-5D6E-409C-BE32-E72D297353CC}">
              <c16:uniqueId val="{00000007-2130-4CC3-A0D1-A076D32B2B69}"/>
            </c:ext>
          </c:extLst>
        </c:ser>
        <c:ser>
          <c:idx val="8"/>
          <c:order val="8"/>
          <c:tx>
            <c:strRef>
              <c:f>Results!$K$117</c:f>
              <c:strCache>
                <c:ptCount val="1"/>
                <c:pt idx="0">
                  <c:v>D- Burden &amp; Savings</c:v>
                </c:pt>
              </c:strCache>
            </c:strRef>
          </c:tx>
          <c:spPr>
            <a:solidFill>
              <a:srgbClr val="0099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Results!$K$118</c:f>
              <c:numCache>
                <c:formatCode>General</c:formatCode>
                <c:ptCount val="1"/>
                <c:pt idx="0">
                  <c:v>-3.7534705234705905</c:v>
                </c:pt>
              </c:numCache>
            </c:numRef>
          </c:val>
          <c:extLst>
            <c:ext xmlns:c16="http://schemas.microsoft.com/office/drawing/2014/chart" uri="{C3380CC4-5D6E-409C-BE32-E72D297353CC}">
              <c16:uniqueId val="{00000008-2130-4CC3-A0D1-A076D32B2B69}"/>
            </c:ext>
          </c:extLst>
        </c:ser>
        <c:ser>
          <c:idx val="9"/>
          <c:order val="9"/>
          <c:tx>
            <c:v>Blank</c:v>
          </c:tx>
          <c:spPr>
            <a:noFill/>
            <a:ln>
              <a:noFill/>
            </a:ln>
            <a:effectLst/>
          </c:spPr>
          <c:invertIfNegative val="0"/>
          <c:val>
            <c:numLit>
              <c:formatCode>General</c:formatCode>
              <c:ptCount val="1"/>
              <c:pt idx="0">
                <c:v>0</c:v>
              </c:pt>
            </c:numLit>
          </c:val>
          <c:extLst>
            <c:ext xmlns:c16="http://schemas.microsoft.com/office/drawing/2014/chart" uri="{C3380CC4-5D6E-409C-BE32-E72D297353CC}">
              <c16:uniqueId val="{00000009-2130-4CC3-A0D1-A076D32B2B69}"/>
            </c:ext>
          </c:extLst>
        </c:ser>
        <c:dLbls>
          <c:showLegendKey val="0"/>
          <c:showVal val="0"/>
          <c:showCatName val="0"/>
          <c:showSerName val="0"/>
          <c:showPercent val="0"/>
          <c:showBubbleSize val="0"/>
        </c:dLbls>
        <c:gapWidth val="150"/>
        <c:overlap val="100"/>
        <c:axId val="620413087"/>
        <c:axId val="620429407"/>
      </c:barChart>
      <c:catAx>
        <c:axId val="620413087"/>
        <c:scaling>
          <c:orientation val="minMax"/>
        </c:scaling>
        <c:delete val="1"/>
        <c:axPos val="b"/>
        <c:numFmt formatCode="General" sourceLinked="1"/>
        <c:majorTickMark val="none"/>
        <c:minorTickMark val="none"/>
        <c:tickLblPos val="nextTo"/>
        <c:crossAx val="620429407"/>
        <c:crosses val="autoZero"/>
        <c:auto val="1"/>
        <c:lblAlgn val="ctr"/>
        <c:lblOffset val="100"/>
        <c:noMultiLvlLbl val="0"/>
      </c:catAx>
      <c:valAx>
        <c:axId val="620429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-eq/m</a:t>
                </a:r>
                <a:r>
                  <a:rPr lang="nl-BE" sz="1000" baseline="30000"/>
                  <a:t>2</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13087"/>
        <c:crosses val="autoZero"/>
        <c:crossBetween val="between"/>
        <c:majorUnit val="2"/>
      </c:valAx>
      <c:spPr>
        <a:noFill/>
        <a:ln>
          <a:noFill/>
        </a:ln>
        <a:effectLst/>
      </c:spPr>
    </c:plotArea>
    <c:legend>
      <c:legendPos val="b"/>
      <c:legendEntry>
        <c:idx val="9"/>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LID4096"/>
          </a:p>
        </c:txPr>
      </c:legendEntry>
      <c:layout>
        <c:manualLayout>
          <c:xMode val="edge"/>
          <c:yMode val="edge"/>
          <c:x val="1.7062801932367151E-2"/>
          <c:y val="0.71928876678876674"/>
          <c:w val="0.95117753623188406"/>
          <c:h val="0.28071123321123326"/>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PEF Single Score by</a:t>
            </a:r>
            <a:r>
              <a:rPr lang="nl-BE" sz="1050" baseline="0"/>
              <a:t> Impact Category</a:t>
            </a:r>
            <a:endParaRPr lang="nl-BE" sz="1050"/>
          </a:p>
        </c:rich>
      </c:tx>
      <c:overlay val="0"/>
      <c:spPr>
        <a:solidFill>
          <a:sysClr val="window" lastClr="FFFFFF"/>
        </a:solid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11358849496927789"/>
          <c:y val="0.11857222222222222"/>
          <c:w val="0.34529562580410311"/>
          <c:h val="0.85864197530864184"/>
        </c:manualLayout>
      </c:layout>
      <c:barChart>
        <c:barDir val="col"/>
        <c:grouping val="stacked"/>
        <c:varyColors val="0"/>
        <c:ser>
          <c:idx val="0"/>
          <c:order val="0"/>
          <c:tx>
            <c:strRef>
              <c:f>Results!$A$92</c:f>
              <c:strCache>
                <c:ptCount val="1"/>
                <c:pt idx="0">
                  <c:v>Acidification </c:v>
                </c:pt>
              </c:strCache>
            </c:strRef>
          </c:tx>
          <c:spPr>
            <a:solidFill>
              <a:srgbClr val="38477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Results!$N$92</c:f>
              <c:numCache>
                <c:formatCode>General</c:formatCode>
                <c:ptCount val="1"/>
                <c:pt idx="0">
                  <c:v>2.9249603624933226E-2</c:v>
                </c:pt>
              </c:numCache>
            </c:numRef>
          </c:val>
          <c:extLst>
            <c:ext xmlns:c16="http://schemas.microsoft.com/office/drawing/2014/chart" uri="{C3380CC4-5D6E-409C-BE32-E72D297353CC}">
              <c16:uniqueId val="{00000000-ECDE-4B6F-BA93-114DF8194228}"/>
            </c:ext>
          </c:extLst>
        </c:ser>
        <c:ser>
          <c:idx val="1"/>
          <c:order val="1"/>
          <c:tx>
            <c:strRef>
              <c:f>Results!$A$93</c:f>
              <c:strCache>
                <c:ptCount val="1"/>
                <c:pt idx="0">
                  <c:v>Climate change </c:v>
                </c:pt>
              </c:strCache>
            </c:strRef>
          </c:tx>
          <c:spPr>
            <a:solidFill>
              <a:srgbClr val="8EA1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Results!$N$93</c:f>
              <c:numCache>
                <c:formatCode>General</c:formatCode>
                <c:ptCount val="1"/>
                <c:pt idx="0">
                  <c:v>0.28249145054689018</c:v>
                </c:pt>
              </c:numCache>
            </c:numRef>
          </c:val>
          <c:extLst>
            <c:ext xmlns:c16="http://schemas.microsoft.com/office/drawing/2014/chart" uri="{C3380CC4-5D6E-409C-BE32-E72D297353CC}">
              <c16:uniqueId val="{00000001-ECDE-4B6F-BA93-114DF8194228}"/>
            </c:ext>
          </c:extLst>
        </c:ser>
        <c:ser>
          <c:idx val="5"/>
          <c:order val="5"/>
          <c:tx>
            <c:strRef>
              <c:f>Results!$A$97</c:f>
              <c:strCache>
                <c:ptCount val="1"/>
                <c:pt idx="0">
                  <c:v>Ecotoxicity: freshwater </c:v>
                </c:pt>
              </c:strCache>
            </c:strRef>
          </c:tx>
          <c:spPr>
            <a:solidFill>
              <a:schemeClr val="accent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Results!$N$97</c:f>
              <c:numCache>
                <c:formatCode>General</c:formatCode>
                <c:ptCount val="1"/>
                <c:pt idx="0">
                  <c:v>5.860893741605553E-2</c:v>
                </c:pt>
              </c:numCache>
            </c:numRef>
          </c:val>
          <c:extLst>
            <c:ext xmlns:c16="http://schemas.microsoft.com/office/drawing/2014/chart" uri="{C3380CC4-5D6E-409C-BE32-E72D297353CC}">
              <c16:uniqueId val="{00000002-ECDE-4B6F-BA93-114DF8194228}"/>
            </c:ext>
          </c:extLst>
        </c:ser>
        <c:ser>
          <c:idx val="6"/>
          <c:order val="6"/>
          <c:tx>
            <c:strRef>
              <c:f>Results!$A$98</c:f>
              <c:strCache>
                <c:ptCount val="1"/>
                <c:pt idx="0">
                  <c:v>Energy resources: non-renewable </c:v>
                </c:pt>
              </c:strCache>
            </c:strRef>
          </c:tx>
          <c:spPr>
            <a:solidFill>
              <a:srgbClr val="F38947"/>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Results!$N$98</c:f>
              <c:numCache>
                <c:formatCode>General</c:formatCode>
                <c:ptCount val="1"/>
                <c:pt idx="0">
                  <c:v>0.38399613327971788</c:v>
                </c:pt>
              </c:numCache>
            </c:numRef>
          </c:val>
          <c:extLst>
            <c:ext xmlns:c16="http://schemas.microsoft.com/office/drawing/2014/chart" uri="{C3380CC4-5D6E-409C-BE32-E72D297353CC}">
              <c16:uniqueId val="{00000003-ECDE-4B6F-BA93-114DF8194228}"/>
            </c:ext>
          </c:extLst>
        </c:ser>
        <c:ser>
          <c:idx val="7"/>
          <c:order val="7"/>
          <c:tx>
            <c:strRef>
              <c:f>Results!$A$99</c:f>
              <c:strCache>
                <c:ptCount val="1"/>
                <c:pt idx="0">
                  <c:v>Eutrophication: freshwater </c:v>
                </c:pt>
              </c:strCache>
            </c:strRef>
          </c:tx>
          <c:spPr>
            <a:solidFill>
              <a:srgbClr val="617038"/>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Results!$N$99</c:f>
              <c:numCache>
                <c:formatCode>General</c:formatCode>
                <c:ptCount val="1"/>
                <c:pt idx="0">
                  <c:v>5.7997489608500952E-3</c:v>
                </c:pt>
              </c:numCache>
            </c:numRef>
          </c:val>
          <c:extLst>
            <c:ext xmlns:c16="http://schemas.microsoft.com/office/drawing/2014/chart" uri="{C3380CC4-5D6E-409C-BE32-E72D297353CC}">
              <c16:uniqueId val="{00000004-ECDE-4B6F-BA93-114DF8194228}"/>
            </c:ext>
          </c:extLst>
        </c:ser>
        <c:ser>
          <c:idx val="8"/>
          <c:order val="8"/>
          <c:tx>
            <c:strRef>
              <c:f>Results!$A$100</c:f>
              <c:strCache>
                <c:ptCount val="1"/>
                <c:pt idx="0">
                  <c:v>Eutrophication: marine </c:v>
                </c:pt>
              </c:strCache>
            </c:strRef>
          </c:tx>
          <c:spPr>
            <a:solidFill>
              <a:srgbClr val="89974F"/>
            </a:solidFill>
            <a:ln>
              <a:noFill/>
            </a:ln>
            <a:effectLst/>
          </c:spPr>
          <c:invertIfNegative val="0"/>
          <c:dLbls>
            <c:dLbl>
              <c:idx val="0"/>
              <c:layout>
                <c:manualLayout>
                  <c:x val="0"/>
                  <c:y val="1.2321539797926747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CDE-4B6F-BA93-114DF8194228}"/>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Results!$N$100</c:f>
              <c:numCache>
                <c:formatCode>General</c:formatCode>
                <c:ptCount val="1"/>
                <c:pt idx="0">
                  <c:v>1.1348587467009482E-2</c:v>
                </c:pt>
              </c:numCache>
            </c:numRef>
          </c:val>
          <c:extLst>
            <c:ext xmlns:c16="http://schemas.microsoft.com/office/drawing/2014/chart" uri="{C3380CC4-5D6E-409C-BE32-E72D297353CC}">
              <c16:uniqueId val="{00000006-ECDE-4B6F-BA93-114DF8194228}"/>
            </c:ext>
          </c:extLst>
        </c:ser>
        <c:ser>
          <c:idx val="9"/>
          <c:order val="9"/>
          <c:tx>
            <c:strRef>
              <c:f>Results!$A$101</c:f>
              <c:strCache>
                <c:ptCount val="1"/>
                <c:pt idx="0">
                  <c:v>Eutrophication: terrestrial </c:v>
                </c:pt>
              </c:strCache>
            </c:strRef>
          </c:tx>
          <c:spPr>
            <a:solidFill>
              <a:srgbClr val="BEC8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Results!$N$101</c:f>
              <c:numCache>
                <c:formatCode>General</c:formatCode>
                <c:ptCount val="1"/>
                <c:pt idx="0">
                  <c:v>1.8279896140699761E-2</c:v>
                </c:pt>
              </c:numCache>
            </c:numRef>
          </c:val>
          <c:extLst>
            <c:ext xmlns:c16="http://schemas.microsoft.com/office/drawing/2014/chart" uri="{C3380CC4-5D6E-409C-BE32-E72D297353CC}">
              <c16:uniqueId val="{00000007-ECDE-4B6F-BA93-114DF8194228}"/>
            </c:ext>
          </c:extLst>
        </c:ser>
        <c:ser>
          <c:idx val="10"/>
          <c:order val="10"/>
          <c:tx>
            <c:strRef>
              <c:f>Results!$A$102</c:f>
              <c:strCache>
                <c:ptCount val="1"/>
                <c:pt idx="0">
                  <c:v>Human toxicity: carcinogenic</c:v>
                </c:pt>
              </c:strCache>
            </c:strRef>
          </c:tx>
          <c:spPr>
            <a:solidFill>
              <a:srgbClr val="816331"/>
            </a:solidFill>
            <a:ln>
              <a:noFill/>
            </a:ln>
            <a:effectLst/>
          </c:spPr>
          <c:invertIfNegative val="0"/>
          <c:val>
            <c:numRef>
              <c:f>Results!$N$102</c:f>
              <c:numCache>
                <c:formatCode>General</c:formatCode>
                <c:ptCount val="1"/>
                <c:pt idx="0">
                  <c:v>3.7798089562947122E-3</c:v>
                </c:pt>
              </c:numCache>
            </c:numRef>
          </c:val>
          <c:extLst>
            <c:ext xmlns:c16="http://schemas.microsoft.com/office/drawing/2014/chart" uri="{C3380CC4-5D6E-409C-BE32-E72D297353CC}">
              <c16:uniqueId val="{00000008-ECDE-4B6F-BA93-114DF8194228}"/>
            </c:ext>
          </c:extLst>
        </c:ser>
        <c:ser>
          <c:idx val="11"/>
          <c:order val="11"/>
          <c:tx>
            <c:strRef>
              <c:f>Results!$A$103</c:f>
              <c:strCache>
                <c:ptCount val="1"/>
                <c:pt idx="0">
                  <c:v>Human toxicity: non-carcinogenic </c:v>
                </c:pt>
              </c:strCache>
            </c:strRef>
          </c:tx>
          <c:spPr>
            <a:solidFill>
              <a:srgbClr val="E0AD46"/>
            </a:solidFill>
            <a:ln>
              <a:noFill/>
            </a:ln>
            <a:effectLst/>
          </c:spPr>
          <c:invertIfNegative val="0"/>
          <c:val>
            <c:numRef>
              <c:f>Results!$N$103</c:f>
              <c:numCache>
                <c:formatCode>General</c:formatCode>
                <c:ptCount val="1"/>
                <c:pt idx="0">
                  <c:v>8.0191536352117575E-3</c:v>
                </c:pt>
              </c:numCache>
            </c:numRef>
          </c:val>
          <c:extLst>
            <c:ext xmlns:c16="http://schemas.microsoft.com/office/drawing/2014/chart" uri="{C3380CC4-5D6E-409C-BE32-E72D297353CC}">
              <c16:uniqueId val="{00000009-ECDE-4B6F-BA93-114DF8194228}"/>
            </c:ext>
          </c:extLst>
        </c:ser>
        <c:ser>
          <c:idx val="12"/>
          <c:order val="12"/>
          <c:tx>
            <c:strRef>
              <c:f>Results!$A$104</c:f>
              <c:strCache>
                <c:ptCount val="1"/>
                <c:pt idx="0">
                  <c:v>Ionising radiation: human health </c:v>
                </c:pt>
              </c:strCache>
            </c:strRef>
          </c:tx>
          <c:spPr>
            <a:solidFill>
              <a:srgbClr val="F9C2A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Results!$N$104</c:f>
              <c:numCache>
                <c:formatCode>General</c:formatCode>
                <c:ptCount val="1"/>
                <c:pt idx="0">
                  <c:v>6.9169709647067951E-3</c:v>
                </c:pt>
              </c:numCache>
            </c:numRef>
          </c:val>
          <c:extLst>
            <c:ext xmlns:c16="http://schemas.microsoft.com/office/drawing/2014/chart" uri="{C3380CC4-5D6E-409C-BE32-E72D297353CC}">
              <c16:uniqueId val="{0000000A-ECDE-4B6F-BA93-114DF8194228}"/>
            </c:ext>
          </c:extLst>
        </c:ser>
        <c:ser>
          <c:idx val="13"/>
          <c:order val="13"/>
          <c:tx>
            <c:strRef>
              <c:f>Results!$A$105</c:f>
              <c:strCache>
                <c:ptCount val="1"/>
                <c:pt idx="0">
                  <c:v>Land use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Results!$N$105</c:f>
              <c:numCache>
                <c:formatCode>General</c:formatCode>
                <c:ptCount val="1"/>
                <c:pt idx="0">
                  <c:v>8.1255293352362912E-3</c:v>
                </c:pt>
              </c:numCache>
            </c:numRef>
          </c:val>
          <c:extLst>
            <c:ext xmlns:c16="http://schemas.microsoft.com/office/drawing/2014/chart" uri="{C3380CC4-5D6E-409C-BE32-E72D297353CC}">
              <c16:uniqueId val="{0000000B-ECDE-4B6F-BA93-114DF8194228}"/>
            </c:ext>
          </c:extLst>
        </c:ser>
        <c:ser>
          <c:idx val="14"/>
          <c:order val="14"/>
          <c:tx>
            <c:strRef>
              <c:f>Results!$A$106</c:f>
              <c:strCache>
                <c:ptCount val="1"/>
                <c:pt idx="0">
                  <c:v>Material resources: metals/minerals </c:v>
                </c:pt>
              </c:strCache>
            </c:strRef>
          </c:tx>
          <c:spPr>
            <a:solidFill>
              <a:srgbClr val="276FB4"/>
            </a:solidFill>
            <a:ln>
              <a:noFill/>
            </a:ln>
            <a:effectLst/>
          </c:spPr>
          <c:invertIfNegative val="0"/>
          <c:val>
            <c:numRef>
              <c:f>Results!$N$106</c:f>
              <c:numCache>
                <c:formatCode>General</c:formatCode>
                <c:ptCount val="1"/>
                <c:pt idx="0">
                  <c:v>6.3849877180818899E-8</c:v>
                </c:pt>
              </c:numCache>
            </c:numRef>
          </c:val>
          <c:extLst>
            <c:ext xmlns:c16="http://schemas.microsoft.com/office/drawing/2014/chart" uri="{C3380CC4-5D6E-409C-BE32-E72D297353CC}">
              <c16:uniqueId val="{0000000C-ECDE-4B6F-BA93-114DF8194228}"/>
            </c:ext>
          </c:extLst>
        </c:ser>
        <c:ser>
          <c:idx val="15"/>
          <c:order val="15"/>
          <c:tx>
            <c:strRef>
              <c:f>Results!$A$107</c:f>
              <c:strCache>
                <c:ptCount val="1"/>
                <c:pt idx="0">
                  <c:v>Ozone depletion</c:v>
                </c:pt>
              </c:strCache>
            </c:strRef>
          </c:tx>
          <c:spPr>
            <a:solidFill>
              <a:srgbClr val="CE5689"/>
            </a:solidFill>
            <a:ln>
              <a:noFill/>
            </a:ln>
            <a:effectLst/>
          </c:spPr>
          <c:invertIfNegative val="0"/>
          <c:val>
            <c:numRef>
              <c:f>Results!$N$107</c:f>
              <c:numCache>
                <c:formatCode>General</c:formatCode>
                <c:ptCount val="1"/>
                <c:pt idx="0">
                  <c:v>7.2793465591396362E-4</c:v>
                </c:pt>
              </c:numCache>
            </c:numRef>
          </c:val>
          <c:extLst>
            <c:ext xmlns:c16="http://schemas.microsoft.com/office/drawing/2014/chart" uri="{C3380CC4-5D6E-409C-BE32-E72D297353CC}">
              <c16:uniqueId val="{0000000D-ECDE-4B6F-BA93-114DF8194228}"/>
            </c:ext>
          </c:extLst>
        </c:ser>
        <c:ser>
          <c:idx val="16"/>
          <c:order val="16"/>
          <c:tx>
            <c:strRef>
              <c:f>Results!$A$108</c:f>
              <c:strCache>
                <c:ptCount val="1"/>
                <c:pt idx="0">
                  <c:v>Particulate matter formation</c:v>
                </c:pt>
              </c:strCache>
            </c:strRef>
          </c:tx>
          <c:spPr>
            <a:solidFill>
              <a:srgbClr val="6B3E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Results!$N$108</c:f>
              <c:numCache>
                <c:formatCode>General</c:formatCode>
                <c:ptCount val="1"/>
                <c:pt idx="0">
                  <c:v>7.5808262399070583E-2</c:v>
                </c:pt>
              </c:numCache>
            </c:numRef>
          </c:val>
          <c:extLst>
            <c:ext xmlns:c16="http://schemas.microsoft.com/office/drawing/2014/chart" uri="{C3380CC4-5D6E-409C-BE32-E72D297353CC}">
              <c16:uniqueId val="{0000000E-ECDE-4B6F-BA93-114DF8194228}"/>
            </c:ext>
          </c:extLst>
        </c:ser>
        <c:ser>
          <c:idx val="17"/>
          <c:order val="17"/>
          <c:tx>
            <c:strRef>
              <c:f>Results!$A$109</c:f>
              <c:strCache>
                <c:ptCount val="1"/>
                <c:pt idx="0">
                  <c:v>Photochemical oxidant formation: human health</c:v>
                </c:pt>
              </c:strCache>
            </c:strRef>
          </c:tx>
          <c:spPr>
            <a:solidFill>
              <a:srgbClr val="924F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Results!$N$109</c:f>
              <c:numCache>
                <c:formatCode>General</c:formatCode>
                <c:ptCount val="1"/>
                <c:pt idx="0">
                  <c:v>3.902269038836173E-2</c:v>
                </c:pt>
              </c:numCache>
            </c:numRef>
          </c:val>
          <c:extLst>
            <c:ext xmlns:c16="http://schemas.microsoft.com/office/drawing/2014/chart" uri="{C3380CC4-5D6E-409C-BE32-E72D297353CC}">
              <c16:uniqueId val="{0000000F-ECDE-4B6F-BA93-114DF8194228}"/>
            </c:ext>
          </c:extLst>
        </c:ser>
        <c:ser>
          <c:idx val="18"/>
          <c:order val="18"/>
          <c:tx>
            <c:strRef>
              <c:f>Results!$A$110</c:f>
              <c:strCache>
                <c:ptCount val="1"/>
                <c:pt idx="0">
                  <c:v>Water use </c:v>
                </c:pt>
              </c:strCache>
            </c:strRef>
          </c:tx>
          <c:spPr>
            <a:solidFill>
              <a:srgbClr val="CA90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Results!$N$110</c:f>
              <c:numCache>
                <c:formatCode>General</c:formatCode>
                <c:ptCount val="1"/>
                <c:pt idx="0">
                  <c:v>8.1936339761836709E-3</c:v>
                </c:pt>
              </c:numCache>
            </c:numRef>
          </c:val>
          <c:extLst>
            <c:ext xmlns:c16="http://schemas.microsoft.com/office/drawing/2014/chart" uri="{C3380CC4-5D6E-409C-BE32-E72D297353CC}">
              <c16:uniqueId val="{00000010-ECDE-4B6F-BA93-114DF8194228}"/>
            </c:ext>
          </c:extLst>
        </c:ser>
        <c:dLbls>
          <c:showLegendKey val="0"/>
          <c:showVal val="0"/>
          <c:showCatName val="0"/>
          <c:showSerName val="0"/>
          <c:showPercent val="0"/>
          <c:showBubbleSize val="0"/>
        </c:dLbls>
        <c:gapWidth val="150"/>
        <c:overlap val="100"/>
        <c:axId val="620475487"/>
        <c:axId val="620493247"/>
        <c:extLst>
          <c:ext xmlns:c15="http://schemas.microsoft.com/office/drawing/2012/chart" uri="{02D57815-91ED-43cb-92C2-25804820EDAC}">
            <c15:filteredBarSeries>
              <c15:ser>
                <c:idx val="2"/>
                <c:order val="2"/>
                <c:tx>
                  <c:strRef>
                    <c:extLst>
                      <c:ext uri="{02D57815-91ED-43cb-92C2-25804820EDAC}">
                        <c15:formulaRef>
                          <c15:sqref>Results!$A$94</c15:sqref>
                        </c15:formulaRef>
                      </c:ext>
                    </c:extLst>
                    <c:strCache>
                      <c:ptCount val="1"/>
                      <c:pt idx="0">
                        <c:v>Climate change: biogenic </c:v>
                      </c:pt>
                    </c:strCache>
                  </c:strRef>
                </c:tx>
                <c:spPr>
                  <a:solidFill>
                    <a:schemeClr val="accent3"/>
                  </a:solidFill>
                  <a:ln>
                    <a:noFill/>
                  </a:ln>
                  <a:effectLst/>
                </c:spPr>
                <c:invertIfNegative val="0"/>
                <c:val>
                  <c:numRef>
                    <c:extLst>
                      <c:ext uri="{02D57815-91ED-43cb-92C2-25804820EDAC}">
                        <c15:formulaRef>
                          <c15:sqref>Results!$N$94</c15:sqref>
                        </c15:formulaRef>
                      </c:ext>
                    </c:extLst>
                    <c:numCache>
                      <c:formatCode>General</c:formatCode>
                      <c:ptCount val="1"/>
                    </c:numCache>
                  </c:numRef>
                </c:val>
                <c:extLst>
                  <c:ext xmlns:c16="http://schemas.microsoft.com/office/drawing/2014/chart" uri="{C3380CC4-5D6E-409C-BE32-E72D297353CC}">
                    <c16:uniqueId val="{00000011-ECDE-4B6F-BA93-114DF8194228}"/>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Results!$A$95</c15:sqref>
                        </c15:formulaRef>
                      </c:ext>
                    </c:extLst>
                    <c:strCache>
                      <c:ptCount val="1"/>
                      <c:pt idx="0">
                        <c:v>Climate change: fossil </c:v>
                      </c:pt>
                    </c:strCache>
                  </c:strRef>
                </c:tx>
                <c:spPr>
                  <a:solidFill>
                    <a:schemeClr val="accent4"/>
                  </a:solidFill>
                  <a:ln>
                    <a:noFill/>
                  </a:ln>
                  <a:effectLst/>
                </c:spPr>
                <c:invertIfNegative val="0"/>
                <c:val>
                  <c:numRef>
                    <c:extLst xmlns:c15="http://schemas.microsoft.com/office/drawing/2012/chart">
                      <c:ext xmlns:c15="http://schemas.microsoft.com/office/drawing/2012/chart" uri="{02D57815-91ED-43cb-92C2-25804820EDAC}">
                        <c15:formulaRef>
                          <c15:sqref>Results!$N$95</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12-ECDE-4B6F-BA93-114DF8194228}"/>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Results!$A$96</c15:sqref>
                        </c15:formulaRef>
                      </c:ext>
                    </c:extLst>
                    <c:strCache>
                      <c:ptCount val="1"/>
                      <c:pt idx="0">
                        <c:v>Land use and land use change </c:v>
                      </c:pt>
                    </c:strCache>
                  </c:strRef>
                </c:tx>
                <c:spPr>
                  <a:solidFill>
                    <a:schemeClr val="accent5"/>
                  </a:solidFill>
                  <a:ln>
                    <a:noFill/>
                  </a:ln>
                  <a:effectLst/>
                </c:spPr>
                <c:invertIfNegative val="0"/>
                <c:val>
                  <c:numRef>
                    <c:extLst xmlns:c15="http://schemas.microsoft.com/office/drawing/2012/chart">
                      <c:ext xmlns:c15="http://schemas.microsoft.com/office/drawing/2012/chart" uri="{02D57815-91ED-43cb-92C2-25804820EDAC}">
                        <c15:formulaRef>
                          <c15:sqref>Results!$N$96</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13-ECDE-4B6F-BA93-114DF8194228}"/>
                  </c:ext>
                </c:extLst>
              </c15:ser>
            </c15:filteredBarSeries>
          </c:ext>
        </c:extLst>
      </c:barChart>
      <c:catAx>
        <c:axId val="620475487"/>
        <c:scaling>
          <c:orientation val="minMax"/>
        </c:scaling>
        <c:delete val="1"/>
        <c:axPos val="b"/>
        <c:numFmt formatCode="General" sourceLinked="1"/>
        <c:majorTickMark val="none"/>
        <c:minorTickMark val="none"/>
        <c:tickLblPos val="nextTo"/>
        <c:crossAx val="620493247"/>
        <c:crosses val="autoZero"/>
        <c:auto val="1"/>
        <c:lblAlgn val="ctr"/>
        <c:lblOffset val="100"/>
        <c:noMultiLvlLbl val="0"/>
      </c:catAx>
      <c:valAx>
        <c:axId val="620493247"/>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mpt/m</a:t>
                </a:r>
                <a:r>
                  <a:rPr lang="nl-BE" sz="1000" baseline="30000"/>
                  <a:t>2</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75487"/>
        <c:crosses val="autoZero"/>
        <c:crossBetween val="between"/>
      </c:valAx>
      <c:spPr>
        <a:noFill/>
        <a:ln>
          <a:noFill/>
        </a:ln>
        <a:effectLst/>
      </c:spPr>
    </c:plotArea>
    <c:legend>
      <c:legendPos val="r"/>
      <c:layout>
        <c:manualLayout>
          <c:xMode val="edge"/>
          <c:yMode val="edge"/>
          <c:x val="0.43628343621399179"/>
          <c:y val="0.12083672839506172"/>
          <c:w val="0.55186986249657299"/>
          <c:h val="0.85629845679012351"/>
        </c:manualLayout>
      </c:layout>
      <c:overlay val="1"/>
      <c:spPr>
        <a:solidFill>
          <a:schemeClr val="bg1"/>
        </a:solidFill>
        <a:ln>
          <a:noFill/>
        </a:ln>
        <a:effectLst/>
      </c:spPr>
      <c:txPr>
        <a:bodyPr rot="0" spcFirstLastPara="1" vertOverflow="ellipsis" vert="horz" wrap="square" anchor="t" anchorCtr="0"/>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a:t>
            </a:r>
            <a:r>
              <a:rPr lang="nl-BE" sz="1050" baseline="0"/>
              <a:t> (GWP100) by Process</a:t>
            </a:r>
            <a:endParaRPr lang="nl-BE" sz="1050"/>
          </a:p>
        </c:rich>
      </c:tx>
      <c:layout>
        <c:manualLayout>
          <c:xMode val="edge"/>
          <c:yMode val="edge"/>
          <c:x val="0.15229688915332354"/>
          <c:y val="8.5970736336273938E-3"/>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41758552713099695"/>
          <c:y val="9.7087777777777773E-2"/>
          <c:w val="0.54395345431606457"/>
          <c:h val="0.76136416666666662"/>
        </c:manualLayout>
      </c:layout>
      <c:barChart>
        <c:barDir val="bar"/>
        <c:grouping val="clustered"/>
        <c:varyColors val="0"/>
        <c:ser>
          <c:idx val="0"/>
          <c:order val="0"/>
          <c:spPr>
            <a:solidFill>
              <a:srgbClr val="92D05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Results!$C$123:$R$124</c:f>
              <c:multiLvlStrCache>
                <c:ptCount val="16"/>
                <c:lvl>
                  <c:pt idx="0">
                    <c:v>A1 - Primary Material </c:v>
                  </c:pt>
                  <c:pt idx="1">
                    <c:v>A2 - Transport Primary</c:v>
                  </c:pt>
                  <c:pt idx="2">
                    <c:v>A1 - Primary Material </c:v>
                  </c:pt>
                  <c:pt idx="3">
                    <c:v>A2 - Transport Primary</c:v>
                  </c:pt>
                  <c:pt idx="4">
                    <c:v>A1 - Primary Material </c:v>
                  </c:pt>
                  <c:pt idx="5">
                    <c:v>A2 - Transport Primary</c:v>
                  </c:pt>
                  <c:pt idx="6">
                    <c:v>C3' - Secondary Material</c:v>
                  </c:pt>
                  <c:pt idx="7">
                    <c:v>C2' - Transport Secondary</c:v>
                  </c:pt>
                  <c:pt idx="8">
                    <c:v>C3' - Secondary Material</c:v>
                  </c:pt>
                  <c:pt idx="9">
                    <c:v>C2' - Transport Secondary</c:v>
                  </c:pt>
                  <c:pt idx="10">
                    <c:v>A1 - Primary Material </c:v>
                  </c:pt>
                  <c:pt idx="11">
                    <c:v>A2 - Transport Primary</c:v>
                  </c:pt>
                  <c:pt idx="12">
                    <c:v>A3 - Production</c:v>
                  </c:pt>
                  <c:pt idx="13">
                    <c:v>A4 - Transport</c:v>
                  </c:pt>
                  <c:pt idx="14">
                    <c:v>A5 - Construction</c:v>
                  </c:pt>
                  <c:pt idx="15">
                    <c:v>C1 - Deconstruction</c:v>
                  </c:pt>
                </c:lvl>
                <c:lvl>
                  <c:pt idx="0">
                    <c:v>Agg</c:v>
                  </c:pt>
                  <c:pt idx="2">
                    <c:v>Virgin binder</c:v>
                  </c:pt>
                  <c:pt idx="4">
                    <c:v>Filler</c:v>
                  </c:pt>
                  <c:pt idx="6">
                    <c:v>RAP</c:v>
                  </c:pt>
                  <c:pt idx="8">
                    <c:v>Other Waste </c:v>
                  </c:pt>
                  <c:pt idx="10">
                    <c:v>Additiv</c:v>
                  </c:pt>
                  <c:pt idx="12">
                    <c:v> </c:v>
                  </c:pt>
                  <c:pt idx="13">
                    <c:v> </c:v>
                  </c:pt>
                  <c:pt idx="14">
                    <c:v> </c:v>
                  </c:pt>
                  <c:pt idx="15">
                    <c:v> </c:v>
                  </c:pt>
                </c:lvl>
              </c:multiLvlStrCache>
            </c:multiLvlStrRef>
          </c:cat>
          <c:val>
            <c:numRef>
              <c:f>Results!$C$125:$R$125</c:f>
              <c:numCache>
                <c:formatCode>General</c:formatCode>
                <c:ptCount val="16"/>
                <c:pt idx="0">
                  <c:v>0.42802594561767537</c:v>
                </c:pt>
                <c:pt idx="1">
                  <c:v>2.3170320707001091</c:v>
                </c:pt>
                <c:pt idx="2">
                  <c:v>2.2550015999999999</c:v>
                </c:pt>
                <c:pt idx="3">
                  <c:v>0.17695871073893374</c:v>
                </c:pt>
                <c:pt idx="4">
                  <c:v>6.5831490932352826E-2</c:v>
                </c:pt>
                <c:pt idx="5">
                  <c:v>3.1850568509759994E-2</c:v>
                </c:pt>
                <c:pt idx="6">
                  <c:v>3.2023744887117074E-2</c:v>
                </c:pt>
                <c:pt idx="7">
                  <c:v>0.45718519391999995</c:v>
                </c:pt>
                <c:pt idx="8">
                  <c:v>0</c:v>
                </c:pt>
                <c:pt idx="9">
                  <c:v>0</c:v>
                </c:pt>
                <c:pt idx="10">
                  <c:v>0.12561317035931716</c:v>
                </c:pt>
                <c:pt idx="11">
                  <c:v>0.12461954015871358</c:v>
                </c:pt>
                <c:pt idx="12">
                  <c:v>3.8509116517379609</c:v>
                </c:pt>
                <c:pt idx="13">
                  <c:v>0.60955587534965749</c:v>
                </c:pt>
                <c:pt idx="14">
                  <c:v>0.22199103393002423</c:v>
                </c:pt>
                <c:pt idx="15">
                  <c:v>0.16845519342338494</c:v>
                </c:pt>
              </c:numCache>
            </c:numRef>
          </c:val>
          <c:extLst>
            <c:ext xmlns:c16="http://schemas.microsoft.com/office/drawing/2014/chart" uri="{C3380CC4-5D6E-409C-BE32-E72D297353CC}">
              <c16:uniqueId val="{00000000-CC3D-4458-AD58-F40222FC0EE3}"/>
            </c:ext>
          </c:extLst>
        </c:ser>
        <c:dLbls>
          <c:showLegendKey val="0"/>
          <c:showVal val="0"/>
          <c:showCatName val="0"/>
          <c:showSerName val="0"/>
          <c:showPercent val="0"/>
          <c:showBubbleSize val="0"/>
        </c:dLbls>
        <c:gapWidth val="219"/>
        <c:axId val="620420767"/>
        <c:axId val="620437087"/>
      </c:barChart>
      <c:catAx>
        <c:axId val="620420767"/>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37087"/>
        <c:crosses val="autoZero"/>
        <c:auto val="1"/>
        <c:lblAlgn val="ctr"/>
        <c:lblOffset val="100"/>
        <c:noMultiLvlLbl val="0"/>
      </c:catAx>
      <c:valAx>
        <c:axId val="62043708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-eq/m</a:t>
                </a:r>
                <a:r>
                  <a:rPr lang="nl-BE" sz="1000" baseline="30000"/>
                  <a:t>2</a:t>
                </a:r>
              </a:p>
            </c:rich>
          </c:tx>
          <c:layout>
            <c:manualLayout>
              <c:xMode val="edge"/>
              <c:yMode val="edge"/>
              <c:x val="0.53593166403508918"/>
              <c:y val="0.92216361111111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20767"/>
        <c:crosses val="autoZero"/>
        <c:crossBetween val="between"/>
      </c:valAx>
      <c:spPr>
        <a:noFill/>
        <a:ln>
          <a:solidFill>
            <a:schemeClr val="bg2">
              <a:lumMod val="90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59055118110236227" l="0.59055118110236227" r="0.59055118110236227" t="0.74803149606299213" header="0.31496062992125984" footer="0.31496062992125984"/>
    <c:pageSetup orientation="portrait"/>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a:t>PEF Single Score by Impact Category</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12766355594439585"/>
          <c:y val="0.11857213714427429"/>
          <c:w val="0.33893672839506178"/>
          <c:h val="0.85864197530864184"/>
        </c:manualLayout>
      </c:layout>
      <c:barChart>
        <c:barDir val="col"/>
        <c:grouping val="stacked"/>
        <c:varyColors val="0"/>
        <c:ser>
          <c:idx val="0"/>
          <c:order val="0"/>
          <c:tx>
            <c:strRef>
              <c:f>DDN_Results_TP!$A$30</c:f>
              <c:strCache>
                <c:ptCount val="1"/>
                <c:pt idx="0">
                  <c:v>Acidification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DDN_Results_TP!$C$30</c:f>
              <c:numCache>
                <c:formatCode>0.000</c:formatCode>
                <c:ptCount val="1"/>
                <c:pt idx="0">
                  <c:v>0.10558400668661869</c:v>
                </c:pt>
              </c:numCache>
            </c:numRef>
          </c:val>
          <c:extLst>
            <c:ext xmlns:c16="http://schemas.microsoft.com/office/drawing/2014/chart" uri="{C3380CC4-5D6E-409C-BE32-E72D297353CC}">
              <c16:uniqueId val="{00000000-BBCD-4D82-9E1F-289C58C81C72}"/>
            </c:ext>
          </c:extLst>
        </c:ser>
        <c:ser>
          <c:idx val="1"/>
          <c:order val="1"/>
          <c:tx>
            <c:strRef>
              <c:f>DDN_Results_TP!$A$31</c:f>
              <c:strCache>
                <c:ptCount val="1"/>
                <c:pt idx="0">
                  <c:v>Climate change </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DDN_Results_TP!$C$31</c:f>
              <c:numCache>
                <c:formatCode>0.000</c:formatCode>
                <c:ptCount val="1"/>
                <c:pt idx="0">
                  <c:v>1.6508804957386556</c:v>
                </c:pt>
              </c:numCache>
            </c:numRef>
          </c:val>
          <c:extLst>
            <c:ext xmlns:c16="http://schemas.microsoft.com/office/drawing/2014/chart" uri="{C3380CC4-5D6E-409C-BE32-E72D297353CC}">
              <c16:uniqueId val="{00000016-BBCD-4D82-9E1F-289C58C81C72}"/>
            </c:ext>
          </c:extLst>
        </c:ser>
        <c:ser>
          <c:idx val="2"/>
          <c:order val="2"/>
          <c:tx>
            <c:strRef>
              <c:f>DDN_Results_TP!$A$32</c:f>
              <c:strCache>
                <c:ptCount val="1"/>
                <c:pt idx="0">
                  <c:v>Ecotoxicity: freshwater </c:v>
                </c:pt>
              </c:strCache>
            </c:strRef>
          </c:tx>
          <c:spPr>
            <a:solidFill>
              <a:schemeClr val="accent3"/>
            </a:solidFill>
            <a:ln>
              <a:noFill/>
            </a:ln>
            <a:effectLst/>
          </c:spPr>
          <c:invertIfNegative val="0"/>
          <c:val>
            <c:numRef>
              <c:f>DDN_Results_TP!$C$32</c:f>
              <c:numCache>
                <c:formatCode>0.000</c:formatCode>
                <c:ptCount val="1"/>
                <c:pt idx="0">
                  <c:v>2.4521771509575341E-2</c:v>
                </c:pt>
              </c:numCache>
            </c:numRef>
          </c:val>
          <c:extLst>
            <c:ext xmlns:c16="http://schemas.microsoft.com/office/drawing/2014/chart" uri="{C3380CC4-5D6E-409C-BE32-E72D297353CC}">
              <c16:uniqueId val="{00000017-BBCD-4D82-9E1F-289C58C81C72}"/>
            </c:ext>
          </c:extLst>
        </c:ser>
        <c:ser>
          <c:idx val="3"/>
          <c:order val="3"/>
          <c:tx>
            <c:strRef>
              <c:f>DDN_Results_TP!$A$33</c:f>
              <c:strCache>
                <c:ptCount val="1"/>
                <c:pt idx="0">
                  <c:v>Energy resources: non-renewable </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DDN_Results_TP!$C$33</c:f>
              <c:numCache>
                <c:formatCode>0.000</c:formatCode>
                <c:ptCount val="1"/>
                <c:pt idx="0">
                  <c:v>0.99263000016556768</c:v>
                </c:pt>
              </c:numCache>
            </c:numRef>
          </c:val>
          <c:extLst>
            <c:ext xmlns:c16="http://schemas.microsoft.com/office/drawing/2014/chart" uri="{C3380CC4-5D6E-409C-BE32-E72D297353CC}">
              <c16:uniqueId val="{00000018-BBCD-4D82-9E1F-289C58C81C72}"/>
            </c:ext>
          </c:extLst>
        </c:ser>
        <c:ser>
          <c:idx val="4"/>
          <c:order val="4"/>
          <c:tx>
            <c:strRef>
              <c:f>DDN_Results_TP!$A$34</c:f>
              <c:strCache>
                <c:ptCount val="1"/>
                <c:pt idx="0">
                  <c:v>Eutrophication: freshwater </c:v>
                </c:pt>
              </c:strCache>
            </c:strRef>
          </c:tx>
          <c:spPr>
            <a:solidFill>
              <a:schemeClr val="accent5"/>
            </a:solidFill>
            <a:ln>
              <a:noFill/>
            </a:ln>
            <a:effectLst/>
          </c:spPr>
          <c:invertIfNegative val="0"/>
          <c:val>
            <c:numRef>
              <c:f>DDN_Results_TP!$C$34</c:f>
              <c:numCache>
                <c:formatCode>0.000</c:formatCode>
                <c:ptCount val="1"/>
                <c:pt idx="0">
                  <c:v>2.5756813164521726E-2</c:v>
                </c:pt>
              </c:numCache>
            </c:numRef>
          </c:val>
          <c:extLst>
            <c:ext xmlns:c16="http://schemas.microsoft.com/office/drawing/2014/chart" uri="{C3380CC4-5D6E-409C-BE32-E72D297353CC}">
              <c16:uniqueId val="{00000019-BBCD-4D82-9E1F-289C58C81C72}"/>
            </c:ext>
          </c:extLst>
        </c:ser>
        <c:ser>
          <c:idx val="5"/>
          <c:order val="5"/>
          <c:tx>
            <c:strRef>
              <c:f>DDN_Results_TP!$A$35</c:f>
              <c:strCache>
                <c:ptCount val="1"/>
                <c:pt idx="0">
                  <c:v>Eutrophication: marine </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DDN_Results_TP!$C$35</c:f>
              <c:numCache>
                <c:formatCode>0.000</c:formatCode>
                <c:ptCount val="1"/>
                <c:pt idx="0">
                  <c:v>3.1327508285439995E-2</c:v>
                </c:pt>
              </c:numCache>
            </c:numRef>
          </c:val>
          <c:extLst>
            <c:ext xmlns:c16="http://schemas.microsoft.com/office/drawing/2014/chart" uri="{C3380CC4-5D6E-409C-BE32-E72D297353CC}">
              <c16:uniqueId val="{0000001A-BBCD-4D82-9E1F-289C58C81C72}"/>
            </c:ext>
          </c:extLst>
        </c:ser>
        <c:ser>
          <c:idx val="6"/>
          <c:order val="6"/>
          <c:tx>
            <c:strRef>
              <c:f>DDN_Results_TP!$A$36</c:f>
              <c:strCache>
                <c:ptCount val="1"/>
                <c:pt idx="0">
                  <c:v>Eutrophication: terrestrial </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DDN_Results_TP!$C$36</c:f>
              <c:numCache>
                <c:formatCode>0.000</c:formatCode>
                <c:ptCount val="1"/>
                <c:pt idx="0">
                  <c:v>4.6823189822345762E-2</c:v>
                </c:pt>
              </c:numCache>
            </c:numRef>
          </c:val>
          <c:extLst>
            <c:ext xmlns:c16="http://schemas.microsoft.com/office/drawing/2014/chart" uri="{C3380CC4-5D6E-409C-BE32-E72D297353CC}">
              <c16:uniqueId val="{0000001B-BBCD-4D82-9E1F-289C58C81C72}"/>
            </c:ext>
          </c:extLst>
        </c:ser>
        <c:ser>
          <c:idx val="7"/>
          <c:order val="7"/>
          <c:tx>
            <c:strRef>
              <c:f>DDN_Results_TP!$A$37</c:f>
              <c:strCache>
                <c:ptCount val="1"/>
                <c:pt idx="0">
                  <c:v>Human toxicity: carcinogenic</c:v>
                </c:pt>
              </c:strCache>
            </c:strRef>
          </c:tx>
          <c:spPr>
            <a:solidFill>
              <a:schemeClr val="accent2">
                <a:lumMod val="60000"/>
              </a:schemeClr>
            </a:solidFill>
            <a:ln>
              <a:noFill/>
            </a:ln>
            <a:effectLst/>
          </c:spPr>
          <c:invertIfNegative val="0"/>
          <c:val>
            <c:numRef>
              <c:f>DDN_Results_TP!$C$37</c:f>
              <c:numCache>
                <c:formatCode>0.000</c:formatCode>
                <c:ptCount val="1"/>
                <c:pt idx="0">
                  <c:v>7.0928431388307678E-3</c:v>
                </c:pt>
              </c:numCache>
            </c:numRef>
          </c:val>
          <c:extLst>
            <c:ext xmlns:c16="http://schemas.microsoft.com/office/drawing/2014/chart" uri="{C3380CC4-5D6E-409C-BE32-E72D297353CC}">
              <c16:uniqueId val="{0000001C-BBCD-4D82-9E1F-289C58C81C72}"/>
            </c:ext>
          </c:extLst>
        </c:ser>
        <c:ser>
          <c:idx val="8"/>
          <c:order val="8"/>
          <c:tx>
            <c:strRef>
              <c:f>DDN_Results_TP!$A$38</c:f>
              <c:strCache>
                <c:ptCount val="1"/>
                <c:pt idx="0">
                  <c:v>Human toxicity: non-carcinogenic </c:v>
                </c:pt>
              </c:strCache>
            </c:strRef>
          </c:tx>
          <c:spPr>
            <a:solidFill>
              <a:schemeClr val="accent3">
                <a:lumMod val="60000"/>
              </a:schemeClr>
            </a:solidFill>
            <a:ln>
              <a:noFill/>
            </a:ln>
            <a:effectLst/>
          </c:spPr>
          <c:invertIfNegative val="0"/>
          <c:val>
            <c:numRef>
              <c:f>DDN_Results_TP!$C$38</c:f>
              <c:numCache>
                <c:formatCode>0.000</c:formatCode>
                <c:ptCount val="1"/>
                <c:pt idx="0">
                  <c:v>3.6631494681599999E-2</c:v>
                </c:pt>
              </c:numCache>
            </c:numRef>
          </c:val>
          <c:extLst>
            <c:ext xmlns:c16="http://schemas.microsoft.com/office/drawing/2014/chart" uri="{C3380CC4-5D6E-409C-BE32-E72D297353CC}">
              <c16:uniqueId val="{0000001D-BBCD-4D82-9E1F-289C58C81C72}"/>
            </c:ext>
          </c:extLst>
        </c:ser>
        <c:ser>
          <c:idx val="9"/>
          <c:order val="9"/>
          <c:tx>
            <c:strRef>
              <c:f>DDN_Results_TP!$A$39</c:f>
              <c:strCache>
                <c:ptCount val="1"/>
                <c:pt idx="0">
                  <c:v>Ionising radiation: human health </c:v>
                </c:pt>
              </c:strCache>
            </c:strRef>
          </c:tx>
          <c:spPr>
            <a:solidFill>
              <a:schemeClr val="accent4">
                <a:lumMod val="60000"/>
              </a:schemeClr>
            </a:solidFill>
            <a:ln>
              <a:noFill/>
            </a:ln>
            <a:effectLst/>
          </c:spPr>
          <c:invertIfNegative val="0"/>
          <c:val>
            <c:numRef>
              <c:f>DDN_Results_TP!$C$39</c:f>
              <c:numCache>
                <c:formatCode>0.000</c:formatCode>
                <c:ptCount val="1"/>
                <c:pt idx="0">
                  <c:v>4.6004965983673929E-3</c:v>
                </c:pt>
              </c:numCache>
            </c:numRef>
          </c:val>
          <c:extLst>
            <c:ext xmlns:c16="http://schemas.microsoft.com/office/drawing/2014/chart" uri="{C3380CC4-5D6E-409C-BE32-E72D297353CC}">
              <c16:uniqueId val="{0000001E-BBCD-4D82-9E1F-289C58C81C72}"/>
            </c:ext>
          </c:extLst>
        </c:ser>
        <c:ser>
          <c:idx val="10"/>
          <c:order val="10"/>
          <c:tx>
            <c:strRef>
              <c:f>DDN_Results_TP!$A$40</c:f>
              <c:strCache>
                <c:ptCount val="1"/>
                <c:pt idx="0">
                  <c:v>Land use </c:v>
                </c:pt>
              </c:strCache>
            </c:strRef>
          </c:tx>
          <c:spPr>
            <a:solidFill>
              <a:schemeClr val="accent5">
                <a:lumMod val="60000"/>
              </a:schemeClr>
            </a:solidFill>
            <a:ln>
              <a:noFill/>
            </a:ln>
            <a:effectLst/>
          </c:spPr>
          <c:invertIfNegative val="0"/>
          <c:val>
            <c:numRef>
              <c:f>DDN_Results_TP!$C$40</c:f>
              <c:numCache>
                <c:formatCode>0.000</c:formatCode>
                <c:ptCount val="1"/>
                <c:pt idx="0">
                  <c:v>5.2259014374366475E-3</c:v>
                </c:pt>
              </c:numCache>
            </c:numRef>
          </c:val>
          <c:extLst>
            <c:ext xmlns:c16="http://schemas.microsoft.com/office/drawing/2014/chart" uri="{C3380CC4-5D6E-409C-BE32-E72D297353CC}">
              <c16:uniqueId val="{0000001F-BBCD-4D82-9E1F-289C58C81C72}"/>
            </c:ext>
          </c:extLst>
        </c:ser>
        <c:ser>
          <c:idx val="11"/>
          <c:order val="11"/>
          <c:tx>
            <c:strRef>
              <c:f>DDN_Results_TP!$A$41</c:f>
              <c:strCache>
                <c:ptCount val="1"/>
                <c:pt idx="0">
                  <c:v>Material resources: metals/minerals </c:v>
                </c:pt>
              </c:strCache>
            </c:strRef>
          </c:tx>
          <c:spPr>
            <a:solidFill>
              <a:schemeClr val="accent6">
                <a:lumMod val="60000"/>
              </a:schemeClr>
            </a:solidFill>
            <a:ln>
              <a:noFill/>
            </a:ln>
            <a:effectLst/>
          </c:spPr>
          <c:invertIfNegative val="0"/>
          <c:val>
            <c:numRef>
              <c:f>DDN_Results_TP!$C$41</c:f>
              <c:numCache>
                <c:formatCode>0.000</c:formatCode>
                <c:ptCount val="1"/>
                <c:pt idx="0">
                  <c:v>8.9666557194239993E-8</c:v>
                </c:pt>
              </c:numCache>
            </c:numRef>
          </c:val>
          <c:extLst>
            <c:ext xmlns:c16="http://schemas.microsoft.com/office/drawing/2014/chart" uri="{C3380CC4-5D6E-409C-BE32-E72D297353CC}">
              <c16:uniqueId val="{00000020-BBCD-4D82-9E1F-289C58C81C72}"/>
            </c:ext>
          </c:extLst>
        </c:ser>
        <c:ser>
          <c:idx val="12"/>
          <c:order val="12"/>
          <c:tx>
            <c:strRef>
              <c:f>DDN_Results_TP!$A$42</c:f>
              <c:strCache>
                <c:ptCount val="1"/>
                <c:pt idx="0">
                  <c:v>Ozone depletion</c:v>
                </c:pt>
              </c:strCache>
            </c:strRef>
          </c:tx>
          <c:spPr>
            <a:solidFill>
              <a:schemeClr val="accent1">
                <a:lumMod val="80000"/>
                <a:lumOff val="20000"/>
              </a:schemeClr>
            </a:solidFill>
            <a:ln>
              <a:noFill/>
            </a:ln>
            <a:effectLst/>
          </c:spPr>
          <c:invertIfNegative val="0"/>
          <c:val>
            <c:numRef>
              <c:f>DDN_Results_TP!$C$42</c:f>
              <c:numCache>
                <c:formatCode>0.000</c:formatCode>
                <c:ptCount val="1"/>
                <c:pt idx="0">
                  <c:v>1.6621099457785069E-3</c:v>
                </c:pt>
              </c:numCache>
            </c:numRef>
          </c:val>
          <c:extLst>
            <c:ext xmlns:c16="http://schemas.microsoft.com/office/drawing/2014/chart" uri="{C3380CC4-5D6E-409C-BE32-E72D297353CC}">
              <c16:uniqueId val="{00000021-BBCD-4D82-9E1F-289C58C81C72}"/>
            </c:ext>
          </c:extLst>
        </c:ser>
        <c:ser>
          <c:idx val="13"/>
          <c:order val="13"/>
          <c:tx>
            <c:strRef>
              <c:f>DDN_Results_TP!$A$43</c:f>
              <c:strCache>
                <c:ptCount val="1"/>
                <c:pt idx="0">
                  <c:v>Particulate matter formation</c:v>
                </c:pt>
              </c:strCache>
            </c:strRef>
          </c:tx>
          <c:spPr>
            <a:solidFill>
              <a:schemeClr val="accent2">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DDN_Results_TP!$C$43</c:f>
              <c:numCache>
                <c:formatCode>0.000</c:formatCode>
                <c:ptCount val="1"/>
                <c:pt idx="0">
                  <c:v>0.59266568536545872</c:v>
                </c:pt>
              </c:numCache>
            </c:numRef>
          </c:val>
          <c:extLst>
            <c:ext xmlns:c16="http://schemas.microsoft.com/office/drawing/2014/chart" uri="{C3380CC4-5D6E-409C-BE32-E72D297353CC}">
              <c16:uniqueId val="{00000022-BBCD-4D82-9E1F-289C58C81C72}"/>
            </c:ext>
          </c:extLst>
        </c:ser>
        <c:ser>
          <c:idx val="14"/>
          <c:order val="14"/>
          <c:tx>
            <c:strRef>
              <c:f>DDN_Results_TP!$A$44</c:f>
              <c:strCache>
                <c:ptCount val="1"/>
                <c:pt idx="0">
                  <c:v>Photochemical oxidant formation: human health</c:v>
                </c:pt>
              </c:strCache>
            </c:strRef>
          </c:tx>
          <c:spPr>
            <a:solidFill>
              <a:schemeClr val="accent3">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DDN_Results_TP!$C$44</c:f>
              <c:numCache>
                <c:formatCode>0.000</c:formatCode>
                <c:ptCount val="1"/>
                <c:pt idx="0">
                  <c:v>0.19435503139909355</c:v>
                </c:pt>
              </c:numCache>
            </c:numRef>
          </c:val>
          <c:extLst>
            <c:ext xmlns:c16="http://schemas.microsoft.com/office/drawing/2014/chart" uri="{C3380CC4-5D6E-409C-BE32-E72D297353CC}">
              <c16:uniqueId val="{00000023-BBCD-4D82-9E1F-289C58C81C72}"/>
            </c:ext>
          </c:extLst>
        </c:ser>
        <c:ser>
          <c:idx val="15"/>
          <c:order val="15"/>
          <c:tx>
            <c:strRef>
              <c:f>DDN_Results_TP!$A$45</c:f>
              <c:strCache>
                <c:ptCount val="1"/>
                <c:pt idx="0">
                  <c:v>Water use </c:v>
                </c:pt>
              </c:strCache>
            </c:strRef>
          </c:tx>
          <c:spPr>
            <a:solidFill>
              <a:schemeClr val="accent4">
                <a:lumMod val="80000"/>
                <a:lumOff val="20000"/>
              </a:schemeClr>
            </a:solidFill>
            <a:ln>
              <a:noFill/>
            </a:ln>
            <a:effectLst/>
          </c:spPr>
          <c:invertIfNegative val="0"/>
          <c:val>
            <c:numRef>
              <c:f>DDN_Results_TP!$C$45</c:f>
              <c:numCache>
                <c:formatCode>0.000</c:formatCode>
                <c:ptCount val="1"/>
                <c:pt idx="0">
                  <c:v>1.4403343283222398E-2</c:v>
                </c:pt>
              </c:numCache>
            </c:numRef>
          </c:val>
          <c:extLst>
            <c:ext xmlns:c16="http://schemas.microsoft.com/office/drawing/2014/chart" uri="{C3380CC4-5D6E-409C-BE32-E72D297353CC}">
              <c16:uniqueId val="{00000024-BBCD-4D82-9E1F-289C58C81C72}"/>
            </c:ext>
          </c:extLst>
        </c:ser>
        <c:dLbls>
          <c:showLegendKey val="0"/>
          <c:showVal val="0"/>
          <c:showCatName val="0"/>
          <c:showSerName val="0"/>
          <c:showPercent val="0"/>
          <c:showBubbleSize val="0"/>
        </c:dLbls>
        <c:gapWidth val="150"/>
        <c:overlap val="100"/>
        <c:axId val="620475487"/>
        <c:axId val="620493247"/>
        <c:extLst/>
      </c:barChart>
      <c:catAx>
        <c:axId val="620475487"/>
        <c:scaling>
          <c:orientation val="minMax"/>
        </c:scaling>
        <c:delete val="1"/>
        <c:axPos val="b"/>
        <c:numFmt formatCode="General" sourceLinked="1"/>
        <c:majorTickMark val="none"/>
        <c:minorTickMark val="none"/>
        <c:tickLblPos val="nextTo"/>
        <c:crossAx val="620493247"/>
        <c:crosses val="autoZero"/>
        <c:auto val="1"/>
        <c:lblAlgn val="ctr"/>
        <c:lblOffset val="100"/>
        <c:noMultiLvlLbl val="0"/>
      </c:catAx>
      <c:valAx>
        <c:axId val="620493247"/>
        <c:scaling>
          <c:orientation val="minMax"/>
          <c:min val="0"/>
        </c:scaling>
        <c:delete val="0"/>
        <c:axPos val="l"/>
        <c:majorGridlines>
          <c:spPr>
            <a:ln w="9525" cap="flat" cmpd="sng" algn="ctr">
              <a:solidFill>
                <a:schemeClr val="tx1">
                  <a:lumMod val="15000"/>
                  <a:lumOff val="85000"/>
                </a:schemeClr>
              </a:solidFill>
              <a:round/>
            </a:ln>
            <a:effectLst/>
          </c:spPr>
        </c:majorGridlines>
        <c:title>
          <c:tx>
            <c:strRef>
              <c:f>DDN_Results_TP!$C$29</c:f>
              <c:strCache>
                <c:ptCount val="1"/>
                <c:pt idx="0">
                  <c:v> Single Score (mPt) for 20 ton.</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75487"/>
        <c:crosses val="autoZero"/>
        <c:crossBetween val="between"/>
      </c:valAx>
      <c:spPr>
        <a:noFill/>
        <a:ln>
          <a:noFill/>
        </a:ln>
        <a:effectLst/>
      </c:spPr>
    </c:plotArea>
    <c:legend>
      <c:legendPos val="r"/>
      <c:layout>
        <c:manualLayout>
          <c:xMode val="edge"/>
          <c:yMode val="edge"/>
          <c:x val="0.43628343621399179"/>
          <c:y val="0.11797376543209878"/>
          <c:w val="0.56371645756083377"/>
          <c:h val="0.88202633546412124"/>
        </c:manualLayout>
      </c:layout>
      <c:overlay val="0"/>
      <c:spPr>
        <a:solidFill>
          <a:schemeClr val="bg1"/>
        </a:solidFill>
        <a:ln>
          <a:noFill/>
        </a:ln>
        <a:effectLst/>
      </c:spPr>
      <c:txPr>
        <a:bodyPr rot="0" spcFirstLastPara="1" vertOverflow="ellipsis" vert="horz" wrap="square" anchor="t" anchorCtr="0"/>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chart>
  <c:spPr>
    <a:solidFill>
      <a:sysClr val="window" lastClr="FFFFFF"/>
    </a:solidFill>
    <a:ln w="9525" cap="flat" cmpd="sng" algn="ctr">
      <a:noFill/>
      <a:round/>
    </a:ln>
    <a:effectLst/>
  </c:spPr>
  <c:txPr>
    <a:bodyPr/>
    <a:lstStyle/>
    <a:p>
      <a:pPr>
        <a:defRPr sz="800"/>
      </a:pPr>
      <a:endParaRPr lang="LID4096"/>
    </a:p>
  </c:txPr>
  <c:printSettings>
    <c:headerFooter>
      <c:oddHeader>&amp;LGeneral Information</c:oddHeader>
    </c:headerFooter>
    <c:pageMargins b="0.75" l="0.7" r="0.7" t="0.75" header="0.3" footer="0.3"/>
    <c:pageSetup paperSize="9" orientation="portrait"/>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l-BE"/>
              <a:t>Global</a:t>
            </a:r>
            <a:r>
              <a:rPr lang="nl-BE" baseline="0"/>
              <a:t> Warming Impact</a:t>
            </a:r>
            <a:endParaRPr lang="nl-B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barChart>
        <c:barDir val="col"/>
        <c:grouping val="clustered"/>
        <c:varyColors val="0"/>
        <c:ser>
          <c:idx val="0"/>
          <c:order val="0"/>
          <c:spPr>
            <a:solidFill>
              <a:srgbClr val="92D050"/>
            </a:solidFill>
            <a:ln>
              <a:noFill/>
            </a:ln>
            <a:effectLst/>
          </c:spPr>
          <c:invertIfNegative val="0"/>
          <c:cat>
            <c:strRef>
              <c:f>DDN_Results_TP!$A$11</c:f>
              <c:strCache>
                <c:ptCount val="1"/>
                <c:pt idx="0">
                  <c:v>Climate change: fossil </c:v>
                </c:pt>
              </c:strCache>
            </c:strRef>
          </c:cat>
          <c:val>
            <c:numRef>
              <c:f>DDN_Results_TP!$C$11</c:f>
              <c:numCache>
                <c:formatCode>General</c:formatCode>
                <c:ptCount val="1"/>
                <c:pt idx="0">
                  <c:v>63.460678271327993</c:v>
                </c:pt>
              </c:numCache>
            </c:numRef>
          </c:val>
          <c:extLst>
            <c:ext xmlns:c16="http://schemas.microsoft.com/office/drawing/2014/chart" uri="{C3380CC4-5D6E-409C-BE32-E72D297353CC}">
              <c16:uniqueId val="{00000000-803B-48F2-B9B9-AC0734FF696C}"/>
            </c:ext>
          </c:extLst>
        </c:ser>
        <c:dLbls>
          <c:showLegendKey val="0"/>
          <c:showVal val="0"/>
          <c:showCatName val="0"/>
          <c:showSerName val="0"/>
          <c:showPercent val="0"/>
          <c:showBubbleSize val="0"/>
        </c:dLbls>
        <c:gapWidth val="219"/>
        <c:overlap val="-27"/>
        <c:axId val="868187200"/>
        <c:axId val="868214080"/>
      </c:barChart>
      <c:catAx>
        <c:axId val="868187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868214080"/>
        <c:crosses val="autoZero"/>
        <c:auto val="1"/>
        <c:lblAlgn val="ctr"/>
        <c:lblOffset val="100"/>
        <c:noMultiLvlLbl val="0"/>
      </c:catAx>
      <c:valAx>
        <c:axId val="868214080"/>
        <c:scaling>
          <c:orientation val="minMax"/>
        </c:scaling>
        <c:delete val="0"/>
        <c:axPos val="l"/>
        <c:majorGridlines>
          <c:spPr>
            <a:ln w="9525" cap="flat" cmpd="sng" algn="ctr">
              <a:solidFill>
                <a:schemeClr val="tx1">
                  <a:lumMod val="15000"/>
                  <a:lumOff val="85000"/>
                </a:schemeClr>
              </a:solidFill>
              <a:round/>
            </a:ln>
            <a:effectLst/>
          </c:spPr>
        </c:majorGridlines>
        <c:title>
          <c:tx>
            <c:strRef>
              <c:f>DDN_Results_TP!$C$6</c:f>
              <c:strCache>
                <c:ptCount val="1"/>
                <c:pt idx="0">
                  <c:v> Impacts for 20 ton.</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86818720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9">
  <a:schemeClr val="accent6"/>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9">
  <a:schemeClr val="accent6"/>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9">
  <a:schemeClr val="accent6"/>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hyperlink" Target="#'Result Dashboard'!A1"/></Relationships>
</file>

<file path=xl/drawings/_rels/drawing3.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chart" Target="../charts/chart9.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8.xml"/><Relationship Id="rId2" Type="http://schemas.openxmlformats.org/officeDocument/2006/relationships/chart" Target="../charts/chart2.xml"/><Relationship Id="rId16" Type="http://schemas.openxmlformats.org/officeDocument/2006/relationships/chart" Target="../charts/chart1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7.png"/><Relationship Id="rId5" Type="http://schemas.openxmlformats.org/officeDocument/2006/relationships/chart" Target="../charts/chart5.xml"/><Relationship Id="rId15" Type="http://schemas.openxmlformats.org/officeDocument/2006/relationships/chart" Target="../charts/chart11.xml"/><Relationship Id="rId10" Type="http://schemas.openxmlformats.org/officeDocument/2006/relationships/image" Target="../media/image6.png"/><Relationship Id="rId4" Type="http://schemas.openxmlformats.org/officeDocument/2006/relationships/chart" Target="../charts/chart4.xml"/><Relationship Id="rId9" Type="http://schemas.openxmlformats.org/officeDocument/2006/relationships/image" Target="../media/image5.png"/><Relationship Id="rId14"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5.xml.rels><?xml version="1.0" encoding="UTF-8" standalone="yes"?>
<Relationships xmlns="http://schemas.openxmlformats.org/package/2006/relationships"><Relationship Id="rId1" Type="http://schemas.openxmlformats.org/officeDocument/2006/relationships/image" Target="../media/image8.png"/></Relationships>
</file>

<file path=xl/drawings/_rels/drawing6.xml.rels><?xml version="1.0" encoding="UTF-8" standalone="yes"?>
<Relationships xmlns="http://schemas.openxmlformats.org/package/2006/relationships"><Relationship Id="rId1" Type="http://schemas.openxmlformats.org/officeDocument/2006/relationships/image" Target="../media/image8.png"/></Relationships>
</file>

<file path=xl/drawings/_rels/drawing7.xml.rels><?xml version="1.0" encoding="UTF-8" standalone="yes"?>
<Relationships xmlns="http://schemas.openxmlformats.org/package/2006/relationships"><Relationship Id="rId1" Type="http://schemas.openxmlformats.org/officeDocument/2006/relationships/image" Target="../media/image9.png"/></Relationships>
</file>

<file path=xl/drawings/_rels/drawing8.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10.png"/><Relationship Id="rId4"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editAs="oneCell">
    <xdr:from>
      <xdr:col>0</xdr:col>
      <xdr:colOff>320040</xdr:colOff>
      <xdr:row>7</xdr:row>
      <xdr:rowOff>121920</xdr:rowOff>
    </xdr:from>
    <xdr:to>
      <xdr:col>0</xdr:col>
      <xdr:colOff>1429406</xdr:colOff>
      <xdr:row>9</xdr:row>
      <xdr:rowOff>95400</xdr:rowOff>
    </xdr:to>
    <xdr:pic>
      <xdr:nvPicPr>
        <xdr:cNvPr id="2" name="Picture 1" descr="University of Antwerp - Cumulus Association">
          <a:extLst>
            <a:ext uri="{FF2B5EF4-FFF2-40B4-BE49-F238E27FC236}">
              <a16:creationId xmlns:a16="http://schemas.microsoft.com/office/drawing/2014/main" id="{BE27A019-D338-4033-B5E6-020967CD92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0040" y="1584960"/>
          <a:ext cx="1105556" cy="324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2087881</xdr:colOff>
      <xdr:row>6</xdr:row>
      <xdr:rowOff>74076</xdr:rowOff>
    </xdr:from>
    <xdr:to>
      <xdr:col>0</xdr:col>
      <xdr:colOff>3601981</xdr:colOff>
      <xdr:row>10</xdr:row>
      <xdr:rowOff>54936</xdr:rowOff>
    </xdr:to>
    <xdr:pic>
      <xdr:nvPicPr>
        <xdr:cNvPr id="4" name="Picture 3" descr="Mediaroom | PIONEERS">
          <a:extLst>
            <a:ext uri="{FF2B5EF4-FFF2-40B4-BE49-F238E27FC236}">
              <a16:creationId xmlns:a16="http://schemas.microsoft.com/office/drawing/2014/main" id="{51FA1A29-B783-C97E-C7DE-AD4AA8F8F6C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087881" y="1354236"/>
          <a:ext cx="1512195" cy="72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764721</xdr:colOff>
      <xdr:row>86</xdr:row>
      <xdr:rowOff>140425</xdr:rowOff>
    </xdr:from>
    <xdr:to>
      <xdr:col>1</xdr:col>
      <xdr:colOff>1630680</xdr:colOff>
      <xdr:row>88</xdr:row>
      <xdr:rowOff>99060</xdr:rowOff>
    </xdr:to>
    <xdr:sp macro="" textlink="">
      <xdr:nvSpPr>
        <xdr:cNvPr id="3" name="Rectangle 2">
          <a:hlinkClick xmlns:r="http://schemas.openxmlformats.org/officeDocument/2006/relationships" r:id="rId1"/>
          <a:extLst>
            <a:ext uri="{FF2B5EF4-FFF2-40B4-BE49-F238E27FC236}">
              <a16:creationId xmlns:a16="http://schemas.microsoft.com/office/drawing/2014/main" id="{92444EB9-8B6A-8E5C-178A-CF0286371719}"/>
            </a:ext>
          </a:extLst>
        </xdr:cNvPr>
        <xdr:cNvSpPr/>
      </xdr:nvSpPr>
      <xdr:spPr>
        <a:xfrm>
          <a:off x="4551861" y="16111945"/>
          <a:ext cx="865959" cy="324395"/>
        </a:xfrm>
        <a:prstGeom prst="rect">
          <a:avLst/>
        </a:prstGeom>
        <a:solidFill>
          <a:schemeClr val="accent2">
            <a:lumMod val="40000"/>
            <a:lumOff val="6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nl-BE" sz="1400"/>
            <a:t>Results</a:t>
          </a:r>
        </a:p>
      </xdr:txBody>
    </xdr:sp>
    <xdr:clientData/>
  </xdr:twoCellAnchor>
  <xdr:twoCellAnchor editAs="oneCell">
    <xdr:from>
      <xdr:col>1</xdr:col>
      <xdr:colOff>0</xdr:colOff>
      <xdr:row>0</xdr:row>
      <xdr:rowOff>0</xdr:rowOff>
    </xdr:from>
    <xdr:to>
      <xdr:col>1</xdr:col>
      <xdr:colOff>1105556</xdr:colOff>
      <xdr:row>1</xdr:row>
      <xdr:rowOff>57300</xdr:rowOff>
    </xdr:to>
    <xdr:pic>
      <xdr:nvPicPr>
        <xdr:cNvPr id="2" name="Picture 1" descr="University of Antwerp - Cumulus Association">
          <a:extLst>
            <a:ext uri="{FF2B5EF4-FFF2-40B4-BE49-F238E27FC236}">
              <a16:creationId xmlns:a16="http://schemas.microsoft.com/office/drawing/2014/main" id="{25193E05-0F51-4C11-9149-6DEEEC4B8E8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787140" y="0"/>
          <a:ext cx="1105556" cy="324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9429</xdr:colOff>
      <xdr:row>12</xdr:row>
      <xdr:rowOff>152398</xdr:rowOff>
    </xdr:from>
    <xdr:to>
      <xdr:col>1</xdr:col>
      <xdr:colOff>683679</xdr:colOff>
      <xdr:row>29</xdr:row>
      <xdr:rowOff>153898</xdr:rowOff>
    </xdr:to>
    <xdr:graphicFrame macro="">
      <xdr:nvGraphicFramePr>
        <xdr:cNvPr id="2" name="Chart 1">
          <a:extLst>
            <a:ext uri="{FF2B5EF4-FFF2-40B4-BE49-F238E27FC236}">
              <a16:creationId xmlns:a16="http://schemas.microsoft.com/office/drawing/2014/main" id="{D610FFEA-CE9B-4679-ACDC-A7D44D63C3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580716</xdr:colOff>
      <xdr:row>12</xdr:row>
      <xdr:rowOff>152398</xdr:rowOff>
    </xdr:from>
    <xdr:to>
      <xdr:col>5</xdr:col>
      <xdr:colOff>874566</xdr:colOff>
      <xdr:row>29</xdr:row>
      <xdr:rowOff>153898</xdr:rowOff>
    </xdr:to>
    <xdr:graphicFrame macro="">
      <xdr:nvGraphicFramePr>
        <xdr:cNvPr id="3" name="Chart 2">
          <a:extLst>
            <a:ext uri="{FF2B5EF4-FFF2-40B4-BE49-F238E27FC236}">
              <a16:creationId xmlns:a16="http://schemas.microsoft.com/office/drawing/2014/main" id="{AAB6D4DF-E346-4453-B651-25525C8096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9429</xdr:colOff>
      <xdr:row>31</xdr:row>
      <xdr:rowOff>54020</xdr:rowOff>
    </xdr:from>
    <xdr:to>
      <xdr:col>1</xdr:col>
      <xdr:colOff>683679</xdr:colOff>
      <xdr:row>48</xdr:row>
      <xdr:rowOff>91520</xdr:rowOff>
    </xdr:to>
    <xdr:graphicFrame macro="">
      <xdr:nvGraphicFramePr>
        <xdr:cNvPr id="25" name="Chart 24">
          <a:extLst>
            <a:ext uri="{FF2B5EF4-FFF2-40B4-BE49-F238E27FC236}">
              <a16:creationId xmlns:a16="http://schemas.microsoft.com/office/drawing/2014/main" id="{BB776B3A-6055-46E8-B811-66AF4741D6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648182</xdr:colOff>
      <xdr:row>32</xdr:row>
      <xdr:rowOff>19502</xdr:rowOff>
    </xdr:from>
    <xdr:to>
      <xdr:col>5</xdr:col>
      <xdr:colOff>834032</xdr:colOff>
      <xdr:row>51</xdr:row>
      <xdr:rowOff>2</xdr:rowOff>
    </xdr:to>
    <xdr:graphicFrame macro="">
      <xdr:nvGraphicFramePr>
        <xdr:cNvPr id="26" name="Chart 25">
          <a:extLst>
            <a:ext uri="{FF2B5EF4-FFF2-40B4-BE49-F238E27FC236}">
              <a16:creationId xmlns:a16="http://schemas.microsoft.com/office/drawing/2014/main" id="{BD028726-D6CB-427E-9FEA-9A944A2A26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9429</xdr:colOff>
      <xdr:row>117</xdr:row>
      <xdr:rowOff>16145</xdr:rowOff>
    </xdr:from>
    <xdr:to>
      <xdr:col>1</xdr:col>
      <xdr:colOff>683679</xdr:colOff>
      <xdr:row>134</xdr:row>
      <xdr:rowOff>17645</xdr:rowOff>
    </xdr:to>
    <xdr:graphicFrame macro="">
      <xdr:nvGraphicFramePr>
        <xdr:cNvPr id="5" name="Chart 4">
          <a:extLst>
            <a:ext uri="{FF2B5EF4-FFF2-40B4-BE49-F238E27FC236}">
              <a16:creationId xmlns:a16="http://schemas.microsoft.com/office/drawing/2014/main" id="{BBE97B22-7A19-4A4F-A6B0-FA9557F2B9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580716</xdr:colOff>
      <xdr:row>117</xdr:row>
      <xdr:rowOff>7619</xdr:rowOff>
    </xdr:from>
    <xdr:to>
      <xdr:col>5</xdr:col>
      <xdr:colOff>874566</xdr:colOff>
      <xdr:row>134</xdr:row>
      <xdr:rowOff>9119</xdr:rowOff>
    </xdr:to>
    <xdr:graphicFrame macro="">
      <xdr:nvGraphicFramePr>
        <xdr:cNvPr id="6" name="Chart 5">
          <a:extLst>
            <a:ext uri="{FF2B5EF4-FFF2-40B4-BE49-F238E27FC236}">
              <a16:creationId xmlns:a16="http://schemas.microsoft.com/office/drawing/2014/main" id="{7B45E57E-0ADF-4615-96C8-EB0FF7F714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648182</xdr:colOff>
      <xdr:row>135</xdr:row>
      <xdr:rowOff>146586</xdr:rowOff>
    </xdr:from>
    <xdr:to>
      <xdr:col>5</xdr:col>
      <xdr:colOff>834032</xdr:colOff>
      <xdr:row>155</xdr:row>
      <xdr:rowOff>8586</xdr:rowOff>
    </xdr:to>
    <xdr:graphicFrame macro="">
      <xdr:nvGraphicFramePr>
        <xdr:cNvPr id="15" name="Chart 14">
          <a:extLst>
            <a:ext uri="{FF2B5EF4-FFF2-40B4-BE49-F238E27FC236}">
              <a16:creationId xmlns:a16="http://schemas.microsoft.com/office/drawing/2014/main" id="{EAA26357-5986-4A75-8BC6-3488E3A0E3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4</xdr:col>
      <xdr:colOff>265049</xdr:colOff>
      <xdr:row>0</xdr:row>
      <xdr:rowOff>24845</xdr:rowOff>
    </xdr:from>
    <xdr:to>
      <xdr:col>5</xdr:col>
      <xdr:colOff>817630</xdr:colOff>
      <xdr:row>1</xdr:row>
      <xdr:rowOff>140755</xdr:rowOff>
    </xdr:to>
    <xdr:pic>
      <xdr:nvPicPr>
        <xdr:cNvPr id="7" name="Picture 6" descr="University of Antwerp - Cumulus Association">
          <a:extLst>
            <a:ext uri="{FF2B5EF4-FFF2-40B4-BE49-F238E27FC236}">
              <a16:creationId xmlns:a16="http://schemas.microsoft.com/office/drawing/2014/main" id="{D69F657B-AFB3-8506-A2D8-69BF74EFC5D8}"/>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5008499" y="24845"/>
          <a:ext cx="1105031" cy="3235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4</xdr:col>
      <xdr:colOff>265049</xdr:colOff>
      <xdr:row>52</xdr:row>
      <xdr:rowOff>29107</xdr:rowOff>
    </xdr:from>
    <xdr:ext cx="1105556" cy="324000"/>
    <xdr:pic>
      <xdr:nvPicPr>
        <xdr:cNvPr id="9" name="Picture 8" descr="University of Antwerp - Cumulus Association">
          <a:extLst>
            <a:ext uri="{FF2B5EF4-FFF2-40B4-BE49-F238E27FC236}">
              <a16:creationId xmlns:a16="http://schemas.microsoft.com/office/drawing/2014/main" id="{2B64D78C-0090-4DE3-A80E-395E32360507}"/>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5008499" y="10001782"/>
          <a:ext cx="1105556" cy="32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265049</xdr:colOff>
      <xdr:row>104</xdr:row>
      <xdr:rowOff>39438</xdr:rowOff>
    </xdr:from>
    <xdr:ext cx="1105556" cy="324000"/>
    <xdr:pic>
      <xdr:nvPicPr>
        <xdr:cNvPr id="10" name="Picture 9" descr="University of Antwerp - Cumulus Association">
          <a:extLst>
            <a:ext uri="{FF2B5EF4-FFF2-40B4-BE49-F238E27FC236}">
              <a16:creationId xmlns:a16="http://schemas.microsoft.com/office/drawing/2014/main" id="{7EC7D933-5176-47F9-8980-E0D71D7DB0DA}"/>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5008499" y="20003838"/>
          <a:ext cx="1105556" cy="32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7</xdr:col>
      <xdr:colOff>31516</xdr:colOff>
      <xdr:row>4</xdr:row>
      <xdr:rowOff>13099</xdr:rowOff>
    </xdr:from>
    <xdr:to>
      <xdr:col>16</xdr:col>
      <xdr:colOff>555999</xdr:colOff>
      <xdr:row>23</xdr:row>
      <xdr:rowOff>136720</xdr:rowOff>
    </xdr:to>
    <xdr:pic>
      <xdr:nvPicPr>
        <xdr:cNvPr id="27" name="Picture 26">
          <a:extLst>
            <a:ext uri="{FF2B5EF4-FFF2-40B4-BE49-F238E27FC236}">
              <a16:creationId xmlns:a16="http://schemas.microsoft.com/office/drawing/2014/main" id="{C9F6CF9C-D527-E53F-89CD-2AC5EBAB1C76}"/>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6473693" y="801728"/>
          <a:ext cx="6040360" cy="38676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54</xdr:row>
      <xdr:rowOff>66480</xdr:rowOff>
    </xdr:from>
    <xdr:to>
      <xdr:col>16</xdr:col>
      <xdr:colOff>418046</xdr:colOff>
      <xdr:row>74</xdr:row>
      <xdr:rowOff>156033</xdr:rowOff>
    </xdr:to>
    <xdr:pic>
      <xdr:nvPicPr>
        <xdr:cNvPr id="29" name="Picture 28">
          <a:extLst>
            <a:ext uri="{FF2B5EF4-FFF2-40B4-BE49-F238E27FC236}">
              <a16:creationId xmlns:a16="http://schemas.microsoft.com/office/drawing/2014/main" id="{36E05F51-EE3C-CBFA-4F72-CD871EEFDBBD}"/>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6442177" y="10636157"/>
          <a:ext cx="5928208" cy="40326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9429</xdr:colOff>
      <xdr:row>135</xdr:row>
      <xdr:rowOff>0</xdr:rowOff>
    </xdr:from>
    <xdr:to>
      <xdr:col>1</xdr:col>
      <xdr:colOff>683679</xdr:colOff>
      <xdr:row>152</xdr:row>
      <xdr:rowOff>37500</xdr:rowOff>
    </xdr:to>
    <xdr:graphicFrame macro="">
      <xdr:nvGraphicFramePr>
        <xdr:cNvPr id="4" name="Chart 3">
          <a:extLst>
            <a:ext uri="{FF2B5EF4-FFF2-40B4-BE49-F238E27FC236}">
              <a16:creationId xmlns:a16="http://schemas.microsoft.com/office/drawing/2014/main" id="{B6DC4644-B58D-4267-BBE5-7293DC5CC8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9429</xdr:colOff>
      <xdr:row>65</xdr:row>
      <xdr:rowOff>0</xdr:rowOff>
    </xdr:from>
    <xdr:to>
      <xdr:col>1</xdr:col>
      <xdr:colOff>683679</xdr:colOff>
      <xdr:row>82</xdr:row>
      <xdr:rowOff>1500</xdr:rowOff>
    </xdr:to>
    <xdr:graphicFrame macro="">
      <xdr:nvGraphicFramePr>
        <xdr:cNvPr id="32" name="Chart 31">
          <a:extLst>
            <a:ext uri="{FF2B5EF4-FFF2-40B4-BE49-F238E27FC236}">
              <a16:creationId xmlns:a16="http://schemas.microsoft.com/office/drawing/2014/main" id="{373B362D-3CC8-41E3-B323-7817674772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9429</xdr:colOff>
      <xdr:row>83</xdr:row>
      <xdr:rowOff>0</xdr:rowOff>
    </xdr:from>
    <xdr:to>
      <xdr:col>1</xdr:col>
      <xdr:colOff>683679</xdr:colOff>
      <xdr:row>100</xdr:row>
      <xdr:rowOff>37500</xdr:rowOff>
    </xdr:to>
    <xdr:graphicFrame macro="">
      <xdr:nvGraphicFramePr>
        <xdr:cNvPr id="35" name="Chart 34">
          <a:extLst>
            <a:ext uri="{FF2B5EF4-FFF2-40B4-BE49-F238E27FC236}">
              <a16:creationId xmlns:a16="http://schemas.microsoft.com/office/drawing/2014/main" id="{C016812A-76E9-4AA4-A5A6-BD2B7FB9EC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xdr:col>
      <xdr:colOff>580716</xdr:colOff>
      <xdr:row>65</xdr:row>
      <xdr:rowOff>0</xdr:rowOff>
    </xdr:from>
    <xdr:to>
      <xdr:col>5</xdr:col>
      <xdr:colOff>874566</xdr:colOff>
      <xdr:row>82</xdr:row>
      <xdr:rowOff>1500</xdr:rowOff>
    </xdr:to>
    <xdr:graphicFrame macro="">
      <xdr:nvGraphicFramePr>
        <xdr:cNvPr id="42" name="Chart 41">
          <a:extLst>
            <a:ext uri="{FF2B5EF4-FFF2-40B4-BE49-F238E27FC236}">
              <a16:creationId xmlns:a16="http://schemas.microsoft.com/office/drawing/2014/main" id="{7A2B9444-1B39-4105-8AAC-1C16062F53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xdr:col>
      <xdr:colOff>648182</xdr:colOff>
      <xdr:row>83</xdr:row>
      <xdr:rowOff>152400</xdr:rowOff>
    </xdr:from>
    <xdr:to>
      <xdr:col>5</xdr:col>
      <xdr:colOff>834032</xdr:colOff>
      <xdr:row>103</xdr:row>
      <xdr:rowOff>14400</xdr:rowOff>
    </xdr:to>
    <xdr:graphicFrame macro="">
      <xdr:nvGraphicFramePr>
        <xdr:cNvPr id="48" name="Chart 47">
          <a:extLst>
            <a:ext uri="{FF2B5EF4-FFF2-40B4-BE49-F238E27FC236}">
              <a16:creationId xmlns:a16="http://schemas.microsoft.com/office/drawing/2014/main" id="{6ED4BE1D-88BB-4CC4-83B0-76A7806493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177165</xdr:colOff>
      <xdr:row>25</xdr:row>
      <xdr:rowOff>131445</xdr:rowOff>
    </xdr:from>
    <xdr:to>
      <xdr:col>12</xdr:col>
      <xdr:colOff>238125</xdr:colOff>
      <xdr:row>46</xdr:row>
      <xdr:rowOff>116205</xdr:rowOff>
    </xdr:to>
    <xdr:graphicFrame macro="">
      <xdr:nvGraphicFramePr>
        <xdr:cNvPr id="3" name="Chart 2">
          <a:extLst>
            <a:ext uri="{FF2B5EF4-FFF2-40B4-BE49-F238E27FC236}">
              <a16:creationId xmlns:a16="http://schemas.microsoft.com/office/drawing/2014/main" id="{55E130F4-5C9C-4277-A401-201E0540F2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303847</xdr:colOff>
      <xdr:row>8</xdr:row>
      <xdr:rowOff>6667</xdr:rowOff>
    </xdr:from>
    <xdr:to>
      <xdr:col>11</xdr:col>
      <xdr:colOff>608647</xdr:colOff>
      <xdr:row>23</xdr:row>
      <xdr:rowOff>50482</xdr:rowOff>
    </xdr:to>
    <xdr:graphicFrame macro="">
      <xdr:nvGraphicFramePr>
        <xdr:cNvPr id="4" name="Chart 3">
          <a:extLst>
            <a:ext uri="{FF2B5EF4-FFF2-40B4-BE49-F238E27FC236}">
              <a16:creationId xmlns:a16="http://schemas.microsoft.com/office/drawing/2014/main" id="{11D994D4-0D16-558B-005B-F360785B97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3575326</xdr:colOff>
      <xdr:row>148</xdr:row>
      <xdr:rowOff>110435</xdr:rowOff>
    </xdr:from>
    <xdr:to>
      <xdr:col>5</xdr:col>
      <xdr:colOff>58601</xdr:colOff>
      <xdr:row>163</xdr:row>
      <xdr:rowOff>77083</xdr:rowOff>
    </xdr:to>
    <xdr:pic>
      <xdr:nvPicPr>
        <xdr:cNvPr id="2" name="Picture 1">
          <a:extLst>
            <a:ext uri="{FF2B5EF4-FFF2-40B4-BE49-F238E27FC236}">
              <a16:creationId xmlns:a16="http://schemas.microsoft.com/office/drawing/2014/main" id="{D651A859-4C77-416B-8CA0-07F17DAF369C}"/>
            </a:ext>
          </a:extLst>
        </xdr:cNvPr>
        <xdr:cNvPicPr>
          <a:picLocks noChangeAspect="1"/>
        </xdr:cNvPicPr>
      </xdr:nvPicPr>
      <xdr:blipFill>
        <a:blip xmlns:r="http://schemas.openxmlformats.org/officeDocument/2006/relationships" r:embed="rId1"/>
        <a:stretch>
          <a:fillRect/>
        </a:stretch>
      </xdr:blipFill>
      <xdr:spPr>
        <a:xfrm>
          <a:off x="3575326" y="30825109"/>
          <a:ext cx="11571428" cy="245142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3575326</xdr:colOff>
      <xdr:row>87</xdr:row>
      <xdr:rowOff>110435</xdr:rowOff>
    </xdr:from>
    <xdr:to>
      <xdr:col>5</xdr:col>
      <xdr:colOff>5261</xdr:colOff>
      <xdr:row>102</xdr:row>
      <xdr:rowOff>145663</xdr:rowOff>
    </xdr:to>
    <xdr:pic>
      <xdr:nvPicPr>
        <xdr:cNvPr id="4" name="Picture 3">
          <a:extLst>
            <a:ext uri="{FF2B5EF4-FFF2-40B4-BE49-F238E27FC236}">
              <a16:creationId xmlns:a16="http://schemas.microsoft.com/office/drawing/2014/main" id="{1B3E51C4-C518-4C22-989D-7700E1829BAB}"/>
            </a:ext>
          </a:extLst>
        </xdr:cNvPr>
        <xdr:cNvPicPr>
          <a:picLocks noChangeAspect="1"/>
        </xdr:cNvPicPr>
      </xdr:nvPicPr>
      <xdr:blipFill>
        <a:blip xmlns:r="http://schemas.openxmlformats.org/officeDocument/2006/relationships" r:embed="rId1"/>
        <a:stretch>
          <a:fillRect/>
        </a:stretch>
      </xdr:blipFill>
      <xdr:spPr>
        <a:xfrm>
          <a:off x="3575326" y="32541155"/>
          <a:ext cx="10092595" cy="270984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7</xdr:col>
      <xdr:colOff>1817974</xdr:colOff>
      <xdr:row>7</xdr:row>
      <xdr:rowOff>61175</xdr:rowOff>
    </xdr:from>
    <xdr:to>
      <xdr:col>11</xdr:col>
      <xdr:colOff>441452</xdr:colOff>
      <xdr:row>14</xdr:row>
      <xdr:rowOff>1954</xdr:rowOff>
    </xdr:to>
    <xdr:pic>
      <xdr:nvPicPr>
        <xdr:cNvPr id="2" name="Picture 1">
          <a:extLst>
            <a:ext uri="{FF2B5EF4-FFF2-40B4-BE49-F238E27FC236}">
              <a16:creationId xmlns:a16="http://schemas.microsoft.com/office/drawing/2014/main" id="{005288B3-7962-12AB-39FA-B86D86C56F5B}"/>
            </a:ext>
          </a:extLst>
        </xdr:cNvPr>
        <xdr:cNvPicPr>
          <a:picLocks noChangeAspect="1"/>
        </xdr:cNvPicPr>
      </xdr:nvPicPr>
      <xdr:blipFill>
        <a:blip xmlns:r="http://schemas.openxmlformats.org/officeDocument/2006/relationships" r:embed="rId1"/>
        <a:stretch>
          <a:fillRect/>
        </a:stretch>
      </xdr:blipFill>
      <xdr:spPr>
        <a:xfrm>
          <a:off x="26083492" y="1722242"/>
          <a:ext cx="5976127" cy="1495653"/>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1647825</xdr:colOff>
      <xdr:row>128</xdr:row>
      <xdr:rowOff>121921</xdr:rowOff>
    </xdr:from>
    <xdr:to>
      <xdr:col>5</xdr:col>
      <xdr:colOff>625015</xdr:colOff>
      <xdr:row>153</xdr:row>
      <xdr:rowOff>131447</xdr:rowOff>
    </xdr:to>
    <xdr:pic>
      <xdr:nvPicPr>
        <xdr:cNvPr id="2" name="Picture 1">
          <a:extLst>
            <a:ext uri="{FF2B5EF4-FFF2-40B4-BE49-F238E27FC236}">
              <a16:creationId xmlns:a16="http://schemas.microsoft.com/office/drawing/2014/main" id="{7F4C1E11-3435-BA67-3253-0EE05A97602D}"/>
            </a:ext>
          </a:extLst>
        </xdr:cNvPr>
        <xdr:cNvPicPr>
          <a:picLocks noChangeAspect="1"/>
        </xdr:cNvPicPr>
      </xdr:nvPicPr>
      <xdr:blipFill>
        <a:blip xmlns:r="http://schemas.openxmlformats.org/officeDocument/2006/relationships" r:embed="rId1"/>
        <a:stretch>
          <a:fillRect/>
        </a:stretch>
      </xdr:blipFill>
      <xdr:spPr>
        <a:xfrm>
          <a:off x="1647825" y="27584401"/>
          <a:ext cx="7671610" cy="4387215"/>
        </a:xfrm>
        <a:prstGeom prst="rect">
          <a:avLst/>
        </a:prstGeom>
      </xdr:spPr>
    </xdr:pic>
    <xdr:clientData/>
  </xdr:twoCellAnchor>
  <xdr:twoCellAnchor editAs="oneCell">
    <xdr:from>
      <xdr:col>5</xdr:col>
      <xdr:colOff>1320165</xdr:colOff>
      <xdr:row>128</xdr:row>
      <xdr:rowOff>110948</xdr:rowOff>
    </xdr:from>
    <xdr:to>
      <xdr:col>10</xdr:col>
      <xdr:colOff>1528</xdr:colOff>
      <xdr:row>154</xdr:row>
      <xdr:rowOff>666</xdr:rowOff>
    </xdr:to>
    <xdr:pic>
      <xdr:nvPicPr>
        <xdr:cNvPr id="3" name="Picture 2">
          <a:extLst>
            <a:ext uri="{FF2B5EF4-FFF2-40B4-BE49-F238E27FC236}">
              <a16:creationId xmlns:a16="http://schemas.microsoft.com/office/drawing/2014/main" id="{8C93474A-1D7F-8C37-AF2A-F6BB8C78B45F}"/>
            </a:ext>
          </a:extLst>
        </xdr:cNvPr>
        <xdr:cNvPicPr>
          <a:picLocks noChangeAspect="1"/>
        </xdr:cNvPicPr>
      </xdr:nvPicPr>
      <xdr:blipFill>
        <a:blip xmlns:r="http://schemas.openxmlformats.org/officeDocument/2006/relationships" r:embed="rId2"/>
        <a:stretch>
          <a:fillRect/>
        </a:stretch>
      </xdr:blipFill>
      <xdr:spPr>
        <a:xfrm>
          <a:off x="9565005" y="27573428"/>
          <a:ext cx="7993003" cy="4438858"/>
        </a:xfrm>
        <a:prstGeom prst="rect">
          <a:avLst/>
        </a:prstGeom>
      </xdr:spPr>
    </xdr:pic>
    <xdr:clientData/>
  </xdr:twoCellAnchor>
  <xdr:twoCellAnchor editAs="oneCell">
    <xdr:from>
      <xdr:col>6</xdr:col>
      <xdr:colOff>609600</xdr:colOff>
      <xdr:row>159</xdr:row>
      <xdr:rowOff>77967</xdr:rowOff>
    </xdr:from>
    <xdr:to>
      <xdr:col>9</xdr:col>
      <xdr:colOff>712</xdr:colOff>
      <xdr:row>169</xdr:row>
      <xdr:rowOff>18684</xdr:rowOff>
    </xdr:to>
    <xdr:pic>
      <xdr:nvPicPr>
        <xdr:cNvPr id="4" name="Picture 3">
          <a:extLst>
            <a:ext uri="{FF2B5EF4-FFF2-40B4-BE49-F238E27FC236}">
              <a16:creationId xmlns:a16="http://schemas.microsoft.com/office/drawing/2014/main" id="{974C6A53-CA26-5730-AC84-17C1275706C5}"/>
            </a:ext>
          </a:extLst>
        </xdr:cNvPr>
        <xdr:cNvPicPr>
          <a:picLocks noChangeAspect="1"/>
        </xdr:cNvPicPr>
      </xdr:nvPicPr>
      <xdr:blipFill>
        <a:blip xmlns:r="http://schemas.openxmlformats.org/officeDocument/2006/relationships" r:embed="rId3"/>
        <a:stretch>
          <a:fillRect/>
        </a:stretch>
      </xdr:blipFill>
      <xdr:spPr>
        <a:xfrm>
          <a:off x="10507980" y="32973507"/>
          <a:ext cx="5376622" cy="1702841"/>
        </a:xfrm>
        <a:prstGeom prst="rect">
          <a:avLst/>
        </a:prstGeom>
      </xdr:spPr>
    </xdr:pic>
    <xdr:clientData/>
  </xdr:twoCellAnchor>
  <xdr:twoCellAnchor editAs="oneCell">
    <xdr:from>
      <xdr:col>1</xdr:col>
      <xdr:colOff>963163</xdr:colOff>
      <xdr:row>159</xdr:row>
      <xdr:rowOff>45720</xdr:rowOff>
    </xdr:from>
    <xdr:to>
      <xdr:col>5</xdr:col>
      <xdr:colOff>1350645</xdr:colOff>
      <xdr:row>167</xdr:row>
      <xdr:rowOff>151781</xdr:rowOff>
    </xdr:to>
    <xdr:pic>
      <xdr:nvPicPr>
        <xdr:cNvPr id="5" name="Picture 4">
          <a:extLst>
            <a:ext uri="{FF2B5EF4-FFF2-40B4-BE49-F238E27FC236}">
              <a16:creationId xmlns:a16="http://schemas.microsoft.com/office/drawing/2014/main" id="{CF6C2716-12AA-DD5F-D1DA-9FF1BF120BF1}"/>
            </a:ext>
          </a:extLst>
        </xdr:cNvPr>
        <xdr:cNvPicPr>
          <a:picLocks noChangeAspect="1"/>
        </xdr:cNvPicPr>
      </xdr:nvPicPr>
      <xdr:blipFill>
        <a:blip xmlns:r="http://schemas.openxmlformats.org/officeDocument/2006/relationships" r:embed="rId4"/>
        <a:stretch>
          <a:fillRect/>
        </a:stretch>
      </xdr:blipFill>
      <xdr:spPr>
        <a:xfrm>
          <a:off x="4338823" y="32941260"/>
          <a:ext cx="5269997" cy="1508141"/>
        </a:xfrm>
        <a:prstGeom prst="rect">
          <a:avLst/>
        </a:prstGeom>
      </xdr:spPr>
    </xdr:pic>
    <xdr:clientData/>
  </xdr:twoCellAnchor>
</xdr:wsDr>
</file>

<file path=xl/theme/theme1.xml><?xml version="1.0" encoding="utf-8"?>
<a:theme xmlns:a="http://schemas.openxmlformats.org/drawingml/2006/main" name="Office Theme">
  <a:themeElements>
    <a:clrScheme name="Custom 22">
      <a:dk1>
        <a:sysClr val="windowText" lastClr="000000"/>
      </a:dk1>
      <a:lt1>
        <a:sysClr val="window" lastClr="FFFFFF"/>
      </a:lt1>
      <a:dk2>
        <a:srgbClr val="0E2841"/>
      </a:dk2>
      <a:lt2>
        <a:srgbClr val="E8E8E8"/>
      </a:lt2>
      <a:accent1>
        <a:srgbClr val="4D94D8"/>
      </a:accent1>
      <a:accent2>
        <a:srgbClr val="A6C9EB"/>
      </a:accent2>
      <a:accent3>
        <a:srgbClr val="EF6611"/>
      </a:accent3>
      <a:accent4>
        <a:srgbClr val="F6C6AC"/>
      </a:accent4>
      <a:accent5>
        <a:srgbClr val="196B24"/>
      </a:accent5>
      <a:accent6>
        <a:srgbClr val="8ED873"/>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Custom 22">
    <a:dk1>
      <a:sysClr val="windowText" lastClr="000000"/>
    </a:dk1>
    <a:lt1>
      <a:sysClr val="window" lastClr="FFFFFF"/>
    </a:lt1>
    <a:dk2>
      <a:srgbClr val="0E2841"/>
    </a:dk2>
    <a:lt2>
      <a:srgbClr val="E8E8E8"/>
    </a:lt2>
    <a:accent1>
      <a:srgbClr val="4D94D8"/>
    </a:accent1>
    <a:accent2>
      <a:srgbClr val="A6C9EB"/>
    </a:accent2>
    <a:accent3>
      <a:srgbClr val="EF6611"/>
    </a:accent3>
    <a:accent4>
      <a:srgbClr val="F6C6AC"/>
    </a:accent4>
    <a:accent5>
      <a:srgbClr val="196B24"/>
    </a:accent5>
    <a:accent6>
      <a:srgbClr val="8ED873"/>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Custom 22">
    <a:dk1>
      <a:sysClr val="windowText" lastClr="000000"/>
    </a:dk1>
    <a:lt1>
      <a:sysClr val="window" lastClr="FFFFFF"/>
    </a:lt1>
    <a:dk2>
      <a:srgbClr val="0E2841"/>
    </a:dk2>
    <a:lt2>
      <a:srgbClr val="E8E8E8"/>
    </a:lt2>
    <a:accent1>
      <a:srgbClr val="4D94D8"/>
    </a:accent1>
    <a:accent2>
      <a:srgbClr val="A6C9EB"/>
    </a:accent2>
    <a:accent3>
      <a:srgbClr val="EF6611"/>
    </a:accent3>
    <a:accent4>
      <a:srgbClr val="F6C6AC"/>
    </a:accent4>
    <a:accent5>
      <a:srgbClr val="196B24"/>
    </a:accent5>
    <a:accent6>
      <a:srgbClr val="8ED873"/>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Custom 22">
    <a:dk1>
      <a:sysClr val="windowText" lastClr="000000"/>
    </a:dk1>
    <a:lt1>
      <a:sysClr val="window" lastClr="FFFFFF"/>
    </a:lt1>
    <a:dk2>
      <a:srgbClr val="0E2841"/>
    </a:dk2>
    <a:lt2>
      <a:srgbClr val="E8E8E8"/>
    </a:lt2>
    <a:accent1>
      <a:srgbClr val="4D94D8"/>
    </a:accent1>
    <a:accent2>
      <a:srgbClr val="A6C9EB"/>
    </a:accent2>
    <a:accent3>
      <a:srgbClr val="EF6611"/>
    </a:accent3>
    <a:accent4>
      <a:srgbClr val="F6C6AC"/>
    </a:accent4>
    <a:accent5>
      <a:srgbClr val="196B24"/>
    </a:accent5>
    <a:accent6>
      <a:srgbClr val="8ED873"/>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cordis.europa.eu/project/id/101037564" TargetMode="External"/><Relationship Id="rId1" Type="http://schemas.openxmlformats.org/officeDocument/2006/relationships/hyperlink" Target="https://pioneers-ports.eu/"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8" Type="http://schemas.openxmlformats.org/officeDocument/2006/relationships/hyperlink" Target="https://doi.org/10.17559/TV-20141027115647" TargetMode="External"/><Relationship Id="rId13" Type="http://schemas.openxmlformats.org/officeDocument/2006/relationships/hyperlink" Target="https://mccloskeyinternational.com/home-page/mccloskey-stackers/st100t-tracked-stacker/" TargetMode="External"/><Relationship Id="rId18" Type="http://schemas.openxmlformats.org/officeDocument/2006/relationships/hyperlink" Target="https://doi.org/10.17559/TV-20141027115647" TargetMode="External"/><Relationship Id="rId3" Type="http://schemas.openxmlformats.org/officeDocument/2006/relationships/hyperlink" Target="https://www.komatsu.eu/en/wheel-loaders/wheel-loaders/wa500-8" TargetMode="External"/><Relationship Id="rId7" Type="http://schemas.openxmlformats.org/officeDocument/2006/relationships/hyperlink" Target="https://www.fhwa.dot.gov/publications/research/infrastructure/pavements/97148/046.cfm" TargetMode="External"/><Relationship Id="rId12" Type="http://schemas.openxmlformats.org/officeDocument/2006/relationships/hyperlink" Target="https://www.wirtgen-group.com/ocs/en-us/kleemann/mc-120i-pro-139-p/" TargetMode="External"/><Relationship Id="rId17" Type="http://schemas.openxmlformats.org/officeDocument/2006/relationships/hyperlink" Target="https://www.wirtgen-group.com/ocs/en-us/kleemann/msc-953i-evo-167-p/" TargetMode="External"/><Relationship Id="rId2" Type="http://schemas.openxmlformats.org/officeDocument/2006/relationships/hyperlink" Target="https://www.komatsu.eu/en/wheel-loaders/wheel-loaders/wa500-8" TargetMode="External"/><Relationship Id="rId16" Type="http://schemas.openxmlformats.org/officeDocument/2006/relationships/hyperlink" Target="https://mccloskeyinternational.com/home-page/mccloskey-stackers/st100t-tracked-stacker/" TargetMode="External"/><Relationship Id="rId1" Type="http://schemas.openxmlformats.org/officeDocument/2006/relationships/hyperlink" Target="https://www.komatsu.eu/en/wheel-loaders/wheel-loaders/wa500-8" TargetMode="External"/><Relationship Id="rId6" Type="http://schemas.openxmlformats.org/officeDocument/2006/relationships/hyperlink" Target="https://www.komatsu.eu/en/wheel-loaders/wheel-loaders/wa500-8" TargetMode="External"/><Relationship Id="rId11" Type="http://schemas.openxmlformats.org/officeDocument/2006/relationships/hyperlink" Target="https://doi.org/10.17559/TV-20141027115647" TargetMode="External"/><Relationship Id="rId5" Type="http://schemas.openxmlformats.org/officeDocument/2006/relationships/hyperlink" Target="https://www.komatsu.eu/en/wheel-loaders/wheel-loaders/wa500-8" TargetMode="External"/><Relationship Id="rId15" Type="http://schemas.openxmlformats.org/officeDocument/2006/relationships/hyperlink" Target="https://www.wirtgen-group.com/ocs/en-us/kleemann/mc-120i-pro-139-p/" TargetMode="External"/><Relationship Id="rId10" Type="http://schemas.openxmlformats.org/officeDocument/2006/relationships/hyperlink" Target="https://doi.org/10.17559/TV-20141027115647" TargetMode="External"/><Relationship Id="rId4" Type="http://schemas.openxmlformats.org/officeDocument/2006/relationships/hyperlink" Target="https://www.komatsu.eu/en/wheel-loaders/wheel-loaders/wa500-8" TargetMode="External"/><Relationship Id="rId9" Type="http://schemas.openxmlformats.org/officeDocument/2006/relationships/hyperlink" Target="https://doi.org/10.17559/TV-20141027115647" TargetMode="External"/><Relationship Id="rId14" Type="http://schemas.openxmlformats.org/officeDocument/2006/relationships/hyperlink" Target="https://www.wirtgen-group.com/ocs/en-us/kleemann/msc-953i-evo-167-p/" TargetMode="Externa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https://www.tesla.com/semi"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hyperlink" Target="https://www.tesla.com/semi"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www.komatsu.eu/en/wheel-loaders/wheel-loaders/wa500-8" TargetMode="External"/><Relationship Id="rId13" Type="http://schemas.openxmlformats.org/officeDocument/2006/relationships/comments" Target="../comments1.xml"/><Relationship Id="rId3" Type="http://schemas.openxmlformats.org/officeDocument/2006/relationships/hyperlink" Target="https://doi.org/10.17559/TV-20141027115647" TargetMode="External"/><Relationship Id="rId7" Type="http://schemas.openxmlformats.org/officeDocument/2006/relationships/hyperlink" Target="https://www.komatsu.eu/en/wheel-loaders/wheel-loaders/wa500-8" TargetMode="External"/><Relationship Id="rId12" Type="http://schemas.openxmlformats.org/officeDocument/2006/relationships/vmlDrawing" Target="../drawings/vmlDrawing1.vml"/><Relationship Id="rId2" Type="http://schemas.openxmlformats.org/officeDocument/2006/relationships/hyperlink" Target="https://doi.org/10.1016/j.resconrec.2023.106992" TargetMode="External"/><Relationship Id="rId1" Type="http://schemas.openxmlformats.org/officeDocument/2006/relationships/hyperlink" Target="http://dx.doi.org/10.2139/ssrn.4809938" TargetMode="External"/><Relationship Id="rId6" Type="http://schemas.openxmlformats.org/officeDocument/2006/relationships/hyperlink" Target="https://www.komatsu.eu/en/wheel-loaders/wheel-loaders/wa500-8" TargetMode="External"/><Relationship Id="rId11" Type="http://schemas.openxmlformats.org/officeDocument/2006/relationships/printerSettings" Target="../printerSettings/printerSettings5.bin"/><Relationship Id="rId5" Type="http://schemas.openxmlformats.org/officeDocument/2006/relationships/hyperlink" Target="https://doi.org/10.1063/5.0058285" TargetMode="External"/><Relationship Id="rId10" Type="http://schemas.openxmlformats.org/officeDocument/2006/relationships/hyperlink" Target="https://www.energy.gov/eere/fuelcells/hydrogen-storage" TargetMode="External"/><Relationship Id="rId4" Type="http://schemas.openxmlformats.org/officeDocument/2006/relationships/hyperlink" Target="https://doi.org/10.1063/5.0058285" TargetMode="External"/><Relationship Id="rId9" Type="http://schemas.openxmlformats.org/officeDocument/2006/relationships/hyperlink" Target="https://www.inchcalculator.com/convert/megajoule-to-kilowatt-hour/"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www.tesla.com/semi"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s://www.hitachicm.com/nl/nl/machines/graafmachines/medium-graafmachines/product.ze135/" TargetMode="External"/><Relationship Id="rId13" Type="http://schemas.openxmlformats.org/officeDocument/2006/relationships/hyperlink" Target="https://doi.org/10.17559/TV-20141027115647" TargetMode="External"/><Relationship Id="rId3" Type="http://schemas.openxmlformats.org/officeDocument/2006/relationships/hyperlink" Target="https://www.bomag.com/ww-en/machinery/categories/asphalt-rollers/" TargetMode="External"/><Relationship Id="rId7" Type="http://schemas.openxmlformats.org/officeDocument/2006/relationships/hyperlink" Target="https://doi.org/10.17559/TV-20141027115647" TargetMode="External"/><Relationship Id="rId12" Type="http://schemas.openxmlformats.org/officeDocument/2006/relationships/hyperlink" Target="https://doi.org/10.17559/TV-20141027115647" TargetMode="External"/><Relationship Id="rId2" Type="http://schemas.openxmlformats.org/officeDocument/2006/relationships/hyperlink" Target="https://www.bomag.com/ww-en/machinery/categories/asphalt-rollers/" TargetMode="External"/><Relationship Id="rId1" Type="http://schemas.openxmlformats.org/officeDocument/2006/relationships/hyperlink" Target="https://www.bomag.com/ww-en/machinery/categories/asphalt-rollers/" TargetMode="External"/><Relationship Id="rId6" Type="http://schemas.openxmlformats.org/officeDocument/2006/relationships/hyperlink" Target="https://doi.org/10.17559/TV-20141027115647" TargetMode="External"/><Relationship Id="rId11" Type="http://schemas.openxmlformats.org/officeDocument/2006/relationships/hyperlink" Target="https://doi.org/10.17559/TV-20141027115647" TargetMode="External"/><Relationship Id="rId5" Type="http://schemas.openxmlformats.org/officeDocument/2006/relationships/hyperlink" Target="https://www.wirtgen-group.com/ocs/en-be/voegele/road-pavers-50-c/" TargetMode="External"/><Relationship Id="rId10" Type="http://schemas.openxmlformats.org/officeDocument/2006/relationships/hyperlink" Target="https://www.cat.com/en_US/articles/for-owners/finding-your-excavator-lift-capacity.html" TargetMode="External"/><Relationship Id="rId4" Type="http://schemas.openxmlformats.org/officeDocument/2006/relationships/hyperlink" Target="https://www.geba.nl/en/" TargetMode="External"/><Relationship Id="rId9" Type="http://schemas.openxmlformats.org/officeDocument/2006/relationships/hyperlink" Target="https://doi.org/10.17559/TV-20141027115647" TargetMode="External"/><Relationship Id="rId14"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8" Type="http://schemas.openxmlformats.org/officeDocument/2006/relationships/hyperlink" Target="https://doi.org/10.17559/TV-20141027115647" TargetMode="External"/><Relationship Id="rId3" Type="http://schemas.openxmlformats.org/officeDocument/2006/relationships/hyperlink" Target="https://doi:10.1088/1757-899X/1010/1/012036" TargetMode="External"/><Relationship Id="rId7" Type="http://schemas.openxmlformats.org/officeDocument/2006/relationships/hyperlink" Target="https://stpi.it.volvo.com/STPIFiles/Volvo/ModelRange/fl42rs512l_gbr_eng.pdf" TargetMode="External"/><Relationship Id="rId2" Type="http://schemas.openxmlformats.org/officeDocument/2006/relationships/hyperlink" Target="https://doi.org/10.17559/TV-20141027115647" TargetMode="External"/><Relationship Id="rId1" Type="http://schemas.openxmlformats.org/officeDocument/2006/relationships/hyperlink" Target="https://doi:10.1088/1757-899X/1010/1/012036" TargetMode="External"/><Relationship Id="rId6" Type="http://schemas.openxmlformats.org/officeDocument/2006/relationships/hyperlink" Target="https://doi.org/10.17559/TV-20141027115647" TargetMode="External"/><Relationship Id="rId5" Type="http://schemas.openxmlformats.org/officeDocument/2006/relationships/hyperlink" Target="https://doi.org/10.17559/TV-20141027115647" TargetMode="External"/><Relationship Id="rId10" Type="http://schemas.openxmlformats.org/officeDocument/2006/relationships/drawing" Target="../drawings/drawing7.xml"/><Relationship Id="rId4" Type="http://schemas.openxmlformats.org/officeDocument/2006/relationships/hyperlink" Target="https://www.wirtgen-group.com/ocs/en-be/wirtgen/cold-milling-machines-61-c/" TargetMode="External"/><Relationship Id="rId9" Type="http://schemas.openxmlformats.org/officeDocument/2006/relationships/printerSettings" Target="../printerSettings/printerSettings7.bin"/></Relationships>
</file>

<file path=xl/worksheets/_rels/sheet15.xml.rels><?xml version="1.0" encoding="UTF-8" standalone="yes"?>
<Relationships xmlns="http://schemas.openxmlformats.org/package/2006/relationships"><Relationship Id="rId8" Type="http://schemas.openxmlformats.org/officeDocument/2006/relationships/hyperlink" Target="https://doi.org/10.1016/j.jclepro.2024.140580" TargetMode="External"/><Relationship Id="rId3" Type="http://schemas.openxmlformats.org/officeDocument/2006/relationships/hyperlink" Target="https://www.wirtgen-group.com/ocs/en-us/kleemann/msc-953i-evo-167-p/" TargetMode="External"/><Relationship Id="rId7" Type="http://schemas.openxmlformats.org/officeDocument/2006/relationships/hyperlink" Target="https://doi.org/10.1016/j.jclepro.2024.140580" TargetMode="External"/><Relationship Id="rId2" Type="http://schemas.openxmlformats.org/officeDocument/2006/relationships/hyperlink" Target="https://www.wirtgen-group.com/ocs/en-us/kleemann/mc-120i-pro-139-p/" TargetMode="External"/><Relationship Id="rId1" Type="http://schemas.openxmlformats.org/officeDocument/2006/relationships/hyperlink" Target="https://doi.org/10.17559/TV-20141027115647" TargetMode="External"/><Relationship Id="rId6" Type="http://schemas.openxmlformats.org/officeDocument/2006/relationships/hyperlink" Target="https://doi.org/10.17559/TV-20141027115647" TargetMode="External"/><Relationship Id="rId5" Type="http://schemas.openxmlformats.org/officeDocument/2006/relationships/hyperlink" Target="https://doi.org/10.17559/TV-20141027115647" TargetMode="External"/><Relationship Id="rId10" Type="http://schemas.openxmlformats.org/officeDocument/2006/relationships/hyperlink" Target="https://www.tesla.com/semi" TargetMode="External"/><Relationship Id="rId4" Type="http://schemas.openxmlformats.org/officeDocument/2006/relationships/hyperlink" Target="https://doi.org/10.17559/TV-20141027115647" TargetMode="External"/><Relationship Id="rId9" Type="http://schemas.openxmlformats.org/officeDocument/2006/relationships/hyperlink" Target="https://mccloskeyinternational.com/home-page/mccloskey-stackers/st100t-tracked-stacker/" TargetMode="External"/></Relationships>
</file>

<file path=xl/worksheets/_rels/sheet16.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F50A11-EF3D-482D-B162-244E7A8DC878}">
  <sheetPr codeName="Sheet1"/>
  <dimension ref="A1:A24"/>
  <sheetViews>
    <sheetView workbookViewId="0">
      <selection activeCell="A12" sqref="A12"/>
    </sheetView>
  </sheetViews>
  <sheetFormatPr defaultColWidth="0" defaultRowHeight="14.5" zeroHeight="1" x14ac:dyDescent="0.35"/>
  <cols>
    <col min="1" max="1" width="65.453125" style="254" customWidth="1"/>
    <col min="2" max="16384" width="8.81640625" hidden="1"/>
  </cols>
  <sheetData>
    <row r="1" spans="1:1" x14ac:dyDescent="0.35"/>
    <row r="2" spans="1:1" ht="76.25" customHeight="1" x14ac:dyDescent="0.35">
      <c r="A2" s="287" t="s">
        <v>0</v>
      </c>
    </row>
    <row r="3" spans="1:1" x14ac:dyDescent="0.35"/>
    <row r="4" spans="1:1" x14ac:dyDescent="0.35">
      <c r="A4" s="288" t="s">
        <v>1</v>
      </c>
    </row>
    <row r="5" spans="1:1" x14ac:dyDescent="0.35">
      <c r="A5" s="288" t="s">
        <v>2</v>
      </c>
    </row>
    <row r="6" spans="1:1" x14ac:dyDescent="0.35">
      <c r="A6" s="288"/>
    </row>
    <row r="7" spans="1:1" x14ac:dyDescent="0.35"/>
    <row r="8" spans="1:1" x14ac:dyDescent="0.35"/>
    <row r="9" spans="1:1" x14ac:dyDescent="0.35"/>
    <row r="10" spans="1:1" x14ac:dyDescent="0.35"/>
    <row r="11" spans="1:1" x14ac:dyDescent="0.35"/>
    <row r="12" spans="1:1" ht="58" x14ac:dyDescent="0.35">
      <c r="A12" s="290" t="s">
        <v>3</v>
      </c>
    </row>
    <row r="13" spans="1:1" x14ac:dyDescent="0.35"/>
    <row r="14" spans="1:1" x14ac:dyDescent="0.35"/>
    <row r="15" spans="1:1" x14ac:dyDescent="0.35">
      <c r="A15" s="289" t="s">
        <v>1009</v>
      </c>
    </row>
    <row r="16" spans="1:1" x14ac:dyDescent="0.35"/>
    <row r="17" spans="1:1" ht="29" x14ac:dyDescent="0.35">
      <c r="A17" s="287" t="s">
        <v>4</v>
      </c>
    </row>
    <row r="18" spans="1:1" x14ac:dyDescent="0.35"/>
    <row r="19" spans="1:1" x14ac:dyDescent="0.35"/>
    <row r="20" spans="1:1" x14ac:dyDescent="0.35"/>
    <row r="21" spans="1:1" x14ac:dyDescent="0.35"/>
    <row r="22" spans="1:1" x14ac:dyDescent="0.35"/>
    <row r="23" spans="1:1" x14ac:dyDescent="0.35"/>
    <row r="24" spans="1:1" x14ac:dyDescent="0.35"/>
  </sheetData>
  <hyperlinks>
    <hyperlink ref="A4" r:id="rId1" xr:uid="{942382E0-875A-48B8-8389-862AEF236868}"/>
    <hyperlink ref="A5" r:id="rId2" xr:uid="{8E65B996-CCB6-451F-A9C5-F418FC1E3CEF}"/>
  </hyperlinks>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1132A-39ED-4B38-BC81-605AE1F87616}">
  <sheetPr codeName="Sheet2"/>
  <dimension ref="A1:X99"/>
  <sheetViews>
    <sheetView showGridLines="0" tabSelected="1" zoomScale="90" zoomScaleNormal="90" workbookViewId="0">
      <pane xSplit="1" ySplit="2" topLeftCell="B50" activePane="bottomRight" state="frozen"/>
      <selection pane="topRight" activeCell="B1" sqref="B1"/>
      <selection pane="bottomLeft" activeCell="A3" sqref="A3"/>
      <selection pane="bottomRight" activeCell="B65" sqref="B65"/>
    </sheetView>
  </sheetViews>
  <sheetFormatPr defaultRowHeight="14.5" x14ac:dyDescent="0.35"/>
  <cols>
    <col min="1" max="1" width="57.81640625" customWidth="1"/>
    <col min="2" max="2" width="37.1796875" customWidth="1"/>
    <col min="3" max="3" width="21.1796875" customWidth="1"/>
    <col min="4" max="4" width="12.453125" customWidth="1"/>
    <col min="5" max="5" width="12.1796875" customWidth="1"/>
    <col min="6" max="6" width="11.81640625" customWidth="1"/>
    <col min="7" max="7" width="10.1796875" customWidth="1"/>
    <col min="8" max="8" width="28.1796875" customWidth="1"/>
    <col min="9" max="9" width="16.54296875" customWidth="1"/>
    <col min="10" max="10" width="9.81640625" customWidth="1"/>
    <col min="11" max="11" width="14.36328125" bestFit="1" customWidth="1"/>
    <col min="12" max="12" width="8.54296875" customWidth="1"/>
    <col min="13" max="13" width="9.81640625" customWidth="1"/>
    <col min="14" max="14" width="12.453125" customWidth="1"/>
    <col min="15" max="15" width="8.54296875" customWidth="1"/>
    <col min="16" max="16" width="9.81640625" customWidth="1"/>
    <col min="17" max="17" width="12.453125" customWidth="1"/>
    <col min="18" max="18" width="8.54296875" customWidth="1"/>
    <col min="19" max="19" width="11.81640625" customWidth="1"/>
    <col min="20" max="20" width="6.1796875" style="339" customWidth="1"/>
    <col min="21" max="21" width="6.453125" style="339" customWidth="1"/>
    <col min="22" max="22" width="13.54296875" customWidth="1"/>
    <col min="23" max="23" width="11.81640625" customWidth="1"/>
    <col min="24" max="24" width="13" customWidth="1"/>
  </cols>
  <sheetData>
    <row r="1" spans="1:13" ht="21" x14ac:dyDescent="0.5">
      <c r="A1" s="76" t="s">
        <v>5</v>
      </c>
    </row>
    <row r="4" spans="1:13" ht="18.5" x14ac:dyDescent="0.45">
      <c r="A4" s="72" t="s">
        <v>6</v>
      </c>
      <c r="B4" s="72"/>
      <c r="C4" t="s">
        <v>1025</v>
      </c>
      <c r="F4" s="93"/>
      <c r="G4" s="93"/>
      <c r="H4" s="93"/>
    </row>
    <row r="5" spans="1:13" x14ac:dyDescent="0.35">
      <c r="A5" s="1" t="s">
        <v>7</v>
      </c>
      <c r="B5" s="229">
        <v>40409</v>
      </c>
      <c r="C5" s="345">
        <v>45747</v>
      </c>
      <c r="F5" s="93"/>
      <c r="G5" s="93"/>
      <c r="H5" s="93"/>
    </row>
    <row r="6" spans="1:13" x14ac:dyDescent="0.35">
      <c r="A6" s="1" t="s">
        <v>8</v>
      </c>
      <c r="B6" s="315" t="s">
        <v>1039</v>
      </c>
      <c r="C6" s="346">
        <v>2221</v>
      </c>
      <c r="F6" s="93"/>
      <c r="G6" s="93"/>
      <c r="H6" s="93"/>
    </row>
    <row r="7" spans="1:13" x14ac:dyDescent="0.35">
      <c r="A7" s="1" t="s">
        <v>9</v>
      </c>
      <c r="B7" s="230" t="s">
        <v>1040</v>
      </c>
      <c r="C7" s="346" t="s">
        <v>10</v>
      </c>
      <c r="F7" s="93"/>
      <c r="G7" s="93"/>
      <c r="H7" s="93"/>
    </row>
    <row r="8" spans="1:13" x14ac:dyDescent="0.35">
      <c r="A8" s="1" t="s">
        <v>11</v>
      </c>
      <c r="B8" s="230" t="s">
        <v>1041</v>
      </c>
      <c r="C8" s="347" t="s">
        <v>12</v>
      </c>
      <c r="F8" s="93"/>
      <c r="G8" s="93"/>
      <c r="H8" s="93"/>
    </row>
    <row r="9" spans="1:13" x14ac:dyDescent="0.35">
      <c r="A9" s="1" t="s">
        <v>13</v>
      </c>
      <c r="B9" s="231">
        <v>3.7159999999999999E-2</v>
      </c>
      <c r="C9" s="348">
        <v>4.2999999999999997E-2</v>
      </c>
      <c r="D9" s="11"/>
      <c r="F9" s="93"/>
      <c r="G9" s="93"/>
      <c r="H9" s="93"/>
    </row>
    <row r="10" spans="1:13" x14ac:dyDescent="0.35">
      <c r="A10" s="13" t="s">
        <v>14</v>
      </c>
      <c r="B10" s="151">
        <f>(B9-B39)/B9</f>
        <v>0.40365984930032295</v>
      </c>
      <c r="F10" s="93"/>
      <c r="G10" s="93"/>
      <c r="H10" s="93"/>
    </row>
    <row r="11" spans="1:13" x14ac:dyDescent="0.35">
      <c r="A11" s="24"/>
      <c r="F11" s="93"/>
      <c r="G11" s="93"/>
      <c r="H11" s="93"/>
    </row>
    <row r="12" spans="1:13" x14ac:dyDescent="0.35">
      <c r="F12" s="93"/>
      <c r="G12" s="93"/>
      <c r="H12" s="93"/>
      <c r="L12" s="3"/>
      <c r="M12" s="12"/>
    </row>
    <row r="13" spans="1:13" ht="18.5" x14ac:dyDescent="0.45">
      <c r="A13" s="72" t="s">
        <v>15</v>
      </c>
      <c r="B13" s="72"/>
      <c r="F13" s="24"/>
      <c r="M13" s="11"/>
    </row>
    <row r="14" spans="1:13" x14ac:dyDescent="0.35">
      <c r="A14" s="1" t="s">
        <v>16</v>
      </c>
      <c r="B14" s="232" t="s">
        <v>1042</v>
      </c>
      <c r="M14" s="11"/>
    </row>
    <row r="15" spans="1:13" x14ac:dyDescent="0.35">
      <c r="A15" s="1" t="s">
        <v>17</v>
      </c>
      <c r="B15" s="232" t="s">
        <v>18</v>
      </c>
      <c r="E15" s="11"/>
    </row>
    <row r="16" spans="1:13" x14ac:dyDescent="0.35">
      <c r="A16" s="1" t="s">
        <v>19</v>
      </c>
      <c r="B16" s="230">
        <v>350</v>
      </c>
      <c r="L16" s="11"/>
    </row>
    <row r="17" spans="1:21" x14ac:dyDescent="0.35">
      <c r="A17" s="1" t="s">
        <v>20</v>
      </c>
      <c r="B17" s="232" t="s">
        <v>21</v>
      </c>
      <c r="C17" s="235">
        <v>1</v>
      </c>
      <c r="D17" s="24" t="str">
        <f>IF(AND(C17 + C18 = 100%, OR(B18 &lt;&gt; "No", C18 = 0%)), "Correct", IF(B18 = "No", "Error", "Error: Check %"))</f>
        <v>Correct</v>
      </c>
    </row>
    <row r="18" spans="1:21" ht="14" customHeight="1" x14ac:dyDescent="0.35">
      <c r="A18" s="1" t="s">
        <v>22</v>
      </c>
      <c r="B18" s="232" t="s">
        <v>27</v>
      </c>
      <c r="C18" s="235">
        <v>0</v>
      </c>
      <c r="E18" s="11"/>
    </row>
    <row r="19" spans="1:21" x14ac:dyDescent="0.35">
      <c r="A19" s="1" t="s">
        <v>23</v>
      </c>
      <c r="B19" s="233" t="s">
        <v>24</v>
      </c>
      <c r="C19" s="236" t="s">
        <v>25</v>
      </c>
      <c r="D19" t="str">
        <f>IF(OR(AND(B19="Yes", C19&lt;&gt;"No"), AND(B19="No",C19="No")), "Correct", "Error")</f>
        <v>Correct</v>
      </c>
    </row>
    <row r="20" spans="1:21" ht="14.5" hidden="1" customHeight="1" x14ac:dyDescent="0.35">
      <c r="A20" s="8" t="s">
        <v>26</v>
      </c>
      <c r="B20" s="234" t="s">
        <v>27</v>
      </c>
      <c r="C20" s="131"/>
    </row>
    <row r="21" spans="1:21" x14ac:dyDescent="0.35">
      <c r="A21" s="1" t="s">
        <v>28</v>
      </c>
      <c r="B21" s="230" t="s">
        <v>29</v>
      </c>
      <c r="D21" s="11"/>
    </row>
    <row r="22" spans="1:21" ht="16.5" x14ac:dyDescent="0.35">
      <c r="A22" s="1" t="s">
        <v>30</v>
      </c>
      <c r="B22" s="230">
        <v>2400</v>
      </c>
      <c r="D22" s="11"/>
    </row>
    <row r="24" spans="1:21" x14ac:dyDescent="0.35">
      <c r="B24" s="29"/>
    </row>
    <row r="25" spans="1:21" x14ac:dyDescent="0.35">
      <c r="B25" s="4" t="s">
        <v>32</v>
      </c>
      <c r="C25" s="4" t="s">
        <v>33</v>
      </c>
      <c r="D25" s="3"/>
      <c r="E25" s="59"/>
      <c r="F25" s="59"/>
      <c r="H25" s="3"/>
      <c r="J25" s="3"/>
      <c r="K25" s="3"/>
      <c r="L25" s="3"/>
      <c r="M25" s="3"/>
    </row>
    <row r="26" spans="1:21" ht="14" customHeight="1" x14ac:dyDescent="0.35">
      <c r="A26" s="1" t="s">
        <v>34</v>
      </c>
      <c r="B26" s="232" t="s">
        <v>35</v>
      </c>
      <c r="C26" s="232" t="s">
        <v>36</v>
      </c>
      <c r="D26" s="60" t="str">
        <f>IF(OR(AND(B26="No_wheel_loader", C26&lt;&gt;"No"), AND(C26="No", B26&lt;&gt;"No_wheel_loader")), "Error", "")</f>
        <v/>
      </c>
      <c r="E26" s="60"/>
      <c r="F26" s="64"/>
      <c r="G26" s="24"/>
      <c r="U26" s="339">
        <f>IF(OR(AND(B26="No_wheel_loader", C26&lt;&gt;"No"), AND(C26="No", B26&lt;&gt;"No_wheel_loader")), 1, 0)</f>
        <v>0</v>
      </c>
    </row>
    <row r="27" spans="1:21" x14ac:dyDescent="0.35">
      <c r="A27" s="31"/>
      <c r="C27" s="29"/>
    </row>
    <row r="29" spans="1:21" ht="18.5" x14ac:dyDescent="0.45">
      <c r="A29" s="72" t="s">
        <v>37</v>
      </c>
      <c r="B29" s="72"/>
      <c r="C29" s="72"/>
    </row>
    <row r="30" spans="1:21" ht="16.5" x14ac:dyDescent="0.35">
      <c r="A30" s="18" t="s">
        <v>38</v>
      </c>
      <c r="B30" s="18" t="s">
        <v>39</v>
      </c>
      <c r="C30" s="18" t="s">
        <v>1024</v>
      </c>
    </row>
    <row r="31" spans="1:21" x14ac:dyDescent="0.35">
      <c r="A31" s="1" t="s">
        <v>40</v>
      </c>
      <c r="B31" s="237">
        <v>80</v>
      </c>
      <c r="C31" s="152">
        <f>($B$22/1000)*($B$31/1000)</f>
        <v>0.192</v>
      </c>
      <c r="F31" s="67"/>
    </row>
    <row r="32" spans="1:21" x14ac:dyDescent="0.35">
      <c r="F32" s="71"/>
    </row>
    <row r="33" spans="1:24" ht="14" customHeight="1" x14ac:dyDescent="0.35">
      <c r="E33" s="11"/>
      <c r="J33" s="11"/>
      <c r="W33" s="17"/>
    </row>
    <row r="34" spans="1:24" ht="18.5" x14ac:dyDescent="0.45">
      <c r="A34" s="72" t="s">
        <v>41</v>
      </c>
    </row>
    <row r="35" spans="1:24" ht="116" x14ac:dyDescent="0.35">
      <c r="A35" s="28" t="s">
        <v>42</v>
      </c>
    </row>
    <row r="36" spans="1:24" ht="30.65" customHeight="1" x14ac:dyDescent="0.35">
      <c r="A36" s="371" t="s">
        <v>43</v>
      </c>
      <c r="B36" s="371" t="s">
        <v>44</v>
      </c>
      <c r="C36" s="371" t="s">
        <v>32</v>
      </c>
      <c r="D36" s="372" t="s">
        <v>45</v>
      </c>
      <c r="E36" s="372" t="s">
        <v>46</v>
      </c>
      <c r="F36" s="368" t="s">
        <v>47</v>
      </c>
      <c r="G36" s="365" t="s">
        <v>48</v>
      </c>
      <c r="H36" s="358" t="s">
        <v>49</v>
      </c>
      <c r="I36" s="359"/>
      <c r="J36" s="359"/>
      <c r="K36" s="359"/>
      <c r="L36" s="359"/>
      <c r="M36" s="359"/>
      <c r="N36" s="359"/>
      <c r="O36" s="359"/>
      <c r="P36" s="359"/>
      <c r="Q36" s="359"/>
      <c r="R36" s="360"/>
      <c r="S36" s="16"/>
      <c r="T36" s="340"/>
      <c r="U36" s="340"/>
      <c r="V36" s="16"/>
      <c r="W36" s="16"/>
      <c r="X36" s="16"/>
    </row>
    <row r="37" spans="1:24" x14ac:dyDescent="0.35">
      <c r="A37" s="371"/>
      <c r="B37" s="371"/>
      <c r="C37" s="371"/>
      <c r="D37" s="372"/>
      <c r="E37" s="372"/>
      <c r="F37" s="369"/>
      <c r="G37" s="366"/>
      <c r="H37" s="364" t="s">
        <v>50</v>
      </c>
      <c r="I37" s="364" t="s">
        <v>51</v>
      </c>
      <c r="J37" s="361" t="s">
        <v>52</v>
      </c>
      <c r="K37" s="362"/>
      <c r="L37" s="363"/>
      <c r="M37" s="361" t="s">
        <v>53</v>
      </c>
      <c r="N37" s="362"/>
      <c r="O37" s="363"/>
      <c r="P37" s="361" t="s">
        <v>54</v>
      </c>
      <c r="Q37" s="362"/>
      <c r="R37" s="363"/>
    </row>
    <row r="38" spans="1:24" ht="29" customHeight="1" x14ac:dyDescent="0.35">
      <c r="A38" s="371"/>
      <c r="B38" s="371"/>
      <c r="C38" s="371"/>
      <c r="D38" s="372"/>
      <c r="E38" s="372"/>
      <c r="F38" s="370"/>
      <c r="G38" s="367"/>
      <c r="H38" s="364"/>
      <c r="I38" s="364"/>
      <c r="J38" s="19" t="s">
        <v>55</v>
      </c>
      <c r="K38" s="19" t="s">
        <v>33</v>
      </c>
      <c r="L38" s="19" t="s">
        <v>56</v>
      </c>
      <c r="M38" s="19" t="s">
        <v>55</v>
      </c>
      <c r="N38" s="19" t="s">
        <v>33</v>
      </c>
      <c r="O38" s="19" t="s">
        <v>56</v>
      </c>
      <c r="P38" s="19" t="s">
        <v>55</v>
      </c>
      <c r="Q38" s="19" t="s">
        <v>33</v>
      </c>
      <c r="R38" s="19" t="s">
        <v>56</v>
      </c>
      <c r="T38" s="341" t="s">
        <v>57</v>
      </c>
      <c r="U38" s="341" t="s">
        <v>58</v>
      </c>
    </row>
    <row r="39" spans="1:24" ht="15" customHeight="1" x14ac:dyDescent="0.4">
      <c r="A39" s="1" t="s">
        <v>59</v>
      </c>
      <c r="B39" s="238">
        <v>2.2159999999999999E-2</v>
      </c>
      <c r="C39" s="232" t="s">
        <v>60</v>
      </c>
      <c r="D39" s="232" t="s">
        <v>27</v>
      </c>
      <c r="E39" s="239">
        <v>0</v>
      </c>
      <c r="F39" s="134" t="str">
        <f>IF(AND(D39="No",E39&gt;0), "Check biogenic content","Correct")</f>
        <v>Correct</v>
      </c>
      <c r="G39" s="1"/>
      <c r="H39" s="1" t="s">
        <v>1043</v>
      </c>
      <c r="I39" s="154" t="str">
        <f>IF($B39=0%,"Do not fill Transport", "Fill Transport")</f>
        <v>Fill Transport</v>
      </c>
      <c r="J39" s="232" t="s">
        <v>69</v>
      </c>
      <c r="K39" s="232" t="s">
        <v>489</v>
      </c>
      <c r="L39" s="240">
        <v>262</v>
      </c>
      <c r="M39" s="232" t="s">
        <v>27</v>
      </c>
      <c r="N39" s="232" t="s">
        <v>27</v>
      </c>
      <c r="O39" s="232">
        <v>0</v>
      </c>
      <c r="P39" s="232" t="s">
        <v>27</v>
      </c>
      <c r="Q39" s="232" t="s">
        <v>27</v>
      </c>
      <c r="R39" s="232">
        <v>0</v>
      </c>
      <c r="U39" s="339">
        <f>+IF(B39&gt;0,IF(K39="No",1,IF(SUM(L39,O39,R39)&gt;0,0,2)),0)</f>
        <v>0</v>
      </c>
    </row>
    <row r="40" spans="1:24" x14ac:dyDescent="0.35">
      <c r="A40" s="1" t="s">
        <v>62</v>
      </c>
      <c r="B40" s="238">
        <v>5.0999999999999997E-2</v>
      </c>
      <c r="C40" s="1"/>
      <c r="D40" s="9"/>
      <c r="E40" s="9"/>
      <c r="F40" s="9"/>
      <c r="G40" s="232" t="s">
        <v>27</v>
      </c>
      <c r="H40" s="1" t="s">
        <v>1044</v>
      </c>
      <c r="I40" s="154" t="str">
        <f t="shared" ref="I40:I57" si="0">IF($B40=0%,"Do not fill Transport", "Fill Transport")</f>
        <v>Fill Transport</v>
      </c>
      <c r="J40" s="232" t="s">
        <v>69</v>
      </c>
      <c r="K40" s="232" t="s">
        <v>489</v>
      </c>
      <c r="L40" s="240">
        <v>115</v>
      </c>
      <c r="M40" s="232" t="s">
        <v>27</v>
      </c>
      <c r="N40" s="232" t="s">
        <v>27</v>
      </c>
      <c r="O40" s="240">
        <v>0</v>
      </c>
      <c r="P40" s="232" t="s">
        <v>27</v>
      </c>
      <c r="Q40" s="232" t="s">
        <v>27</v>
      </c>
      <c r="R40" s="240">
        <v>0</v>
      </c>
      <c r="U40" s="339">
        <f t="shared" ref="U40:U57" si="1">+IF(B40&gt;0,IF(K40="No",1,IF(SUM(L40,O40,R40)&gt;0,0,2)),0)</f>
        <v>0</v>
      </c>
    </row>
    <row r="41" spans="1:24" x14ac:dyDescent="0.35">
      <c r="A41" s="1" t="s">
        <v>65</v>
      </c>
      <c r="B41" s="238">
        <v>0.10199999999999999</v>
      </c>
      <c r="C41" s="1"/>
      <c r="D41" s="45"/>
      <c r="E41" s="45"/>
      <c r="F41" s="45"/>
      <c r="G41" s="232" t="s">
        <v>27</v>
      </c>
      <c r="H41" s="1" t="s">
        <v>1045</v>
      </c>
      <c r="I41" s="154" t="str">
        <f t="shared" si="0"/>
        <v>Fill Transport</v>
      </c>
      <c r="J41" s="232" t="s">
        <v>925</v>
      </c>
      <c r="K41" s="232" t="s">
        <v>36</v>
      </c>
      <c r="L41" s="240">
        <v>51</v>
      </c>
      <c r="M41" s="232" t="s">
        <v>27</v>
      </c>
      <c r="N41" s="232" t="s">
        <v>27</v>
      </c>
      <c r="O41" s="240">
        <v>0</v>
      </c>
      <c r="P41" s="232" t="s">
        <v>27</v>
      </c>
      <c r="Q41" s="232" t="s">
        <v>27</v>
      </c>
      <c r="R41" s="240">
        <v>0</v>
      </c>
      <c r="U41" s="339">
        <f t="shared" si="1"/>
        <v>0</v>
      </c>
    </row>
    <row r="42" spans="1:24" x14ac:dyDescent="0.35">
      <c r="A42" s="1" t="s">
        <v>66</v>
      </c>
      <c r="B42" s="238">
        <v>0.35299999999999998</v>
      </c>
      <c r="C42" s="1"/>
      <c r="D42" s="45"/>
      <c r="E42" s="45"/>
      <c r="F42" s="45"/>
      <c r="G42" s="232" t="s">
        <v>24</v>
      </c>
      <c r="H42" s="1" t="s">
        <v>1047</v>
      </c>
      <c r="I42" s="154" t="str">
        <f t="shared" si="0"/>
        <v>Fill Transport</v>
      </c>
      <c r="J42" s="232" t="s">
        <v>69</v>
      </c>
      <c r="K42" s="232" t="s">
        <v>489</v>
      </c>
      <c r="L42" s="240">
        <v>188</v>
      </c>
      <c r="M42" s="232" t="s">
        <v>27</v>
      </c>
      <c r="N42" s="232" t="s">
        <v>27</v>
      </c>
      <c r="O42" s="240">
        <v>0</v>
      </c>
      <c r="P42" s="232" t="s">
        <v>27</v>
      </c>
      <c r="Q42" s="232" t="s">
        <v>27</v>
      </c>
      <c r="R42" s="240">
        <v>0</v>
      </c>
      <c r="U42" s="339">
        <f t="shared" si="1"/>
        <v>0</v>
      </c>
    </row>
    <row r="43" spans="1:24" x14ac:dyDescent="0.35">
      <c r="A43" s="1" t="s">
        <v>67</v>
      </c>
      <c r="B43" s="238">
        <v>0</v>
      </c>
      <c r="C43" s="1"/>
      <c r="D43" s="45"/>
      <c r="E43" s="45"/>
      <c r="F43" s="45"/>
      <c r="G43" s="232" t="s">
        <v>27</v>
      </c>
      <c r="H43" s="1" t="s">
        <v>68</v>
      </c>
      <c r="I43" s="154" t="str">
        <f t="shared" si="0"/>
        <v>Do not fill Transport</v>
      </c>
      <c r="J43" s="232" t="s">
        <v>27</v>
      </c>
      <c r="K43" s="232" t="s">
        <v>27</v>
      </c>
      <c r="L43" s="240">
        <v>0</v>
      </c>
      <c r="M43" s="232" t="s">
        <v>27</v>
      </c>
      <c r="N43" s="232" t="s">
        <v>27</v>
      </c>
      <c r="O43" s="240">
        <v>0</v>
      </c>
      <c r="P43" s="232" t="s">
        <v>27</v>
      </c>
      <c r="Q43" s="232" t="s">
        <v>27</v>
      </c>
      <c r="R43" s="240">
        <v>0</v>
      </c>
      <c r="U43" s="339">
        <f t="shared" si="1"/>
        <v>0</v>
      </c>
    </row>
    <row r="44" spans="1:24" x14ac:dyDescent="0.35">
      <c r="A44" s="1" t="s">
        <v>71</v>
      </c>
      <c r="B44" s="238">
        <v>0</v>
      </c>
      <c r="C44" s="1"/>
      <c r="D44" s="45"/>
      <c r="E44" s="45"/>
      <c r="F44" s="45"/>
      <c r="G44" s="232" t="s">
        <v>27</v>
      </c>
      <c r="H44" s="1"/>
      <c r="I44" s="154" t="str">
        <f t="shared" si="0"/>
        <v>Do not fill Transport</v>
      </c>
      <c r="J44" s="232" t="s">
        <v>27</v>
      </c>
      <c r="K44" s="232" t="s">
        <v>27</v>
      </c>
      <c r="L44" s="240">
        <v>0</v>
      </c>
      <c r="M44" s="232" t="s">
        <v>27</v>
      </c>
      <c r="N44" s="232" t="s">
        <v>27</v>
      </c>
      <c r="O44" s="240">
        <v>0</v>
      </c>
      <c r="P44" s="232" t="s">
        <v>27</v>
      </c>
      <c r="Q44" s="232" t="s">
        <v>27</v>
      </c>
      <c r="R44" s="240">
        <v>0</v>
      </c>
      <c r="U44" s="339">
        <f t="shared" si="1"/>
        <v>0</v>
      </c>
    </row>
    <row r="45" spans="1:24" x14ac:dyDescent="0.35">
      <c r="A45" s="1" t="s">
        <v>72</v>
      </c>
      <c r="B45" s="238">
        <v>0</v>
      </c>
      <c r="C45" s="1"/>
      <c r="D45" s="45"/>
      <c r="E45" s="45"/>
      <c r="F45" s="45"/>
      <c r="G45" s="232" t="s">
        <v>27</v>
      </c>
      <c r="H45" s="1"/>
      <c r="I45" s="154" t="str">
        <f t="shared" si="0"/>
        <v>Do not fill Transport</v>
      </c>
      <c r="J45" s="232" t="s">
        <v>27</v>
      </c>
      <c r="K45" s="232" t="s">
        <v>27</v>
      </c>
      <c r="L45" s="240">
        <v>0</v>
      </c>
      <c r="M45" s="232" t="s">
        <v>27</v>
      </c>
      <c r="N45" s="232" t="s">
        <v>27</v>
      </c>
      <c r="O45" s="240">
        <v>0</v>
      </c>
      <c r="P45" s="232" t="s">
        <v>27</v>
      </c>
      <c r="Q45" s="232" t="s">
        <v>27</v>
      </c>
      <c r="R45" s="240">
        <v>0</v>
      </c>
      <c r="U45" s="339">
        <f t="shared" si="1"/>
        <v>0</v>
      </c>
    </row>
    <row r="46" spans="1:24" x14ac:dyDescent="0.35">
      <c r="A46" s="1" t="s">
        <v>73</v>
      </c>
      <c r="B46" s="238">
        <v>0.153</v>
      </c>
      <c r="C46" s="1"/>
      <c r="D46" s="45"/>
      <c r="E46" s="45"/>
      <c r="F46" s="45"/>
      <c r="G46" s="232" t="s">
        <v>27</v>
      </c>
      <c r="H46" s="1" t="s">
        <v>1046</v>
      </c>
      <c r="I46" s="154" t="str">
        <f t="shared" si="0"/>
        <v>Fill Transport</v>
      </c>
      <c r="J46" s="232" t="s">
        <v>925</v>
      </c>
      <c r="K46" s="232" t="s">
        <v>36</v>
      </c>
      <c r="L46" s="240">
        <v>44</v>
      </c>
      <c r="M46" s="232" t="s">
        <v>27</v>
      </c>
      <c r="N46" s="232" t="s">
        <v>27</v>
      </c>
      <c r="O46" s="240">
        <v>0</v>
      </c>
      <c r="P46" s="232" t="s">
        <v>27</v>
      </c>
      <c r="Q46" s="232" t="s">
        <v>27</v>
      </c>
      <c r="R46" s="240">
        <v>0</v>
      </c>
      <c r="U46" s="339">
        <f t="shared" si="1"/>
        <v>0</v>
      </c>
    </row>
    <row r="47" spans="1:24" x14ac:dyDescent="0.35">
      <c r="A47" s="1" t="s">
        <v>75</v>
      </c>
      <c r="B47" s="238">
        <v>0</v>
      </c>
      <c r="C47" s="1"/>
      <c r="D47" s="45"/>
      <c r="E47" s="45"/>
      <c r="F47" s="45"/>
      <c r="G47" s="232" t="s">
        <v>27</v>
      </c>
      <c r="H47" s="1"/>
      <c r="I47" s="154" t="str">
        <f t="shared" si="0"/>
        <v>Do not fill Transport</v>
      </c>
      <c r="J47" s="232" t="s">
        <v>27</v>
      </c>
      <c r="K47" s="232" t="s">
        <v>27</v>
      </c>
      <c r="L47" s="240">
        <v>0</v>
      </c>
      <c r="M47" s="232" t="s">
        <v>27</v>
      </c>
      <c r="N47" s="232" t="s">
        <v>27</v>
      </c>
      <c r="O47" s="240">
        <v>0</v>
      </c>
      <c r="P47" s="232" t="s">
        <v>27</v>
      </c>
      <c r="Q47" s="232" t="s">
        <v>27</v>
      </c>
      <c r="R47" s="240">
        <v>0</v>
      </c>
      <c r="U47" s="339">
        <f t="shared" si="1"/>
        <v>0</v>
      </c>
    </row>
    <row r="48" spans="1:24" x14ac:dyDescent="0.35">
      <c r="A48" s="1" t="s">
        <v>76</v>
      </c>
      <c r="B48" s="238">
        <v>0</v>
      </c>
      <c r="C48" s="1"/>
      <c r="D48" s="45"/>
      <c r="E48" s="45"/>
      <c r="F48" s="45"/>
      <c r="G48" s="232" t="s">
        <v>27</v>
      </c>
      <c r="H48" s="1"/>
      <c r="I48" s="154" t="str">
        <f t="shared" si="0"/>
        <v>Do not fill Transport</v>
      </c>
      <c r="J48" s="232" t="s">
        <v>27</v>
      </c>
      <c r="K48" s="232" t="s">
        <v>27</v>
      </c>
      <c r="L48" s="240">
        <v>0</v>
      </c>
      <c r="M48" s="232" t="s">
        <v>27</v>
      </c>
      <c r="N48" s="232" t="s">
        <v>27</v>
      </c>
      <c r="O48" s="240">
        <v>0</v>
      </c>
      <c r="P48" s="232" t="s">
        <v>27</v>
      </c>
      <c r="Q48" s="232" t="s">
        <v>27</v>
      </c>
      <c r="R48" s="240">
        <v>0</v>
      </c>
      <c r="U48" s="339">
        <f t="shared" si="1"/>
        <v>0</v>
      </c>
    </row>
    <row r="49" spans="1:21" x14ac:dyDescent="0.35">
      <c r="A49" s="13" t="s">
        <v>77</v>
      </c>
      <c r="B49" s="238">
        <v>5.4999999999999997E-3</v>
      </c>
      <c r="C49" s="232" t="s">
        <v>78</v>
      </c>
      <c r="D49" s="45"/>
      <c r="E49" s="45"/>
      <c r="F49" s="45"/>
      <c r="G49" s="232" t="s">
        <v>27</v>
      </c>
      <c r="H49" s="1" t="s">
        <v>1048</v>
      </c>
      <c r="I49" s="154" t="str">
        <f t="shared" si="0"/>
        <v>Fill Transport</v>
      </c>
      <c r="J49" s="232" t="s">
        <v>69</v>
      </c>
      <c r="K49" s="232" t="s">
        <v>489</v>
      </c>
      <c r="L49" s="240">
        <v>190</v>
      </c>
      <c r="M49" s="232" t="s">
        <v>27</v>
      </c>
      <c r="N49" s="232" t="s">
        <v>27</v>
      </c>
      <c r="O49" s="240">
        <v>0</v>
      </c>
      <c r="P49" s="232" t="s">
        <v>27</v>
      </c>
      <c r="Q49" s="232" t="s">
        <v>27</v>
      </c>
      <c r="R49" s="232">
        <v>0</v>
      </c>
      <c r="T49" s="339">
        <f>+IF(B49&gt;0,IF(C49="No_filler",1,0),0)</f>
        <v>0</v>
      </c>
      <c r="U49" s="339">
        <f t="shared" si="1"/>
        <v>0</v>
      </c>
    </row>
    <row r="50" spans="1:21" x14ac:dyDescent="0.35">
      <c r="A50" s="13" t="s">
        <v>80</v>
      </c>
      <c r="B50" s="238">
        <v>0.01</v>
      </c>
      <c r="C50" s="232" t="s">
        <v>78</v>
      </c>
      <c r="D50" s="45"/>
      <c r="E50" s="45"/>
      <c r="F50" s="45"/>
      <c r="G50" s="232" t="s">
        <v>27</v>
      </c>
      <c r="H50" s="1" t="s">
        <v>1049</v>
      </c>
      <c r="I50" s="154" t="str">
        <f t="shared" si="0"/>
        <v>Fill Transport</v>
      </c>
      <c r="J50" s="232" t="s">
        <v>69</v>
      </c>
      <c r="K50" s="232" t="s">
        <v>489</v>
      </c>
      <c r="L50" s="240">
        <v>0</v>
      </c>
      <c r="M50" s="232" t="s">
        <v>27</v>
      </c>
      <c r="N50" s="232" t="s">
        <v>27</v>
      </c>
      <c r="O50" s="240">
        <v>0</v>
      </c>
      <c r="P50" s="232" t="s">
        <v>27</v>
      </c>
      <c r="Q50" s="232" t="s">
        <v>27</v>
      </c>
      <c r="R50" s="232">
        <v>0</v>
      </c>
      <c r="T50" s="339">
        <f>+IF(B50&gt;0,IF(C50="No_filler",1,0),0)</f>
        <v>0</v>
      </c>
      <c r="U50" s="339">
        <f t="shared" si="1"/>
        <v>2</v>
      </c>
    </row>
    <row r="51" spans="1:21" x14ac:dyDescent="0.35">
      <c r="A51" s="1" t="s">
        <v>81</v>
      </c>
      <c r="B51" s="238">
        <v>0.3</v>
      </c>
      <c r="C51" s="1" t="s">
        <v>213</v>
      </c>
      <c r="D51" s="45"/>
      <c r="E51" s="45"/>
      <c r="F51" s="45"/>
      <c r="G51" s="232" t="s">
        <v>27</v>
      </c>
      <c r="H51" s="1" t="s">
        <v>1050</v>
      </c>
      <c r="I51" s="154" t="str">
        <f t="shared" si="0"/>
        <v>Fill Transport</v>
      </c>
      <c r="J51" s="232" t="s">
        <v>69</v>
      </c>
      <c r="K51" s="232" t="s">
        <v>489</v>
      </c>
      <c r="L51" s="240">
        <v>50</v>
      </c>
      <c r="M51" s="232" t="s">
        <v>27</v>
      </c>
      <c r="N51" s="232" t="s">
        <v>27</v>
      </c>
      <c r="O51" s="240">
        <v>0</v>
      </c>
      <c r="P51" s="232" t="s">
        <v>27</v>
      </c>
      <c r="Q51" s="232" t="s">
        <v>27</v>
      </c>
      <c r="R51" s="240">
        <v>0</v>
      </c>
      <c r="U51" s="339">
        <f t="shared" si="1"/>
        <v>0</v>
      </c>
    </row>
    <row r="52" spans="1:21" x14ac:dyDescent="0.35">
      <c r="A52" s="1" t="s">
        <v>83</v>
      </c>
      <c r="B52" s="238">
        <v>0</v>
      </c>
      <c r="C52" s="1"/>
      <c r="D52" s="45"/>
      <c r="E52" s="45"/>
      <c r="F52" s="45"/>
      <c r="G52" s="232" t="s">
        <v>27</v>
      </c>
      <c r="H52" s="1"/>
      <c r="I52" s="154" t="str">
        <f t="shared" si="0"/>
        <v>Do not fill Transport</v>
      </c>
      <c r="J52" s="232" t="s">
        <v>27</v>
      </c>
      <c r="K52" s="232" t="s">
        <v>27</v>
      </c>
      <c r="L52" s="240">
        <v>0</v>
      </c>
      <c r="M52" s="232" t="s">
        <v>27</v>
      </c>
      <c r="N52" s="232" t="s">
        <v>27</v>
      </c>
      <c r="O52" s="240">
        <v>0</v>
      </c>
      <c r="P52" s="232" t="s">
        <v>27</v>
      </c>
      <c r="Q52" s="232" t="s">
        <v>27</v>
      </c>
      <c r="R52" s="240">
        <v>0</v>
      </c>
      <c r="U52" s="339">
        <f t="shared" si="1"/>
        <v>0</v>
      </c>
    </row>
    <row r="53" spans="1:21" x14ac:dyDescent="0.35">
      <c r="A53" s="13" t="s">
        <v>84</v>
      </c>
      <c r="B53" s="238">
        <v>0</v>
      </c>
      <c r="C53" s="232" t="s">
        <v>579</v>
      </c>
      <c r="D53" s="147"/>
      <c r="E53" s="147"/>
      <c r="F53" s="147"/>
      <c r="G53" s="232" t="s">
        <v>27</v>
      </c>
      <c r="H53" s="1" t="s">
        <v>86</v>
      </c>
      <c r="I53" s="154" t="str">
        <f t="shared" si="0"/>
        <v>Do not fill Transport</v>
      </c>
      <c r="J53" s="232" t="s">
        <v>27</v>
      </c>
      <c r="K53" s="232" t="s">
        <v>27</v>
      </c>
      <c r="L53" s="240">
        <v>0</v>
      </c>
      <c r="M53" s="232" t="s">
        <v>27</v>
      </c>
      <c r="N53" s="232" t="s">
        <v>27</v>
      </c>
      <c r="O53" s="240">
        <v>0</v>
      </c>
      <c r="P53" s="232" t="s">
        <v>27</v>
      </c>
      <c r="Q53" s="232" t="s">
        <v>27</v>
      </c>
      <c r="R53" s="240">
        <v>0</v>
      </c>
      <c r="T53" s="339">
        <f>+IF(B53&gt;0,IF(C53="No_other_waste",1,0),0)</f>
        <v>0</v>
      </c>
      <c r="U53" s="339">
        <f t="shared" si="1"/>
        <v>0</v>
      </c>
    </row>
    <row r="54" spans="1:21" x14ac:dyDescent="0.35">
      <c r="A54" s="13" t="s">
        <v>88</v>
      </c>
      <c r="B54" s="238">
        <v>0</v>
      </c>
      <c r="C54" s="232" t="s">
        <v>579</v>
      </c>
      <c r="D54" s="147"/>
      <c r="E54" s="147"/>
      <c r="F54" s="147"/>
      <c r="G54" s="232" t="s">
        <v>27</v>
      </c>
      <c r="H54" s="1"/>
      <c r="I54" s="154" t="str">
        <f t="shared" si="0"/>
        <v>Do not fill Transport</v>
      </c>
      <c r="J54" s="232" t="s">
        <v>27</v>
      </c>
      <c r="K54" s="232" t="s">
        <v>27</v>
      </c>
      <c r="L54" s="240">
        <v>0</v>
      </c>
      <c r="M54" s="232" t="s">
        <v>27</v>
      </c>
      <c r="N54" s="232" t="s">
        <v>27</v>
      </c>
      <c r="O54" s="240">
        <v>0</v>
      </c>
      <c r="P54" s="232" t="s">
        <v>27</v>
      </c>
      <c r="Q54" s="232" t="s">
        <v>27</v>
      </c>
      <c r="R54" s="240">
        <v>0</v>
      </c>
      <c r="T54" s="339">
        <f>+IF(B54&gt;0,IF(C54="No_other_waste",1,0),0)</f>
        <v>0</v>
      </c>
      <c r="U54" s="339">
        <f t="shared" si="1"/>
        <v>0</v>
      </c>
    </row>
    <row r="55" spans="1:21" x14ac:dyDescent="0.35">
      <c r="A55" s="1" t="s">
        <v>90</v>
      </c>
      <c r="B55" s="238">
        <v>3.3E-3</v>
      </c>
      <c r="C55" s="232" t="s">
        <v>581</v>
      </c>
      <c r="D55" s="147"/>
      <c r="E55" s="147"/>
      <c r="F55" s="147"/>
      <c r="G55" s="232" t="s">
        <v>27</v>
      </c>
      <c r="H55" s="1" t="s">
        <v>1051</v>
      </c>
      <c r="I55" s="154" t="str">
        <f t="shared" si="0"/>
        <v>Fill Transport</v>
      </c>
      <c r="J55" s="232" t="s">
        <v>69</v>
      </c>
      <c r="K55" s="232" t="s">
        <v>489</v>
      </c>
      <c r="L55" s="240">
        <v>1239</v>
      </c>
      <c r="M55" s="232" t="s">
        <v>27</v>
      </c>
      <c r="N55" s="232" t="s">
        <v>27</v>
      </c>
      <c r="O55" s="240">
        <v>0</v>
      </c>
      <c r="P55" s="232" t="s">
        <v>27</v>
      </c>
      <c r="Q55" s="232" t="s">
        <v>27</v>
      </c>
      <c r="R55" s="240">
        <v>0</v>
      </c>
      <c r="T55" s="339">
        <f>+IF(B55&gt;0,IF(C55="No_additives",1,0),0)</f>
        <v>0</v>
      </c>
      <c r="U55" s="339">
        <f t="shared" si="1"/>
        <v>0</v>
      </c>
    </row>
    <row r="56" spans="1:21" x14ac:dyDescent="0.35">
      <c r="A56" s="1" t="s">
        <v>93</v>
      </c>
      <c r="B56" s="238">
        <v>0</v>
      </c>
      <c r="C56" s="232" t="s">
        <v>91</v>
      </c>
      <c r="D56" s="147"/>
      <c r="E56" s="147"/>
      <c r="F56" s="147"/>
      <c r="G56" s="232" t="s">
        <v>27</v>
      </c>
      <c r="H56" s="1"/>
      <c r="I56" s="154" t="str">
        <f t="shared" si="0"/>
        <v>Do not fill Transport</v>
      </c>
      <c r="J56" s="232" t="s">
        <v>27</v>
      </c>
      <c r="K56" s="232" t="s">
        <v>27</v>
      </c>
      <c r="L56" s="240">
        <v>0</v>
      </c>
      <c r="M56" s="232" t="s">
        <v>27</v>
      </c>
      <c r="N56" s="232" t="s">
        <v>27</v>
      </c>
      <c r="O56" s="240">
        <v>0</v>
      </c>
      <c r="P56" s="232" t="s">
        <v>27</v>
      </c>
      <c r="Q56" s="232" t="s">
        <v>27</v>
      </c>
      <c r="R56" s="240">
        <v>0</v>
      </c>
      <c r="T56" s="339">
        <f>+IF(B56&gt;0,IF(C56="No_additives",1,0),0)</f>
        <v>0</v>
      </c>
      <c r="U56" s="339">
        <f t="shared" si="1"/>
        <v>0</v>
      </c>
    </row>
    <row r="57" spans="1:21" x14ac:dyDescent="0.35">
      <c r="A57" s="9" t="s">
        <v>95</v>
      </c>
      <c r="B57" s="238">
        <v>0</v>
      </c>
      <c r="C57" s="232" t="s">
        <v>91</v>
      </c>
      <c r="D57" s="291"/>
      <c r="E57" s="291"/>
      <c r="F57" s="291"/>
      <c r="G57" s="233" t="s">
        <v>27</v>
      </c>
      <c r="H57" s="1"/>
      <c r="I57" s="155" t="str">
        <f t="shared" si="0"/>
        <v>Do not fill Transport</v>
      </c>
      <c r="J57" s="233" t="s">
        <v>27</v>
      </c>
      <c r="K57" s="233" t="s">
        <v>27</v>
      </c>
      <c r="L57" s="241">
        <v>0</v>
      </c>
      <c r="M57" s="233" t="s">
        <v>27</v>
      </c>
      <c r="N57" s="233" t="s">
        <v>27</v>
      </c>
      <c r="O57" s="241">
        <v>0</v>
      </c>
      <c r="P57" s="233" t="s">
        <v>27</v>
      </c>
      <c r="Q57" s="233" t="s">
        <v>27</v>
      </c>
      <c r="R57" s="241">
        <v>0</v>
      </c>
      <c r="T57" s="339">
        <f>+IF(B57&gt;0,IF(C57="No_additives",1,0),0)</f>
        <v>0</v>
      </c>
      <c r="U57" s="339">
        <f t="shared" si="1"/>
        <v>0</v>
      </c>
    </row>
    <row r="58" spans="1:21" x14ac:dyDescent="0.35">
      <c r="A58" s="310" t="s">
        <v>96</v>
      </c>
      <c r="B58" s="211">
        <f>SUM(B39:B57)</f>
        <v>0.99995999999999985</v>
      </c>
      <c r="C58" s="149"/>
      <c r="D58" s="357" t="s">
        <v>97</v>
      </c>
      <c r="E58" s="357"/>
      <c r="F58" s="357"/>
      <c r="G58" s="166">
        <f>+'A3 - Production '!C189</f>
        <v>0.34825718554734947</v>
      </c>
      <c r="I58" s="149"/>
      <c r="J58" s="149"/>
      <c r="K58" s="149"/>
      <c r="L58" s="149" t="str">
        <f>IF(U58=0, "Correct", "Error: Fill in all transport information")</f>
        <v>Error: Fill in all transport information</v>
      </c>
      <c r="M58" s="149"/>
      <c r="N58" s="149"/>
      <c r="O58" s="149"/>
      <c r="P58" s="149"/>
      <c r="Q58" s="149"/>
      <c r="R58" s="149"/>
      <c r="U58" s="339">
        <f>+SUM(T39:U57)</f>
        <v>2</v>
      </c>
    </row>
    <row r="59" spans="1:21" ht="16" x14ac:dyDescent="0.4">
      <c r="B59" s="253" t="str">
        <f>IF(AND(B58&gt;=99.9%, B58&lt;=100.1%), "Correct", "Error: Percentage weight of Mixture")</f>
        <v>Correct</v>
      </c>
      <c r="C59" t="str">
        <f>+IF(SUM(T39:T57)=0,"Correct","Error: Select material type")</f>
        <v>Correct</v>
      </c>
      <c r="D59" s="135"/>
      <c r="F59" s="134"/>
    </row>
    <row r="60" spans="1:21" x14ac:dyDescent="0.35">
      <c r="C60" s="71"/>
      <c r="D60" s="210"/>
    </row>
    <row r="61" spans="1:21" ht="23" customHeight="1" x14ac:dyDescent="0.45">
      <c r="A61" s="72" t="s">
        <v>98</v>
      </c>
      <c r="E61" s="210"/>
    </row>
    <row r="62" spans="1:21" x14ac:dyDescent="0.35">
      <c r="A62" s="5" t="s">
        <v>43</v>
      </c>
      <c r="B62" s="70" t="s">
        <v>55</v>
      </c>
      <c r="C62" s="4" t="s">
        <v>33</v>
      </c>
      <c r="D62" s="4" t="s">
        <v>56</v>
      </c>
      <c r="E62" s="356" t="s">
        <v>1034</v>
      </c>
      <c r="F62" s="4" t="s">
        <v>1036</v>
      </c>
    </row>
    <row r="63" spans="1:21" x14ac:dyDescent="0.35">
      <c r="A63" s="1" t="s">
        <v>99</v>
      </c>
      <c r="B63" s="232" t="s">
        <v>69</v>
      </c>
      <c r="C63" s="232" t="s">
        <v>489</v>
      </c>
      <c r="D63" s="232">
        <v>20</v>
      </c>
      <c r="E63" s="120">
        <v>20000</v>
      </c>
      <c r="F63" s="154">
        <f>E63/1000</f>
        <v>20</v>
      </c>
      <c r="U63" s="339">
        <f>IF(AND(B63&lt;&gt;"No",D63&lt;=0),1,0)</f>
        <v>0</v>
      </c>
    </row>
    <row r="65" spans="1:21" ht="23" customHeight="1" x14ac:dyDescent="0.45">
      <c r="A65" s="72" t="s">
        <v>100</v>
      </c>
      <c r="G65" s="135"/>
    </row>
    <row r="66" spans="1:21" x14ac:dyDescent="0.35">
      <c r="A66" s="13" t="s">
        <v>101</v>
      </c>
      <c r="B66" s="232">
        <v>3.5</v>
      </c>
      <c r="G66" s="135"/>
    </row>
    <row r="67" spans="1:21" x14ac:dyDescent="0.35">
      <c r="A67" s="5" t="s">
        <v>102</v>
      </c>
      <c r="B67" s="4" t="s">
        <v>32</v>
      </c>
      <c r="C67" s="4" t="s">
        <v>33</v>
      </c>
      <c r="D67" s="63"/>
      <c r="E67" s="59"/>
      <c r="F67" s="59"/>
    </row>
    <row r="68" spans="1:21" ht="14" customHeight="1" x14ac:dyDescent="0.35">
      <c r="A68" s="1" t="s">
        <v>103</v>
      </c>
      <c r="B68" s="232" t="s">
        <v>106</v>
      </c>
      <c r="C68" s="232" t="s">
        <v>27</v>
      </c>
      <c r="D68" s="60" t="str">
        <f>IF(OR(AND(C68="No", B68="No_paver"), AND(B68="No_paver", C68="No"), AND(C68&lt;&gt;"No", B68&lt;&gt;"No_paver")), "", "Error")</f>
        <v/>
      </c>
      <c r="E68" s="11"/>
      <c r="G68" s="24"/>
      <c r="U68" s="339">
        <f>+IF(B68&lt;&gt;"No_paver",IF(C68="No",1,0),0)</f>
        <v>0</v>
      </c>
    </row>
    <row r="69" spans="1:21" x14ac:dyDescent="0.35">
      <c r="A69" s="1" t="s">
        <v>105</v>
      </c>
      <c r="B69" s="232" t="s">
        <v>104</v>
      </c>
      <c r="C69" s="232" t="s">
        <v>36</v>
      </c>
      <c r="D69" s="60" t="str">
        <f>IF(OR(AND(C69="No", B69="No_paver"), AND(B69="No_paver", C69="No"), AND(C69&lt;&gt;"No", B69&lt;&gt;"No_paver")), "", "Error")</f>
        <v/>
      </c>
      <c r="G69" s="24"/>
      <c r="U69" s="339">
        <f>+IF(B69&lt;&gt;"No_paver",IF(C69="No",1,0),0)</f>
        <v>0</v>
      </c>
    </row>
    <row r="70" spans="1:21" x14ac:dyDescent="0.35">
      <c r="A70" s="1" t="s">
        <v>107</v>
      </c>
      <c r="B70" s="232" t="s">
        <v>108</v>
      </c>
      <c r="C70" s="232" t="s">
        <v>36</v>
      </c>
      <c r="D70" s="60" t="str">
        <f>IF(OR(AND(C70="No", B70="No_excavator"), AND(B70="No_excavator", C70="No"), AND(C70&lt;&gt;"No", B70&lt;&gt;"No_excavator")), "", "Error")</f>
        <v/>
      </c>
      <c r="G70" s="24"/>
      <c r="U70" s="339">
        <f>+IF(B70&lt;&gt;"No_excavator",IF(C70="No",1,0),0)</f>
        <v>0</v>
      </c>
    </row>
    <row r="71" spans="1:21" x14ac:dyDescent="0.35">
      <c r="D71" s="60"/>
    </row>
    <row r="72" spans="1:21" x14ac:dyDescent="0.35">
      <c r="A72" s="5" t="s">
        <v>109</v>
      </c>
      <c r="B72" s="4" t="s">
        <v>32</v>
      </c>
      <c r="C72" s="4" t="s">
        <v>33</v>
      </c>
      <c r="D72" s="60"/>
      <c r="E72" s="59"/>
      <c r="F72" s="59"/>
    </row>
    <row r="73" spans="1:21" x14ac:dyDescent="0.35">
      <c r="A73" s="1" t="s">
        <v>110</v>
      </c>
      <c r="B73" s="232" t="s">
        <v>111</v>
      </c>
      <c r="C73" s="232" t="s">
        <v>36</v>
      </c>
      <c r="D73" s="60" t="str">
        <f>IF(OR(AND(C73="No", B73="No_roller"), AND(B73="No_roller", C73="No"), AND(C73&lt;&gt;"No", B73&lt;&gt;"No_roller")), "", "Error")</f>
        <v/>
      </c>
      <c r="G73" s="24"/>
      <c r="U73" s="339">
        <f>+IF(B73&lt;&gt;"No_roller",IF(C73="No",1,0),0)</f>
        <v>0</v>
      </c>
    </row>
    <row r="74" spans="1:21" x14ac:dyDescent="0.35">
      <c r="A74" s="1" t="s">
        <v>112</v>
      </c>
      <c r="B74" s="232" t="s">
        <v>111</v>
      </c>
      <c r="C74" s="232" t="s">
        <v>36</v>
      </c>
      <c r="D74" s="60" t="str">
        <f t="shared" ref="D74:D76" si="2">IF(OR(AND(C74="No", B74="No_roller"), AND(B74="No_roller", C74="No"), AND(C74&lt;&gt;"No", B74&lt;&gt;"No_roller")), "", "Error")</f>
        <v/>
      </c>
      <c r="G74" s="137"/>
      <c r="U74" s="339">
        <f>+IF(B74&lt;&gt;"No_roller",IF(C74="No",1,0),0)</f>
        <v>0</v>
      </c>
    </row>
    <row r="75" spans="1:21" x14ac:dyDescent="0.35">
      <c r="A75" s="351" t="s">
        <v>1026</v>
      </c>
      <c r="B75" s="232" t="s">
        <v>682</v>
      </c>
      <c r="C75" s="232" t="s">
        <v>27</v>
      </c>
      <c r="D75" s="60" t="str">
        <f t="shared" si="2"/>
        <v/>
      </c>
      <c r="G75" s="137"/>
    </row>
    <row r="76" spans="1:21" x14ac:dyDescent="0.35">
      <c r="A76" s="351" t="s">
        <v>1027</v>
      </c>
      <c r="B76" s="232" t="s">
        <v>682</v>
      </c>
      <c r="C76" s="232" t="s">
        <v>27</v>
      </c>
      <c r="D76" s="60" t="str">
        <f t="shared" si="2"/>
        <v/>
      </c>
      <c r="G76" s="137"/>
    </row>
    <row r="77" spans="1:21" x14ac:dyDescent="0.35">
      <c r="G77" s="138"/>
    </row>
    <row r="78" spans="1:21" ht="18.5" x14ac:dyDescent="0.45">
      <c r="A78" s="72" t="s">
        <v>113</v>
      </c>
      <c r="G78" s="138"/>
    </row>
    <row r="79" spans="1:21" x14ac:dyDescent="0.35">
      <c r="A79" s="73" t="s">
        <v>114</v>
      </c>
      <c r="B79" s="156">
        <f>+B31/1000</f>
        <v>0.08</v>
      </c>
      <c r="C79" s="157" t="str">
        <f>IF(B79&gt;0.35,"Error, milling depth of machines less than 0.35m", "OK")</f>
        <v>OK</v>
      </c>
      <c r="G79" s="138"/>
    </row>
    <row r="80" spans="1:21" x14ac:dyDescent="0.35">
      <c r="G80" s="138"/>
    </row>
    <row r="81" spans="1:21" x14ac:dyDescent="0.35">
      <c r="A81" s="5" t="s">
        <v>115</v>
      </c>
      <c r="B81" s="4" t="s">
        <v>32</v>
      </c>
      <c r="C81" s="4" t="s">
        <v>33</v>
      </c>
      <c r="D81" s="3"/>
      <c r="E81" s="59"/>
      <c r="F81" s="59"/>
      <c r="G81" s="138"/>
    </row>
    <row r="82" spans="1:21" x14ac:dyDescent="0.35">
      <c r="A82" s="1" t="s">
        <v>116</v>
      </c>
      <c r="B82" s="232" t="s">
        <v>119</v>
      </c>
      <c r="C82" s="232" t="s">
        <v>27</v>
      </c>
      <c r="D82" s="60" t="str">
        <f>IF(AND(B82&lt;&gt;"No_milling_machine", C82="No"), "Error", "")</f>
        <v/>
      </c>
      <c r="G82" s="137"/>
      <c r="U82" s="339">
        <f>+IF(B82&lt;&gt;"No_milling_machine",IF(C82="No",1,0),0)</f>
        <v>0</v>
      </c>
    </row>
    <row r="83" spans="1:21" x14ac:dyDescent="0.35">
      <c r="A83" s="1" t="s">
        <v>118</v>
      </c>
      <c r="B83" s="232" t="s">
        <v>119</v>
      </c>
      <c r="C83" s="232" t="s">
        <v>27</v>
      </c>
      <c r="D83" s="60" t="str">
        <f>IF(AND(B83&lt;&gt;"No_milling_machine", C83="No"), "Error", "")</f>
        <v/>
      </c>
      <c r="G83" s="137"/>
      <c r="U83" s="339">
        <f>+IF(B83&lt;&gt;"No_milling_machine",IF(C83="No",1,0),0)</f>
        <v>0</v>
      </c>
    </row>
    <row r="84" spans="1:21" x14ac:dyDescent="0.35">
      <c r="A84" s="1" t="s">
        <v>1030</v>
      </c>
      <c r="B84" s="232" t="s">
        <v>117</v>
      </c>
      <c r="C84" s="232" t="s">
        <v>36</v>
      </c>
      <c r="D84" s="60" t="str">
        <f>IF(AND(B84&lt;&gt;"No_milling_machine", C84="No"), "Error", "")</f>
        <v/>
      </c>
      <c r="G84" s="137"/>
    </row>
    <row r="85" spans="1:21" x14ac:dyDescent="0.35">
      <c r="A85" s="1" t="s">
        <v>120</v>
      </c>
      <c r="B85" s="232" t="s">
        <v>121</v>
      </c>
      <c r="C85" s="232" t="s">
        <v>36</v>
      </c>
      <c r="D85" s="60" t="str">
        <f>IF(AND(B85&lt;&gt;"No_sweeper_truck", C85="No"), "Error", "")</f>
        <v/>
      </c>
      <c r="G85" s="136"/>
      <c r="U85" s="339">
        <f>+IF(B85&lt;&gt;"No_sweeper_truck",IF(C85="No",1,0),0)</f>
        <v>0</v>
      </c>
    </row>
    <row r="86" spans="1:21" x14ac:dyDescent="0.35">
      <c r="U86" s="339">
        <f>U26+SUM(U63:U85)</f>
        <v>0</v>
      </c>
    </row>
    <row r="88" spans="1:21" x14ac:dyDescent="0.35">
      <c r="D88" s="57"/>
      <c r="E88" s="57"/>
      <c r="F88" s="57"/>
    </row>
    <row r="89" spans="1:21" x14ac:dyDescent="0.35">
      <c r="D89" s="60"/>
      <c r="E89" s="58"/>
      <c r="F89" s="58"/>
    </row>
    <row r="90" spans="1:21" x14ac:dyDescent="0.35">
      <c r="D90" s="60"/>
      <c r="E90" s="58"/>
      <c r="F90" s="58"/>
    </row>
    <row r="91" spans="1:21" x14ac:dyDescent="0.35">
      <c r="D91" s="60"/>
      <c r="E91" s="58"/>
      <c r="F91" s="58"/>
    </row>
    <row r="92" spans="1:21" x14ac:dyDescent="0.35">
      <c r="D92" s="60"/>
      <c r="E92" s="58"/>
      <c r="F92" s="58"/>
    </row>
    <row r="95" spans="1:21" x14ac:dyDescent="0.35">
      <c r="D95" s="59"/>
      <c r="E95" s="59"/>
      <c r="F95" s="59"/>
    </row>
    <row r="96" spans="1:21" x14ac:dyDescent="0.35">
      <c r="D96" s="60"/>
      <c r="E96" s="58"/>
      <c r="F96" s="58"/>
    </row>
    <row r="97" spans="4:6" x14ac:dyDescent="0.35">
      <c r="D97" s="60"/>
      <c r="E97" s="58"/>
      <c r="F97" s="58"/>
    </row>
    <row r="98" spans="4:6" x14ac:dyDescent="0.35">
      <c r="D98" s="60"/>
      <c r="E98" s="58"/>
      <c r="F98" s="58"/>
    </row>
    <row r="99" spans="4:6" x14ac:dyDescent="0.35">
      <c r="D99" s="60"/>
      <c r="E99" s="58"/>
      <c r="F99" s="58"/>
    </row>
  </sheetData>
  <dataConsolidate/>
  <mergeCells count="14">
    <mergeCell ref="A36:A38"/>
    <mergeCell ref="B36:B38"/>
    <mergeCell ref="C36:C38"/>
    <mergeCell ref="D36:D38"/>
    <mergeCell ref="E36:E38"/>
    <mergeCell ref="D58:F58"/>
    <mergeCell ref="H36:R36"/>
    <mergeCell ref="J37:L37"/>
    <mergeCell ref="M37:O37"/>
    <mergeCell ref="P37:R37"/>
    <mergeCell ref="H37:H38"/>
    <mergeCell ref="I37:I38"/>
    <mergeCell ref="G36:G38"/>
    <mergeCell ref="F36:F38"/>
  </mergeCells>
  <phoneticPr fontId="5" type="noConversion"/>
  <conditionalFormatting sqref="B58">
    <cfRule type="expression" dxfId="54" priority="194">
      <formula>$B$58&gt;100</formula>
    </cfRule>
  </conditionalFormatting>
  <conditionalFormatting sqref="G49">
    <cfRule type="expression" dxfId="52" priority="200">
      <formula>AND($C$49="No filler",$G$49="Yes")</formula>
    </cfRule>
  </conditionalFormatting>
  <conditionalFormatting sqref="G50">
    <cfRule type="expression" dxfId="51" priority="199">
      <formula>AND($C$50="No filler",$G$50="Yes")</formula>
    </cfRule>
  </conditionalFormatting>
  <conditionalFormatting sqref="G53">
    <cfRule type="expression" dxfId="50" priority="197">
      <formula>AND($C$53="No other waste",$G$53="Yes")</formula>
    </cfRule>
  </conditionalFormatting>
  <conditionalFormatting sqref="G54:G57 G60">
    <cfRule type="expression" dxfId="49" priority="196">
      <formula>AND($C$54="No other waste",$G$54="Yes")</formula>
    </cfRule>
  </conditionalFormatting>
  <conditionalFormatting sqref="J39">
    <cfRule type="expression" dxfId="48" priority="97">
      <formula>OR(AND($I$39="Fill Transport",$J$39="No"),AND($I$39="Do not fill Transport",$J$39&lt;&gt;"No"))</formula>
    </cfRule>
  </conditionalFormatting>
  <conditionalFormatting sqref="J40">
    <cfRule type="expression" dxfId="47" priority="96">
      <formula>OR(AND($I$40="Fill Transport",$J$40="No"),AND($I$40="Do not fill Transport",$J$40&gt;"No"))</formula>
    </cfRule>
  </conditionalFormatting>
  <conditionalFormatting sqref="J41">
    <cfRule type="expression" dxfId="46" priority="95">
      <formula>OR(AND($I$41="Fill Transport",$J$41="No"),AND($I$41="Do not fill Transport",$J$41&gt;"No"))</formula>
    </cfRule>
  </conditionalFormatting>
  <conditionalFormatting sqref="J42">
    <cfRule type="expression" dxfId="45" priority="92">
      <formula>OR(AND($I$42="Fill Transport",$J$42="No"),AND($I$42="Do not fill Transport",$J$42&gt;"No"))</formula>
    </cfRule>
  </conditionalFormatting>
  <conditionalFormatting sqref="J43">
    <cfRule type="expression" dxfId="44" priority="94">
      <formula>OR(AND($I$43="Fill Transport",$J$43="No"),AND($I$43="Do not fill Transport",$J$43&gt;"No"))</formula>
    </cfRule>
  </conditionalFormatting>
  <conditionalFormatting sqref="J44">
    <cfRule type="expression" dxfId="43" priority="93">
      <formula>OR(AND($I$44="Fill Transport",$J$44="No"),AND($I$44="Do not fill Transport",$J$44&gt;"No"))</formula>
    </cfRule>
  </conditionalFormatting>
  <conditionalFormatting sqref="J45">
    <cfRule type="expression" dxfId="42" priority="91">
      <formula>OR(AND($I$45="Fill Transport",$J$45="No"),AND($I$45="Do not fill Transport",$J$45&gt;"No"))</formula>
    </cfRule>
  </conditionalFormatting>
  <conditionalFormatting sqref="J46">
    <cfRule type="expression" dxfId="41" priority="90">
      <formula>OR(AND($I$46="Fill Transport",$J$46="No"),AND($I$46="Do not fill Transport",$J$46&gt;"No"))</formula>
    </cfRule>
  </conditionalFormatting>
  <conditionalFormatting sqref="J47">
    <cfRule type="expression" dxfId="40" priority="89">
      <formula>OR(AND($I$47="Fill Transport",$J$47="No"),AND($I$47="Do not fill Transport",$J$47&gt;"No"))</formula>
    </cfRule>
  </conditionalFormatting>
  <conditionalFormatting sqref="J48">
    <cfRule type="expression" dxfId="39" priority="88">
      <formula>OR(AND($I$48="Fill Transport",$J$48="No"),AND($I$48="Do not fill Transport",$J$48&gt;"No"))</formula>
    </cfRule>
  </conditionalFormatting>
  <conditionalFormatting sqref="J49">
    <cfRule type="expression" dxfId="38" priority="87">
      <formula>OR(AND($I$49="Fill Transport",$J$49="No"),AND($I$49="Do not fill Transport",$J$49&gt;"No"))</formula>
    </cfRule>
  </conditionalFormatting>
  <conditionalFormatting sqref="J50">
    <cfRule type="expression" dxfId="37" priority="86">
      <formula>OR(AND($I$50="Fill Transport",$J$50="No"),AND($I$50="Do not fill Transport",$J$50&gt;"No"))</formula>
    </cfRule>
  </conditionalFormatting>
  <conditionalFormatting sqref="J51">
    <cfRule type="expression" dxfId="36" priority="85">
      <formula>OR(AND($I$51="Fill Transport",$J$51="No"),AND($I$51="Do not fill Transport",$J$51&gt;"No"))</formula>
    </cfRule>
  </conditionalFormatting>
  <conditionalFormatting sqref="J52">
    <cfRule type="expression" dxfId="35" priority="84">
      <formula>OR(AND($I$52="Fill Transport",$J$52="No"),AND($I$52="Do not fill Transport",$J$52&gt;"No"))</formula>
    </cfRule>
  </conditionalFormatting>
  <conditionalFormatting sqref="J53">
    <cfRule type="expression" dxfId="34" priority="83">
      <formula>OR(AND($I$53="Fill Transport",$J$53="No"),AND($I$53="Do not fill Transport",$J$53&gt;"No"))</formula>
    </cfRule>
  </conditionalFormatting>
  <conditionalFormatting sqref="J55">
    <cfRule type="expression" dxfId="33" priority="81">
      <formula>OR(AND($I$55="Fill Transport",$J$55="No"),AND($I$55="Do not fill Transport",$J$55&gt;"No"))</formula>
    </cfRule>
  </conditionalFormatting>
  <conditionalFormatting sqref="J56">
    <cfRule type="expression" dxfId="32" priority="80">
      <formula>OR(AND($I$56="Fill Transport",$J$56="No"),AND($I$56="Do not fill Transport",$J$56&gt;"No"))</formula>
    </cfRule>
  </conditionalFormatting>
  <conditionalFormatting sqref="J57">
    <cfRule type="expression" dxfId="31" priority="79">
      <formula>OR(AND($I$57="Fill Transport",$J$57="No"),AND($I$57="Do not fill Transport",$J$57&gt;"No"))</formula>
    </cfRule>
  </conditionalFormatting>
  <conditionalFormatting sqref="J54:K54">
    <cfRule type="expression" dxfId="30" priority="6">
      <formula>OR(AND($I$54="Fill Transport",$J$54="No"),AND($I$54="Do not fill Transport",$J$54&gt;"No"))</formula>
    </cfRule>
  </conditionalFormatting>
  <conditionalFormatting sqref="L39:L57">
    <cfRule type="expression" dxfId="10" priority="60">
      <formula>AND(K39="No",L39&lt;&gt;0)</formula>
    </cfRule>
    <cfRule type="expression" dxfId="9" priority="5">
      <formula>AND(I39="Fill transport", L39&lt;=0)</formula>
    </cfRule>
  </conditionalFormatting>
  <conditionalFormatting sqref="M39:M57">
    <cfRule type="expression" dxfId="8" priority="9">
      <formula>AND($I$39:$I$57="Do not fill Transport",$M$39:$M$57&lt;&gt;"No")</formula>
    </cfRule>
    <cfRule type="expression" dxfId="7" priority="8">
      <formula>AND(I39="Do not fill Transport", M39&lt;&gt;"No")</formula>
    </cfRule>
  </conditionalFormatting>
  <conditionalFormatting sqref="O39:O57">
    <cfRule type="expression" dxfId="5" priority="3">
      <formula>AND(M39&lt;&gt;"No", O39&lt;=0)</formula>
    </cfRule>
    <cfRule type="expression" dxfId="4" priority="14">
      <formula>AND(N39="No",O39&lt;&gt;0)</formula>
    </cfRule>
  </conditionalFormatting>
  <conditionalFormatting sqref="P39:P57">
    <cfRule type="expression" dxfId="3" priority="7">
      <formula>AND(I39="Do not fill Transport", P39&lt;&gt;"No")</formula>
    </cfRule>
  </conditionalFormatting>
  <conditionalFormatting sqref="R39:R57">
    <cfRule type="expression" dxfId="1" priority="1">
      <formula>AND(P39&lt;&gt;"No", R39&lt;=0)</formula>
    </cfRule>
    <cfRule type="expression" dxfId="0" priority="13">
      <formula>AND(Q39="No",R39&lt;&gt;0)</formula>
    </cfRule>
  </conditionalFormatting>
  <dataValidations count="88">
    <dataValidation type="list" allowBlank="1" showInputMessage="1" showErrorMessage="1" sqref="G40:G57" xr:uid="{B30EDA34-0299-4A5E-82D8-458785DFD1DD}">
      <formula1>"Yes,No"</formula1>
    </dataValidation>
    <dataValidation type="list" allowBlank="1" showInputMessage="1" showErrorMessage="1" sqref="C39" xr:uid="{9FB82A83-D31F-4751-977D-4A9E29A9C6D7}">
      <formula1>"Conventional_Bitumen,Polymer_Modified_Bitumen"</formula1>
    </dataValidation>
    <dataValidation type="list" allowBlank="1" showInputMessage="1" showErrorMessage="1" sqref="B20" xr:uid="{6F9DF283-C91B-44A5-93B6-B27A2F576C35}">
      <formula1>"No, Solar, Hydrogen, Wind"</formula1>
    </dataValidation>
    <dataValidation type="list" allowBlank="1" showInputMessage="1" showErrorMessage="1" sqref="B17" xr:uid="{1A060B45-2E0A-4D05-A412-DAF965FE4109}">
      <formula1>"Natural_gas, Heavy_fuel, Propane, Electricity, Electricity_green, Hydrogen (grey)"</formula1>
    </dataValidation>
    <dataValidation type="list" allowBlank="1" showInputMessage="1" showErrorMessage="1" sqref="K39" xr:uid="{2F426898-476D-4755-B536-67DDEDC79568}">
      <formula1>INDIRECT($J$39)</formula1>
    </dataValidation>
    <dataValidation type="list" allowBlank="1" showInputMessage="1" showErrorMessage="1" sqref="K40" xr:uid="{9B599B87-EAB6-4749-A52F-E6F6D640E637}">
      <formula1>INDIRECT($J$40)</formula1>
    </dataValidation>
    <dataValidation type="list" allowBlank="1" showInputMessage="1" showErrorMessage="1" sqref="K41" xr:uid="{462645E4-77C5-4AD7-99AA-610754731456}">
      <formula1>INDIRECT($J$41)</formula1>
    </dataValidation>
    <dataValidation type="list" allowBlank="1" showInputMessage="1" showErrorMessage="1" sqref="K43" xr:uid="{CD7E3D3F-9988-4A7C-A586-E27C36E3F1B3}">
      <formula1>INDIRECT($J$43)</formula1>
    </dataValidation>
    <dataValidation type="list" allowBlank="1" showInputMessage="1" showErrorMessage="1" sqref="K44" xr:uid="{2AF91185-41AE-4DCE-A8B9-2724B350D747}">
      <formula1>INDIRECT($J$44)</formula1>
    </dataValidation>
    <dataValidation type="list" allowBlank="1" showInputMessage="1" showErrorMessage="1" sqref="K46" xr:uid="{9A9794CA-FD14-4F91-B548-0BD39E2AFBB3}">
      <formula1>INDIRECT($J$46)</formula1>
    </dataValidation>
    <dataValidation type="list" allowBlank="1" showInputMessage="1" showErrorMessage="1" sqref="K49" xr:uid="{09E205D3-1929-40BE-A585-BDE093E4D379}">
      <formula1>INDIRECT($J$49)</formula1>
    </dataValidation>
    <dataValidation type="list" allowBlank="1" showInputMessage="1" showErrorMessage="1" sqref="K50" xr:uid="{1FF1E144-6D25-4D86-8B88-120C1AAE9565}">
      <formula1>INDIRECT($J$50)</formula1>
    </dataValidation>
    <dataValidation type="list" allowBlank="1" showInputMessage="1" showErrorMessage="1" sqref="K51" xr:uid="{88E7E7C7-6741-4F48-8776-918E177EA451}">
      <formula1>INDIRECT($J$51)</formula1>
    </dataValidation>
    <dataValidation type="list" allowBlank="1" showInputMessage="1" showErrorMessage="1" sqref="K52" xr:uid="{7FB3B2FA-7871-4E10-85AA-9DF6C104F9F2}">
      <formula1>INDIRECT($J$52)</formula1>
    </dataValidation>
    <dataValidation type="list" allowBlank="1" showInputMessage="1" showErrorMessage="1" sqref="K53" xr:uid="{D5146AD6-6112-429E-8607-BAF782017D9D}">
      <formula1>INDIRECT($J$53)</formula1>
    </dataValidation>
    <dataValidation type="list" allowBlank="1" showInputMessage="1" showErrorMessage="1" sqref="K54" xr:uid="{D05D1590-CBB4-4D47-BBB2-D0F330A79B60}">
      <formula1>INDIRECT($J$54)</formula1>
    </dataValidation>
    <dataValidation type="list" allowBlank="1" showInputMessage="1" showErrorMessage="1" sqref="K55" xr:uid="{0FAB9E21-C370-4A6D-B1C2-13759EB5A93D}">
      <formula1>INDIRECT($J$55)</formula1>
    </dataValidation>
    <dataValidation type="list" allowBlank="1" showInputMessage="1" showErrorMessage="1" sqref="K56" xr:uid="{B2DFF8D7-80BD-4904-868A-9168FDBC8AC0}">
      <formula1>INDIRECT($J$56)</formula1>
    </dataValidation>
    <dataValidation type="list" allowBlank="1" showInputMessage="1" showErrorMessage="1" sqref="K57" xr:uid="{A053C767-AE04-4AAB-9588-5E0A91036FAD}">
      <formula1>INDIRECT($J$57)</formula1>
    </dataValidation>
    <dataValidation type="list" allowBlank="1" showInputMessage="1" showErrorMessage="1" sqref="N39" xr:uid="{A58E60D5-1299-4D51-B054-54A9FA5FA549}">
      <formula1>INDIRECT($M$39)</formula1>
    </dataValidation>
    <dataValidation type="list" allowBlank="1" showInputMessage="1" showErrorMessage="1" sqref="N43" xr:uid="{795BE950-34C8-4F8B-890E-657673DF7B44}">
      <formula1>INDIRECT($M$43)</formula1>
    </dataValidation>
    <dataValidation type="list" allowBlank="1" showInputMessage="1" showErrorMessage="1" sqref="N40" xr:uid="{954A45D8-7032-4456-B456-73E88F1F4E6E}">
      <formula1>INDIRECT($M$40)</formula1>
    </dataValidation>
    <dataValidation type="list" allowBlank="1" showInputMessage="1" showErrorMessage="1" sqref="N41" xr:uid="{B20A51E6-B0E0-4689-A0CD-6BDE92CF066F}">
      <formula1>INDIRECT($M$41)</formula1>
    </dataValidation>
    <dataValidation type="list" allowBlank="1" showInputMessage="1" showErrorMessage="1" sqref="N44" xr:uid="{AF8079FE-BD72-43F9-B553-B4282C027C44}">
      <formula1>INDIRECT($M$44)</formula1>
    </dataValidation>
    <dataValidation type="list" allowBlank="1" showInputMessage="1" showErrorMessage="1" sqref="N46" xr:uid="{4F53319B-C3D2-4048-A956-B568FE9634AB}">
      <formula1>INDIRECT($M$46)</formula1>
    </dataValidation>
    <dataValidation type="list" allowBlank="1" showInputMessage="1" showErrorMessage="1" sqref="N49" xr:uid="{C3B9825F-93E6-490B-8B93-D0D3D356179E}">
      <formula1>INDIRECT($M$49)</formula1>
    </dataValidation>
    <dataValidation type="list" allowBlank="1" showInputMessage="1" showErrorMessage="1" sqref="N50" xr:uid="{963CCDF8-CFBC-4FAD-A2D0-3F0F7A992F7F}">
      <formula1>INDIRECT($M$50)</formula1>
    </dataValidation>
    <dataValidation type="list" allowBlank="1" showInputMessage="1" showErrorMessage="1" sqref="N51" xr:uid="{1367E753-9086-4B14-B75E-6D113128D048}">
      <formula1>INDIRECT($M$51)</formula1>
    </dataValidation>
    <dataValidation type="list" allowBlank="1" showInputMessage="1" showErrorMessage="1" sqref="N52" xr:uid="{954FB6A5-59E6-4F47-AAF3-43E56D3DA997}">
      <formula1>INDIRECT($M$52)</formula1>
    </dataValidation>
    <dataValidation type="list" allowBlank="1" showInputMessage="1" showErrorMessage="1" sqref="N53" xr:uid="{5E28A101-97F1-435A-A7A4-104CBC4ED368}">
      <formula1>INDIRECT($M$53)</formula1>
    </dataValidation>
    <dataValidation type="list" allowBlank="1" showInputMessage="1" showErrorMessage="1" sqref="N54" xr:uid="{51FFCA19-DEB4-45E6-BAA6-E8DDCA93A313}">
      <formula1>INDIRECT($M$54)</formula1>
    </dataValidation>
    <dataValidation type="list" allowBlank="1" showInputMessage="1" showErrorMessage="1" sqref="N55" xr:uid="{F94CC623-8215-4867-96C9-7F9361CE5F67}">
      <formula1>INDIRECT($M$55)</formula1>
    </dataValidation>
    <dataValidation type="list" allowBlank="1" showInputMessage="1" showErrorMessage="1" sqref="N56" xr:uid="{74E83097-E1FD-43A9-8EB4-B4E4FBE76B3C}">
      <formula1>INDIRECT($M$56)</formula1>
    </dataValidation>
    <dataValidation type="list" allowBlank="1" showInputMessage="1" showErrorMessage="1" sqref="N57" xr:uid="{97FEC580-12E6-4744-AE04-55D9FA1FD823}">
      <formula1>INDIRECT($M$57)</formula1>
    </dataValidation>
    <dataValidation type="list" allowBlank="1" showInputMessage="1" showErrorMessage="1" sqref="Q39" xr:uid="{1C4F62BF-3AE5-4207-8A01-4B07754EF052}">
      <formula1>INDIRECT($P$39)</formula1>
    </dataValidation>
    <dataValidation type="list" allowBlank="1" showInputMessage="1" showErrorMessage="1" sqref="Q40" xr:uid="{F3A23BD6-E7AA-433B-8763-0742ABD6DE67}">
      <formula1>INDIRECT($P$40)</formula1>
    </dataValidation>
    <dataValidation type="list" allowBlank="1" showInputMessage="1" showErrorMessage="1" sqref="Q41" xr:uid="{DA4A453F-5A3D-4F40-987A-D93D8BE5E4CE}">
      <formula1>INDIRECT($P$41)</formula1>
    </dataValidation>
    <dataValidation type="list" allowBlank="1" showInputMessage="1" showErrorMessage="1" sqref="Q57" xr:uid="{0B20198C-0A00-4699-88BE-DD7873231213}">
      <formula1>INDIRECT($P$57)</formula1>
    </dataValidation>
    <dataValidation type="list" allowBlank="1" showInputMessage="1" showErrorMessage="1" sqref="Q43" xr:uid="{85C8BF97-B27C-45A9-89BF-BC3F538EE99A}">
      <formula1>INDIRECT($P$43)</formula1>
    </dataValidation>
    <dataValidation type="list" allowBlank="1" showInputMessage="1" showErrorMessage="1" sqref="Q44" xr:uid="{ABABFE48-D570-409C-B7EA-32A9D55F31E5}">
      <formula1>INDIRECT($P$44)</formula1>
    </dataValidation>
    <dataValidation type="list" allowBlank="1" showInputMessage="1" showErrorMessage="1" sqref="Q46" xr:uid="{92AC7495-AB21-4B69-B720-431B1590A6E4}">
      <formula1>INDIRECT($P$46)</formula1>
    </dataValidation>
    <dataValidation type="list" allowBlank="1" showInputMessage="1" showErrorMessage="1" sqref="Q49" xr:uid="{A4634ADB-B37D-4628-97C2-C96EEE5D4D84}">
      <formula1>INDIRECT($P$49)</formula1>
    </dataValidation>
    <dataValidation type="list" allowBlank="1" showInputMessage="1" showErrorMessage="1" sqref="Q50" xr:uid="{1A3AD792-13D0-455E-AECC-970258C08E26}">
      <formula1>INDIRECT($P$50)</formula1>
    </dataValidation>
    <dataValidation type="list" allowBlank="1" showInputMessage="1" showErrorMessage="1" sqref="Q51" xr:uid="{511AE716-EE3A-48DA-A553-FD1EEAD6A81A}">
      <formula1>INDIRECT($P$51)</formula1>
    </dataValidation>
    <dataValidation type="list" allowBlank="1" showInputMessage="1" showErrorMessage="1" sqref="Q52" xr:uid="{B75A6AD8-1440-4D4C-B559-5DD8FE1983A0}">
      <formula1>INDIRECT($P$52)</formula1>
    </dataValidation>
    <dataValidation type="list" allowBlank="1" showInputMessage="1" showErrorMessage="1" sqref="Q53" xr:uid="{40212FC8-1C22-4AE6-A6D6-6C309C8652B9}">
      <formula1>INDIRECT($P$53)</formula1>
    </dataValidation>
    <dataValidation type="list" allowBlank="1" showInputMessage="1" showErrorMessage="1" sqref="Q54" xr:uid="{5D867582-B6A2-4332-AC03-6EEE1FA306BF}">
      <formula1>INDIRECT($P$54)</formula1>
    </dataValidation>
    <dataValidation type="list" allowBlank="1" showInputMessage="1" showErrorMessage="1" sqref="Q55" xr:uid="{9BB73EBC-004D-4D78-8D7C-74E75766BBFC}">
      <formula1>INDIRECT($P$55)</formula1>
    </dataValidation>
    <dataValidation type="list" allowBlank="1" showInputMessage="1" showErrorMessage="1" sqref="Q56" xr:uid="{F90019D8-6F7F-4682-B2D1-EC5FA3885846}">
      <formula1>INDIRECT($P$56)</formula1>
    </dataValidation>
    <dataValidation type="list" allowBlank="1" showInputMessage="1" showErrorMessage="1" sqref="C26" xr:uid="{AA49B250-123A-414F-BE4E-C26552E81854}">
      <formula1>INDIRECT($B$26)</formula1>
    </dataValidation>
    <dataValidation type="list" allowBlank="1" showInputMessage="1" showErrorMessage="1" sqref="B68:B69" xr:uid="{2A584A2B-AED8-4BEF-81AB-C12E4A42D934}">
      <formula1>Paver_types</formula1>
    </dataValidation>
    <dataValidation type="list" allowBlank="1" showInputMessage="1" showErrorMessage="1" sqref="C68" xr:uid="{D09658F8-8C23-4592-AC44-39F7DC60FC1F}">
      <formula1>INDIRECT($B$68)</formula1>
    </dataValidation>
    <dataValidation type="list" allowBlank="1" showInputMessage="1" showErrorMessage="1" sqref="B73:B76" xr:uid="{D8BA04EB-58CF-457E-894D-884FE5AB4092}">
      <formula1>Roller_types</formula1>
    </dataValidation>
    <dataValidation type="list" allowBlank="1" showInputMessage="1" showErrorMessage="1" sqref="C73" xr:uid="{D0919E87-1D8E-49EF-BACD-497B24042428}">
      <formula1>INDIRECT($B$73)</formula1>
    </dataValidation>
    <dataValidation type="list" allowBlank="1" showInputMessage="1" showErrorMessage="1" sqref="C74" xr:uid="{ABFAC24A-8D99-4948-A845-FB8DE9854189}">
      <formula1>INDIRECT($B$74)</formula1>
    </dataValidation>
    <dataValidation type="list" allowBlank="1" showInputMessage="1" showErrorMessage="1" sqref="C82" xr:uid="{AA2D1E54-B385-489A-AC3C-5C2E15E0F720}">
      <formula1>INDIRECT($B$82)</formula1>
    </dataValidation>
    <dataValidation type="list" allowBlank="1" showInputMessage="1" showErrorMessage="1" sqref="C83" xr:uid="{35BE8286-9C74-4FA1-B1DC-874CFD7F8276}">
      <formula1>INDIRECT($B$83)</formula1>
    </dataValidation>
    <dataValidation type="list" allowBlank="1" showInputMessage="1" showErrorMessage="1" sqref="C63" xr:uid="{6F12CD42-01F8-4492-9466-71C16AD1343F}">
      <formula1>INDIRECT($B$63)</formula1>
    </dataValidation>
    <dataValidation type="list" allowBlank="1" showInputMessage="1" showErrorMessage="1" sqref="B26" xr:uid="{4841F1A2-0F2B-470C-BD80-B094BFC346AE}">
      <formula1>Wheel_loader_types</formula1>
    </dataValidation>
    <dataValidation type="list" allowBlank="1" showInputMessage="1" showErrorMessage="1" sqref="C69" xr:uid="{AB1FD9EC-9B35-487A-8DBB-FB10F292EE66}">
      <formula1>INDIRECT($B$69)</formula1>
    </dataValidation>
    <dataValidation type="list" allowBlank="1" showInputMessage="1" showErrorMessage="1" sqref="B82:B84" xr:uid="{C4093AE6-AA37-47E5-8293-B80732BE1C42}">
      <formula1>Milling_types</formula1>
    </dataValidation>
    <dataValidation type="list" allowBlank="1" showInputMessage="1" showErrorMessage="1" sqref="C53:C54" xr:uid="{CD69FEA8-1A31-4B06-96FE-1131AB49630A}">
      <formula1>"No_other_waste,Steel_slag_aggregate,Recycled_plastic,Recycled_concrete_aggregate,Crumb_rubber"</formula1>
    </dataValidation>
    <dataValidation type="list" allowBlank="1" showInputMessage="1" showErrorMessage="1" sqref="B70" xr:uid="{75F32993-D05C-45AC-A457-BF6F13838691}">
      <formula1>Excavator_types</formula1>
    </dataValidation>
    <dataValidation type="list" allowBlank="1" showInputMessage="1" showErrorMessage="1" sqref="C70" xr:uid="{452FF5D6-A896-4368-B0E6-C0B8CA55F62B}">
      <formula1>INDIRECT($B$70)</formula1>
    </dataValidation>
    <dataValidation type="list" allowBlank="1" showInputMessage="1" showErrorMessage="1" sqref="D39" xr:uid="{0066CD3C-4578-4F0C-A0F5-B163F9930B7C}">
      <formula1>"No,Binder_bio"</formula1>
    </dataValidation>
    <dataValidation type="list" allowBlank="1" showInputMessage="1" showErrorMessage="1" sqref="B85" xr:uid="{93C03D81-DCBF-4387-B32C-547EAE5CC816}">
      <formula1>Types_sweeper_truck</formula1>
    </dataValidation>
    <dataValidation type="list" allowBlank="1" showInputMessage="1" showErrorMessage="1" sqref="C85" xr:uid="{659490DB-9959-4CF1-9BCF-2F43896AA399}">
      <formula1>INDIRECT($B$85)</formula1>
    </dataValidation>
    <dataValidation type="list" allowBlank="1" showInputMessage="1" showErrorMessage="1" sqref="B18" xr:uid="{8FBEA85F-CB5E-4CC1-956A-2E886F2B1BCB}">
      <formula1>"No,Natural_gas, Heavy_fuel, Propane, Electricity, Electricity_green, Hydrogen (grey)"</formula1>
    </dataValidation>
    <dataValidation type="list" allowBlank="1" showInputMessage="1" showErrorMessage="1" sqref="P39:P57 M39:M57 B63 J39:J57" xr:uid="{6BCFD2DA-09E4-4587-8C07-C90FACF3808A}">
      <formula1>Transport_mode</formula1>
    </dataValidation>
    <dataValidation type="list" allowBlank="1" showInputMessage="1" showErrorMessage="1" sqref="C49:C50" xr:uid="{574B817F-9BA0-47DD-8709-D5FF4A1D0DEB}">
      <formula1>"No_filler,Cement,Limestone_residue"</formula1>
    </dataValidation>
    <dataValidation type="list" allowBlank="1" showInputMessage="1" showErrorMessage="1" sqref="B19" xr:uid="{E3B43EDA-FD56-4C11-964F-7BF00C664642}">
      <formula1>Electric_component</formula1>
    </dataValidation>
    <dataValidation type="list" allowBlank="1" showInputMessage="1" showErrorMessage="1" sqref="C19" xr:uid="{2D3DC616-1A13-44F8-AAF8-A77447D71244}">
      <formula1>INDIRECT($B$19)</formula1>
    </dataValidation>
    <dataValidation type="list" allowBlank="1" showInputMessage="1" showErrorMessage="1" sqref="C55:C57" xr:uid="{0F2BC0F2-7C1B-4CBD-8765-748F3E18ADFC}">
      <formula1>"No_additives, Rejuvenator_biobased,Rejuvenator_waxy,Cellulose_fibres"</formula1>
    </dataValidation>
    <dataValidation type="list" allowBlank="1" showInputMessage="1" showErrorMessage="1" sqref="K42" xr:uid="{3920C325-1272-4133-B1B8-2EB35A72921E}">
      <formula1>INDIRECT($J$42)</formula1>
    </dataValidation>
    <dataValidation type="list" allowBlank="1" showInputMessage="1" showErrorMessage="1" sqref="N42" xr:uid="{3A8CEA6B-1EC0-409B-AEE1-876A02B69F87}">
      <formula1>INDIRECT($M$42)</formula1>
    </dataValidation>
    <dataValidation type="list" allowBlank="1" showInputMessage="1" showErrorMessage="1" sqref="Q42" xr:uid="{D36A1EB7-106A-4E48-8C30-9C26D48166D4}">
      <formula1>INDIRECT($P$42)</formula1>
    </dataValidation>
    <dataValidation type="list" allowBlank="1" showInputMessage="1" showErrorMessage="1" sqref="K45" xr:uid="{A6D5B75C-D80A-4DBA-A609-1FC5C2549807}">
      <formula1>INDIRECT($J$45)</formula1>
    </dataValidation>
    <dataValidation type="list" allowBlank="1" showInputMessage="1" showErrorMessage="1" sqref="K48" xr:uid="{B2FDF02C-92C2-4D6A-8744-439B0CF97A2B}">
      <formula1>INDIRECT($J$48)</formula1>
    </dataValidation>
    <dataValidation type="list" allowBlank="1" showInputMessage="1" showErrorMessage="1" sqref="K47" xr:uid="{A931B1E0-E4B1-4561-B4A6-C0F469B30852}">
      <formula1>INDIRECT($J$47)</formula1>
    </dataValidation>
    <dataValidation type="list" allowBlank="1" showInputMessage="1" showErrorMessage="1" sqref="N45" xr:uid="{089BDF91-6AC1-4E61-A2F0-2AD080E57482}">
      <formula1>INDIRECT($M$45)</formula1>
    </dataValidation>
    <dataValidation type="list" allowBlank="1" showInputMessage="1" showErrorMessage="1" sqref="N47" xr:uid="{FFB5998F-C6F6-4CDB-A639-7F1AAE2D9DB5}">
      <formula1>INDIRECT($M$47)</formula1>
    </dataValidation>
    <dataValidation type="list" allowBlank="1" showInputMessage="1" showErrorMessage="1" sqref="N48" xr:uid="{B78D9852-3663-4D89-8869-A2EB0D7F3D82}">
      <formula1>INDIRECT($M$48)</formula1>
    </dataValidation>
    <dataValidation type="list" allowBlank="1" showInputMessage="1" showErrorMessage="1" sqref="Q45" xr:uid="{D2EB24A0-F1AA-4ACF-945E-6A8E57607591}">
      <formula1>INDIRECT($P$45)</formula1>
    </dataValidation>
    <dataValidation type="list" allowBlank="1" showInputMessage="1" showErrorMessage="1" sqref="Q47" xr:uid="{51246F83-1207-4EA9-AFF4-E3BA1D2E86D8}">
      <formula1>INDIRECT($P$47)</formula1>
    </dataValidation>
    <dataValidation type="list" allowBlank="1" showInputMessage="1" showErrorMessage="1" sqref="Q48" xr:uid="{8484EFD4-39E3-401B-83E6-70F89CBF1262}">
      <formula1>INDIRECT($P$48)</formula1>
    </dataValidation>
    <dataValidation type="list" allowBlank="1" showInputMessage="1" showErrorMessage="1" sqref="C75" xr:uid="{B88F5C64-0791-4E30-B077-E312DB4C67DD}">
      <formula1>INDIRECT($B$75)</formula1>
    </dataValidation>
    <dataValidation type="list" allowBlank="1" showInputMessage="1" showErrorMessage="1" sqref="C76" xr:uid="{17299E8E-E11B-47A8-8C88-3A85166F471F}">
      <formula1>INDIRECT($B$76)</formula1>
    </dataValidation>
    <dataValidation type="list" allowBlank="1" showInputMessage="1" showErrorMessage="1" sqref="C84" xr:uid="{B298AFCB-5AB6-4894-AF59-F3B536AD8D67}">
      <formula1>INDIRECT($B$84)</formula1>
    </dataValidation>
  </dataValidations>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142" id="{0F4D9C92-6B5C-42B2-9A60-7F4E550F159C}">
            <xm:f>COUNTIFS(_xlfn.XLOOKUP($B$26,'Aux - Lists'!B16:C16,'Aux - Lists'!B17:C24,$C$26),$C$26)=0</xm:f>
            <x14:dxf>
              <fill>
                <patternFill>
                  <bgColor rgb="FFFF0000"/>
                </patternFill>
              </fill>
            </x14:dxf>
          </x14:cfRule>
          <xm:sqref>C26</xm:sqref>
        </x14:conditionalFormatting>
        <x14:conditionalFormatting xmlns:xm="http://schemas.microsoft.com/office/excel/2006/main">
          <x14:cfRule type="expression" priority="188" id="{813FE5CB-B513-4F04-A5AB-30B3FE66524F}">
            <xm:f>COUNTIFS(_xlfn.XLOOKUP($J39,'Aux - Lists'!$B$4:$J$4,'Aux - Lists'!$B$5:$J$13,$K$39),$K$39)=0</xm:f>
            <x14:dxf>
              <fill>
                <patternFill>
                  <bgColor rgb="FFFF0000"/>
                </patternFill>
              </fill>
            </x14:dxf>
          </x14:cfRule>
          <xm:sqref>K39</xm:sqref>
        </x14:conditionalFormatting>
        <x14:conditionalFormatting xmlns:xm="http://schemas.microsoft.com/office/excel/2006/main">
          <x14:cfRule type="expression" priority="187" id="{3389DAE6-CC19-4B4C-B31B-E65E87D4B082}">
            <xm:f>COUNTIFS(_xlfn.XLOOKUP($J40,'Aux - Lists'!$B$4:$J$4,'Aux - Lists'!$B$5:$J$13,$K$40),$K$40)=0</xm:f>
            <x14:dxf>
              <fill>
                <patternFill>
                  <bgColor rgb="FFFF0000"/>
                </patternFill>
              </fill>
            </x14:dxf>
          </x14:cfRule>
          <xm:sqref>K40</xm:sqref>
        </x14:conditionalFormatting>
        <x14:conditionalFormatting xmlns:xm="http://schemas.microsoft.com/office/excel/2006/main">
          <x14:cfRule type="expression" priority="186" id="{EB251AC4-EBAB-4443-8763-B360FA234914}">
            <xm:f>COUNTIFS(_xlfn.XLOOKUP($J41,'Aux - Lists'!$B$4:$J$4,'Aux - Lists'!$B$5:$J$13,$K$41),$K$41)=0</xm:f>
            <x14:dxf>
              <fill>
                <patternFill>
                  <bgColor rgb="FFFF0000"/>
                </patternFill>
              </fill>
            </x14:dxf>
          </x14:cfRule>
          <xm:sqref>K41</xm:sqref>
        </x14:conditionalFormatting>
        <x14:conditionalFormatting xmlns:xm="http://schemas.microsoft.com/office/excel/2006/main">
          <x14:cfRule type="expression" priority="140" id="{ED155FC7-2888-4252-916E-AA185CCD7056}">
            <xm:f>COUNTIFS(_xlfn.XLOOKUP($J42,'Aux - Lists'!$B$4:$J$4,'Aux - Lists'!$B$5:$J$13,$K$42),$K$42)=0</xm:f>
            <x14:dxf>
              <fill>
                <patternFill>
                  <bgColor rgb="FFFF0000"/>
                </patternFill>
              </fill>
            </x14:dxf>
          </x14:cfRule>
          <xm:sqref>K42</xm:sqref>
        </x14:conditionalFormatting>
        <x14:conditionalFormatting xmlns:xm="http://schemas.microsoft.com/office/excel/2006/main">
          <x14:cfRule type="expression" priority="185" id="{AF90A62F-4582-4C46-84E1-810ADE9546FE}">
            <xm:f>COUNTIFS(_xlfn.XLOOKUP($J43,'Aux - Lists'!$B$4:$J$4,'Aux - Lists'!$B$5:$J$13,$K$43),$K$43)=0</xm:f>
            <x14:dxf>
              <fill>
                <patternFill>
                  <bgColor rgb="FFFF0000"/>
                </patternFill>
              </fill>
            </x14:dxf>
          </x14:cfRule>
          <xm:sqref>K43</xm:sqref>
        </x14:conditionalFormatting>
        <x14:conditionalFormatting xmlns:xm="http://schemas.microsoft.com/office/excel/2006/main">
          <x14:cfRule type="expression" priority="184" id="{5F22E159-4E64-45D2-85F2-462203FB8E31}">
            <xm:f>COUNTIFS(_xlfn.XLOOKUP($J44,'Aux - Lists'!$B$4:$J$4,'Aux - Lists'!$B$5:$J$13,$K$44),$K$44)=0</xm:f>
            <x14:dxf>
              <fill>
                <patternFill>
                  <bgColor rgb="FFFF0000"/>
                </patternFill>
              </fill>
            </x14:dxf>
          </x14:cfRule>
          <xm:sqref>K44</xm:sqref>
        </x14:conditionalFormatting>
        <x14:conditionalFormatting xmlns:xm="http://schemas.microsoft.com/office/excel/2006/main">
          <x14:cfRule type="expression" priority="139" id="{02AC7D81-F30C-4FBE-89B7-5669B7F9AE00}">
            <xm:f>COUNTIFS(_xlfn.XLOOKUP($J45,'Aux - Lists'!$B$4:$J$4,'Aux - Lists'!$B$5:$J$13,$K$45),$K$45)=0</xm:f>
            <x14:dxf>
              <fill>
                <patternFill>
                  <bgColor rgb="FFFF0000"/>
                </patternFill>
              </fill>
            </x14:dxf>
          </x14:cfRule>
          <xm:sqref>K45</xm:sqref>
        </x14:conditionalFormatting>
        <x14:conditionalFormatting xmlns:xm="http://schemas.microsoft.com/office/excel/2006/main">
          <x14:cfRule type="expression" priority="183" id="{B8A7D73D-C802-4690-99E3-010E85A4FF34}">
            <xm:f>COUNTIFS(_xlfn.XLOOKUP($J46,'Aux - Lists'!$B$4:$J$4,'Aux - Lists'!$B$5:$J$13,$K$46),$K$46)=0</xm:f>
            <x14:dxf>
              <fill>
                <patternFill>
                  <bgColor rgb="FFFF0000"/>
                </patternFill>
              </fill>
            </x14:dxf>
          </x14:cfRule>
          <xm:sqref>K46</xm:sqref>
        </x14:conditionalFormatting>
        <x14:conditionalFormatting xmlns:xm="http://schemas.microsoft.com/office/excel/2006/main">
          <x14:cfRule type="expression" priority="138" id="{6BF8677F-3929-45C4-BCD4-5492BC7CEC50}">
            <xm:f>COUNTIFS(_xlfn.XLOOKUP($J47,'Aux - Lists'!$B$4:$J$4,'Aux - Lists'!$B$5:$J$13,$K$47),$K$47)=0</xm:f>
            <x14:dxf>
              <fill>
                <patternFill>
                  <bgColor rgb="FFFF0000"/>
                </patternFill>
              </fill>
            </x14:dxf>
          </x14:cfRule>
          <xm:sqref>K47</xm:sqref>
        </x14:conditionalFormatting>
        <x14:conditionalFormatting xmlns:xm="http://schemas.microsoft.com/office/excel/2006/main">
          <x14:cfRule type="expression" priority="137" id="{A76612F6-3FF3-4CA3-B316-A947C3704FA4}">
            <xm:f>COUNTIFS(_xlfn.XLOOKUP($J48,'Aux - Lists'!$B$4:$J$4,'Aux - Lists'!$B$5:$J$13,$K$48),$K$48)=0</xm:f>
            <x14:dxf>
              <fill>
                <patternFill>
                  <bgColor rgb="FFFF0000"/>
                </patternFill>
              </fill>
            </x14:dxf>
          </x14:cfRule>
          <xm:sqref>K48</xm:sqref>
        </x14:conditionalFormatting>
        <x14:conditionalFormatting xmlns:xm="http://schemas.microsoft.com/office/excel/2006/main">
          <x14:cfRule type="expression" priority="182" id="{39B2B14F-FBEB-44EE-AC52-459E39C4CCAE}">
            <xm:f>COUNTIFS(_xlfn.XLOOKUP($J49,'Aux - Lists'!$B$4:$J$4,'Aux - Lists'!$B$5:$J$13,$K$49),$K$49)=0</xm:f>
            <x14:dxf>
              <fill>
                <patternFill>
                  <bgColor rgb="FFFF0000"/>
                </patternFill>
              </fill>
            </x14:dxf>
          </x14:cfRule>
          <xm:sqref>K49</xm:sqref>
        </x14:conditionalFormatting>
        <x14:conditionalFormatting xmlns:xm="http://schemas.microsoft.com/office/excel/2006/main">
          <x14:cfRule type="expression" priority="181" id="{DF09B389-6029-41A3-B5EF-BE9B2EA01BC5}">
            <xm:f>COUNTIFS(_xlfn.XLOOKUP($J50,'Aux - Lists'!$B$4:$J$4,'Aux - Lists'!$B$5:$J$13,$K$50),$K$50)=0</xm:f>
            <x14:dxf>
              <fill>
                <patternFill>
                  <bgColor rgb="FFFF0000"/>
                </patternFill>
              </fill>
            </x14:dxf>
          </x14:cfRule>
          <xm:sqref>K50</xm:sqref>
        </x14:conditionalFormatting>
        <x14:conditionalFormatting xmlns:xm="http://schemas.microsoft.com/office/excel/2006/main">
          <x14:cfRule type="expression" priority="180" id="{70F9E9C1-6939-4E74-9FE0-1D925DC99A8E}">
            <xm:f>COUNTIFS(_xlfn.XLOOKUP($J51,'Aux - Lists'!$B$4:$J$4,'Aux - Lists'!$B$5:$J$13,$K$51),$K$51)=0</xm:f>
            <x14:dxf>
              <fill>
                <patternFill>
                  <bgColor rgb="FFFF0000"/>
                </patternFill>
              </fill>
            </x14:dxf>
          </x14:cfRule>
          <xm:sqref>K51</xm:sqref>
        </x14:conditionalFormatting>
        <x14:conditionalFormatting xmlns:xm="http://schemas.microsoft.com/office/excel/2006/main">
          <x14:cfRule type="expression" priority="179" id="{13014D33-6A37-4379-A7C1-1CDCC0A9DCDE}">
            <xm:f>COUNTIFS(_xlfn.XLOOKUP($J52,'Aux - Lists'!$B$4:$J$4,'Aux - Lists'!$B$5:$J$13,$K$52),$K$52)=0</xm:f>
            <x14:dxf>
              <fill>
                <patternFill>
                  <bgColor rgb="FFFF0000"/>
                </patternFill>
              </fill>
            </x14:dxf>
          </x14:cfRule>
          <xm:sqref>K52</xm:sqref>
        </x14:conditionalFormatting>
        <x14:conditionalFormatting xmlns:xm="http://schemas.microsoft.com/office/excel/2006/main">
          <x14:cfRule type="expression" priority="178" id="{5D97F16A-FAE7-4492-9C4A-7D6470878893}">
            <xm:f>COUNTIFS(_xlfn.XLOOKUP($J53,'Aux - Lists'!$B$4:$J$4,'Aux - Lists'!$B$5:$J$13,$K$53),$K$53)=0</xm:f>
            <x14:dxf>
              <fill>
                <patternFill>
                  <bgColor rgb="FFFF0000"/>
                </patternFill>
              </fill>
            </x14:dxf>
          </x14:cfRule>
          <xm:sqref>K53</xm:sqref>
        </x14:conditionalFormatting>
        <x14:conditionalFormatting xmlns:xm="http://schemas.microsoft.com/office/excel/2006/main">
          <x14:cfRule type="expression" priority="177" id="{E5465D6F-A303-4EBB-AA61-6980A7CE3DFB}">
            <xm:f>COUNTIFS(_xlfn.XLOOKUP($J54,'Aux - Lists'!$B$4:$J$4,'Aux - Lists'!$B$5:$J$13,$K$54),$K$54)=0</xm:f>
            <x14:dxf>
              <fill>
                <patternFill>
                  <bgColor rgb="FFFF0000"/>
                </patternFill>
              </fill>
            </x14:dxf>
          </x14:cfRule>
          <xm:sqref>K54</xm:sqref>
        </x14:conditionalFormatting>
        <x14:conditionalFormatting xmlns:xm="http://schemas.microsoft.com/office/excel/2006/main">
          <x14:cfRule type="expression" priority="176" id="{5CD3563C-227F-4A15-8B69-FE1BAD8C5E40}">
            <xm:f>COUNTIFS(_xlfn.XLOOKUP($J55,'Aux - Lists'!$B$4:$J$4,'Aux - Lists'!$B$5:$J$13,$K$55),$K$55)=0</xm:f>
            <x14:dxf>
              <fill>
                <patternFill>
                  <bgColor rgb="FFFF0000"/>
                </patternFill>
              </fill>
            </x14:dxf>
          </x14:cfRule>
          <xm:sqref>K55</xm:sqref>
        </x14:conditionalFormatting>
        <x14:conditionalFormatting xmlns:xm="http://schemas.microsoft.com/office/excel/2006/main">
          <x14:cfRule type="expression" priority="175" id="{632FBEA1-56E3-4C87-B09C-E8622B2941A6}">
            <xm:f>COUNTIFS(_xlfn.XLOOKUP($J56,'Aux - Lists'!$B$4:$J$4,'Aux - Lists'!$B$5:$J$13,$K$56),$K$56)=0</xm:f>
            <x14:dxf>
              <fill>
                <patternFill>
                  <bgColor rgb="FFFF0000"/>
                </patternFill>
              </fill>
            </x14:dxf>
          </x14:cfRule>
          <xm:sqref>K56</xm:sqref>
        </x14:conditionalFormatting>
        <x14:conditionalFormatting xmlns:xm="http://schemas.microsoft.com/office/excel/2006/main">
          <x14:cfRule type="expression" priority="174" id="{49C1F62B-A291-40E9-97FD-110ACE2F1C9C}">
            <xm:f>COUNTIFS(_xlfn.XLOOKUP($J57,'Aux - Lists'!$B$4:$J$4,'Aux - Lists'!$B$5:$J$13,$K$57),$K$57)=0</xm:f>
            <x14:dxf>
              <fill>
                <patternFill>
                  <bgColor rgb="FFFF0000"/>
                </patternFill>
              </fill>
            </x14:dxf>
          </x14:cfRule>
          <xm:sqref>K57</xm:sqref>
        </x14:conditionalFormatting>
        <x14:conditionalFormatting xmlns:xm="http://schemas.microsoft.com/office/excel/2006/main">
          <x14:cfRule type="expression" priority="101" id="{FBFC639B-1075-4284-B283-E4E63F070850}">
            <xm:f>COUNTIFS(_xlfn.XLOOKUP($M39,'Aux - Lists'!$B$4:$J$4,'Aux - Lists'!$B$5:$J$13,$N39),$N39)=0</xm:f>
            <x14:dxf>
              <fill>
                <patternFill>
                  <bgColor rgb="FFFF0000"/>
                </patternFill>
              </fill>
            </x14:dxf>
          </x14:cfRule>
          <xm:sqref>N39:N57</xm:sqref>
        </x14:conditionalFormatting>
        <x14:conditionalFormatting xmlns:xm="http://schemas.microsoft.com/office/excel/2006/main">
          <x14:cfRule type="expression" priority="119" id="{17236403-16E3-4195-B47A-C35E2EFE0966}">
            <xm:f>COUNTIFS(_xlfn.XLOOKUP($P39,'Aux - Lists'!$B$4:$J$4,'Aux - Lists'!$B$5:$J$13,$Q39),$Q39)=0</xm:f>
            <x14:dxf>
              <fill>
                <patternFill>
                  <bgColor rgb="FFFF0000"/>
                </patternFill>
              </fill>
            </x14:dxf>
          </x14:cfRule>
          <xm:sqref>Q39:Q57</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10E6491F-84AF-406F-87F2-A725633468C4}">
          <x14:formula1>
            <xm:f>'Aux - Lists'!$A$176:$A$178</xm:f>
          </x14:formula1>
          <xm:sqref>B21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1E2EF-9C87-4463-8BF4-4405F382155F}">
  <sheetPr codeName="Sheet3"/>
  <dimension ref="A1:R116"/>
  <sheetViews>
    <sheetView showGridLines="0" view="pageBreakPreview" topLeftCell="A6" zoomScale="102" zoomScaleNormal="93" zoomScaleSheetLayoutView="102" workbookViewId="0">
      <selection activeCell="R38" sqref="R38"/>
    </sheetView>
  </sheetViews>
  <sheetFormatPr defaultRowHeight="14.5" x14ac:dyDescent="0.35"/>
  <cols>
    <col min="1" max="1" width="27.1796875" customWidth="1"/>
    <col min="2" max="2" width="17.453125" customWidth="1"/>
    <col min="3" max="3" width="10.453125" customWidth="1"/>
    <col min="4" max="4" width="16.1796875" customWidth="1"/>
    <col min="5" max="5" width="8.1796875" customWidth="1"/>
    <col min="6" max="6" width="13.81640625" customWidth="1"/>
    <col min="7" max="7" width="3.453125" customWidth="1"/>
    <col min="8" max="8" width="9.54296875" customWidth="1"/>
    <col min="9" max="10" width="8.81640625" customWidth="1"/>
    <col min="18" max="18" width="36.54296875" bestFit="1" customWidth="1"/>
  </cols>
  <sheetData>
    <row r="1" spans="1:11" ht="16" x14ac:dyDescent="0.4">
      <c r="A1" s="278" t="s">
        <v>122</v>
      </c>
    </row>
    <row r="3" spans="1:11" x14ac:dyDescent="0.35">
      <c r="A3" s="150" t="s">
        <v>123</v>
      </c>
    </row>
    <row r="4" spans="1:11" x14ac:dyDescent="0.35">
      <c r="A4" s="269" t="s">
        <v>7</v>
      </c>
      <c r="B4" s="270">
        <f>Input!$B$5</f>
        <v>40409</v>
      </c>
      <c r="C4" s="271"/>
      <c r="D4" s="3" t="s">
        <v>124</v>
      </c>
    </row>
    <row r="5" spans="1:11" x14ac:dyDescent="0.35">
      <c r="A5" s="1" t="s">
        <v>8</v>
      </c>
      <c r="B5" s="21" t="str">
        <f>Input!$B$6</f>
        <v>801/64/2010/13RE-1234/0</v>
      </c>
      <c r="C5" s="271"/>
      <c r="D5" s="53" t="s">
        <v>125</v>
      </c>
      <c r="E5" s="373" t="s">
        <v>126</v>
      </c>
      <c r="F5" s="373"/>
    </row>
    <row r="6" spans="1:11" x14ac:dyDescent="0.35">
      <c r="A6" s="143" t="s">
        <v>9</v>
      </c>
      <c r="B6" s="268" t="str">
        <f>Input!$B$7</f>
        <v>AB-3A1</v>
      </c>
      <c r="C6" s="109"/>
      <c r="D6" s="53" t="s">
        <v>127</v>
      </c>
      <c r="E6" s="279" t="str">
        <f>IF(ABS('Aux - Check'!$B$11)&gt;10^-10,"Error",Results!$M$47)</f>
        <v>Error</v>
      </c>
      <c r="F6" s="280" t="s">
        <v>128</v>
      </c>
      <c r="G6" s="29"/>
    </row>
    <row r="7" spans="1:11" ht="16.5" x14ac:dyDescent="0.45">
      <c r="A7" s="9" t="s">
        <v>11</v>
      </c>
      <c r="B7" s="272" t="str">
        <f>+Input!B8</f>
        <v>AC 20 onderlaag 50/70</v>
      </c>
      <c r="C7" s="29"/>
      <c r="D7" s="125" t="s">
        <v>129</v>
      </c>
      <c r="E7" s="281" t="str">
        <f>IF(ABS('Aux - Check'!$B$11)&gt;10^-10,"Error",Results!$L$53)</f>
        <v>Error</v>
      </c>
      <c r="F7" s="280" t="s">
        <v>130</v>
      </c>
      <c r="G7" s="29"/>
    </row>
    <row r="8" spans="1:11" x14ac:dyDescent="0.35">
      <c r="A8" s="9" t="s">
        <v>131</v>
      </c>
      <c r="B8" s="272" t="str">
        <f>Input!$B$14</f>
        <v>straat 1, 1000 Gaurain-Ramecroix</v>
      </c>
      <c r="C8" s="15"/>
      <c r="K8" s="11"/>
    </row>
    <row r="9" spans="1:11" x14ac:dyDescent="0.35">
      <c r="A9" s="143" t="s">
        <v>132</v>
      </c>
      <c r="B9" s="268" t="str">
        <f>Input!$B$21</f>
        <v>155⁰C - 185⁰C</v>
      </c>
      <c r="C9" s="109"/>
    </row>
    <row r="10" spans="1:11" x14ac:dyDescent="0.35">
      <c r="A10" s="89" t="s">
        <v>133</v>
      </c>
      <c r="B10" s="273">
        <f>Input!$B$9</f>
        <v>3.7159999999999999E-2</v>
      </c>
      <c r="C10" s="274"/>
    </row>
    <row r="11" spans="1:11" x14ac:dyDescent="0.35">
      <c r="A11" s="89" t="s">
        <v>14</v>
      </c>
      <c r="B11" s="275">
        <f>+Input!B10</f>
        <v>0.40365984930032295</v>
      </c>
      <c r="C11" s="276"/>
    </row>
    <row r="12" spans="1:11" ht="16.5" x14ac:dyDescent="0.35">
      <c r="A12" s="1" t="s">
        <v>134</v>
      </c>
      <c r="B12" s="21">
        <f>Input!$B$22</f>
        <v>2400</v>
      </c>
      <c r="C12" s="15"/>
      <c r="K12" s="11"/>
    </row>
    <row r="13" spans="1:11" x14ac:dyDescent="0.35">
      <c r="B13" s="15"/>
      <c r="C13" s="15"/>
    </row>
    <row r="19" spans="18:18" x14ac:dyDescent="0.35">
      <c r="R19" s="28"/>
    </row>
    <row r="53" spans="1:7" ht="16" x14ac:dyDescent="0.4">
      <c r="A53" s="278" t="s">
        <v>135</v>
      </c>
    </row>
    <row r="54" spans="1:7" x14ac:dyDescent="0.35">
      <c r="C54" s="15"/>
      <c r="G54" s="29"/>
    </row>
    <row r="55" spans="1:7" x14ac:dyDescent="0.35">
      <c r="A55" s="150" t="s">
        <v>123</v>
      </c>
      <c r="C55" s="15"/>
      <c r="G55" s="29"/>
    </row>
    <row r="56" spans="1:7" x14ac:dyDescent="0.35">
      <c r="A56" s="143" t="s">
        <v>7</v>
      </c>
      <c r="B56" s="270">
        <f>Input!$B$5</f>
        <v>40409</v>
      </c>
      <c r="C56" s="109"/>
      <c r="D56" s="3" t="s">
        <v>136</v>
      </c>
    </row>
    <row r="57" spans="1:7" x14ac:dyDescent="0.35">
      <c r="A57" s="1" t="s">
        <v>8</v>
      </c>
      <c r="B57" s="21" t="str">
        <f>Input!$B$6</f>
        <v>801/64/2010/13RE-1234/0</v>
      </c>
      <c r="C57" s="15"/>
      <c r="D57" s="53" t="s">
        <v>137</v>
      </c>
      <c r="E57" s="374" t="str">
        <f>+CONCATENATE("1 m2 (",Input!B31/10,"-cm thick)")</f>
        <v>1 m2 (8-cm thick)</v>
      </c>
      <c r="F57" s="374"/>
    </row>
    <row r="58" spans="1:7" ht="16.5" x14ac:dyDescent="0.35">
      <c r="A58" s="143" t="s">
        <v>9</v>
      </c>
      <c r="B58" s="268" t="str">
        <f>Input!$B$7</f>
        <v>AB-3A1</v>
      </c>
      <c r="C58" s="15"/>
      <c r="D58" s="53" t="s">
        <v>127</v>
      </c>
      <c r="E58" s="282" t="str">
        <f>IF(E6="Error","Error",Results!$N$111)</f>
        <v>Error</v>
      </c>
      <c r="F58" s="283" t="s">
        <v>138</v>
      </c>
    </row>
    <row r="59" spans="1:7" ht="17.5" x14ac:dyDescent="0.45">
      <c r="A59" s="9" t="s">
        <v>11</v>
      </c>
      <c r="B59" s="268" t="str">
        <f>Input!$B$8</f>
        <v>AC 20 onderlaag 50/70</v>
      </c>
      <c r="C59" s="15"/>
      <c r="D59" s="125" t="s">
        <v>129</v>
      </c>
      <c r="E59" s="282" t="str">
        <f>IF(E7="Error","Error",Results!$M$118)</f>
        <v>Error</v>
      </c>
      <c r="F59" s="283" t="s">
        <v>139</v>
      </c>
    </row>
    <row r="60" spans="1:7" x14ac:dyDescent="0.35">
      <c r="A60" s="9" t="s">
        <v>140</v>
      </c>
      <c r="B60" s="272" t="str">
        <f>Input!$B$14</f>
        <v>straat 1, 1000 Gaurain-Ramecroix</v>
      </c>
      <c r="C60" s="15"/>
    </row>
    <row r="61" spans="1:7" x14ac:dyDescent="0.35">
      <c r="A61" s="143" t="s">
        <v>132</v>
      </c>
      <c r="B61" s="268" t="str">
        <f>Input!$B$21</f>
        <v>155⁰C - 185⁰C</v>
      </c>
      <c r="C61" s="15"/>
    </row>
    <row r="62" spans="1:7" x14ac:dyDescent="0.35">
      <c r="A62" s="89" t="s">
        <v>141</v>
      </c>
      <c r="B62" s="273">
        <f>Input!$B$9</f>
        <v>3.7159999999999999E-2</v>
      </c>
    </row>
    <row r="63" spans="1:7" x14ac:dyDescent="0.35">
      <c r="A63" s="89" t="s">
        <v>14</v>
      </c>
      <c r="B63" s="275">
        <f>+Input!B10</f>
        <v>0.40365984930032295</v>
      </c>
    </row>
    <row r="64" spans="1:7" ht="16.5" x14ac:dyDescent="0.35">
      <c r="A64" s="1" t="s">
        <v>134</v>
      </c>
      <c r="B64" s="21">
        <f>Input!$B$22</f>
        <v>2400</v>
      </c>
    </row>
    <row r="86" spans="10:10" x14ac:dyDescent="0.35">
      <c r="J86" s="226"/>
    </row>
    <row r="102" spans="1:6" x14ac:dyDescent="0.35">
      <c r="C102" s="277"/>
    </row>
    <row r="103" spans="1:6" x14ac:dyDescent="0.35">
      <c r="C103" s="109"/>
    </row>
    <row r="104" spans="1:6" x14ac:dyDescent="0.35">
      <c r="C104" s="109"/>
    </row>
    <row r="105" spans="1:6" ht="16" x14ac:dyDescent="0.4">
      <c r="A105" s="278" t="s">
        <v>974</v>
      </c>
      <c r="C105" s="15"/>
    </row>
    <row r="106" spans="1:6" x14ac:dyDescent="0.35">
      <c r="C106" s="15"/>
    </row>
    <row r="107" spans="1:6" x14ac:dyDescent="0.35">
      <c r="A107" s="150" t="s">
        <v>123</v>
      </c>
      <c r="C107" s="109"/>
    </row>
    <row r="108" spans="1:6" x14ac:dyDescent="0.35">
      <c r="A108" s="143" t="s">
        <v>7</v>
      </c>
      <c r="B108" s="270">
        <f>Input!$B$5</f>
        <v>40409</v>
      </c>
      <c r="C108" s="15"/>
      <c r="D108" s="3" t="s">
        <v>142</v>
      </c>
    </row>
    <row r="109" spans="1:6" x14ac:dyDescent="0.35">
      <c r="A109" s="1" t="s">
        <v>8</v>
      </c>
      <c r="B109" s="21" t="str">
        <f>Input!$B$6</f>
        <v>801/64/2010/13RE-1234/0</v>
      </c>
      <c r="C109" s="15"/>
      <c r="D109" s="53" t="s">
        <v>125</v>
      </c>
      <c r="E109" s="375" t="str">
        <f>+CONCATENATE("1 ton (",Input!B31/10,"-cm thick)")</f>
        <v>1 ton (8-cm thick)</v>
      </c>
      <c r="F109" s="375"/>
    </row>
    <row r="110" spans="1:6" x14ac:dyDescent="0.35">
      <c r="A110" s="143" t="s">
        <v>9</v>
      </c>
      <c r="B110" s="268" t="str">
        <f>Input!$B$7</f>
        <v>AB-3A1</v>
      </c>
      <c r="C110" s="15"/>
      <c r="D110" s="53" t="s">
        <v>127</v>
      </c>
      <c r="E110" s="284" t="str">
        <f>IF(E6="Error","Error",Results!$N$47)</f>
        <v>Error</v>
      </c>
      <c r="F110" s="285" t="s">
        <v>128</v>
      </c>
    </row>
    <row r="111" spans="1:6" ht="16.5" x14ac:dyDescent="0.45">
      <c r="A111" s="9" t="s">
        <v>11</v>
      </c>
      <c r="B111" s="268" t="str">
        <f>Input!$B$8</f>
        <v>AC 20 onderlaag 50/70</v>
      </c>
      <c r="C111" s="15"/>
      <c r="D111" s="125" t="s">
        <v>129</v>
      </c>
      <c r="E111" s="286" t="str">
        <f>IF(E7="Error","Error",Results!$M$53)</f>
        <v>Error</v>
      </c>
      <c r="F111" s="285" t="s">
        <v>143</v>
      </c>
    </row>
    <row r="112" spans="1:6" x14ac:dyDescent="0.35">
      <c r="A112" s="9" t="s">
        <v>140</v>
      </c>
      <c r="B112" s="272" t="str">
        <f>Input!$B$14</f>
        <v>straat 1, 1000 Gaurain-Ramecroix</v>
      </c>
      <c r="C112" s="15"/>
    </row>
    <row r="113" spans="1:2" x14ac:dyDescent="0.35">
      <c r="A113" s="143" t="s">
        <v>132</v>
      </c>
      <c r="B113" s="268" t="str">
        <f>Input!$B$21</f>
        <v>155⁰C - 185⁰C</v>
      </c>
    </row>
    <row r="114" spans="1:2" x14ac:dyDescent="0.35">
      <c r="A114" s="89" t="s">
        <v>141</v>
      </c>
      <c r="B114" s="273">
        <f>Input!$B$9</f>
        <v>3.7159999999999999E-2</v>
      </c>
    </row>
    <row r="115" spans="1:2" x14ac:dyDescent="0.35">
      <c r="A115" s="89" t="s">
        <v>14</v>
      </c>
      <c r="B115" s="275">
        <f>+Input!$B$10</f>
        <v>0.40365984930032295</v>
      </c>
    </row>
    <row r="116" spans="1:2" ht="16.5" x14ac:dyDescent="0.35">
      <c r="A116" s="1" t="s">
        <v>134</v>
      </c>
      <c r="B116" s="21">
        <f>Input!$B$22</f>
        <v>2400</v>
      </c>
    </row>
  </sheetData>
  <mergeCells count="3">
    <mergeCell ref="E5:F5"/>
    <mergeCell ref="E57:F57"/>
    <mergeCell ref="E109:F109"/>
  </mergeCells>
  <pageMargins left="0.59055118110236215" right="0.59055118110236215" top="0.74803149606299213" bottom="0.59055118110236215" header="0.31496062992125984" footer="0.31496062992125984"/>
  <pageSetup paperSize="9" scale="93" orientation="portrait" r:id="rId1"/>
  <headerFooter>
    <oddHeader xml:space="preserve">&amp;L
</oddHeader>
  </headerFooter>
  <colBreaks count="2" manualBreakCount="2">
    <brk id="6" max="149" man="1"/>
    <brk id="17" max="1048575"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31EB84-51D3-48B4-8ADB-75F8730E2D14}">
  <sheetPr codeName="Sheet4"/>
  <dimension ref="A1:B11"/>
  <sheetViews>
    <sheetView workbookViewId="0">
      <selection activeCell="D13" sqref="D13"/>
    </sheetView>
  </sheetViews>
  <sheetFormatPr defaultRowHeight="14.5" x14ac:dyDescent="0.35"/>
  <cols>
    <col min="1" max="1" width="42.81640625" bestFit="1" customWidth="1"/>
    <col min="2" max="2" width="9.81640625" customWidth="1"/>
    <col min="3" max="3" width="35" customWidth="1"/>
    <col min="4" max="4" width="29.81640625" bestFit="1" customWidth="1"/>
    <col min="5" max="5" width="28.54296875" bestFit="1" customWidth="1"/>
    <col min="6" max="6" width="35" bestFit="1" customWidth="1"/>
    <col min="7" max="7" width="32.81640625" bestFit="1" customWidth="1"/>
  </cols>
  <sheetData>
    <row r="1" spans="1:2" x14ac:dyDescent="0.35">
      <c r="A1" s="1"/>
    </row>
    <row r="2" spans="1:2" x14ac:dyDescent="0.35">
      <c r="A2" s="1" t="s">
        <v>144</v>
      </c>
      <c r="B2" s="154">
        <f>+Input!U86</f>
        <v>0</v>
      </c>
    </row>
    <row r="3" spans="1:2" x14ac:dyDescent="0.35">
      <c r="A3" s="1" t="s">
        <v>145</v>
      </c>
      <c r="B3" s="154">
        <f>+Input!U58</f>
        <v>2</v>
      </c>
    </row>
    <row r="4" spans="1:2" x14ac:dyDescent="0.35">
      <c r="A4" s="1" t="s">
        <v>146</v>
      </c>
      <c r="B4" s="154">
        <f>IF(Input!C17 + Input!C18 = 100%,0, 1)</f>
        <v>0</v>
      </c>
    </row>
    <row r="5" spans="1:2" x14ac:dyDescent="0.35">
      <c r="A5" s="1" t="s">
        <v>1019</v>
      </c>
      <c r="B5" s="154">
        <f>IF(OR(AND(Input!B19="Yes", Input!C19&lt;&gt;"No"), AND(Input!B19="No",Input!C19="No")), 0, 1)</f>
        <v>0</v>
      </c>
    </row>
    <row r="6" spans="1:2" x14ac:dyDescent="0.35">
      <c r="A6" s="1" t="s">
        <v>147</v>
      </c>
      <c r="B6" s="154">
        <f>IF(AND(Input!B58&gt;=99.9%, Input!B58&lt;=100.1%), 0, 1)</f>
        <v>0</v>
      </c>
    </row>
    <row r="7" spans="1:2" x14ac:dyDescent="0.35">
      <c r="A7" s="1" t="s">
        <v>148</v>
      </c>
      <c r="B7" s="154">
        <f>IF( COUNTIFS( _xlfn.XLOOKUP(Input!$B$19,'Aux - Lists'!B168:C168,'Aux - Lists'!B169:C170,Input!$C$19), Input!$C$19)=0,1, 0)</f>
        <v>0</v>
      </c>
    </row>
    <row r="8" spans="1:2" x14ac:dyDescent="0.35">
      <c r="A8" s="1" t="s">
        <v>149</v>
      </c>
      <c r="B8" s="154">
        <f>IF(COUNTIFS(_xlfn.XLOOKUP(Input!$B$26,'Aux - Lists'!B16:C16,'Aux - Lists'!B17:C24,Input!$C$26),Input!$C$26)=0,1,0)</f>
        <v>0</v>
      </c>
    </row>
    <row r="9" spans="1:2" x14ac:dyDescent="0.35">
      <c r="A9" s="1" t="s">
        <v>150</v>
      </c>
      <c r="B9" s="331">
        <f>+Results!B23+Results!B54+Results!B61+Results!B86+Results!B112+Results!B119+Results!B126+Results!B152+Results!B160</f>
        <v>1.1368683772161603E-13</v>
      </c>
    </row>
    <row r="10" spans="1:2" x14ac:dyDescent="0.35">
      <c r="A10" s="1" t="s">
        <v>151</v>
      </c>
      <c r="B10" s="154">
        <f>'A1 - Raw Material Supply'!$B$139+'A1 - Raw Material Supply'!$C$139+'A1 - Raw Material Supply'!$D$139+'C3'' - Secondary Raw Material '!B345+'A2 - Transport'!$B$143+'C2''- Transport Secondary'!B82+'A3 - Production '!$B$231+'A3 - Production '!$C$231+'A4 - Transport'!$B$42+'A5 - Construction'!$B$165+'C1 - Deconstruction'!$B$112+'D- Benefits &amp; Burdens'!$B$213+'D- Benefits &amp; Burdens'!C213</f>
        <v>0</v>
      </c>
    </row>
    <row r="11" spans="1:2" x14ac:dyDescent="0.35">
      <c r="B11" s="251">
        <f>+SUM(B2:B10)</f>
        <v>2.0000000000001137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4AD8F-8884-49A4-A029-7F9EE4C7CD4D}">
  <sheetPr codeName="Sheet5"/>
  <dimension ref="A1:AN168"/>
  <sheetViews>
    <sheetView showGridLines="0" topLeftCell="A21" zoomScale="75" zoomScaleNormal="75" workbookViewId="0">
      <selection activeCell="I28" sqref="I28"/>
    </sheetView>
  </sheetViews>
  <sheetFormatPr defaultRowHeight="14.5" x14ac:dyDescent="0.35"/>
  <cols>
    <col min="1" max="1" width="43.453125" customWidth="1"/>
    <col min="2" max="2" width="45.1796875" customWidth="1"/>
    <col min="3" max="3" width="23.81640625" customWidth="1"/>
    <col min="4" max="4" width="23.1796875" customWidth="1"/>
    <col min="5" max="5" width="18.1796875" customWidth="1"/>
    <col min="6" max="6" width="17.1796875" customWidth="1"/>
    <col min="7" max="8" width="18.54296875" customWidth="1"/>
    <col min="9" max="9" width="20.1796875" customWidth="1"/>
    <col min="10" max="10" width="19.453125" bestFit="1" customWidth="1"/>
    <col min="11" max="11" width="17.1796875" customWidth="1"/>
    <col min="12" max="12" width="19.453125" bestFit="1" customWidth="1"/>
    <col min="13" max="13" width="18.1796875" customWidth="1"/>
    <col min="14" max="14" width="19" customWidth="1"/>
    <col min="15" max="15" width="16.81640625" bestFit="1" customWidth="1"/>
    <col min="16" max="16" width="18.1796875" bestFit="1" customWidth="1"/>
    <col min="17" max="17" width="16.1796875" customWidth="1"/>
    <col min="18" max="18" width="18" bestFit="1" customWidth="1"/>
    <col min="19" max="19" width="14.81640625" customWidth="1"/>
    <col min="20" max="20" width="11.81640625" customWidth="1"/>
    <col min="21" max="21" width="16.453125" customWidth="1"/>
    <col min="22" max="25" width="17.453125" customWidth="1"/>
    <col min="26" max="26" width="18.1796875" customWidth="1"/>
    <col min="27" max="27" width="17.81640625" customWidth="1"/>
    <col min="28" max="28" width="12.81640625" customWidth="1"/>
    <col min="29" max="29" width="16.81640625" customWidth="1"/>
    <col min="30" max="30" width="16.1796875" customWidth="1"/>
    <col min="31" max="31" width="13" customWidth="1"/>
    <col min="32" max="32" width="14.1796875" customWidth="1"/>
    <col min="33" max="33" width="18" customWidth="1"/>
    <col min="34" max="34" width="17.81640625" customWidth="1"/>
    <col min="35" max="35" width="19.81640625" customWidth="1"/>
    <col min="36" max="36" width="20.1796875" customWidth="1"/>
    <col min="37" max="37" width="12" customWidth="1"/>
    <col min="38" max="38" width="13.1796875" customWidth="1"/>
    <col min="39" max="39" width="12.1796875" customWidth="1"/>
    <col min="40" max="40" width="11.1796875" customWidth="1"/>
    <col min="41" max="41" width="12.81640625" customWidth="1"/>
  </cols>
  <sheetData>
    <row r="1" spans="1:17" ht="21" x14ac:dyDescent="0.5">
      <c r="A1" s="76" t="s">
        <v>152</v>
      </c>
    </row>
    <row r="3" spans="1:17" s="28" customFormat="1" ht="43.5" x14ac:dyDescent="0.35">
      <c r="A3" s="103" t="s">
        <v>153</v>
      </c>
      <c r="B3" s="103" t="s">
        <v>154</v>
      </c>
      <c r="C3" s="103" t="s">
        <v>1013</v>
      </c>
      <c r="D3" s="103" t="s">
        <v>160</v>
      </c>
      <c r="E3" s="103" t="s">
        <v>1014</v>
      </c>
      <c r="F3" s="103" t="s">
        <v>155</v>
      </c>
      <c r="G3" s="103" t="s">
        <v>156</v>
      </c>
      <c r="H3" s="103" t="s">
        <v>157</v>
      </c>
      <c r="I3" s="103" t="s">
        <v>158</v>
      </c>
      <c r="J3" s="103" t="s">
        <v>159</v>
      </c>
      <c r="K3" s="103" t="s">
        <v>161</v>
      </c>
      <c r="L3" s="103" t="s">
        <v>987</v>
      </c>
      <c r="M3" s="103" t="s">
        <v>991</v>
      </c>
    </row>
    <row r="4" spans="1:17" x14ac:dyDescent="0.35">
      <c r="A4" s="39" t="s">
        <v>162</v>
      </c>
      <c r="B4" s="39" t="s">
        <v>163</v>
      </c>
      <c r="C4" s="1">
        <f>'A1 - Raw Material Supply'!Z114</f>
        <v>8.0534712888760032E-2</v>
      </c>
      <c r="D4" s="1">
        <f>'C3'' - Secondary Raw Material '!F320</f>
        <v>2.132393117742819E-4</v>
      </c>
      <c r="E4" s="1">
        <f>'A2 - Transport'!Z118</f>
        <v>2.4968397310549954E-2</v>
      </c>
      <c r="F4" s="1">
        <f>'C2''- Transport Secondary'!H58</f>
        <v>3.55083E-3</v>
      </c>
      <c r="G4" s="1">
        <f>'A3 - Production '!D206</f>
        <v>2.0014763612854224E-2</v>
      </c>
      <c r="H4" s="1">
        <f>'A4 - Transport'!B17</f>
        <v>4.7342506223999993E-3</v>
      </c>
      <c r="I4" s="1">
        <f>'A5 - Construction'!E139</f>
        <v>1.4781911191886577E-3</v>
      </c>
      <c r="J4" s="1">
        <f>'C1 - Deconstruction'!B87</f>
        <v>1.1217073342617407E-3</v>
      </c>
      <c r="K4" s="1">
        <f>'D- Benefits &amp; Burdens'!N161</f>
        <v>-8.4286565926345883E-2</v>
      </c>
      <c r="L4" s="1">
        <f>+SUM(C4:G4)</f>
        <v>0.12928194312393848</v>
      </c>
      <c r="M4" s="1">
        <f t="shared" ref="M4:M22" si="0">SUM(C4:J4)</f>
        <v>0.13661609219978885</v>
      </c>
      <c r="Q4" s="67"/>
    </row>
    <row r="5" spans="1:17" x14ac:dyDescent="0.35">
      <c r="A5" s="39" t="s">
        <v>164</v>
      </c>
      <c r="B5" s="39" t="s">
        <v>165</v>
      </c>
      <c r="C5" s="1">
        <f>'A1 - Raw Material Supply'!Z115</f>
        <v>14.971209410986173</v>
      </c>
      <c r="D5" s="1">
        <f>'C3'' - Secondary Raw Material '!F321</f>
        <v>0.16679033795373477</v>
      </c>
      <c r="E5" s="1">
        <f>'A2 - Transport'!Z119</f>
        <v>13.804483802643313</v>
      </c>
      <c r="F5" s="1">
        <f>'C2''- Transport Secondary'!H59</f>
        <v>2.3811728849999998</v>
      </c>
      <c r="G5" s="1">
        <f>'A3 - Production '!D207</f>
        <v>20.056831519468545</v>
      </c>
      <c r="H5" s="1">
        <f>'A4 - Transport'!B18</f>
        <v>3.1747701841127993</v>
      </c>
      <c r="I5" s="1">
        <f>'A5 - Construction'!E140</f>
        <v>1.1562033017188762</v>
      </c>
      <c r="J5" s="1">
        <f>'C1 - Deconstruction'!B88</f>
        <v>0.87737079908012983</v>
      </c>
      <c r="K5" s="1">
        <f>'D- Benefits &amp; Burdens'!N162</f>
        <v>-19.549325643075992</v>
      </c>
      <c r="L5" s="1">
        <f t="shared" ref="L5:L22" si="1">+SUM(C5:G5)</f>
        <v>51.380487956051766</v>
      </c>
      <c r="M5" s="1">
        <f t="shared" si="0"/>
        <v>56.588832240963576</v>
      </c>
      <c r="Q5" s="67"/>
    </row>
    <row r="6" spans="1:17" x14ac:dyDescent="0.35">
      <c r="A6" s="39" t="s">
        <v>166</v>
      </c>
      <c r="B6" s="39" t="s">
        <v>165</v>
      </c>
      <c r="C6" s="1">
        <f>'A1 - Raw Material Supply'!Z116</f>
        <v>0.16297154327773888</v>
      </c>
      <c r="D6" s="1">
        <f>'C3'' - Secondary Raw Material '!F322</f>
        <v>3.4471332246079752E-5</v>
      </c>
      <c r="E6" s="1">
        <f>'A2 - Transport'!Z120</f>
        <v>6.3360921788908281E-3</v>
      </c>
      <c r="F6" s="1">
        <f>'C2''- Transport Secondary'!H60</f>
        <v>1.1128545000000001E-3</v>
      </c>
      <c r="G6" s="1">
        <f>'A3 - Production '!D208</f>
        <v>6.7638324489906329E-3</v>
      </c>
      <c r="H6" s="1">
        <f>'A4 - Transport'!B19</f>
        <v>1.4837466477599999E-3</v>
      </c>
      <c r="I6" s="1">
        <f>'A5 - Construction'!E141</f>
        <v>2.3895789556239896E-4</v>
      </c>
      <c r="J6" s="1">
        <f>'C1 - Deconstruction'!B89</f>
        <v>1.8133028980664895E-4</v>
      </c>
      <c r="K6" s="1">
        <f>'D- Benefits &amp; Burdens'!N163</f>
        <v>-6.8184638720582058E-2</v>
      </c>
      <c r="L6" s="1">
        <f t="shared" si="1"/>
        <v>0.17721879373786642</v>
      </c>
      <c r="M6" s="1">
        <f t="shared" si="0"/>
        <v>0.17912282857099546</v>
      </c>
      <c r="Q6" s="67"/>
    </row>
    <row r="7" spans="1:17" x14ac:dyDescent="0.35">
      <c r="A7" s="39" t="s">
        <v>167</v>
      </c>
      <c r="B7" s="39" t="s">
        <v>165</v>
      </c>
      <c r="C7" s="1">
        <f>'A1 - Raw Material Supply'!Z117</f>
        <v>14.808843112853495</v>
      </c>
      <c r="D7" s="1">
        <f>'C3'' - Secondary Raw Material '!F323</f>
        <v>0.16674849071700243</v>
      </c>
      <c r="E7" s="1">
        <f>'A2 - Transport'!Z121</f>
        <v>13.79653932747777</v>
      </c>
      <c r="F7" s="1">
        <f>'C2''- Transport Secondary'!H61</f>
        <v>2.3798706300000001</v>
      </c>
      <c r="G7" s="1">
        <f>'A3 - Production '!D209</f>
        <v>20.046561376516376</v>
      </c>
      <c r="H7" s="1">
        <f>'A4 - Transport'!B20</f>
        <v>3.1730339135663996</v>
      </c>
      <c r="I7" s="1">
        <f>'A5 - Construction'!E142</f>
        <v>1.1559132134927155</v>
      </c>
      <c r="J7" s="1">
        <f>'C1 - Deconstruction'!B90</f>
        <v>0.87715066916144513</v>
      </c>
      <c r="K7" s="1">
        <f>'D- Benefits &amp; Burdens'!N164</f>
        <v>-19.481110379340262</v>
      </c>
      <c r="L7" s="1">
        <f t="shared" si="1"/>
        <v>51.198562937564645</v>
      </c>
      <c r="M7" s="1">
        <f t="shared" si="0"/>
        <v>56.404660733785207</v>
      </c>
      <c r="Q7" s="67"/>
    </row>
    <row r="8" spans="1:17" x14ac:dyDescent="0.35">
      <c r="A8" s="39" t="s">
        <v>168</v>
      </c>
      <c r="B8" s="39" t="s">
        <v>165</v>
      </c>
      <c r="C8" s="1">
        <f>'A1 - Raw Material Supply'!Z118</f>
        <v>7.4831548549377539E-3</v>
      </c>
      <c r="D8" s="1">
        <f>'C3'' - Secondary Raw Material '!F324</f>
        <v>7.375904486254632E-6</v>
      </c>
      <c r="E8" s="1">
        <f>'A2 - Transport'!Z122</f>
        <v>1.6083663529295441E-3</v>
      </c>
      <c r="F8" s="1">
        <f>'C2''- Transport Secondary'!H62</f>
        <v>1.8939749999999998E-4</v>
      </c>
      <c r="G8" s="1">
        <f>'A3 - Production '!D210</f>
        <v>3.5063105031793141E-3</v>
      </c>
      <c r="H8" s="1">
        <f>'A4 - Transport'!B21</f>
        <v>2.5251989879999996E-4</v>
      </c>
      <c r="I8" s="1">
        <f>'A5 - Construction'!E143</f>
        <v>5.1130330598264246E-5</v>
      </c>
      <c r="J8" s="1">
        <f>'C1 - Deconstruction'!B91</f>
        <v>3.8799628878016996E-5</v>
      </c>
      <c r="K8" s="1">
        <f>'D- Benefits &amp; Burdens'!N165</f>
        <v>-8.5571613634272681E-3</v>
      </c>
      <c r="L8" s="1">
        <f t="shared" si="1"/>
        <v>1.2794605115532867E-2</v>
      </c>
      <c r="M8" s="1">
        <f t="shared" si="0"/>
        <v>1.3137054973809147E-2</v>
      </c>
      <c r="Q8" s="67"/>
    </row>
    <row r="9" spans="1:17" x14ac:dyDescent="0.35">
      <c r="A9" s="39" t="s">
        <v>169</v>
      </c>
      <c r="B9" s="39" t="s">
        <v>170</v>
      </c>
      <c r="C9" s="1">
        <f>'A1 - Raw Material Supply'!Z119</f>
        <v>650.18825721666656</v>
      </c>
      <c r="D9" s="1">
        <f>'C3'' - Secondary Raw Material '!F325</f>
        <v>7.3693079401887573E-2</v>
      </c>
      <c r="E9" s="1">
        <f>'A2 - Transport'!Z123</f>
        <v>11.948914613974807</v>
      </c>
      <c r="F9" s="1">
        <f>'C2''- Transport Secondary'!H63</f>
        <v>2.0451592349999999</v>
      </c>
      <c r="G9" s="1">
        <f>'A3 - Production '!D211</f>
        <v>10.992850081682223</v>
      </c>
      <c r="H9" s="1">
        <f>'A4 - Transport'!B22</f>
        <v>2.7267699048407996</v>
      </c>
      <c r="I9" s="1">
        <f>'A5 - Construction'!E144</f>
        <v>0.51084602839481119</v>
      </c>
      <c r="J9" s="1">
        <f>'C1 - Deconstruction'!B92</f>
        <v>0.38764928924986203</v>
      </c>
      <c r="K9" s="1">
        <f>'D- Benefits &amp; Burdens'!N166</f>
        <v>-681.20829742294325</v>
      </c>
      <c r="L9" s="1">
        <f t="shared" si="1"/>
        <v>675.24887422672555</v>
      </c>
      <c r="M9" s="1">
        <f t="shared" si="0"/>
        <v>678.87413944921104</v>
      </c>
      <c r="Q9" s="67"/>
    </row>
    <row r="10" spans="1:17" ht="29" x14ac:dyDescent="0.35">
      <c r="A10" s="39" t="s">
        <v>171</v>
      </c>
      <c r="B10" s="39" t="s">
        <v>172</v>
      </c>
      <c r="C10" s="1">
        <f>'A1 - Raw Material Supply'!Z120</f>
        <v>1058.8754990263421</v>
      </c>
      <c r="D10" s="1">
        <f>'C3'' - Secondary Raw Material '!F326</f>
        <v>2.2154215403498743</v>
      </c>
      <c r="E10" s="1">
        <f>'A2 - Transport'!Z124</f>
        <v>185.07588298947945</v>
      </c>
      <c r="F10" s="1">
        <f>'C2''- Transport Secondary'!H64</f>
        <v>32.048111399999996</v>
      </c>
      <c r="G10" s="1">
        <f>'A3 - Production '!D212</f>
        <v>373.88164528814639</v>
      </c>
      <c r="H10" s="1">
        <f>'A4 - Transport'!B23</f>
        <v>42.729105967391988</v>
      </c>
      <c r="I10" s="1">
        <f>'A5 - Construction'!E145</f>
        <v>15.357470529031247</v>
      </c>
      <c r="J10" s="1">
        <f>'C1 - Deconstruction'!B93</f>
        <v>11.65382953834693</v>
      </c>
      <c r="K10" s="1">
        <f>'D- Benefits &amp; Burdens'!N167</f>
        <v>-1169.6357403150789</v>
      </c>
      <c r="L10" s="1">
        <f t="shared" si="1"/>
        <v>1652.0965602443175</v>
      </c>
      <c r="M10" s="1">
        <f t="shared" si="0"/>
        <v>1721.8369662790874</v>
      </c>
      <c r="Q10" s="67"/>
    </row>
    <row r="11" spans="1:17" ht="29" x14ac:dyDescent="0.35">
      <c r="A11" s="39" t="s">
        <v>173</v>
      </c>
      <c r="B11" s="39" t="s">
        <v>174</v>
      </c>
      <c r="C11" s="1">
        <f>'A1 - Raw Material Supply'!Z121</f>
        <v>5.3015648842928654E-4</v>
      </c>
      <c r="D11" s="1">
        <f>'C3'' - Secondary Raw Material '!F327</f>
        <v>1.7631993026448645E-6</v>
      </c>
      <c r="E11" s="1">
        <f>'A2 - Transport'!Z125</f>
        <v>3.6222152931125864E-4</v>
      </c>
      <c r="F11" s="1">
        <f>'C2''- Transport Secondary'!H65</f>
        <v>5.5540349999999998E-5</v>
      </c>
      <c r="G11" s="1">
        <f>'A3 - Production '!D213</f>
        <v>6.9167395399666928E-4</v>
      </c>
      <c r="H11" s="1">
        <f>'A4 - Transport'!B24</f>
        <v>7.4050837847999975E-5</v>
      </c>
      <c r="I11" s="1">
        <f>'A5 - Construction'!E146</f>
        <v>1.2222631600350229E-5</v>
      </c>
      <c r="J11" s="1">
        <f>'C1 - Deconstruction'!B94</f>
        <v>9.2749951830432911E-6</v>
      </c>
      <c r="K11" s="1">
        <f>'D- Benefits &amp; Burdens'!N168</f>
        <v>-7.9336203596716505E-4</v>
      </c>
      <c r="L11" s="1">
        <f t="shared" si="1"/>
        <v>1.6413555210398594E-3</v>
      </c>
      <c r="M11" s="1">
        <f t="shared" si="0"/>
        <v>1.7369039856712529E-3</v>
      </c>
      <c r="Q11" s="67"/>
    </row>
    <row r="12" spans="1:17" ht="29" x14ac:dyDescent="0.35">
      <c r="A12" s="39" t="s">
        <v>175</v>
      </c>
      <c r="B12" s="39" t="s">
        <v>176</v>
      </c>
      <c r="C12" s="1">
        <f>'A1 - Raw Material Supply'!Z122</f>
        <v>2.4586447930468547E-2</v>
      </c>
      <c r="D12" s="1">
        <f>'C3'' - Secondary Raw Material '!F328</f>
        <v>4.8220355792551409E-5</v>
      </c>
      <c r="E12" s="1">
        <f>'A2 - Transport'!Z126</f>
        <v>6.6852814419365685E-3</v>
      </c>
      <c r="F12" s="1">
        <f>'C2''- Transport Secondary'!H66</f>
        <v>7.7395799999999994E-4</v>
      </c>
      <c r="G12" s="1">
        <f>'A3 - Production '!D214</f>
        <v>5.2251500543832362E-3</v>
      </c>
      <c r="H12" s="1">
        <f>'A4 - Transport'!B25</f>
        <v>1.0319027222399997E-3</v>
      </c>
      <c r="I12" s="1">
        <f>'A5 - Construction'!E147</f>
        <v>3.3426717195615875E-4</v>
      </c>
      <c r="J12" s="1">
        <f>'C1 - Deconstruction'!B95</f>
        <v>2.5365457383613185E-4</v>
      </c>
      <c r="K12" s="1">
        <f>'D- Benefits &amp; Burdens'!N169</f>
        <v>-2.6267444468845207E-2</v>
      </c>
      <c r="L12" s="1">
        <f t="shared" si="1"/>
        <v>3.7319057782580906E-2</v>
      </c>
      <c r="M12" s="1">
        <f t="shared" si="0"/>
        <v>3.8938882250613191E-2</v>
      </c>
      <c r="Q12" s="67"/>
    </row>
    <row r="13" spans="1:17" x14ac:dyDescent="0.35">
      <c r="A13" s="39" t="s">
        <v>177</v>
      </c>
      <c r="B13" s="39" t="s">
        <v>178</v>
      </c>
      <c r="C13" s="1">
        <f>'A1 - Raw Material Supply'!Z123</f>
        <v>0.29877826339714175</v>
      </c>
      <c r="D13" s="1">
        <f>'C3'' - Secondary Raw Material '!F329</f>
        <v>5.2421468666230769E-4</v>
      </c>
      <c r="E13" s="1">
        <f>'A2 - Transport'!Z127</f>
        <v>7.2624851604295632E-2</v>
      </c>
      <c r="F13" s="1">
        <f>'C2''- Transport Secondary'!H67</f>
        <v>8.3773949999999993E-3</v>
      </c>
      <c r="G13" s="1">
        <f>'A3 - Production '!D215</f>
        <v>5.6360284189102786E-2</v>
      </c>
      <c r="H13" s="1">
        <f>'A4 - Transport'!B26</f>
        <v>1.1169413205599998E-2</v>
      </c>
      <c r="I13" s="1">
        <f>'A5 - Construction'!E148</f>
        <v>3.6338960575558604E-3</v>
      </c>
      <c r="J13" s="1">
        <f>'C1 - Deconstruction'!B96</f>
        <v>2.7575377816790978E-3</v>
      </c>
      <c r="K13" s="1">
        <f>'D- Benefits &amp; Burdens'!N170</f>
        <v>-0.30479030970436904</v>
      </c>
      <c r="L13" s="1">
        <f t="shared" si="1"/>
        <v>0.4366650088772025</v>
      </c>
      <c r="M13" s="1">
        <f t="shared" si="0"/>
        <v>0.45422585592203746</v>
      </c>
      <c r="Q13" s="67"/>
    </row>
    <row r="14" spans="1:17" x14ac:dyDescent="0.35">
      <c r="A14" s="39" t="s">
        <v>179</v>
      </c>
      <c r="B14" s="39" t="s">
        <v>180</v>
      </c>
      <c r="C14" s="1">
        <f>'A1 - Raw Material Supply'!Z124</f>
        <v>1.1757070228563089E-8</v>
      </c>
      <c r="D14" s="1">
        <f>'C3'' - Secondary Raw Material '!F330</f>
        <v>1.0192646894973112E-11</v>
      </c>
      <c r="E14" s="1">
        <f>'A2 - Transport'!Z128</f>
        <v>1.2514113394662655E-9</v>
      </c>
      <c r="F14" s="1">
        <f>'C2''- Transport Secondary'!H68</f>
        <v>2.1104549999999997E-10</v>
      </c>
      <c r="G14" s="1">
        <f>'A3 - Production '!D216</f>
        <v>1.9844338543786491E-9</v>
      </c>
      <c r="H14" s="1">
        <f>'A4 - Transport'!B27</f>
        <v>2.8138274423999994E-10</v>
      </c>
      <c r="I14" s="1">
        <f>'A5 - Construction'!E149</f>
        <v>7.0656203097876641E-11</v>
      </c>
      <c r="J14" s="1">
        <f>'C1 - Deconstruction'!B97</f>
        <v>5.3616599502692708E-11</v>
      </c>
      <c r="K14" s="1">
        <f>'D- Benefits &amp; Burdens'!N171</f>
        <v>-1.2478616001029703E-8</v>
      </c>
      <c r="L14" s="1">
        <f t="shared" si="1"/>
        <v>1.5214153569302979E-8</v>
      </c>
      <c r="M14" s="1">
        <f t="shared" si="0"/>
        <v>1.5619809116143552E-8</v>
      </c>
      <c r="Q14" s="67"/>
    </row>
    <row r="15" spans="1:17" x14ac:dyDescent="0.35">
      <c r="A15" s="39" t="s">
        <v>181</v>
      </c>
      <c r="B15" s="39" t="s">
        <v>180</v>
      </c>
      <c r="C15" s="1">
        <f>'A1 - Raw Material Supply'!Z125</f>
        <v>3.4312909533823945E-7</v>
      </c>
      <c r="D15" s="1">
        <f>'C3'' - Secondary Raw Material '!F331</f>
        <v>2.7167563726420761E-10</v>
      </c>
      <c r="E15" s="1">
        <f>'A2 - Transport'!Z129</f>
        <v>9.7004378226952321E-8</v>
      </c>
      <c r="F15" s="1">
        <f>'C2''- Transport Secondary'!H69</f>
        <v>1.71717E-8</v>
      </c>
      <c r="G15" s="1">
        <f>'A3 - Production '!D217</f>
        <v>3.8296404051255106E-8</v>
      </c>
      <c r="H15" s="1">
        <f>'A4 - Transport'!B28</f>
        <v>2.2894684175999996E-8</v>
      </c>
      <c r="I15" s="1">
        <f>'A5 - Construction'!E150</f>
        <v>1.8832761696818848E-9</v>
      </c>
      <c r="J15" s="1">
        <f>'C1 - Deconstruction'!B98</f>
        <v>1.4291011930392459E-9</v>
      </c>
      <c r="K15" s="1">
        <f>'D- Benefits &amp; Burdens'!N172</f>
        <v>-3.8311255106369617E-7</v>
      </c>
      <c r="L15" s="1">
        <f t="shared" si="1"/>
        <v>4.9587325325371109E-7</v>
      </c>
      <c r="M15" s="1">
        <f t="shared" si="0"/>
        <v>5.2208031479243225E-7</v>
      </c>
      <c r="Q15" s="67"/>
    </row>
    <row r="16" spans="1:17" ht="29" x14ac:dyDescent="0.35">
      <c r="A16" s="39" t="s">
        <v>182</v>
      </c>
      <c r="B16" s="39" t="s">
        <v>183</v>
      </c>
      <c r="C16" s="1">
        <f>'A1 - Raw Material Supply'!Z126</f>
        <v>0.44489084391767153</v>
      </c>
      <c r="D16" s="1">
        <f>'C3'' - Secondary Raw Material '!F332</f>
        <v>6.6519868279014841E-4</v>
      </c>
      <c r="E16" s="1">
        <f>'A2 - Transport'!Z130</f>
        <v>0.10076905624303371</v>
      </c>
      <c r="F16" s="1">
        <f>'C2''- Transport Secondary'!H70</f>
        <v>1.4532090000000001E-2</v>
      </c>
      <c r="G16" s="1">
        <f>'A3 - Production '!D218</f>
        <v>2.4461732204327431</v>
      </c>
      <c r="H16" s="1">
        <f>'A4 - Transport'!B29</f>
        <v>1.9375344955199998E-2</v>
      </c>
      <c r="I16" s="1">
        <f>'A5 - Construction'!E151</f>
        <v>4.6112078359980043E-3</v>
      </c>
      <c r="J16" s="1">
        <f>'C1 - Deconstruction'!B99</f>
        <v>3.4991589262714472E-3</v>
      </c>
      <c r="K16" s="1">
        <f>'D- Benefits &amp; Burdens'!N173</f>
        <v>-0.54684436093857691</v>
      </c>
      <c r="L16" s="1">
        <f t="shared" si="1"/>
        <v>3.0070304092762385</v>
      </c>
      <c r="M16" s="1">
        <f t="shared" si="0"/>
        <v>3.0345161209937079</v>
      </c>
      <c r="Q16" s="67"/>
    </row>
    <row r="17" spans="1:17" x14ac:dyDescent="0.35">
      <c r="A17" s="39" t="s">
        <v>184</v>
      </c>
      <c r="B17" s="39" t="s">
        <v>185</v>
      </c>
      <c r="C17" s="1">
        <f>'A1 - Raw Material Supply'!Z127</f>
        <v>401.39468881796523</v>
      </c>
      <c r="D17" s="1">
        <f>'C3'' - Secondary Raw Material '!F333</f>
        <v>0.11390463257521803</v>
      </c>
      <c r="E17" s="1">
        <f>'A2 - Transport'!Z131</f>
        <v>16.136054034105701</v>
      </c>
      <c r="F17" s="1">
        <f>'C2''- Transport Secondary'!H71</f>
        <v>2.0214977099999998</v>
      </c>
      <c r="G17" s="1">
        <f>'A3 - Production '!D219</f>
        <v>12.779598185982927</v>
      </c>
      <c r="H17" s="1">
        <f>'A4 - Transport'!B30</f>
        <v>2.6952224667887998</v>
      </c>
      <c r="I17" s="1">
        <f>'A5 - Construction'!E152</f>
        <v>0.78959557178350104</v>
      </c>
      <c r="J17" s="1">
        <f>'C1 - Deconstruction'!B100</f>
        <v>0.59917498655808599</v>
      </c>
      <c r="K17" s="1">
        <f>'D- Benefits &amp; Burdens'!N174</f>
        <v>-498.87455615832675</v>
      </c>
      <c r="L17" s="1">
        <f t="shared" si="1"/>
        <v>432.4457433806291</v>
      </c>
      <c r="M17" s="1">
        <f t="shared" si="0"/>
        <v>436.52973640575942</v>
      </c>
      <c r="Q17" s="67"/>
    </row>
    <row r="18" spans="1:17" ht="29" x14ac:dyDescent="0.35">
      <c r="A18" s="39" t="s">
        <v>186</v>
      </c>
      <c r="B18" s="39" t="s">
        <v>187</v>
      </c>
      <c r="C18" s="1">
        <f>'A1 - Raw Material Supply'!Z128</f>
        <v>2.0795783695376033E-4</v>
      </c>
      <c r="D18" s="1">
        <f>'C3'' - Secondary Raw Material '!F334</f>
        <v>2.6007934671855809E-8</v>
      </c>
      <c r="E18" s="1">
        <f>'A2 - Transport'!Z132</f>
        <v>1.5395168857975265E-5</v>
      </c>
      <c r="F18" s="1">
        <f>'C2''- Transport Secondary'!H72</f>
        <v>2.6270549999999996E-6</v>
      </c>
      <c r="G18" s="1">
        <f>'A3 - Production '!D220</f>
        <v>2.9980047636954735E-5</v>
      </c>
      <c r="H18" s="1">
        <f>'A4 - Transport'!B31</f>
        <v>3.5025998903999994E-6</v>
      </c>
      <c r="I18" s="1">
        <f>'A5 - Construction'!E153</f>
        <v>1.8028898020957092E-7</v>
      </c>
      <c r="J18" s="1">
        <f>'C1 - Deconstruction'!B101</f>
        <v>1.3681009766764487E-7</v>
      </c>
      <c r="K18" s="1">
        <f>'D- Benefits &amp; Burdens'!N175</f>
        <v>-1.3552033590738403E-5</v>
      </c>
      <c r="L18" s="1">
        <f t="shared" si="1"/>
        <v>2.5598611638336219E-4</v>
      </c>
      <c r="M18" s="1">
        <f t="shared" si="0"/>
        <v>2.5980581535163939E-4</v>
      </c>
      <c r="Q18" s="67"/>
    </row>
    <row r="19" spans="1:17" x14ac:dyDescent="0.35">
      <c r="A19" s="39" t="s">
        <v>188</v>
      </c>
      <c r="B19" s="39" t="s">
        <v>189</v>
      </c>
      <c r="C19" s="1">
        <f>'A1 - Raw Material Supply'!Z129</f>
        <v>4.6319126062617698E-8</v>
      </c>
      <c r="D19" s="1">
        <f>'C3'' - Secondary Raw Material '!F335</f>
        <v>3.7585564815097762E-9</v>
      </c>
      <c r="E19" s="1">
        <f>'A2 - Transport'!Z133</f>
        <v>3.0471377134428263E-7</v>
      </c>
      <c r="F19" s="1">
        <f>'C2''- Transport Secondary'!H73</f>
        <v>5.2947299999999994E-8</v>
      </c>
      <c r="G19" s="1">
        <f>'A3 - Production '!D221</f>
        <v>2.6963662838574704E-6</v>
      </c>
      <c r="H19" s="1">
        <f>'A4 - Transport'!B32</f>
        <v>7.0593576143999996E-8</v>
      </c>
      <c r="I19" s="1">
        <f>'A5 - Construction'!E154</f>
        <v>2.6054599246773572E-8</v>
      </c>
      <c r="J19" s="1">
        <f>'C1 - Deconstruction'!B102</f>
        <v>1.9771215431464347E-8</v>
      </c>
      <c r="K19" s="1">
        <f>'D- Benefits &amp; Burdens'!N176</f>
        <v>-1.3815118910190815E-7</v>
      </c>
      <c r="L19" s="1">
        <f t="shared" si="1"/>
        <v>3.1041050377458803E-6</v>
      </c>
      <c r="M19" s="1">
        <f t="shared" si="0"/>
        <v>3.2205244285681181E-6</v>
      </c>
      <c r="Q19" s="67"/>
    </row>
    <row r="20" spans="1:17" x14ac:dyDescent="0.35">
      <c r="A20" s="39" t="s">
        <v>190</v>
      </c>
      <c r="B20" s="39" t="s">
        <v>191</v>
      </c>
      <c r="C20" s="1">
        <f>'A1 - Raw Material Supply'!Z130</f>
        <v>1.3363575705040781E-6</v>
      </c>
      <c r="D20" s="1">
        <f>'C3'' - Secondary Raw Material '!F336</f>
        <v>1.6427613993186483E-9</v>
      </c>
      <c r="E20" s="1">
        <f>'A2 - Transport'!Z134</f>
        <v>8.3105177829253952E-7</v>
      </c>
      <c r="F20" s="1">
        <f>'C2''- Transport Secondary'!H74</f>
        <v>1.4759354999999997E-7</v>
      </c>
      <c r="G20" s="1">
        <f>'A3 - Production '!D222</f>
        <v>8.8490791124389334E-8</v>
      </c>
      <c r="H20" s="1">
        <f>'A4 - Transport'!B33</f>
        <v>1.9678352834399996E-7</v>
      </c>
      <c r="I20" s="1">
        <f>'A5 - Construction'!E155</f>
        <v>1.138774689907637E-8</v>
      </c>
      <c r="J20" s="1">
        <f>'C1 - Deconstruction'!B103</f>
        <v>8.6414530919530463E-9</v>
      </c>
      <c r="K20" s="1">
        <f>'D- Benefits &amp; Burdens'!N177</f>
        <v>-1.5369188144658524E-6</v>
      </c>
      <c r="L20" s="1">
        <f t="shared" si="1"/>
        <v>2.4051364513203248E-6</v>
      </c>
      <c r="M20" s="1">
        <f t="shared" si="0"/>
        <v>2.6219491796553541E-6</v>
      </c>
      <c r="Q20" s="67"/>
    </row>
    <row r="21" spans="1:17" ht="29" x14ac:dyDescent="0.35">
      <c r="A21" s="39" t="s">
        <v>192</v>
      </c>
      <c r="B21" s="39" t="s">
        <v>193</v>
      </c>
      <c r="C21" s="1">
        <f>'A1 - Raw Material Supply'!Z131</f>
        <v>9.2082658373174656E-2</v>
      </c>
      <c r="D21" s="1">
        <f>'C3'' - Secondary Raw Material '!F337</f>
        <v>4.1082738634614822E-4</v>
      </c>
      <c r="E21" s="1">
        <f>'A2 - Transport'!Z135</f>
        <v>4.1643282065384486E-2</v>
      </c>
      <c r="F21" s="1">
        <f>'C2''- Transport Secondary'!H75</f>
        <v>6.1907399999999993E-3</v>
      </c>
      <c r="G21" s="1">
        <f>'A3 - Production '!D223</f>
        <v>1.9038675305987823E-2</v>
      </c>
      <c r="H21" s="1">
        <f>'A4 - Transport'!B34</f>
        <v>8.2539898271999975E-3</v>
      </c>
      <c r="I21" s="1">
        <f>'A5 - Construction'!E156</f>
        <v>2.8478866723185801E-3</v>
      </c>
      <c r="J21" s="1">
        <f>'C1 - Deconstruction'!B104</f>
        <v>2.1610841291208631E-3</v>
      </c>
      <c r="K21" s="1">
        <f>'D- Benefits &amp; Burdens'!N178</f>
        <v>-0.10312675917071666</v>
      </c>
      <c r="L21" s="1">
        <f t="shared" si="1"/>
        <v>0.15936618313089312</v>
      </c>
      <c r="M21" s="1">
        <f t="shared" si="0"/>
        <v>0.17262914375953256</v>
      </c>
      <c r="Q21" s="67"/>
    </row>
    <row r="22" spans="1:17" ht="29" x14ac:dyDescent="0.35">
      <c r="A22" s="39" t="s">
        <v>194</v>
      </c>
      <c r="B22" s="39" t="s">
        <v>195</v>
      </c>
      <c r="C22" s="1">
        <f>'A1 - Raw Material Supply'!Z132</f>
        <v>4.2633212054643304</v>
      </c>
      <c r="D22" s="1">
        <f>'C3'' - Secondary Raw Material '!F338</f>
        <v>2.9984053368853725E-3</v>
      </c>
      <c r="E22" s="1">
        <f>'A2 - Transport'!Z136</f>
        <v>0.461792925477095</v>
      </c>
      <c r="F22" s="1">
        <f>'C2''- Transport Secondary'!H76</f>
        <v>7.2992834999999992E-2</v>
      </c>
      <c r="G22" s="1">
        <f>'A3 - Production '!D224</f>
        <v>0.83193279722540636</v>
      </c>
      <c r="H22" s="1">
        <f>'A4 - Transport'!B35</f>
        <v>9.7319887048799986E-2</v>
      </c>
      <c r="I22" s="1">
        <f>'A5 - Construction'!E157</f>
        <v>2.0785173727269492E-2</v>
      </c>
      <c r="J22" s="1">
        <f>'C1 - Deconstruction'!B105</f>
        <v>1.5772576029667661E-2</v>
      </c>
      <c r="K22" s="1">
        <f>'D- Benefits &amp; Burdens'!N179</f>
        <v>-4.6698253999512342</v>
      </c>
      <c r="L22" s="1">
        <f t="shared" si="1"/>
        <v>5.6330381685037176</v>
      </c>
      <c r="M22" s="1">
        <f t="shared" si="0"/>
        <v>5.7669158053094547</v>
      </c>
      <c r="Q22" s="67"/>
    </row>
    <row r="23" spans="1:17" x14ac:dyDescent="0.35">
      <c r="A23" s="258" t="s">
        <v>58</v>
      </c>
      <c r="B23" s="338">
        <f>+SUM(C23:K23)</f>
        <v>0</v>
      </c>
      <c r="C23" s="325">
        <f>+SUM(C4:C22)-'A1 - Raw Material Supply'!D137</f>
        <v>0</v>
      </c>
      <c r="D23" s="325">
        <f>+SUM(D4:D22)-'C3'' - Secondary Raw Material '!B344</f>
        <v>0</v>
      </c>
      <c r="E23" s="325">
        <f>+SUM(E4:E22)-'A2 - Transport'!B142</f>
        <v>0</v>
      </c>
      <c r="F23" s="325">
        <f>+SUM(F4:F22)-'C2''- Transport Secondary'!B81</f>
        <v>0</v>
      </c>
      <c r="G23" s="325">
        <f>+SUM(G4:G22)-'A3 - Production '!B230</f>
        <v>0</v>
      </c>
      <c r="H23" s="325">
        <f>+SUM(H4:H22)-'A4 - Transport'!B41</f>
        <v>0</v>
      </c>
      <c r="I23" s="325">
        <f>+SUM(I4:I22)-'A5 - Construction'!B164</f>
        <v>0</v>
      </c>
      <c r="J23" s="325">
        <f>+SUM(J4:J22)-'C1 - Deconstruction'!B111</f>
        <v>0</v>
      </c>
      <c r="K23" s="325">
        <f>+SUM(K4:K22)-'D- Benefits &amp; Burdens'!B212</f>
        <v>0</v>
      </c>
      <c r="L23" s="325"/>
      <c r="P23" s="67"/>
    </row>
    <row r="24" spans="1:17" x14ac:dyDescent="0.35">
      <c r="A24" s="66"/>
      <c r="B24" s="66"/>
      <c r="O24" s="67"/>
    </row>
    <row r="25" spans="1:17" ht="21" x14ac:dyDescent="0.5">
      <c r="A25" s="76" t="s">
        <v>196</v>
      </c>
      <c r="B25" s="66"/>
    </row>
    <row r="26" spans="1:17" x14ac:dyDescent="0.35">
      <c r="A26" s="328" t="s">
        <v>197</v>
      </c>
      <c r="B26" s="66"/>
    </row>
    <row r="27" spans="1:17" ht="43.5" x14ac:dyDescent="0.35">
      <c r="A27" s="103" t="s">
        <v>153</v>
      </c>
      <c r="B27" s="103" t="s">
        <v>198</v>
      </c>
      <c r="C27" s="103" t="s">
        <v>199</v>
      </c>
      <c r="D27" s="108" t="s">
        <v>1011</v>
      </c>
      <c r="E27" s="103" t="s">
        <v>1012</v>
      </c>
      <c r="F27" s="108" t="s">
        <v>1015</v>
      </c>
      <c r="G27" s="108" t="s">
        <v>1010</v>
      </c>
      <c r="H27" s="108" t="s">
        <v>156</v>
      </c>
      <c r="I27" s="108" t="s">
        <v>157</v>
      </c>
      <c r="J27" s="103" t="s">
        <v>158</v>
      </c>
      <c r="K27" s="103" t="s">
        <v>159</v>
      </c>
      <c r="L27" s="103" t="s">
        <v>161</v>
      </c>
      <c r="M27" s="103" t="s">
        <v>987</v>
      </c>
      <c r="N27" s="103" t="s">
        <v>991</v>
      </c>
      <c r="O27" s="103" t="s">
        <v>1006</v>
      </c>
    </row>
    <row r="28" spans="1:17" x14ac:dyDescent="0.35">
      <c r="A28" s="39" t="s">
        <v>162</v>
      </c>
      <c r="B28" s="154">
        <v>55.6</v>
      </c>
      <c r="C28" s="154">
        <v>6.2E-2</v>
      </c>
      <c r="D28" s="1">
        <f t="shared" ref="D28" si="2">(C4/$B28)*$C28</f>
        <v>8.9804895667322328E-5</v>
      </c>
      <c r="E28" s="1">
        <f t="shared" ref="E28" si="3">(D4/$B28)*$C28</f>
        <v>2.3778484406484672E-7</v>
      </c>
      <c r="F28" s="1">
        <f t="shared" ref="F28" si="4">(E4/$B28)*$C28</f>
        <v>2.7842457432627647E-5</v>
      </c>
      <c r="G28" s="1">
        <f t="shared" ref="G28" si="5">(F4/$B28)*$C28</f>
        <v>3.9595586330935255E-6</v>
      </c>
      <c r="H28" s="1">
        <f t="shared" ref="H28" si="6">(G4/$B28)*$C28</f>
        <v>2.2318621294909385E-5</v>
      </c>
      <c r="I28" s="1">
        <f t="shared" ref="I28" si="7">(H4/$B28)*$C28</f>
        <v>5.279200334330934E-6</v>
      </c>
      <c r="J28" s="1">
        <f t="shared" ref="J28" si="8">(I4/$B28)*$C28</f>
        <v>1.6483426149226037E-6</v>
      </c>
      <c r="K28" s="1">
        <f t="shared" ref="K28" si="9">(J4/$B28)*$C28</f>
        <v>1.2508247252558979E-6</v>
      </c>
      <c r="L28" s="1">
        <f t="shared" ref="L28" si="10">(K4/$B28)*$C28</f>
        <v>-9.398861668045763E-5</v>
      </c>
      <c r="M28" s="1">
        <f>SUM(D28:H28)*1000</f>
        <v>0.14416331787201775</v>
      </c>
      <c r="N28" s="1">
        <f>SUM(D28:K28)*1000</f>
        <v>0.15234168554652716</v>
      </c>
      <c r="O28" s="1">
        <f>SUM(D28:L28)*1000</f>
        <v>5.835306886606953E-2</v>
      </c>
    </row>
    <row r="29" spans="1:17" x14ac:dyDescent="0.35">
      <c r="A29" s="39" t="s">
        <v>164</v>
      </c>
      <c r="B29" s="154">
        <v>8100</v>
      </c>
      <c r="C29" s="154">
        <v>0.21059999999999998</v>
      </c>
      <c r="D29" s="1">
        <f t="shared" ref="D29:D46" si="11">(C5/$B29)*$C29</f>
        <v>3.8925144468564049E-4</v>
      </c>
      <c r="E29" s="1">
        <f t="shared" ref="E29:E46" si="12">(D5/$B29)*$C29</f>
        <v>4.3365487867971042E-6</v>
      </c>
      <c r="F29" s="1">
        <f t="shared" ref="F29:F46" si="13">(E5/$B29)*$C29</f>
        <v>3.589165788687261E-4</v>
      </c>
      <c r="G29" s="1">
        <f t="shared" ref="G29:G46" si="14">(F5/$B29)*$C29</f>
        <v>6.1910495009999985E-5</v>
      </c>
      <c r="H29" s="1">
        <f t="shared" ref="H29:H46" si="15">(G5/$B29)*$C29</f>
        <v>5.2147761950618215E-4</v>
      </c>
      <c r="I29" s="1">
        <f t="shared" ref="I29:I46" si="16">(H5/$B29)*$C29</f>
        <v>8.2544024786932775E-5</v>
      </c>
      <c r="J29" s="1">
        <f t="shared" ref="J29:J46" si="17">(I5/$B29)*$C29</f>
        <v>3.0061285844690778E-5</v>
      </c>
      <c r="K29" s="1">
        <f t="shared" ref="K29:K46" si="18">(J5/$B29)*$C29</f>
        <v>2.2811640776083373E-5</v>
      </c>
      <c r="L29" s="1">
        <f t="shared" ref="L29:L46" si="19">(K5/$B29)*$C29</f>
        <v>-5.082824667199758E-4</v>
      </c>
      <c r="M29" s="1">
        <f>SUM(D29:H29)*1000</f>
        <v>1.3358926868573457</v>
      </c>
      <c r="N29" s="1">
        <f t="shared" ref="N29:N46" si="20">SUM(D29:K29)*1000</f>
        <v>1.4713096382650528</v>
      </c>
      <c r="O29" s="1">
        <f>SUM(D29:L29)*1000</f>
        <v>0.96302717154507711</v>
      </c>
    </row>
    <row r="30" spans="1:17" x14ac:dyDescent="0.35">
      <c r="A30" s="39" t="s">
        <v>166</v>
      </c>
      <c r="B30" s="333"/>
      <c r="C30" s="333"/>
      <c r="D30" s="333"/>
      <c r="E30" s="333"/>
      <c r="F30" s="333"/>
      <c r="G30" s="333"/>
      <c r="H30" s="333"/>
      <c r="I30" s="333"/>
      <c r="J30" s="333"/>
      <c r="K30" s="333"/>
      <c r="L30" s="333"/>
      <c r="M30" s="333"/>
      <c r="N30" s="333"/>
      <c r="O30" s="333"/>
    </row>
    <row r="31" spans="1:17" x14ac:dyDescent="0.35">
      <c r="A31" s="39" t="s">
        <v>167</v>
      </c>
      <c r="B31" s="333"/>
      <c r="C31" s="333"/>
      <c r="D31" s="333"/>
      <c r="E31" s="333"/>
      <c r="F31" s="333"/>
      <c r="G31" s="333"/>
      <c r="H31" s="333"/>
      <c r="I31" s="333"/>
      <c r="J31" s="333"/>
      <c r="K31" s="333"/>
      <c r="L31" s="333"/>
      <c r="M31" s="333"/>
      <c r="N31" s="333"/>
      <c r="O31" s="333"/>
    </row>
    <row r="32" spans="1:17" x14ac:dyDescent="0.35">
      <c r="A32" s="39" t="s">
        <v>168</v>
      </c>
      <c r="B32" s="333"/>
      <c r="C32" s="333"/>
      <c r="D32" s="333"/>
      <c r="E32" s="333"/>
      <c r="F32" s="333"/>
      <c r="G32" s="333"/>
      <c r="H32" s="333"/>
      <c r="I32" s="333"/>
      <c r="J32" s="333"/>
      <c r="K32" s="333"/>
      <c r="L32" s="333"/>
      <c r="M32" s="333"/>
      <c r="N32" s="333"/>
      <c r="O32" s="333"/>
    </row>
    <row r="33" spans="1:15" x14ac:dyDescent="0.35">
      <c r="A33" s="39" t="s">
        <v>169</v>
      </c>
      <c r="B33" s="154">
        <v>42700</v>
      </c>
      <c r="C33" s="154">
        <v>1.9199999999999998E-2</v>
      </c>
      <c r="D33" s="1">
        <f t="shared" si="11"/>
        <v>2.9235631237845428E-4</v>
      </c>
      <c r="E33" s="1">
        <f t="shared" si="12"/>
        <v>3.3135998232230473E-8</v>
      </c>
      <c r="F33" s="1">
        <f t="shared" si="13"/>
        <v>5.3728140653001471E-6</v>
      </c>
      <c r="G33" s="1">
        <f t="shared" si="14"/>
        <v>9.1960321573770478E-7</v>
      </c>
      <c r="H33" s="1">
        <f t="shared" si="15"/>
        <v>4.9429208798196405E-6</v>
      </c>
      <c r="I33" s="1">
        <f t="shared" si="16"/>
        <v>1.2260885754787671E-6</v>
      </c>
      <c r="J33" s="1">
        <f t="shared" si="17"/>
        <v>2.2970125866932963E-7</v>
      </c>
      <c r="K33" s="1">
        <f t="shared" si="18"/>
        <v>1.7430600359712764E-7</v>
      </c>
      <c r="L33" s="1">
        <f t="shared" si="19"/>
        <v>-3.0630443350165127E-4</v>
      </c>
      <c r="M33" s="1">
        <f t="shared" ref="M33:M46" si="21">SUM(D33:H33)*1000</f>
        <v>0.30362478653754404</v>
      </c>
      <c r="N33" s="1">
        <f t="shared" si="20"/>
        <v>0.30525488237528925</v>
      </c>
      <c r="O33" s="1">
        <f t="shared" ref="O33:O46" si="22">SUM(D33:L33)*1000</f>
        <v>-1.0495511263620321E-3</v>
      </c>
    </row>
    <row r="34" spans="1:15" x14ac:dyDescent="0.35">
      <c r="A34" s="39" t="s">
        <v>171</v>
      </c>
      <c r="B34" s="154">
        <v>65000</v>
      </c>
      <c r="C34" s="154">
        <v>7.5499999999999998E-2</v>
      </c>
      <c r="D34" s="1">
        <f t="shared" si="11"/>
        <v>1.2299246180998281E-3</v>
      </c>
      <c r="E34" s="1">
        <f t="shared" si="12"/>
        <v>2.5732973276371616E-6</v>
      </c>
      <c r="F34" s="1">
        <f t="shared" si="13"/>
        <v>2.1497275639547229E-4</v>
      </c>
      <c r="G34" s="1">
        <f t="shared" si="14"/>
        <v>3.722511401076922E-5</v>
      </c>
      <c r="H34" s="1">
        <f t="shared" si="15"/>
        <v>4.3427791106546233E-4</v>
      </c>
      <c r="I34" s="1">
        <f t="shared" si="16"/>
        <v>4.9631500008278386E-5</v>
      </c>
      <c r="J34" s="1">
        <f t="shared" si="17"/>
        <v>1.7838292691413218E-5</v>
      </c>
      <c r="K34" s="1">
        <f t="shared" si="18"/>
        <v>1.3536371233002972E-5</v>
      </c>
      <c r="L34" s="1">
        <f t="shared" si="19"/>
        <v>-1.3585768983659762E-3</v>
      </c>
      <c r="M34" s="1">
        <f t="shared" si="21"/>
        <v>1.9189736968991691</v>
      </c>
      <c r="N34" s="1">
        <f t="shared" si="20"/>
        <v>1.9999798608318635</v>
      </c>
      <c r="O34" s="1">
        <f t="shared" si="22"/>
        <v>0.64140296246588724</v>
      </c>
    </row>
    <row r="35" spans="1:15" x14ac:dyDescent="0.35">
      <c r="A35" s="39" t="s">
        <v>173</v>
      </c>
      <c r="B35" s="154">
        <v>1.61</v>
      </c>
      <c r="C35" s="154">
        <v>2.7999999999999997E-2</v>
      </c>
      <c r="D35" s="1">
        <f t="shared" si="11"/>
        <v>9.2201128422484591E-6</v>
      </c>
      <c r="E35" s="1">
        <f t="shared" si="12"/>
        <v>3.0664335698171552E-8</v>
      </c>
      <c r="F35" s="1">
        <f t="shared" si="13"/>
        <v>6.2995048575871054E-6</v>
      </c>
      <c r="G35" s="1">
        <f t="shared" si="14"/>
        <v>9.6591913043478252E-7</v>
      </c>
      <c r="H35" s="1">
        <f t="shared" si="15"/>
        <v>1.2029112243420333E-5</v>
      </c>
      <c r="I35" s="1">
        <f t="shared" si="16"/>
        <v>1.2878406582260863E-6</v>
      </c>
      <c r="J35" s="1">
        <f t="shared" si="17"/>
        <v>2.1256750609304743E-7</v>
      </c>
      <c r="K35" s="1">
        <f t="shared" si="18"/>
        <v>1.6130426405292678E-7</v>
      </c>
      <c r="L35" s="1">
        <f t="shared" si="19"/>
        <v>-1.3797600625515912E-5</v>
      </c>
      <c r="M35" s="1">
        <f t="shared" si="21"/>
        <v>2.8545313409388852E-2</v>
      </c>
      <c r="N35" s="1">
        <f t="shared" si="20"/>
        <v>3.0207025837760915E-2</v>
      </c>
      <c r="O35" s="1">
        <f t="shared" si="22"/>
        <v>1.6409425212245005E-2</v>
      </c>
    </row>
    <row r="36" spans="1:15" x14ac:dyDescent="0.35">
      <c r="A36" s="39" t="s">
        <v>175</v>
      </c>
      <c r="B36" s="154">
        <v>19.5</v>
      </c>
      <c r="C36" s="154">
        <v>2.9600000000000001E-2</v>
      </c>
      <c r="D36" s="1">
        <f t="shared" si="11"/>
        <v>3.732096711496764E-5</v>
      </c>
      <c r="E36" s="1">
        <f t="shared" si="12"/>
        <v>7.3196027254334448E-8</v>
      </c>
      <c r="F36" s="1">
        <f t="shared" si="13"/>
        <v>1.0147914393913971E-5</v>
      </c>
      <c r="G36" s="1">
        <f t="shared" si="14"/>
        <v>1.1748285538461538E-6</v>
      </c>
      <c r="H36" s="1">
        <f t="shared" si="15"/>
        <v>7.9315098261407083E-6</v>
      </c>
      <c r="I36" s="1">
        <f t="shared" si="16"/>
        <v>1.5663754142719996E-6</v>
      </c>
      <c r="J36" s="1">
        <f t="shared" si="17"/>
        <v>5.0740042512319476E-7</v>
      </c>
      <c r="K36" s="1">
        <f t="shared" si="18"/>
        <v>3.8503463515638476E-7</v>
      </c>
      <c r="L36" s="1">
        <f t="shared" si="19"/>
        <v>-3.9872633655272723E-5</v>
      </c>
      <c r="M36" s="1">
        <f t="shared" si="21"/>
        <v>5.664841591612281E-2</v>
      </c>
      <c r="N36" s="1">
        <f t="shared" si="20"/>
        <v>5.9107226390674387E-2</v>
      </c>
      <c r="O36" s="1">
        <f t="shared" si="22"/>
        <v>1.9234592735401668E-2</v>
      </c>
    </row>
    <row r="37" spans="1:15" x14ac:dyDescent="0.35">
      <c r="A37" s="39" t="s">
        <v>177</v>
      </c>
      <c r="B37" s="154">
        <v>177</v>
      </c>
      <c r="C37" s="154">
        <v>3.7100000000000001E-2</v>
      </c>
      <c r="D37" s="1">
        <f t="shared" si="11"/>
        <v>6.2625274418270962E-5</v>
      </c>
      <c r="E37" s="1">
        <f t="shared" si="12"/>
        <v>1.0987776765633682E-7</v>
      </c>
      <c r="F37" s="1">
        <f t="shared" si="13"/>
        <v>1.5222497144177221E-5</v>
      </c>
      <c r="G37" s="1">
        <f t="shared" si="14"/>
        <v>1.7559398559322032E-6</v>
      </c>
      <c r="H37" s="1">
        <f t="shared" si="15"/>
        <v>1.1813370301783691E-5</v>
      </c>
      <c r="I37" s="1">
        <f t="shared" si="16"/>
        <v>2.3411594911172881E-6</v>
      </c>
      <c r="J37" s="1">
        <f t="shared" si="17"/>
        <v>7.6168103805266902E-7</v>
      </c>
      <c r="K37" s="1">
        <f t="shared" si="18"/>
        <v>5.7799238248753979E-7</v>
      </c>
      <c r="L37" s="1">
        <f t="shared" si="19"/>
        <v>-6.388542649735645E-5</v>
      </c>
      <c r="M37" s="1">
        <f t="shared" si="21"/>
        <v>9.1526959487820414E-2</v>
      </c>
      <c r="N37" s="1">
        <f t="shared" si="20"/>
        <v>9.5207792399477909E-2</v>
      </c>
      <c r="O37" s="1">
        <f t="shared" si="22"/>
        <v>3.1322365902121466E-2</v>
      </c>
    </row>
    <row r="38" spans="1:15" x14ac:dyDescent="0.35">
      <c r="A38" s="39" t="s">
        <v>179</v>
      </c>
      <c r="B38" s="154">
        <v>1.6900000000000001E-5</v>
      </c>
      <c r="C38" s="154">
        <v>2.1299999999999999E-2</v>
      </c>
      <c r="D38" s="1">
        <f t="shared" si="11"/>
        <v>1.4818082595762946E-5</v>
      </c>
      <c r="E38" s="1">
        <f t="shared" si="12"/>
        <v>1.2846353778871438E-8</v>
      </c>
      <c r="F38" s="1">
        <f t="shared" si="13"/>
        <v>1.5772225757770091E-6</v>
      </c>
      <c r="G38" s="1">
        <f t="shared" si="14"/>
        <v>2.6599225739644964E-7</v>
      </c>
      <c r="H38" s="1">
        <f t="shared" si="15"/>
        <v>2.5010911892464626E-6</v>
      </c>
      <c r="I38" s="1">
        <f t="shared" si="16"/>
        <v>3.5464215694153836E-7</v>
      </c>
      <c r="J38" s="1">
        <f t="shared" si="17"/>
        <v>8.9051900945844519E-8</v>
      </c>
      <c r="K38" s="1">
        <f t="shared" si="18"/>
        <v>6.7575950852506183E-8</v>
      </c>
      <c r="L38" s="1">
        <f t="shared" si="19"/>
        <v>-1.5727486439167613E-5</v>
      </c>
      <c r="M38" s="1">
        <f t="shared" si="21"/>
        <v>1.917523497196174E-2</v>
      </c>
      <c r="N38" s="1">
        <f t="shared" si="20"/>
        <v>1.9686504980701628E-2</v>
      </c>
      <c r="O38" s="1">
        <f t="shared" si="22"/>
        <v>3.9590185415340146E-3</v>
      </c>
    </row>
    <row r="39" spans="1:15" x14ac:dyDescent="0.35">
      <c r="A39" s="39" t="s">
        <v>181</v>
      </c>
      <c r="B39" s="154">
        <v>2.3000000000000001E-4</v>
      </c>
      <c r="C39" s="154">
        <v>1.84E-2</v>
      </c>
      <c r="D39" s="1">
        <f t="shared" si="11"/>
        <v>2.7450327627059156E-5</v>
      </c>
      <c r="E39" s="1">
        <f t="shared" si="12"/>
        <v>2.1734050981136607E-8</v>
      </c>
      <c r="F39" s="1">
        <f t="shared" si="13"/>
        <v>7.7603502581561853E-6</v>
      </c>
      <c r="G39" s="1">
        <f t="shared" si="14"/>
        <v>1.373736E-6</v>
      </c>
      <c r="H39" s="1">
        <f t="shared" si="15"/>
        <v>3.0637123241004084E-6</v>
      </c>
      <c r="I39" s="1">
        <f t="shared" si="16"/>
        <v>1.8315747340799997E-6</v>
      </c>
      <c r="J39" s="1">
        <f t="shared" si="17"/>
        <v>1.5066209357455078E-7</v>
      </c>
      <c r="K39" s="1">
        <f t="shared" si="18"/>
        <v>1.1432809544313966E-7</v>
      </c>
      <c r="L39" s="1">
        <f t="shared" si="19"/>
        <v>-3.0649004085095696E-5</v>
      </c>
      <c r="M39" s="1">
        <f t="shared" si="21"/>
        <v>3.9669860260296883E-2</v>
      </c>
      <c r="N39" s="1">
        <f t="shared" si="20"/>
        <v>4.1766425183394573E-2</v>
      </c>
      <c r="O39" s="1">
        <f t="shared" si="22"/>
        <v>1.1117421098298878E-2</v>
      </c>
    </row>
    <row r="40" spans="1:15" x14ac:dyDescent="0.35">
      <c r="A40" s="39" t="s">
        <v>182</v>
      </c>
      <c r="B40" s="154">
        <v>4220</v>
      </c>
      <c r="C40" s="154">
        <v>5.0099999999999999E-2</v>
      </c>
      <c r="D40" s="1">
        <f t="shared" si="11"/>
        <v>5.281760966889892E-6</v>
      </c>
      <c r="E40" s="1">
        <f t="shared" si="12"/>
        <v>7.8972639828877798E-9</v>
      </c>
      <c r="F40" s="1">
        <f t="shared" si="13"/>
        <v>1.196334056345021E-6</v>
      </c>
      <c r="G40" s="1">
        <f t="shared" si="14"/>
        <v>1.7252552345971565E-7</v>
      </c>
      <c r="H40" s="1">
        <f t="shared" si="15"/>
        <v>2.9041061218881617E-5</v>
      </c>
      <c r="I40" s="1">
        <f t="shared" si="16"/>
        <v>2.3002482991836962E-7</v>
      </c>
      <c r="J40" s="1">
        <f t="shared" si="17"/>
        <v>5.4744434261492891E-8</v>
      </c>
      <c r="K40" s="1">
        <f t="shared" si="18"/>
        <v>4.1542147442227365E-8</v>
      </c>
      <c r="L40" s="1">
        <f t="shared" si="19"/>
        <v>-6.4921569864982704E-6</v>
      </c>
      <c r="M40" s="1">
        <f t="shared" si="21"/>
        <v>3.5699579029559135E-2</v>
      </c>
      <c r="N40" s="1">
        <f t="shared" si="20"/>
        <v>3.6025890441181228E-2</v>
      </c>
      <c r="O40" s="1">
        <f t="shared" si="22"/>
        <v>2.9533733454682957E-2</v>
      </c>
    </row>
    <row r="41" spans="1:15" x14ac:dyDescent="0.35">
      <c r="A41" s="39" t="s">
        <v>184</v>
      </c>
      <c r="B41" s="154">
        <v>819000</v>
      </c>
      <c r="C41" s="154">
        <v>7.9399999999999998E-2</v>
      </c>
      <c r="D41" s="1">
        <f t="shared" si="11"/>
        <v>3.8914210368921177E-5</v>
      </c>
      <c r="E41" s="1">
        <f t="shared" si="12"/>
        <v>1.1042769018891711E-8</v>
      </c>
      <c r="F41" s="1">
        <f t="shared" si="13"/>
        <v>1.5643500492161081E-6</v>
      </c>
      <c r="G41" s="1">
        <f t="shared" si="14"/>
        <v>1.9597914306959704E-7</v>
      </c>
      <c r="H41" s="1">
        <f t="shared" si="15"/>
        <v>1.2389500561258172E-6</v>
      </c>
      <c r="I41" s="1">
        <f t="shared" si="16"/>
        <v>2.6129507187183238E-7</v>
      </c>
      <c r="J41" s="1">
        <f t="shared" si="17"/>
        <v>7.6549314285238074E-8</v>
      </c>
      <c r="K41" s="1">
        <f t="shared" si="18"/>
        <v>5.8088515180356561E-8</v>
      </c>
      <c r="L41" s="1">
        <f t="shared" si="19"/>
        <v>-4.8364639510343274E-5</v>
      </c>
      <c r="M41" s="1">
        <f t="shared" si="21"/>
        <v>4.192453238635159E-2</v>
      </c>
      <c r="N41" s="1">
        <f t="shared" si="20"/>
        <v>4.232046528768902E-2</v>
      </c>
      <c r="O41" s="1">
        <f t="shared" si="22"/>
        <v>-6.0441742226542529E-3</v>
      </c>
    </row>
    <row r="42" spans="1:15" x14ac:dyDescent="0.35">
      <c r="A42" s="39" t="s">
        <v>186</v>
      </c>
      <c r="B42" s="154">
        <v>65000</v>
      </c>
      <c r="C42" s="154">
        <v>8.3199999999999996E-2</v>
      </c>
      <c r="D42" s="1">
        <f t="shared" si="11"/>
        <v>2.661860313008132E-10</v>
      </c>
      <c r="E42" s="1">
        <f t="shared" si="12"/>
        <v>3.3290156379975435E-14</v>
      </c>
      <c r="F42" s="1">
        <f t="shared" si="13"/>
        <v>1.9705816138208339E-11</v>
      </c>
      <c r="G42" s="1">
        <f t="shared" si="14"/>
        <v>3.3626303999999996E-12</v>
      </c>
      <c r="H42" s="1">
        <f t="shared" si="15"/>
        <v>3.8374460975302063E-11</v>
      </c>
      <c r="I42" s="1">
        <f t="shared" si="16"/>
        <v>4.4833278597119991E-12</v>
      </c>
      <c r="J42" s="1">
        <f t="shared" si="17"/>
        <v>2.3076989466825078E-13</v>
      </c>
      <c r="K42" s="1">
        <f t="shared" si="18"/>
        <v>1.7511692501458543E-13</v>
      </c>
      <c r="L42" s="1">
        <f t="shared" si="19"/>
        <v>-1.7346602996145155E-11</v>
      </c>
      <c r="M42" s="1">
        <f t="shared" si="21"/>
        <v>3.2766222897070351E-7</v>
      </c>
      <c r="N42" s="1">
        <f t="shared" si="20"/>
        <v>3.3255144365009836E-7</v>
      </c>
      <c r="O42" s="1">
        <f t="shared" si="22"/>
        <v>3.1520484065395316E-7</v>
      </c>
    </row>
    <row r="43" spans="1:15" x14ac:dyDescent="0.35">
      <c r="A43" s="39" t="s">
        <v>188</v>
      </c>
      <c r="B43" s="154">
        <v>5.3600000000000002E-2</v>
      </c>
      <c r="C43" s="154">
        <v>6.3099999999999989E-2</v>
      </c>
      <c r="D43" s="1">
        <f t="shared" si="11"/>
        <v>5.4528672659536864E-8</v>
      </c>
      <c r="E43" s="1">
        <f t="shared" si="12"/>
        <v>4.4247185444639328E-9</v>
      </c>
      <c r="F43" s="1">
        <f t="shared" si="13"/>
        <v>3.5872087634000429E-7</v>
      </c>
      <c r="G43" s="1">
        <f t="shared" si="14"/>
        <v>6.2331616231343268E-8</v>
      </c>
      <c r="H43" s="1">
        <f t="shared" si="15"/>
        <v>3.1742670244665361E-6</v>
      </c>
      <c r="I43" s="1">
        <f t="shared" si="16"/>
        <v>8.3105497288925339E-8</v>
      </c>
      <c r="J43" s="1">
        <f t="shared" si="17"/>
        <v>3.0672485307302459E-8</v>
      </c>
      <c r="K43" s="1">
        <f t="shared" si="18"/>
        <v>2.3275442047115675E-8</v>
      </c>
      <c r="L43" s="1">
        <f t="shared" si="19"/>
        <v>-1.6263694090168661E-7</v>
      </c>
      <c r="M43" s="1">
        <f t="shared" si="21"/>
        <v>3.6542729082418846E-3</v>
      </c>
      <c r="N43" s="1">
        <f t="shared" si="20"/>
        <v>3.7913263328852279E-3</v>
      </c>
      <c r="O43" s="1">
        <f t="shared" si="22"/>
        <v>3.6286893919835416E-3</v>
      </c>
    </row>
    <row r="44" spans="1:15" x14ac:dyDescent="0.35">
      <c r="A44" s="39" t="s">
        <v>190</v>
      </c>
      <c r="B44" s="154">
        <v>5.9500000000000004E-4</v>
      </c>
      <c r="C44" s="154">
        <v>8.9600000000000013E-2</v>
      </c>
      <c r="D44" s="1">
        <f t="shared" si="11"/>
        <v>2.0123972826414352E-4</v>
      </c>
      <c r="E44" s="1">
        <f t="shared" si="12"/>
        <v>2.4738054013269055E-7</v>
      </c>
      <c r="F44" s="1">
        <f t="shared" si="13"/>
        <v>1.2514662073111185E-4</v>
      </c>
      <c r="G44" s="1">
        <f t="shared" si="14"/>
        <v>2.2225852235294113E-5</v>
      </c>
      <c r="H44" s="1">
        <f t="shared" si="15"/>
        <v>1.332567207520216E-5</v>
      </c>
      <c r="I44" s="1">
        <f t="shared" si="16"/>
        <v>2.9633284268272938E-5</v>
      </c>
      <c r="J44" s="1">
        <f t="shared" si="17"/>
        <v>1.7148607095079711E-6</v>
      </c>
      <c r="K44" s="1">
        <f t="shared" si="18"/>
        <v>1.3013011714941059E-6</v>
      </c>
      <c r="L44" s="1">
        <f t="shared" si="19"/>
        <v>-2.3144189206074012E-4</v>
      </c>
      <c r="M44" s="1">
        <f t="shared" si="21"/>
        <v>0.36218525384588429</v>
      </c>
      <c r="N44" s="1">
        <f t="shared" si="20"/>
        <v>0.3948346999951593</v>
      </c>
      <c r="O44" s="1">
        <f t="shared" si="22"/>
        <v>0.16339280793441921</v>
      </c>
    </row>
    <row r="45" spans="1:15" x14ac:dyDescent="0.35">
      <c r="A45" s="39" t="s">
        <v>192</v>
      </c>
      <c r="B45" s="154">
        <v>40.6</v>
      </c>
      <c r="C45" s="154">
        <v>4.7800000000000002E-2</v>
      </c>
      <c r="D45" s="1">
        <f t="shared" si="11"/>
        <v>1.0841258793689037E-4</v>
      </c>
      <c r="E45" s="1">
        <f t="shared" si="12"/>
        <v>4.8368347456516961E-7</v>
      </c>
      <c r="F45" s="1">
        <f t="shared" si="13"/>
        <v>4.9028297604073355E-5</v>
      </c>
      <c r="G45" s="1">
        <f t="shared" si="14"/>
        <v>7.2886052216748762E-6</v>
      </c>
      <c r="H45" s="1">
        <f t="shared" si="15"/>
        <v>2.2414992109020146E-5</v>
      </c>
      <c r="I45" s="1">
        <f t="shared" si="16"/>
        <v>9.7177515699546768E-6</v>
      </c>
      <c r="J45" s="1">
        <f t="shared" si="17"/>
        <v>3.3529306142075896E-6</v>
      </c>
      <c r="K45" s="1">
        <f t="shared" si="18"/>
        <v>2.5443305756644643E-6</v>
      </c>
      <c r="L45" s="1">
        <f t="shared" si="19"/>
        <v>-1.2141524848177972E-4</v>
      </c>
      <c r="M45" s="1">
        <f t="shared" si="21"/>
        <v>0.18762816634622392</v>
      </c>
      <c r="N45" s="1">
        <f t="shared" si="20"/>
        <v>0.20324317910605064</v>
      </c>
      <c r="O45" s="1">
        <f t="shared" si="22"/>
        <v>8.1827930624270906E-2</v>
      </c>
    </row>
    <row r="46" spans="1:15" x14ac:dyDescent="0.35">
      <c r="A46" s="39" t="s">
        <v>194</v>
      </c>
      <c r="B46" s="154">
        <v>11500</v>
      </c>
      <c r="C46" s="154">
        <v>8.5099999999999995E-2</v>
      </c>
      <c r="D46" s="1">
        <f t="shared" si="11"/>
        <v>3.1548576920436042E-5</v>
      </c>
      <c r="E46" s="1">
        <f t="shared" si="12"/>
        <v>2.2188199492951758E-8</v>
      </c>
      <c r="F46" s="1">
        <f t="shared" si="13"/>
        <v>3.4172676485305025E-6</v>
      </c>
      <c r="G46" s="1">
        <f t="shared" si="14"/>
        <v>5.4014697899999987E-7</v>
      </c>
      <c r="H46" s="1">
        <f t="shared" si="15"/>
        <v>6.1563026994680064E-6</v>
      </c>
      <c r="I46" s="1">
        <f t="shared" si="16"/>
        <v>7.2016716416111986E-7</v>
      </c>
      <c r="J46" s="1">
        <f t="shared" si="17"/>
        <v>1.5381028558179424E-7</v>
      </c>
      <c r="K46" s="1">
        <f t="shared" si="18"/>
        <v>1.1671706261954069E-7</v>
      </c>
      <c r="L46" s="1">
        <f t="shared" si="19"/>
        <v>-3.4556707959639133E-5</v>
      </c>
      <c r="M46" s="1">
        <f t="shared" si="21"/>
        <v>4.1684482446927504E-2</v>
      </c>
      <c r="N46" s="1">
        <f t="shared" si="20"/>
        <v>4.2675176959289955E-2</v>
      </c>
      <c r="O46" s="1">
        <f t="shared" si="22"/>
        <v>8.1184689996508207E-3</v>
      </c>
    </row>
    <row r="47" spans="1:15" x14ac:dyDescent="0.35">
      <c r="A47" s="376" t="s">
        <v>200</v>
      </c>
      <c r="B47" s="377"/>
      <c r="C47" s="330">
        <f>SUM(C28:C46)</f>
        <v>1</v>
      </c>
      <c r="D47" s="88">
        <f>SUM(D28:D46)*1000</f>
        <v>2.5382236947455259</v>
      </c>
      <c r="E47" s="88">
        <f>SUM(E28:E46)*1000</f>
        <v>8.2057024911274066E-3</v>
      </c>
      <c r="F47" s="88">
        <f t="shared" ref="F47:L47" si="23">SUM(F28:F46)*1000</f>
        <v>0.82882370666317073</v>
      </c>
      <c r="G47" s="88">
        <f t="shared" si="23"/>
        <v>0.14003663074857009</v>
      </c>
      <c r="H47" s="88">
        <f t="shared" si="23"/>
        <v>1.0957071521886901</v>
      </c>
      <c r="I47" s="88">
        <f t="shared" si="23"/>
        <v>0.18670803904445349</v>
      </c>
      <c r="J47" s="88">
        <f t="shared" si="23"/>
        <v>5.688255344740651E-2</v>
      </c>
      <c r="K47" s="88">
        <f t="shared" si="23"/>
        <v>4.3164633155496616E-2</v>
      </c>
      <c r="L47" s="88">
        <f t="shared" si="23"/>
        <v>-2.8735178658569742</v>
      </c>
      <c r="M47" s="1">
        <f>+SUM(M28:M46)</f>
        <v>4.6109968868370839</v>
      </c>
      <c r="N47" s="1">
        <f>+SUM(N28:N46)</f>
        <v>4.8977521124844401</v>
      </c>
      <c r="O47" s="1">
        <f>SUM(O28:O46)</f>
        <v>2.0242342466274668</v>
      </c>
    </row>
    <row r="48" spans="1:15" x14ac:dyDescent="0.35">
      <c r="A48" s="86"/>
      <c r="B48" s="86"/>
      <c r="C48" s="86"/>
      <c r="D48" s="86"/>
      <c r="E48" s="3"/>
    </row>
    <row r="49" spans="1:16" ht="21" x14ac:dyDescent="0.5">
      <c r="A49" s="84"/>
      <c r="B49" s="86"/>
      <c r="C49" s="86"/>
      <c r="D49" s="86"/>
      <c r="E49" s="3"/>
    </row>
    <row r="50" spans="1:16" ht="21" x14ac:dyDescent="0.5">
      <c r="A50" s="76" t="s">
        <v>201</v>
      </c>
      <c r="B50" s="86"/>
      <c r="C50" s="86"/>
      <c r="D50" s="86"/>
      <c r="E50" s="3"/>
    </row>
    <row r="51" spans="1:16" x14ac:dyDescent="0.35">
      <c r="A51" s="264" t="s">
        <v>202</v>
      </c>
      <c r="B51" s="86"/>
      <c r="C51" s="86"/>
      <c r="D51" s="86"/>
      <c r="E51" s="3"/>
    </row>
    <row r="52" spans="1:16" ht="43.5" x14ac:dyDescent="0.35">
      <c r="A52" s="108" t="s">
        <v>203</v>
      </c>
      <c r="B52" s="108" t="s">
        <v>154</v>
      </c>
      <c r="C52" s="108" t="s">
        <v>1011</v>
      </c>
      <c r="D52" s="108" t="s">
        <v>1012</v>
      </c>
      <c r="E52" s="108" t="s">
        <v>1015</v>
      </c>
      <c r="F52" s="108" t="s">
        <v>1010</v>
      </c>
      <c r="G52" s="108" t="s">
        <v>156</v>
      </c>
      <c r="H52" s="108" t="s">
        <v>157</v>
      </c>
      <c r="I52" s="108" t="s">
        <v>158</v>
      </c>
      <c r="J52" s="108" t="s">
        <v>159</v>
      </c>
      <c r="K52" s="108" t="s">
        <v>204</v>
      </c>
      <c r="L52" s="103" t="s">
        <v>987</v>
      </c>
      <c r="M52" s="103" t="s">
        <v>991</v>
      </c>
    </row>
    <row r="53" spans="1:16" x14ac:dyDescent="0.35">
      <c r="A53" s="88" t="s">
        <v>205</v>
      </c>
      <c r="B53" s="88" t="s">
        <v>206</v>
      </c>
      <c r="C53" s="88">
        <f>'A1 - Raw Material Supply'!F54</f>
        <v>14.97120941098617</v>
      </c>
      <c r="D53" s="88">
        <f>'C3'' - Secondary Raw Material '!F321</f>
        <v>0.16679033795373477</v>
      </c>
      <c r="E53" s="88">
        <f>+'A2 - Transport'!Z119</f>
        <v>13.804483802643313</v>
      </c>
      <c r="F53" s="88">
        <f>+'C2''- Transport Secondary'!H59</f>
        <v>2.3811728849999998</v>
      </c>
      <c r="G53" s="88">
        <f>'A3 - Production '!D207</f>
        <v>20.056831519468545</v>
      </c>
      <c r="H53" s="88">
        <f>'A4 - Transport'!B18</f>
        <v>3.1747701841127993</v>
      </c>
      <c r="I53" s="88">
        <f>'A5 - Construction'!E140</f>
        <v>1.1562033017188762</v>
      </c>
      <c r="J53" s="88">
        <f>'C1 - Deconstruction'!B88</f>
        <v>0.87737079908012983</v>
      </c>
      <c r="K53" s="1">
        <f>'D- Benefits &amp; Burdens'!N162</f>
        <v>-19.549325643075992</v>
      </c>
      <c r="L53" s="1">
        <f>SUM(C53:G53)</f>
        <v>51.380487956051759</v>
      </c>
      <c r="M53" s="1">
        <f>SUM(C53:J53)</f>
        <v>56.588832240963569</v>
      </c>
    </row>
    <row r="54" spans="1:16" x14ac:dyDescent="0.35">
      <c r="A54" s="258" t="s">
        <v>58</v>
      </c>
      <c r="B54" s="338">
        <f>+SUM(C54:M54)</f>
        <v>0</v>
      </c>
      <c r="C54" s="325">
        <f t="shared" ref="C54:M54" si="24">+C5-C53</f>
        <v>0</v>
      </c>
      <c r="D54" s="325">
        <f t="shared" si="24"/>
        <v>0</v>
      </c>
      <c r="E54" s="325">
        <f t="shared" si="24"/>
        <v>0</v>
      </c>
      <c r="F54" s="325">
        <f t="shared" si="24"/>
        <v>0</v>
      </c>
      <c r="G54" s="325">
        <f t="shared" si="24"/>
        <v>0</v>
      </c>
      <c r="H54" s="325">
        <f t="shared" si="24"/>
        <v>0</v>
      </c>
      <c r="I54" s="325">
        <f t="shared" si="24"/>
        <v>0</v>
      </c>
      <c r="J54" s="325">
        <f t="shared" si="24"/>
        <v>0</v>
      </c>
      <c r="K54" s="325">
        <f t="shared" si="24"/>
        <v>0</v>
      </c>
      <c r="L54" s="325">
        <f t="shared" si="24"/>
        <v>0</v>
      </c>
      <c r="M54" s="325">
        <f t="shared" si="24"/>
        <v>0</v>
      </c>
      <c r="N54" s="259"/>
      <c r="O54" s="259"/>
    </row>
    <row r="55" spans="1:16" x14ac:dyDescent="0.35">
      <c r="A55" s="86"/>
      <c r="B55" s="86"/>
      <c r="C55" s="242"/>
      <c r="D55" s="242"/>
    </row>
    <row r="56" spans="1:16" ht="21" x14ac:dyDescent="0.5">
      <c r="A56" s="76" t="s">
        <v>207</v>
      </c>
      <c r="B56" s="86"/>
      <c r="C56" s="86"/>
      <c r="D56" s="86"/>
      <c r="E56" s="3"/>
    </row>
    <row r="57" spans="1:16" x14ac:dyDescent="0.35">
      <c r="A57" s="11" t="s">
        <v>208</v>
      </c>
      <c r="B57" s="86"/>
      <c r="C57" s="86"/>
      <c r="D57" s="86"/>
      <c r="E57" s="3"/>
      <c r="O57" s="15" t="s">
        <v>216</v>
      </c>
    </row>
    <row r="58" spans="1:16" x14ac:dyDescent="0.35">
      <c r="A58" s="378" t="s">
        <v>209</v>
      </c>
      <c r="B58" s="104" t="s">
        <v>210</v>
      </c>
      <c r="C58" s="380" t="s">
        <v>211</v>
      </c>
      <c r="D58" s="380"/>
      <c r="E58" s="380" t="s">
        <v>59</v>
      </c>
      <c r="F58" s="380"/>
      <c r="G58" s="380" t="s">
        <v>212</v>
      </c>
      <c r="H58" s="380"/>
      <c r="I58" s="378" t="s">
        <v>213</v>
      </c>
      <c r="J58" s="379"/>
      <c r="K58" s="378" t="s">
        <v>214</v>
      </c>
      <c r="L58" s="379"/>
      <c r="M58" s="378" t="s">
        <v>1016</v>
      </c>
      <c r="N58" s="379"/>
      <c r="O58" s="103" t="s">
        <v>364</v>
      </c>
      <c r="P58" s="336" t="s">
        <v>1007</v>
      </c>
    </row>
    <row r="59" spans="1:16" ht="29" x14ac:dyDescent="0.35">
      <c r="A59" s="378"/>
      <c r="B59" s="104" t="s">
        <v>217</v>
      </c>
      <c r="C59" s="103" t="s">
        <v>1011</v>
      </c>
      <c r="D59" s="103" t="s">
        <v>1015</v>
      </c>
      <c r="E59" s="103" t="s">
        <v>1011</v>
      </c>
      <c r="F59" s="103" t="s">
        <v>1015</v>
      </c>
      <c r="G59" s="103" t="s">
        <v>1011</v>
      </c>
      <c r="H59" s="103" t="s">
        <v>1015</v>
      </c>
      <c r="I59" s="103" t="s">
        <v>1012</v>
      </c>
      <c r="J59" s="103" t="s">
        <v>1010</v>
      </c>
      <c r="K59" s="103" t="s">
        <v>1012</v>
      </c>
      <c r="L59" s="103" t="s">
        <v>1010</v>
      </c>
      <c r="M59" s="103" t="s">
        <v>1011</v>
      </c>
      <c r="N59" s="103" t="s">
        <v>1015</v>
      </c>
      <c r="O59" s="103" t="s">
        <v>218</v>
      </c>
      <c r="P59" s="248" t="s">
        <v>219</v>
      </c>
    </row>
    <row r="60" spans="1:16" x14ac:dyDescent="0.35">
      <c r="A60" s="243" t="s">
        <v>205</v>
      </c>
      <c r="B60" s="243" t="s">
        <v>206</v>
      </c>
      <c r="C60" s="244">
        <f>'A1 - Raw Material Supply'!K115</f>
        <v>2.2293018000920592</v>
      </c>
      <c r="D60" s="244">
        <f>'A2 - Transport'!L119</f>
        <v>12.067875368229734</v>
      </c>
      <c r="E60" s="245">
        <f>'A1 - Raw Material Supply'!O115</f>
        <v>11.7448</v>
      </c>
      <c r="F60" s="245">
        <f>'A2 - Transport'!B119</f>
        <v>0.92165995176527982</v>
      </c>
      <c r="G60" s="245">
        <f>'A1 - Raw Material Supply'!N115</f>
        <v>0.3428723486060043</v>
      </c>
      <c r="H60" s="245">
        <f>'A2 - Transport'!O119</f>
        <v>0.16588837765499997</v>
      </c>
      <c r="I60" s="245">
        <f>'C3'' - Secondary Raw Material '!B321</f>
        <v>0.16679033795373477</v>
      </c>
      <c r="J60" s="245">
        <f>'C2''- Transport Secondary'!$D$59</f>
        <v>2.3811728849999998</v>
      </c>
      <c r="K60" s="245">
        <f>'C3'' - Secondary Raw Material '!C321+'C3'' - Secondary Raw Material '!D321+'C3'' - Secondary Raw Material '!E321</f>
        <v>0</v>
      </c>
      <c r="L60" s="245">
        <f>'C2''- Transport Secondary'!$G$59</f>
        <v>0</v>
      </c>
      <c r="M60" s="245">
        <f>'A1 - Raw Material Supply'!Y$115</f>
        <v>0.65423526228811013</v>
      </c>
      <c r="N60" s="245">
        <f>'A2 - Transport'!$Y$119</f>
        <v>0.64906010499329991</v>
      </c>
      <c r="O60" s="245">
        <f>'A3 - Production '!D207</f>
        <v>20.056831519468545</v>
      </c>
      <c r="P60" s="245">
        <f>'D- Benefits &amp; Burdens'!N162</f>
        <v>-19.549325643075992</v>
      </c>
    </row>
    <row r="61" spans="1:16" x14ac:dyDescent="0.35">
      <c r="A61" s="258" t="s">
        <v>58</v>
      </c>
      <c r="B61" s="338">
        <f>+SUM(C60:O60)-SUM(C53:G53)</f>
        <v>0</v>
      </c>
      <c r="C61" s="252"/>
      <c r="D61" s="242"/>
      <c r="E61" s="11"/>
      <c r="G61" s="11"/>
      <c r="J61" s="11"/>
      <c r="L61" s="11"/>
    </row>
    <row r="62" spans="1:16" x14ac:dyDescent="0.35">
      <c r="A62" s="86"/>
      <c r="B62" s="86"/>
      <c r="C62" s="317"/>
      <c r="D62" s="318"/>
      <c r="E62" s="319"/>
      <c r="F62" s="319"/>
      <c r="G62" s="319"/>
      <c r="H62" s="319"/>
      <c r="I62" s="319"/>
      <c r="J62" s="319"/>
      <c r="K62" s="319"/>
      <c r="L62" s="319"/>
    </row>
    <row r="63" spans="1:16" ht="21" x14ac:dyDescent="0.5">
      <c r="A63" s="76" t="s">
        <v>220</v>
      </c>
      <c r="B63" s="86"/>
      <c r="C63" s="86"/>
      <c r="D63" s="86"/>
      <c r="E63" s="3"/>
    </row>
    <row r="65" spans="1:40" ht="29" x14ac:dyDescent="0.35">
      <c r="A65" s="380" t="s">
        <v>209</v>
      </c>
      <c r="B65" s="104" t="s">
        <v>210</v>
      </c>
      <c r="C65" s="380" t="s">
        <v>221</v>
      </c>
      <c r="D65" s="380"/>
      <c r="E65" s="380"/>
      <c r="F65" s="380" t="s">
        <v>59</v>
      </c>
      <c r="G65" s="380"/>
      <c r="H65" s="380"/>
      <c r="I65" s="380" t="s">
        <v>212</v>
      </c>
      <c r="J65" s="380"/>
      <c r="K65" s="380"/>
      <c r="L65" s="378" t="s">
        <v>213</v>
      </c>
      <c r="M65" s="387"/>
      <c r="N65" s="379"/>
      <c r="O65" s="378" t="s">
        <v>214</v>
      </c>
      <c r="P65" s="387"/>
      <c r="Q65" s="379"/>
      <c r="R65" s="378" t="s">
        <v>215</v>
      </c>
      <c r="S65" s="387"/>
      <c r="T65" s="379"/>
      <c r="U65" s="104" t="s">
        <v>222</v>
      </c>
      <c r="V65" s="103" t="s">
        <v>223</v>
      </c>
      <c r="W65" s="104" t="s">
        <v>224</v>
      </c>
      <c r="X65" s="104" t="s">
        <v>225</v>
      </c>
      <c r="Y65" s="103" t="s">
        <v>226</v>
      </c>
      <c r="Z65" s="388" t="s">
        <v>227</v>
      </c>
      <c r="AA65" s="390" t="s">
        <v>228</v>
      </c>
      <c r="AB65" s="320" t="s">
        <v>229</v>
      </c>
      <c r="AC65" s="322"/>
      <c r="AD65" s="388" t="s">
        <v>230</v>
      </c>
      <c r="AE65" s="384" t="s">
        <v>231</v>
      </c>
      <c r="AF65" s="384"/>
      <c r="AG65" s="384"/>
      <c r="AH65" s="384"/>
      <c r="AI65" s="384"/>
      <c r="AJ65" s="384"/>
      <c r="AK65" s="384"/>
      <c r="AL65" s="381"/>
      <c r="AM65" s="384" t="s">
        <v>232</v>
      </c>
      <c r="AN65" s="384" t="s">
        <v>233</v>
      </c>
    </row>
    <row r="66" spans="1:40" ht="43.5" x14ac:dyDescent="0.35">
      <c r="A66" s="380"/>
      <c r="B66" s="104" t="s">
        <v>217</v>
      </c>
      <c r="C66" s="104" t="s">
        <v>234</v>
      </c>
      <c r="D66" s="104" t="s">
        <v>235</v>
      </c>
      <c r="E66" s="104" t="s">
        <v>200</v>
      </c>
      <c r="F66" s="104" t="s">
        <v>234</v>
      </c>
      <c r="G66" s="104" t="s">
        <v>235</v>
      </c>
      <c r="H66" s="104" t="s">
        <v>200</v>
      </c>
      <c r="I66" s="104" t="s">
        <v>234</v>
      </c>
      <c r="J66" s="104" t="s">
        <v>235</v>
      </c>
      <c r="K66" s="104" t="s">
        <v>200</v>
      </c>
      <c r="L66" s="104" t="s">
        <v>236</v>
      </c>
      <c r="M66" s="104" t="s">
        <v>237</v>
      </c>
      <c r="N66" s="104" t="s">
        <v>200</v>
      </c>
      <c r="O66" s="104" t="s">
        <v>236</v>
      </c>
      <c r="P66" s="104" t="s">
        <v>237</v>
      </c>
      <c r="Q66" s="104" t="s">
        <v>200</v>
      </c>
      <c r="R66" s="104" t="s">
        <v>234</v>
      </c>
      <c r="S66" s="104" t="s">
        <v>235</v>
      </c>
      <c r="T66" s="104" t="s">
        <v>200</v>
      </c>
      <c r="U66" s="104" t="s">
        <v>238</v>
      </c>
      <c r="V66" s="104" t="s">
        <v>239</v>
      </c>
      <c r="W66" s="104" t="s">
        <v>240</v>
      </c>
      <c r="X66" s="104" t="s">
        <v>240</v>
      </c>
      <c r="Y66" s="104" t="s">
        <v>240</v>
      </c>
      <c r="Z66" s="389"/>
      <c r="AA66" s="391"/>
      <c r="AB66" s="104" t="s">
        <v>241</v>
      </c>
      <c r="AC66" s="103" t="s">
        <v>242</v>
      </c>
      <c r="AD66" s="389"/>
      <c r="AE66" s="247" t="s">
        <v>243</v>
      </c>
      <c r="AF66" s="247" t="s">
        <v>244</v>
      </c>
      <c r="AG66" s="103" t="s">
        <v>245</v>
      </c>
      <c r="AH66" s="103" t="s">
        <v>246</v>
      </c>
      <c r="AI66" s="103" t="s">
        <v>247</v>
      </c>
      <c r="AJ66" s="103" t="s">
        <v>248</v>
      </c>
      <c r="AK66" s="103" t="s">
        <v>249</v>
      </c>
      <c r="AL66" s="103" t="s">
        <v>250</v>
      </c>
      <c r="AM66" s="390"/>
      <c r="AN66" s="390"/>
    </row>
    <row r="67" spans="1:40" x14ac:dyDescent="0.35">
      <c r="A67" s="39" t="s">
        <v>162</v>
      </c>
      <c r="B67" s="39" t="s">
        <v>163</v>
      </c>
      <c r="C67" s="13">
        <f>'A1 - Raw Material Supply'!K114</f>
        <v>3.4579446276776338E-2</v>
      </c>
      <c r="D67" s="1">
        <f>'A2 - Transport'!L118</f>
        <v>2.2378748584909954E-2</v>
      </c>
      <c r="E67" s="62">
        <f>SUM(C67:D67)</f>
        <v>5.6958194861686295E-2</v>
      </c>
      <c r="F67" s="1">
        <f>'A1 - Raw Material Supply'!O114</f>
        <v>3.8115199999999995E-2</v>
      </c>
      <c r="G67" s="1">
        <f>'A2 - Transport'!B118</f>
        <v>1.3743889942399998E-3</v>
      </c>
      <c r="H67" s="62">
        <f>SUM(F67:G67)</f>
        <v>3.9489588994239995E-2</v>
      </c>
      <c r="I67" s="1">
        <f>'A1 - Raw Material Supply'!N114</f>
        <v>2.6232114612031879E-3</v>
      </c>
      <c r="J67" s="1">
        <f>'A2 - Transport'!O118</f>
        <v>2.4737449000000001E-4</v>
      </c>
      <c r="K67" s="62">
        <f>SUM(I67:J67)</f>
        <v>2.870585951203188E-3</v>
      </c>
      <c r="L67" s="1">
        <f>'C3'' - Secondary Raw Material '!B320</f>
        <v>2.132393117742819E-4</v>
      </c>
      <c r="M67" s="1">
        <f>'C2''- Transport Secondary'!D58</f>
        <v>3.55083E-3</v>
      </c>
      <c r="N67" s="62">
        <f t="shared" ref="N67" si="25">SUM(L67:M67)</f>
        <v>3.7640693117742818E-3</v>
      </c>
      <c r="O67" s="1">
        <f>'C3'' - Secondary Raw Material '!C320+'C3'' - Secondary Raw Material '!D320+'C3'' - Secondary Raw Material '!E320</f>
        <v>0</v>
      </c>
      <c r="P67" s="1">
        <f>'C2''- Transport Secondary'!G58</f>
        <v>0</v>
      </c>
      <c r="Q67" s="62">
        <f t="shared" ref="Q67" si="26">SUM(O67:P67)</f>
        <v>0</v>
      </c>
      <c r="R67" s="1">
        <f>'A1 - Raw Material Supply'!Y114</f>
        <v>5.2168551507805029E-3</v>
      </c>
      <c r="S67" s="1">
        <f>'A2 - Transport'!Y118</f>
        <v>9.6788524140000007E-4</v>
      </c>
      <c r="T67" s="62">
        <f>SUM(R67:S67)</f>
        <v>6.1847403921805027E-3</v>
      </c>
      <c r="U67" s="62">
        <f>'A3 - Production '!D206</f>
        <v>2.0014763612854224E-2</v>
      </c>
      <c r="V67" s="62">
        <f>'A4 - Transport'!B17</f>
        <v>4.7342506223999993E-3</v>
      </c>
      <c r="W67" s="1">
        <f>'A5 - Construction'!B139</f>
        <v>5.2131186993360258E-4</v>
      </c>
      <c r="X67" s="1">
        <f>'A5 - Construction'!C139</f>
        <v>7.0101499592773201E-4</v>
      </c>
      <c r="Y67" s="1">
        <f>'A5 - Construction'!D139</f>
        <v>2.55864253327323E-4</v>
      </c>
      <c r="Z67" s="62">
        <f>SUM(W67:Y67)</f>
        <v>1.4781911191886577E-3</v>
      </c>
      <c r="AA67" s="62">
        <f>'C1 - Deconstruction'!B87</f>
        <v>1.1217073342617407E-3</v>
      </c>
      <c r="AB67" s="1">
        <f>'D- Benefits &amp; Burdens'!B161</f>
        <v>1.5495794999999998E-2</v>
      </c>
      <c r="AC67" s="1">
        <f>'D- Benefits &amp; Burdens'!C161</f>
        <v>9.7208322691190062E-4</v>
      </c>
      <c r="AD67" s="62">
        <f>SUM(AB67:AC67)</f>
        <v>1.6467878226911897E-2</v>
      </c>
      <c r="AE67" s="1">
        <f>'D- Benefits &amp; Burdens'!D161</f>
        <v>-4.0179887999999997E-2</v>
      </c>
      <c r="AF67" s="1">
        <f>'D- Benefits &amp; Burdens'!E161</f>
        <v>-7.2480855828086074E-3</v>
      </c>
      <c r="AG67" s="1">
        <f>'D- Benefits &amp; Burdens'!F161</f>
        <v>-1.4655669292787669E-2</v>
      </c>
      <c r="AH67" s="1">
        <f>'D- Benefits &amp; Burdens'!G161</f>
        <v>-8.9310864495955131E-3</v>
      </c>
      <c r="AI67" s="1">
        <f>'D- Benefits &amp; Burdens'!H161</f>
        <v>-2.7097385146776002E-3</v>
      </c>
      <c r="AJ67" s="1">
        <f>'D- Benefits &amp; Burdens'!I161</f>
        <v>-3.6026421728220007E-3</v>
      </c>
      <c r="AK67" s="1">
        <f>'D- Benefits &amp; Burdens'!J161</f>
        <v>-1.5256923866726403E-2</v>
      </c>
      <c r="AL67" s="1">
        <f>'D- Benefits &amp; Burdens'!K161</f>
        <v>-8.1704102738400005E-3</v>
      </c>
      <c r="AM67" s="62">
        <f>SUM(AE67:AL67)</f>
        <v>-0.10075444415325778</v>
      </c>
      <c r="AN67" s="62">
        <f>AD67+AM67</f>
        <v>-8.4286565926345883E-2</v>
      </c>
    </row>
    <row r="68" spans="1:40" x14ac:dyDescent="0.35">
      <c r="A68" s="39" t="s">
        <v>164</v>
      </c>
      <c r="B68" s="39" t="s">
        <v>165</v>
      </c>
      <c r="C68" s="13">
        <f>'A1 - Raw Material Supply'!K115</f>
        <v>2.2293018000920592</v>
      </c>
      <c r="D68" s="1">
        <f>'A2 - Transport'!L119</f>
        <v>12.067875368229734</v>
      </c>
      <c r="E68" s="62">
        <f t="shared" ref="E68:E85" si="27">SUM(C68:D68)</f>
        <v>14.297177168321793</v>
      </c>
      <c r="F68" s="1">
        <f>'A1 - Raw Material Supply'!O115</f>
        <v>11.7448</v>
      </c>
      <c r="G68" s="1">
        <f>'A2 - Transport'!B119</f>
        <v>0.92165995176527982</v>
      </c>
      <c r="H68" s="62">
        <f t="shared" ref="H68:H85" si="28">SUM(F68:G68)</f>
        <v>12.66645995176528</v>
      </c>
      <c r="I68" s="1">
        <f>'A1 - Raw Material Supply'!N115</f>
        <v>0.3428723486060043</v>
      </c>
      <c r="J68" s="1">
        <f>'A2 - Transport'!O119</f>
        <v>0.16588837765499997</v>
      </c>
      <c r="K68" s="62">
        <f t="shared" ref="K68:K85" si="29">SUM(I68:J68)</f>
        <v>0.50876072626100433</v>
      </c>
      <c r="L68" s="1">
        <f>'C3'' - Secondary Raw Material '!B321</f>
        <v>0.16679033795373477</v>
      </c>
      <c r="M68" s="1">
        <f>'C2''- Transport Secondary'!D59</f>
        <v>2.3811728849999998</v>
      </c>
      <c r="N68" s="62">
        <f t="shared" ref="N68:N85" si="30">SUM(L68:M68)</f>
        <v>2.5479632229537348</v>
      </c>
      <c r="O68" s="1">
        <f>'C3'' - Secondary Raw Material '!C321+'C3'' - Secondary Raw Material '!D321+'C3'' - Secondary Raw Material '!E321</f>
        <v>0</v>
      </c>
      <c r="P68" s="1">
        <f>'C2''- Transport Secondary'!G59</f>
        <v>0</v>
      </c>
      <c r="Q68" s="62">
        <f t="shared" ref="Q68:Q85" si="31">SUM(O68:P68)</f>
        <v>0</v>
      </c>
      <c r="R68" s="1">
        <f>'A1 - Raw Material Supply'!Y115</f>
        <v>0.65423526228811013</v>
      </c>
      <c r="S68" s="1">
        <f>'A2 - Transport'!Y119</f>
        <v>0.64906010499329991</v>
      </c>
      <c r="T68" s="62">
        <f t="shared" ref="T68:T85" si="32">SUM(R68:S68)</f>
        <v>1.30329536728141</v>
      </c>
      <c r="U68" s="62">
        <f>'A3 - Production '!D207</f>
        <v>20.056831519468545</v>
      </c>
      <c r="V68" s="62">
        <f>'A4 - Transport'!B18</f>
        <v>3.1747701841127993</v>
      </c>
      <c r="W68" s="1">
        <f>'A5 - Construction'!B140</f>
        <v>0.40775681670534125</v>
      </c>
      <c r="X68" s="1">
        <f>'A5 - Construction'!C140</f>
        <v>0.54831600753423571</v>
      </c>
      <c r="Y68" s="1">
        <f>'A5 - Construction'!D140</f>
        <v>0.20013047747929927</v>
      </c>
      <c r="Z68" s="62">
        <f t="shared" ref="Z68:Z85" si="33">SUM(W68:Y68)</f>
        <v>1.1562033017188762</v>
      </c>
      <c r="AA68" s="62">
        <f>'C1 - Deconstruction'!B88</f>
        <v>0.87737079908012983</v>
      </c>
      <c r="AB68" s="1">
        <f>'D- Benefits &amp; Burdens'!B162</f>
        <v>5.6642582149999994</v>
      </c>
      <c r="AC68" s="1">
        <f>'D- Benefits &amp; Burdens'!C162</f>
        <v>0.76033864762898462</v>
      </c>
      <c r="AD68" s="62">
        <f t="shared" ref="AD68:AD85" si="34">SUM(AB68:AC68)</f>
        <v>6.4245968626289844</v>
      </c>
      <c r="AE68" s="1">
        <f>'D- Benefits &amp; Burdens'!D162</f>
        <v>-12.381012</v>
      </c>
      <c r="AF68" s="1">
        <f>'D- Benefits &amp; Burdens'!E162</f>
        <v>-0.94737620791540567</v>
      </c>
      <c r="AG68" s="1">
        <f>'D- Benefits &amp; Burdens'!F162</f>
        <v>-0.76160680160773897</v>
      </c>
      <c r="AH68" s="1">
        <f>'D- Benefits &amp; Burdens'!G162</f>
        <v>-1.0130154825271522</v>
      </c>
      <c r="AI68" s="1">
        <f>'D- Benefits &amp; Burdens'!H162</f>
        <v>-0.99050475579113528</v>
      </c>
      <c r="AJ68" s="1">
        <f>'D- Benefits &amp; Burdens'!I162</f>
        <v>-1.316892455218494</v>
      </c>
      <c r="AK68" s="1">
        <f>'D- Benefits &amp; Burdens'!J162</f>
        <v>-5.5769424122953737</v>
      </c>
      <c r="AL68" s="1">
        <f>'D- Benefits &amp; Burdens'!K162</f>
        <v>-2.9865723903496799</v>
      </c>
      <c r="AM68" s="62">
        <f t="shared" ref="AM68:AM85" si="35">SUM(AE68:AL68)</f>
        <v>-25.973922505704977</v>
      </c>
      <c r="AN68" s="62">
        <f t="shared" ref="AN68:AN85" si="36">AD68+AM68</f>
        <v>-19.549325643075992</v>
      </c>
    </row>
    <row r="69" spans="1:40" x14ac:dyDescent="0.35">
      <c r="A69" s="39" t="s">
        <v>166</v>
      </c>
      <c r="B69" s="39" t="s">
        <v>165</v>
      </c>
      <c r="C69" s="13">
        <f>'A1 - Raw Material Supply'!K116</f>
        <v>4.2202219772539571E-3</v>
      </c>
      <c r="D69" s="1">
        <f>'A2 - Transport'!L120</f>
        <v>5.5244784892048279E-3</v>
      </c>
      <c r="E69" s="62">
        <f t="shared" si="27"/>
        <v>9.744700466458785E-3</v>
      </c>
      <c r="F69" s="1">
        <f>'A1 - Raw Material Supply'!O116</f>
        <v>4.6536000000000001E-2</v>
      </c>
      <c r="G69" s="1">
        <f>'A2 - Transport'!B120</f>
        <v>4.30742946576E-4</v>
      </c>
      <c r="H69" s="62">
        <f t="shared" si="28"/>
        <v>4.6966742946576004E-2</v>
      </c>
      <c r="I69" s="1">
        <f>'A1 - Raw Material Supply'!N116</f>
        <v>5.3472108386883287E-3</v>
      </c>
      <c r="J69" s="1">
        <f>'A2 - Transport'!O120</f>
        <v>7.7528863499999999E-5</v>
      </c>
      <c r="K69" s="62">
        <f t="shared" si="29"/>
        <v>5.4247397021883288E-3</v>
      </c>
      <c r="L69" s="1">
        <f>'C3'' - Secondary Raw Material '!B322</f>
        <v>3.4471332246079752E-5</v>
      </c>
      <c r="M69" s="1">
        <f>'C2''- Transport Secondary'!D60</f>
        <v>1.1128545000000001E-3</v>
      </c>
      <c r="N69" s="62">
        <f t="shared" si="30"/>
        <v>1.1473258322460798E-3</v>
      </c>
      <c r="O69" s="1">
        <f>'C3'' - Secondary Raw Material '!C322+'C3'' - Secondary Raw Material '!D322+'C3'' - Secondary Raw Material '!E322</f>
        <v>0</v>
      </c>
      <c r="P69" s="1">
        <f>'C2''- Transport Secondary'!G60</f>
        <v>0</v>
      </c>
      <c r="Q69" s="62">
        <f t="shared" si="31"/>
        <v>0</v>
      </c>
      <c r="R69" s="1">
        <f>'A1 - Raw Material Supply'!Y116</f>
        <v>0.1068681104617966</v>
      </c>
      <c r="S69" s="1">
        <f>'A2 - Transport'!Y120</f>
        <v>3.0334187961000001E-4</v>
      </c>
      <c r="T69" s="62">
        <f t="shared" si="32"/>
        <v>0.1071714523414066</v>
      </c>
      <c r="U69" s="62">
        <f>'A3 - Production '!D208</f>
        <v>6.7638324489906329E-3</v>
      </c>
      <c r="V69" s="62">
        <f>'A4 - Transport'!B19</f>
        <v>1.4837466477599999E-3</v>
      </c>
      <c r="W69" s="1">
        <f>'A5 - Construction'!B141</f>
        <v>8.4272991329705047E-5</v>
      </c>
      <c r="X69" s="1">
        <f>'A5 - Construction'!C141</f>
        <v>1.1332301081372908E-4</v>
      </c>
      <c r="Y69" s="1">
        <f>'A5 - Construction'!D141</f>
        <v>4.1361893418964866E-5</v>
      </c>
      <c r="Z69" s="62">
        <f t="shared" si="33"/>
        <v>2.3895789556239896E-4</v>
      </c>
      <c r="AA69" s="62">
        <f>'C1 - Deconstruction'!B89</f>
        <v>1.8133028980664895E-4</v>
      </c>
      <c r="AB69" s="1">
        <f>'D- Benefits &amp; Burdens'!B163</f>
        <v>2.6179579999999997E-3</v>
      </c>
      <c r="AC69" s="1">
        <f>'D- Benefits &amp; Burdens'!C163</f>
        <v>1.5714271260259654E-4</v>
      </c>
      <c r="AD69" s="62">
        <f t="shared" si="34"/>
        <v>2.7751007126025963E-3</v>
      </c>
      <c r="AE69" s="1">
        <f>'D- Benefits &amp; Burdens'!D163</f>
        <v>-4.9056840000000004E-2</v>
      </c>
      <c r="AF69" s="1">
        <f>'D- Benefits &amp; Burdens'!E163</f>
        <v>-1.4774654030505841E-2</v>
      </c>
      <c r="AG69" s="1">
        <f>'D- Benefits &amp; Burdens'!F163</f>
        <v>-2.347542500540156E-3</v>
      </c>
      <c r="AH69" s="1">
        <f>'D- Benefits &amp; Burdens'!G163</f>
        <v>2.4371335735976125E-4</v>
      </c>
      <c r="AI69" s="1">
        <f>'D- Benefits &amp; Burdens'!H163</f>
        <v>-4.5780043053024E-4</v>
      </c>
      <c r="AJ69" s="1">
        <f>'D- Benefits &amp; Burdens'!I163</f>
        <v>-6.0865324415279999E-4</v>
      </c>
      <c r="AK69" s="1">
        <f>'D- Benefits &amp; Burdens'!J163</f>
        <v>-2.5776015939993602E-3</v>
      </c>
      <c r="AL69" s="1">
        <f>'D- Benefits &amp; Burdens'!K163</f>
        <v>-1.380360990816E-3</v>
      </c>
      <c r="AM69" s="62">
        <f t="shared" si="35"/>
        <v>-7.0959739433184649E-2</v>
      </c>
      <c r="AN69" s="62">
        <f t="shared" si="36"/>
        <v>-6.8184638720582058E-2</v>
      </c>
    </row>
    <row r="70" spans="1:40" x14ac:dyDescent="0.35">
      <c r="A70" s="39" t="s">
        <v>167</v>
      </c>
      <c r="B70" s="39" t="s">
        <v>165</v>
      </c>
      <c r="C70" s="13">
        <f>'A1 - Raw Material Supply'!K117</f>
        <v>2.2245012281158112</v>
      </c>
      <c r="D70" s="1">
        <f>'A2 - Transport'!L121</f>
        <v>12.06088063805373</v>
      </c>
      <c r="E70" s="62">
        <f t="shared" si="27"/>
        <v>14.285381866169541</v>
      </c>
      <c r="F70" s="1">
        <f>'A1 - Raw Material Supply'!O117</f>
        <v>11.700479999999999</v>
      </c>
      <c r="G70" s="1">
        <f>'A2 - Transport'!B121</f>
        <v>0.92115589920863994</v>
      </c>
      <c r="H70" s="62">
        <f t="shared" si="28"/>
        <v>12.621635899208639</v>
      </c>
      <c r="I70" s="1">
        <f>'A1 - Raw Material Supply'!N117</f>
        <v>0.3369456631463485</v>
      </c>
      <c r="J70" s="1">
        <f>'A2 - Transport'!O121</f>
        <v>0.16579765389000001</v>
      </c>
      <c r="K70" s="62">
        <f t="shared" si="29"/>
        <v>0.50274331703634845</v>
      </c>
      <c r="L70" s="1">
        <f>'C3'' - Secondary Raw Material '!B323</f>
        <v>0.16674849071700243</v>
      </c>
      <c r="M70" s="1">
        <f>'C2''- Transport Secondary'!D61</f>
        <v>2.3798706300000001</v>
      </c>
      <c r="N70" s="62">
        <f t="shared" si="30"/>
        <v>2.5466191207170024</v>
      </c>
      <c r="O70" s="1">
        <f>'C3'' - Secondary Raw Material '!C323+'C3'' - Secondary Raw Material '!D323+'C3'' - Secondary Raw Material '!E323</f>
        <v>0</v>
      </c>
      <c r="P70" s="1">
        <f>'C2''- Transport Secondary'!G61</f>
        <v>0</v>
      </c>
      <c r="Q70" s="62">
        <f t="shared" si="31"/>
        <v>0</v>
      </c>
      <c r="R70" s="1">
        <f>'A1 - Raw Material Supply'!Y117</f>
        <v>0.5469162215913369</v>
      </c>
      <c r="S70" s="1">
        <f>'A2 - Transport'!Y121</f>
        <v>0.64870513632540006</v>
      </c>
      <c r="T70" s="62">
        <f t="shared" si="32"/>
        <v>1.195621357916737</v>
      </c>
      <c r="U70" s="62">
        <f>'A3 - Production '!D209</f>
        <v>20.046561376516376</v>
      </c>
      <c r="V70" s="62">
        <f>'A4 - Transport'!B20</f>
        <v>3.1730339135663996</v>
      </c>
      <c r="W70" s="1">
        <f>'A5 - Construction'!B142</f>
        <v>0.40765451164230682</v>
      </c>
      <c r="X70" s="1">
        <f>'A5 - Construction'!C142</f>
        <v>0.54817843655708609</v>
      </c>
      <c r="Y70" s="1">
        <f>'A5 - Construction'!D142</f>
        <v>0.20008026529332268</v>
      </c>
      <c r="Z70" s="62">
        <f t="shared" si="33"/>
        <v>1.1559132134927155</v>
      </c>
      <c r="AA70" s="62">
        <f>'C1 - Deconstruction'!B90</f>
        <v>0.87715066916144513</v>
      </c>
      <c r="AB70" s="1">
        <f>'D- Benefits &amp; Burdens'!B164</f>
        <v>5.6611948749999996</v>
      </c>
      <c r="AC70" s="1">
        <f>'D- Benefits &amp; Burdens'!C164</f>
        <v>0.76014788075498918</v>
      </c>
      <c r="AD70" s="62">
        <f t="shared" si="34"/>
        <v>6.4213427557549885</v>
      </c>
      <c r="AE70" s="1">
        <f>'D- Benefits &amp; Burdens'!D164</f>
        <v>-12.334291199999999</v>
      </c>
      <c r="AF70" s="1">
        <f>'D- Benefits &amp; Burdens'!E164</f>
        <v>-0.93100043186025327</v>
      </c>
      <c r="AG70" s="1">
        <f>'D- Benefits &amp; Burdens'!F164</f>
        <v>-0.75900889721440212</v>
      </c>
      <c r="AH70" s="1">
        <f>'D- Benefits &amp; Burdens'!G164</f>
        <v>-1.0131197910789436</v>
      </c>
      <c r="AI70" s="1">
        <f>'D- Benefits &amp; Burdens'!H164</f>
        <v>-0.98996907173093995</v>
      </c>
      <c r="AJ70" s="1">
        <f>'D- Benefits &amp; Burdens'!I164</f>
        <v>-1.3161802544005501</v>
      </c>
      <c r="AK70" s="1">
        <f>'D- Benefits &amp; Burdens'!J164</f>
        <v>-5.5739262943641608</v>
      </c>
      <c r="AL70" s="1">
        <f>'D- Benefits &amp; Burdens'!K164</f>
        <v>-2.9849571944459998</v>
      </c>
      <c r="AM70" s="62">
        <f t="shared" si="35"/>
        <v>-25.90245313509525</v>
      </c>
      <c r="AN70" s="62">
        <f t="shared" si="36"/>
        <v>-19.481110379340262</v>
      </c>
    </row>
    <row r="71" spans="1:40" x14ac:dyDescent="0.35">
      <c r="A71" s="39" t="s">
        <v>168</v>
      </c>
      <c r="B71" s="39" t="s">
        <v>165</v>
      </c>
      <c r="C71" s="13">
        <f>'A1 - Raw Material Supply'!K118</f>
        <v>5.8034999899390319E-4</v>
      </c>
      <c r="D71" s="1">
        <f>'A2 - Transport'!L122</f>
        <v>1.470237240999544E-3</v>
      </c>
      <c r="E71" s="62">
        <f t="shared" si="27"/>
        <v>2.0505872399934474E-3</v>
      </c>
      <c r="F71" s="1">
        <f>'A1 - Raw Material Supply'!O118</f>
        <v>5.8723999999999998E-3</v>
      </c>
      <c r="G71" s="1">
        <f>'A2 - Transport'!B122</f>
        <v>7.3308448880000007E-5</v>
      </c>
      <c r="H71" s="62">
        <f t="shared" si="28"/>
        <v>5.9457084488800001E-3</v>
      </c>
      <c r="I71" s="1">
        <f>'A1 - Raw Material Supply'!N118</f>
        <v>5.7947462096743238E-4</v>
      </c>
      <c r="J71" s="1">
        <f>'A2 - Transport'!O122</f>
        <v>1.3194692499999999E-5</v>
      </c>
      <c r="K71" s="62">
        <f t="shared" si="29"/>
        <v>5.9266931346743234E-4</v>
      </c>
      <c r="L71" s="1">
        <f>'C3'' - Secondary Raw Material '!B324</f>
        <v>7.375904486254632E-6</v>
      </c>
      <c r="M71" s="1">
        <f>'C2''- Transport Secondary'!D62</f>
        <v>1.8939749999999998E-4</v>
      </c>
      <c r="N71" s="62">
        <f t="shared" si="30"/>
        <v>1.9677340448625462E-4</v>
      </c>
      <c r="O71" s="1">
        <f>'C3'' - Secondary Raw Material '!C324+'C3'' - Secondary Raw Material '!D324+'C3'' - Secondary Raw Material '!E324</f>
        <v>0</v>
      </c>
      <c r="P71" s="1">
        <f>'C2''- Transport Secondary'!G62</f>
        <v>0</v>
      </c>
      <c r="Q71" s="62">
        <f t="shared" si="31"/>
        <v>0</v>
      </c>
      <c r="R71" s="1">
        <f>'A1 - Raw Material Supply'!Y118</f>
        <v>4.5093023497641831E-4</v>
      </c>
      <c r="S71" s="1">
        <f>'A2 - Transport'!Y122</f>
        <v>5.1625970550000002E-5</v>
      </c>
      <c r="T71" s="62">
        <f t="shared" si="32"/>
        <v>5.0255620552641829E-4</v>
      </c>
      <c r="U71" s="62">
        <f>'A3 - Production '!D210</f>
        <v>3.5063105031793141E-3</v>
      </c>
      <c r="V71" s="62">
        <f>'A4 - Transport'!B21</f>
        <v>2.5251989879999996E-4</v>
      </c>
      <c r="W71" s="1">
        <f>'A5 - Construction'!B143</f>
        <v>1.803207170472964E-5</v>
      </c>
      <c r="X71" s="1">
        <f>'A5 - Construction'!C143</f>
        <v>2.4247966335908719E-5</v>
      </c>
      <c r="Y71" s="1">
        <f>'A5 - Construction'!D143</f>
        <v>8.8502925576258877E-6</v>
      </c>
      <c r="Z71" s="62">
        <f t="shared" si="33"/>
        <v>5.1130330598264246E-5</v>
      </c>
      <c r="AA71" s="62">
        <f>'C1 - Deconstruction'!B91</f>
        <v>3.8799628878016996E-5</v>
      </c>
      <c r="AB71" s="1">
        <f>'D- Benefits &amp; Burdens'!B165</f>
        <v>4.4537149999999997E-4</v>
      </c>
      <c r="AC71" s="1">
        <f>'D- Benefits &amp; Burdens'!C165</f>
        <v>3.3624161392820239E-5</v>
      </c>
      <c r="AD71" s="62">
        <f t="shared" si="34"/>
        <v>4.7899566139282019E-4</v>
      </c>
      <c r="AE71" s="1">
        <f>'D- Benefits &amp; Burdens'!D165</f>
        <v>-6.1905060000000001E-3</v>
      </c>
      <c r="AF71" s="1">
        <f>'D- Benefits &amp; Burdens'!E165</f>
        <v>-1.6011220246464912E-3</v>
      </c>
      <c r="AG71" s="1">
        <f>'D- Benefits &amp; Burdens'!F165</f>
        <v>-2.5036189279653651E-4</v>
      </c>
      <c r="AH71" s="1">
        <f>'D- Benefits &amp; Burdens'!G165</f>
        <v>-1.3940480556886E-4</v>
      </c>
      <c r="AI71" s="1">
        <f>'D- Benefits &amp; Burdens'!H165</f>
        <v>-7.7881793537520005E-5</v>
      </c>
      <c r="AJ71" s="1">
        <f>'D- Benefits &amp; Burdens'!I165</f>
        <v>-1.0354513262940002E-4</v>
      </c>
      <c r="AK71" s="1">
        <f>'D- Benefits &amp; Burdens'!J165</f>
        <v>-4.3850599907328006E-4</v>
      </c>
      <c r="AL71" s="1">
        <f>'D- Benefits &amp; Burdens'!K165</f>
        <v>-2.3482937656799999E-4</v>
      </c>
      <c r="AM71" s="62">
        <f t="shared" si="35"/>
        <v>-9.0361570248200882E-3</v>
      </c>
      <c r="AN71" s="62">
        <f t="shared" si="36"/>
        <v>-8.5571613634272681E-3</v>
      </c>
    </row>
    <row r="72" spans="1:40" x14ac:dyDescent="0.35">
      <c r="A72" s="39" t="s">
        <v>169</v>
      </c>
      <c r="B72" s="39" t="s">
        <v>170</v>
      </c>
      <c r="C72" s="13">
        <f>'A1 - Raw Material Supply'!K119</f>
        <v>14.825596162836254</v>
      </c>
      <c r="D72" s="1">
        <f>'A2 - Transport'!L123</f>
        <v>10.457363622615427</v>
      </c>
      <c r="E72" s="62">
        <f t="shared" si="27"/>
        <v>25.282959785451681</v>
      </c>
      <c r="F72" s="1">
        <f>'A1 - Raw Material Supply'!O119</f>
        <v>631.55999999999995</v>
      </c>
      <c r="G72" s="1">
        <f>'A2 - Transport'!B123</f>
        <v>0.79160206037808001</v>
      </c>
      <c r="H72" s="62">
        <f t="shared" si="28"/>
        <v>632.35160206037801</v>
      </c>
      <c r="I72" s="1">
        <f>'A1 - Raw Material Supply'!N119</f>
        <v>1.0702763726030411</v>
      </c>
      <c r="J72" s="1">
        <f>'A2 - Transport'!O123</f>
        <v>0.14247942670499997</v>
      </c>
      <c r="K72" s="62">
        <f t="shared" si="29"/>
        <v>1.2127557993080411</v>
      </c>
      <c r="L72" s="1">
        <f>'C3'' - Secondary Raw Material '!B325</f>
        <v>7.3693079401887573E-2</v>
      </c>
      <c r="M72" s="1">
        <f>'C2''- Transport Secondary'!D63</f>
        <v>2.0451592349999999</v>
      </c>
      <c r="N72" s="62">
        <f t="shared" si="30"/>
        <v>2.1188523144018876</v>
      </c>
      <c r="O72" s="1">
        <f>'C3'' - Secondary Raw Material '!C325+'C3'' - Secondary Raw Material '!D325+'C3'' - Secondary Raw Material '!E325</f>
        <v>0</v>
      </c>
      <c r="P72" s="1">
        <f>'C2''- Transport Secondary'!G63</f>
        <v>0</v>
      </c>
      <c r="Q72" s="62">
        <f t="shared" si="31"/>
        <v>0</v>
      </c>
      <c r="R72" s="1">
        <f>'A1 - Raw Material Supply'!Y119</f>
        <v>2.7323846812273751</v>
      </c>
      <c r="S72" s="1">
        <f>'A2 - Transport'!Y123</f>
        <v>0.55746950427629993</v>
      </c>
      <c r="T72" s="62">
        <f t="shared" si="32"/>
        <v>3.2898541855036751</v>
      </c>
      <c r="U72" s="62">
        <f>'A3 - Production '!D211</f>
        <v>10.992850081682223</v>
      </c>
      <c r="V72" s="62">
        <f>'A4 - Transport'!B22</f>
        <v>2.7267699048407996</v>
      </c>
      <c r="W72" s="1">
        <f>'A5 - Construction'!B144</f>
        <v>0.180159449514772</v>
      </c>
      <c r="X72" s="1">
        <f>'A5 - Construction'!C144</f>
        <v>0.24226280476603371</v>
      </c>
      <c r="Y72" s="1">
        <f>'A5 - Construction'!D144</f>
        <v>8.8423774114005468E-2</v>
      </c>
      <c r="Z72" s="62">
        <f t="shared" si="33"/>
        <v>0.51084602839481119</v>
      </c>
      <c r="AA72" s="62">
        <f>'C1 - Deconstruction'!B92</f>
        <v>0.38764928924986203</v>
      </c>
      <c r="AB72" s="1">
        <f>'D- Benefits &amp; Burdens'!B166</f>
        <v>4.81378898</v>
      </c>
      <c r="AC72" s="1">
        <f>'D- Benefits &amp; Burdens'!C166</f>
        <v>0.33594090053099462</v>
      </c>
      <c r="AD72" s="62">
        <f t="shared" si="34"/>
        <v>5.1497298805309946</v>
      </c>
      <c r="AE72" s="1">
        <f>'D- Benefits &amp; Burdens'!D166</f>
        <v>-665.77139999999997</v>
      </c>
      <c r="AF72" s="1">
        <f>'D- Benefits &amp; Burdens'!E166</f>
        <v>-2.9572357625819019</v>
      </c>
      <c r="AG72" s="1">
        <f>'D- Benefits &amp; Burdens'!F166</f>
        <v>-7.5255544780829347</v>
      </c>
      <c r="AH72" s="1">
        <f>'D- Benefits &amp; Burdens'!G166</f>
        <v>-0.86515576199929611</v>
      </c>
      <c r="AI72" s="1">
        <f>'D- Benefits &amp; Burdens'!H166</f>
        <v>-0.84178381300453442</v>
      </c>
      <c r="AJ72" s="1">
        <f>'D- Benefits &amp; Burdens'!I166</f>
        <v>-1.1191655020225681</v>
      </c>
      <c r="AK72" s="1">
        <f>'D- Benefits &amp; Burdens'!J166</f>
        <v>-4.7395833500860425</v>
      </c>
      <c r="AL72" s="1">
        <f>'D- Benefits &amp; Burdens'!K166</f>
        <v>-2.53814863569696</v>
      </c>
      <c r="AM72" s="62">
        <f t="shared" si="35"/>
        <v>-686.35802730347427</v>
      </c>
      <c r="AN72" s="62">
        <f t="shared" si="36"/>
        <v>-681.20829742294325</v>
      </c>
    </row>
    <row r="73" spans="1:40" ht="29" x14ac:dyDescent="0.35">
      <c r="A73" s="39" t="s">
        <v>171</v>
      </c>
      <c r="B73" s="39" t="s">
        <v>172</v>
      </c>
      <c r="C73" s="13">
        <f>'A1 - Raw Material Supply'!K120</f>
        <v>30.653943865945653</v>
      </c>
      <c r="D73" s="1">
        <f>'A2 - Transport'!L124</f>
        <v>161.70293896056825</v>
      </c>
      <c r="E73" s="62">
        <f t="shared" si="27"/>
        <v>192.3568828265139</v>
      </c>
      <c r="F73" s="1">
        <f>'A1 - Raw Material Supply'!O120</f>
        <v>1014.928</v>
      </c>
      <c r="G73" s="1">
        <f>'A2 - Transport'!B124</f>
        <v>12.4045847292992</v>
      </c>
      <c r="H73" s="62">
        <f t="shared" si="28"/>
        <v>1027.3325847292992</v>
      </c>
      <c r="I73" s="1">
        <f>'A1 - Raw Material Supply'!N120</f>
        <v>5.7415722929854773</v>
      </c>
      <c r="J73" s="1">
        <f>'A2 - Transport'!O124</f>
        <v>2.2326850941999998</v>
      </c>
      <c r="K73" s="62">
        <f t="shared" si="29"/>
        <v>7.9742573871854772</v>
      </c>
      <c r="L73" s="1">
        <f>'C3'' - Secondary Raw Material '!B326</f>
        <v>2.2154215403498743</v>
      </c>
      <c r="M73" s="1">
        <f>'C2''- Transport Secondary'!D64</f>
        <v>32.048111399999996</v>
      </c>
      <c r="N73" s="62">
        <f t="shared" si="30"/>
        <v>34.263532940349869</v>
      </c>
      <c r="O73" s="1">
        <f>'C3'' - Secondary Raw Material '!C326+'C3'' - Secondary Raw Material '!D326+'C3'' - Secondary Raw Material '!E326</f>
        <v>0</v>
      </c>
      <c r="P73" s="1">
        <f>'C2''- Transport Secondary'!G64</f>
        <v>0</v>
      </c>
      <c r="Q73" s="62">
        <f t="shared" si="31"/>
        <v>0</v>
      </c>
      <c r="R73" s="1">
        <f>'A1 - Raw Material Supply'!Y120</f>
        <v>7.5519828674110823</v>
      </c>
      <c r="S73" s="1">
        <f>'A2 - Transport'!Y124</f>
        <v>8.7356742054119998</v>
      </c>
      <c r="T73" s="62">
        <f t="shared" si="32"/>
        <v>16.28765707282308</v>
      </c>
      <c r="U73" s="62">
        <f>'A3 - Production '!D212</f>
        <v>373.88164528814639</v>
      </c>
      <c r="V73" s="62">
        <f>'A4 - Transport'!B23</f>
        <v>42.729105967391988</v>
      </c>
      <c r="W73" s="1">
        <f>'A5 - Construction'!B145</f>
        <v>5.4161005129930588</v>
      </c>
      <c r="X73" s="1">
        <f>'A5 - Construction'!C145</f>
        <v>7.283102300248018</v>
      </c>
      <c r="Y73" s="1">
        <f>'A5 - Construction'!D145</f>
        <v>2.6582677157901702</v>
      </c>
      <c r="Z73" s="62">
        <f t="shared" si="33"/>
        <v>15.357470529031247</v>
      </c>
      <c r="AA73" s="62">
        <f>'C1 - Deconstruction'!B93</f>
        <v>11.65382953834693</v>
      </c>
      <c r="AB73" s="1">
        <f>'D- Benefits &amp; Burdens'!B167</f>
        <v>76.157886349999984</v>
      </c>
      <c r="AC73" s="1">
        <f>'D- Benefits &amp; Burdens'!C167</f>
        <v>10.099329724872872</v>
      </c>
      <c r="AD73" s="62">
        <f t="shared" si="34"/>
        <v>86.257216074872858</v>
      </c>
      <c r="AE73" s="1">
        <f>'D- Benefits &amp; Burdens'!D167</f>
        <v>-1069.9063200000001</v>
      </c>
      <c r="AF73" s="1">
        <f>'D- Benefits &amp; Burdens'!E167</f>
        <v>-15.864297627135885</v>
      </c>
      <c r="AG73" s="1">
        <f>'D- Benefits &amp; Burdens'!F167</f>
        <v>-10.791774022823558</v>
      </c>
      <c r="AH73" s="1">
        <f>'D- Benefits &amp; Burdens'!G167</f>
        <v>-13.16743971431517</v>
      </c>
      <c r="AI73" s="1">
        <f>'D- Benefits &amp; Burdens'!H167</f>
        <v>-13.317674752346328</v>
      </c>
      <c r="AJ73" s="1">
        <f>'D- Benefits &amp; Burdens'!I167</f>
        <v>-17.706068850129661</v>
      </c>
      <c r="AK73" s="1">
        <f>'D- Benefits &amp; Burdens'!J167</f>
        <v>-74.983895559585804</v>
      </c>
      <c r="AL73" s="1">
        <f>'D- Benefits &amp; Burdens'!K167</f>
        <v>-40.155485863615191</v>
      </c>
      <c r="AM73" s="62">
        <f t="shared" si="35"/>
        <v>-1255.8929563899517</v>
      </c>
      <c r="AN73" s="62">
        <f t="shared" si="36"/>
        <v>-1169.6357403150789</v>
      </c>
    </row>
    <row r="74" spans="1:40" ht="29" x14ac:dyDescent="0.35">
      <c r="A74" s="39" t="s">
        <v>173</v>
      </c>
      <c r="B74" s="39" t="s">
        <v>174</v>
      </c>
      <c r="C74" s="13">
        <f>'A1 - Raw Material Supply'!K121</f>
        <v>1.4175507165429532E-4</v>
      </c>
      <c r="D74" s="1">
        <f>'A2 - Transport'!L125</f>
        <v>3.2171550773345866E-4</v>
      </c>
      <c r="E74" s="62">
        <f t="shared" si="27"/>
        <v>4.6347057938775398E-4</v>
      </c>
      <c r="F74" s="1">
        <f>'A1 - Raw Material Supply'!O121</f>
        <v>9.8611999999999997E-6</v>
      </c>
      <c r="G74" s="1">
        <f>'A2 - Transport'!B125</f>
        <v>2.1497521924799997E-5</v>
      </c>
      <c r="H74" s="62">
        <f t="shared" si="28"/>
        <v>3.1358721924799997E-5</v>
      </c>
      <c r="I74" s="1">
        <f>'A1 - Raw Material Supply'!N121</f>
        <v>2.0602576049366829E-4</v>
      </c>
      <c r="J74" s="1">
        <f>'A2 - Transport'!O125</f>
        <v>3.8693110499999996E-6</v>
      </c>
      <c r="K74" s="62">
        <f t="shared" si="29"/>
        <v>2.098950715436683E-4</v>
      </c>
      <c r="L74" s="1">
        <f>'C3'' - Secondary Raw Material '!B327</f>
        <v>1.7631993026448645E-6</v>
      </c>
      <c r="M74" s="1">
        <f>'C2''- Transport Secondary'!D65</f>
        <v>5.5540349999999998E-5</v>
      </c>
      <c r="N74" s="62">
        <f t="shared" si="30"/>
        <v>5.7303549302644864E-5</v>
      </c>
      <c r="O74" s="1">
        <f>'C3'' - Secondary Raw Material '!C327+'C3'' - Secondary Raw Material '!D327+'C3'' - Secondary Raw Material '!E327</f>
        <v>0</v>
      </c>
      <c r="P74" s="1">
        <f>'C2''- Transport Secondary'!G65</f>
        <v>0</v>
      </c>
      <c r="Q74" s="62">
        <f t="shared" si="31"/>
        <v>0</v>
      </c>
      <c r="R74" s="1">
        <f>'A1 - Raw Material Supply'!Y121</f>
        <v>1.7251445628132297E-4</v>
      </c>
      <c r="S74" s="1">
        <f>'A2 - Transport'!Y125</f>
        <v>1.5139188602999998E-5</v>
      </c>
      <c r="T74" s="62">
        <f t="shared" si="32"/>
        <v>1.8765364488432297E-4</v>
      </c>
      <c r="U74" s="62">
        <f>'A3 - Production '!D213</f>
        <v>6.9167395399666928E-4</v>
      </c>
      <c r="V74" s="62">
        <f>'A4 - Transport'!B24</f>
        <v>7.4050837847999975E-5</v>
      </c>
      <c r="W74" s="1">
        <f>'A5 - Construction'!B146</f>
        <v>4.3105406685066843E-6</v>
      </c>
      <c r="X74" s="1">
        <f>'A5 - Construction'!C146</f>
        <v>5.7964412925498993E-6</v>
      </c>
      <c r="Y74" s="1">
        <f>'A5 - Construction'!D146</f>
        <v>2.1156496392936459E-6</v>
      </c>
      <c r="Z74" s="62">
        <f t="shared" si="33"/>
        <v>1.2222631600350229E-5</v>
      </c>
      <c r="AA74" s="62">
        <f>'C1 - Deconstruction'!B94</f>
        <v>9.2749951830432911E-6</v>
      </c>
      <c r="AB74" s="1">
        <f>'D- Benefits &amp; Burdens'!B168</f>
        <v>1.3030499999999999E-4</v>
      </c>
      <c r="AC74" s="1">
        <f>'D- Benefits &amp; Burdens'!C168</f>
        <v>8.0378071638972046E-6</v>
      </c>
      <c r="AD74" s="62">
        <f t="shared" si="34"/>
        <v>1.383428071638972E-4</v>
      </c>
      <c r="AE74" s="1">
        <f>'D- Benefits &amp; Burdens'!D168</f>
        <v>-1.0395377999999999E-5</v>
      </c>
      <c r="AF74" s="1">
        <f>'D- Benefits &amp; Burdens'!E168</f>
        <v>-5.6926113903009868E-4</v>
      </c>
      <c r="AG74" s="1">
        <f>'D- Benefits &amp; Burdens'!F168</f>
        <v>-5.6275216266641469E-5</v>
      </c>
      <c r="AH74" s="1">
        <f>'D- Benefits &amp; Burdens'!G168</f>
        <v>-4.5690197620322211E-5</v>
      </c>
      <c r="AI74" s="1">
        <f>'D- Benefits &amp; Burdens'!H168</f>
        <v>-2.2786341530400002E-5</v>
      </c>
      <c r="AJ74" s="1">
        <f>'D- Benefits &amp; Burdens'!I168</f>
        <v>-3.0294817938E-5</v>
      </c>
      <c r="AK74" s="1">
        <f>'D- Benefits &amp; Burdens'!J168</f>
        <v>-1.2829631938560002E-4</v>
      </c>
      <c r="AL74" s="1">
        <f>'D- Benefits &amp; Burdens'!K168</f>
        <v>-6.8705433359999999E-5</v>
      </c>
      <c r="AM74" s="62">
        <f t="shared" si="35"/>
        <v>-9.3170484313106225E-4</v>
      </c>
      <c r="AN74" s="62">
        <f t="shared" si="36"/>
        <v>-7.9336203596716505E-4</v>
      </c>
    </row>
    <row r="75" spans="1:40" ht="29" x14ac:dyDescent="0.35">
      <c r="A75" s="39" t="s">
        <v>175</v>
      </c>
      <c r="B75" s="39" t="s">
        <v>176</v>
      </c>
      <c r="C75" s="13">
        <f>'A1 - Raw Material Supply'!K122</f>
        <v>1.3122559859339928E-2</v>
      </c>
      <c r="D75" s="1">
        <f>'A2 - Transport'!L126</f>
        <v>6.1208276808725681E-3</v>
      </c>
      <c r="E75" s="62">
        <f t="shared" si="27"/>
        <v>1.9243387540212497E-2</v>
      </c>
      <c r="F75" s="1">
        <f>'A1 - Raw Material Supply'!O122</f>
        <v>9.8390400000000003E-3</v>
      </c>
      <c r="G75" s="1">
        <f>'A2 - Transport'!B126</f>
        <v>2.99569215424E-4</v>
      </c>
      <c r="H75" s="62">
        <f t="shared" si="28"/>
        <v>1.0138609215424E-2</v>
      </c>
      <c r="I75" s="1">
        <f>'A1 - Raw Material Supply'!N122</f>
        <v>5.9408007154618291E-4</v>
      </c>
      <c r="J75" s="1">
        <f>'A2 - Transport'!O126</f>
        <v>5.3919073999999992E-5</v>
      </c>
      <c r="K75" s="62">
        <f t="shared" si="29"/>
        <v>6.4799914554618287E-4</v>
      </c>
      <c r="L75" s="1">
        <f>'C3'' - Secondary Raw Material '!B328</f>
        <v>4.8220355792551409E-5</v>
      </c>
      <c r="M75" s="1">
        <f>'C2''- Transport Secondary'!D66</f>
        <v>7.7395799999999994E-4</v>
      </c>
      <c r="N75" s="62">
        <f t="shared" si="30"/>
        <v>8.2217835579255136E-4</v>
      </c>
      <c r="O75" s="1">
        <f>'C3'' - Secondary Raw Material '!C328+'C3'' - Secondary Raw Material '!D328+'C3'' - Secondary Raw Material '!E328</f>
        <v>0</v>
      </c>
      <c r="P75" s="1">
        <f>'C2''- Transport Secondary'!G66</f>
        <v>0</v>
      </c>
      <c r="Q75" s="62">
        <f t="shared" si="31"/>
        <v>0</v>
      </c>
      <c r="R75" s="1">
        <f>'A1 - Raw Material Supply'!Y122</f>
        <v>1.0307679995824358E-3</v>
      </c>
      <c r="S75" s="1">
        <f>'A2 - Transport'!Y126</f>
        <v>2.1096547164E-4</v>
      </c>
      <c r="T75" s="62">
        <f t="shared" si="32"/>
        <v>1.2417334712224359E-3</v>
      </c>
      <c r="U75" s="62">
        <f>'A3 - Production '!D214</f>
        <v>5.2251500543832362E-3</v>
      </c>
      <c r="V75" s="62">
        <f>'A4 - Transport'!B25</f>
        <v>1.0319027222399997E-3</v>
      </c>
      <c r="W75" s="1">
        <f>'A5 - Construction'!B147</f>
        <v>1.1788559828821579E-4</v>
      </c>
      <c r="X75" s="1">
        <f>'A5 - Construction'!C147</f>
        <v>1.5852232985693826E-4</v>
      </c>
      <c r="Y75" s="1">
        <f>'A5 - Construction'!D147</f>
        <v>5.7859243811004693E-5</v>
      </c>
      <c r="Z75" s="62">
        <f t="shared" si="33"/>
        <v>3.3426717195615875E-4</v>
      </c>
      <c r="AA75" s="62">
        <f>'C1 - Deconstruction'!B95</f>
        <v>2.5365457383613185E-4</v>
      </c>
      <c r="AB75" s="1">
        <f>'D- Benefits &amp; Burdens'!B169</f>
        <v>5.5598899999999996E-3</v>
      </c>
      <c r="AC75" s="1">
        <f>'D- Benefits &amp; Burdens'!C169</f>
        <v>2.1981968836628309E-4</v>
      </c>
      <c r="AD75" s="62">
        <f t="shared" si="34"/>
        <v>5.7797096883662824E-3</v>
      </c>
      <c r="AE75" s="1">
        <f>'D- Benefits &amp; Burdens'!D169</f>
        <v>-1.03720176E-2</v>
      </c>
      <c r="AF75" s="1">
        <f>'D- Benefits &amp; Burdens'!E169</f>
        <v>-1.6414777326539999E-3</v>
      </c>
      <c r="AG75" s="1">
        <f>'D- Benefits &amp; Burdens'!F169</f>
        <v>-5.2644061437122488E-3</v>
      </c>
      <c r="AH75" s="1">
        <f>'D- Benefits &amp; Burdens'!G169</f>
        <v>-4.0986453918732376E-3</v>
      </c>
      <c r="AI75" s="1">
        <f>'D- Benefits &amp; Burdens'!H169</f>
        <v>-9.7225396117919989E-4</v>
      </c>
      <c r="AJ75" s="1">
        <f>'D- Benefits &amp; Burdens'!I169</f>
        <v>-1.2926277219239999E-3</v>
      </c>
      <c r="AK75" s="1">
        <f>'D- Benefits &amp; Burdens'!J169</f>
        <v>-5.4741830565888001E-3</v>
      </c>
      <c r="AL75" s="1">
        <f>'D- Benefits &amp; Burdens'!K169</f>
        <v>-2.9315425492799996E-3</v>
      </c>
      <c r="AM75" s="62">
        <f t="shared" si="35"/>
        <v>-3.2047154157211488E-2</v>
      </c>
      <c r="AN75" s="62">
        <f t="shared" si="36"/>
        <v>-2.6267444468845207E-2</v>
      </c>
    </row>
    <row r="76" spans="1:40" x14ac:dyDescent="0.35">
      <c r="A76" s="39" t="s">
        <v>177</v>
      </c>
      <c r="B76" s="39" t="s">
        <v>178</v>
      </c>
      <c r="C76" s="13">
        <f>'A1 - Raw Material Supply'!K123</f>
        <v>0.17345992955546041</v>
      </c>
      <c r="D76" s="1">
        <f>'A2 - Transport'!L127</f>
        <v>6.6515150411635623E-2</v>
      </c>
      <c r="E76" s="62">
        <f t="shared" si="27"/>
        <v>0.23997507996709605</v>
      </c>
      <c r="F76" s="1">
        <f>'A1 - Raw Material Supply'!O123</f>
        <v>0.1076976</v>
      </c>
      <c r="G76" s="1">
        <f>'A2 - Transport'!B127</f>
        <v>3.2425656785599996E-3</v>
      </c>
      <c r="H76" s="62">
        <f t="shared" si="28"/>
        <v>0.11094016567856001</v>
      </c>
      <c r="I76" s="1">
        <f>'A1 - Raw Material Supply'!N123</f>
        <v>7.0415022193815388E-3</v>
      </c>
      <c r="J76" s="1">
        <f>'A2 - Transport'!O127</f>
        <v>5.8362518499999996E-4</v>
      </c>
      <c r="K76" s="62">
        <f t="shared" si="29"/>
        <v>7.6251274043815384E-3</v>
      </c>
      <c r="L76" s="1">
        <f>'C3'' - Secondary Raw Material '!B329</f>
        <v>5.2421468666230769E-4</v>
      </c>
      <c r="M76" s="1">
        <f>'C2''- Transport Secondary'!D67</f>
        <v>8.3773949999999993E-3</v>
      </c>
      <c r="N76" s="62">
        <f t="shared" si="30"/>
        <v>8.9016096866623064E-3</v>
      </c>
      <c r="O76" s="1">
        <f>'C3'' - Secondary Raw Material '!C329+'C3'' - Secondary Raw Material '!D329+'C3'' - Secondary Raw Material '!E329</f>
        <v>0</v>
      </c>
      <c r="P76" s="1">
        <f>'C2''- Transport Secondary'!G67</f>
        <v>0</v>
      </c>
      <c r="Q76" s="62">
        <f t="shared" si="31"/>
        <v>0</v>
      </c>
      <c r="R76" s="1">
        <f>'A1 - Raw Material Supply'!Y123</f>
        <v>1.0579231622299769E-2</v>
      </c>
      <c r="S76" s="1">
        <f>'A2 - Transport'!Y127</f>
        <v>2.2835103290999997E-3</v>
      </c>
      <c r="T76" s="62">
        <f t="shared" si="32"/>
        <v>1.2862741951399768E-2</v>
      </c>
      <c r="U76" s="62">
        <f>'A3 - Production '!D215</f>
        <v>5.6360284189102786E-2</v>
      </c>
      <c r="V76" s="62">
        <f>'A4 - Transport'!B26</f>
        <v>1.1169413205599998E-2</v>
      </c>
      <c r="W76" s="1">
        <f>'A5 - Construction'!B148</f>
        <v>1.2815617170995977E-3</v>
      </c>
      <c r="X76" s="1">
        <f>'A5 - Construction'!C148</f>
        <v>1.7233330635808015E-3</v>
      </c>
      <c r="Y76" s="1">
        <f>'A5 - Construction'!D148</f>
        <v>6.2900127687546138E-4</v>
      </c>
      <c r="Z76" s="62">
        <f t="shared" si="33"/>
        <v>3.6338960575558604E-3</v>
      </c>
      <c r="AA76" s="62">
        <f>'C1 - Deconstruction'!B96</f>
        <v>2.7575377816790978E-3</v>
      </c>
      <c r="AB76" s="1">
        <f>'D- Benefits &amp; Burdens'!B170</f>
        <v>6.0649924999999986E-2</v>
      </c>
      <c r="AC76" s="1">
        <f>'D- Benefits &amp; Burdens'!C170</f>
        <v>2.3897108838200898E-3</v>
      </c>
      <c r="AD76" s="62">
        <f t="shared" si="34"/>
        <v>6.3039635883820083E-2</v>
      </c>
      <c r="AE76" s="1">
        <f>'D- Benefits &amp; Burdens'!D170</f>
        <v>-0.11353154400000001</v>
      </c>
      <c r="AF76" s="1">
        <f>'D- Benefits &amp; Burdens'!E170</f>
        <v>-1.9456079493570384E-2</v>
      </c>
      <c r="AG76" s="1">
        <f>'D- Benefits &amp; Burdens'!F170</f>
        <v>-7.3426905431849876E-2</v>
      </c>
      <c r="AH76" s="1">
        <f>'D- Benefits &amp; Burdens'!G170</f>
        <v>-4.5015356269378845E-2</v>
      </c>
      <c r="AI76" s="1">
        <f>'D- Benefits &amp; Burdens'!H170</f>
        <v>-1.0605808716803999E-2</v>
      </c>
      <c r="AJ76" s="1">
        <f>'D- Benefits &amp; Burdens'!I170</f>
        <v>-1.410059810313E-2</v>
      </c>
      <c r="AK76" s="1">
        <f>'D- Benefits &amp; Burdens'!J170</f>
        <v>-5.9714992889856003E-2</v>
      </c>
      <c r="AL76" s="1">
        <f>'D- Benefits &amp; Burdens'!K170</f>
        <v>-3.1978660683599995E-2</v>
      </c>
      <c r="AM76" s="62">
        <f t="shared" si="35"/>
        <v>-0.36782994558818916</v>
      </c>
      <c r="AN76" s="62">
        <f t="shared" si="36"/>
        <v>-0.30479030970436904</v>
      </c>
    </row>
    <row r="77" spans="1:40" x14ac:dyDescent="0.35">
      <c r="A77" s="39" t="s">
        <v>179</v>
      </c>
      <c r="B77" s="39" t="s">
        <v>180</v>
      </c>
      <c r="C77" s="13">
        <f>'A1 - Raw Material Supply'!K124</f>
        <v>3.518272857503888E-10</v>
      </c>
      <c r="D77" s="1">
        <f>'A2 - Transport'!L128</f>
        <v>1.0974941679522655E-9</v>
      </c>
      <c r="E77" s="62">
        <f t="shared" si="27"/>
        <v>1.4493214537026542E-9</v>
      </c>
      <c r="F77" s="1">
        <f>'A1 - Raw Material Supply'!O124</f>
        <v>1.099136E-8</v>
      </c>
      <c r="G77" s="1">
        <f>'A2 - Transport'!B128</f>
        <v>8.168755262399998E-11</v>
      </c>
      <c r="H77" s="62">
        <f t="shared" si="28"/>
        <v>1.1073047552623999E-8</v>
      </c>
      <c r="I77" s="1">
        <f>'A1 - Raw Material Supply'!N124</f>
        <v>7.0654761965459657E-11</v>
      </c>
      <c r="J77" s="1">
        <f>'A2 - Transport'!O128</f>
        <v>1.4702836500000001E-11</v>
      </c>
      <c r="K77" s="62">
        <f t="shared" si="29"/>
        <v>8.5357598465459661E-11</v>
      </c>
      <c r="L77" s="1">
        <f>'C3'' - Secondary Raw Material '!B330</f>
        <v>1.0192646894973112E-11</v>
      </c>
      <c r="M77" s="1">
        <f>'C2''- Transport Secondary'!D68</f>
        <v>2.1104549999999997E-10</v>
      </c>
      <c r="N77" s="62">
        <f t="shared" si="30"/>
        <v>2.2123814689497308E-10</v>
      </c>
      <c r="O77" s="1">
        <f>'C3'' - Secondary Raw Material '!C330+'C3'' - Secondary Raw Material '!D330+'C3'' - Secondary Raw Material '!E330</f>
        <v>0</v>
      </c>
      <c r="P77" s="1">
        <f>'C2''- Transport Secondary'!G68</f>
        <v>0</v>
      </c>
      <c r="Q77" s="62">
        <f t="shared" si="31"/>
        <v>0</v>
      </c>
      <c r="R77" s="1">
        <f>'A1 - Raw Material Supply'!Y124</f>
        <v>3.4322818084723971E-10</v>
      </c>
      <c r="S77" s="1">
        <f>'A2 - Transport'!Y128</f>
        <v>5.7526782389999992E-11</v>
      </c>
      <c r="T77" s="62">
        <f t="shared" si="32"/>
        <v>4.0075496323723973E-10</v>
      </c>
      <c r="U77" s="62">
        <f>'A3 - Production '!D216</f>
        <v>1.9844338543786491E-9</v>
      </c>
      <c r="V77" s="62">
        <f>'A4 - Transport'!B27</f>
        <v>2.8138274423999994E-10</v>
      </c>
      <c r="W77" s="1">
        <f>'A5 - Construction'!B149</f>
        <v>2.4918237487165866E-11</v>
      </c>
      <c r="X77" s="1">
        <f>'A5 - Construction'!C149</f>
        <v>3.3507884930409653E-11</v>
      </c>
      <c r="Y77" s="1">
        <f>'A5 - Construction'!D149</f>
        <v>1.2230080680301121E-11</v>
      </c>
      <c r="Z77" s="62">
        <f t="shared" si="33"/>
        <v>7.0656203097876641E-11</v>
      </c>
      <c r="AA77" s="62">
        <f>'C1 - Deconstruction'!B97</f>
        <v>5.3616599502692708E-11</v>
      </c>
      <c r="AB77" s="1">
        <f>'D- Benefits &amp; Burdens'!B171</f>
        <v>5.294485E-10</v>
      </c>
      <c r="AC77" s="1">
        <f>'D- Benefits &amp; Burdens'!C171</f>
        <v>4.6464702038275903E-11</v>
      </c>
      <c r="AD77" s="62">
        <f t="shared" si="34"/>
        <v>5.7591320203827593E-10</v>
      </c>
      <c r="AE77" s="1">
        <f>'D- Benefits &amp; Burdens'!D171</f>
        <v>-1.1586758400000001E-8</v>
      </c>
      <c r="AF77" s="1">
        <f>'D- Benefits &amp; Burdens'!E171</f>
        <v>-1.9522320984513078E-10</v>
      </c>
      <c r="AG77" s="1">
        <f>'D- Benefits &amp; Burdens'!F171</f>
        <v>-1.372537038332449E-10</v>
      </c>
      <c r="AH77" s="1">
        <f>'D- Benefits &amp; Burdens'!G171</f>
        <v>-1.1917000506180149E-10</v>
      </c>
      <c r="AI77" s="1">
        <f>'D- Benefits &amp; Burdens'!H171</f>
        <v>-9.2584277992079997E-11</v>
      </c>
      <c r="AJ77" s="1">
        <f>'D- Benefits &amp; Burdens'!I171</f>
        <v>-1.2309232888259999E-10</v>
      </c>
      <c r="AK77" s="1">
        <f>'D- Benefits &amp; Burdens'!J171</f>
        <v>-5.2128693338112003E-10</v>
      </c>
      <c r="AL77" s="1">
        <f>'D- Benefits &amp; Burdens'!K171</f>
        <v>-2.7916034407200001E-10</v>
      </c>
      <c r="AM77" s="62">
        <f t="shared" si="35"/>
        <v>-1.3054529203067979E-8</v>
      </c>
      <c r="AN77" s="62">
        <f t="shared" si="36"/>
        <v>-1.2478616001029703E-8</v>
      </c>
    </row>
    <row r="78" spans="1:40" x14ac:dyDescent="0.35">
      <c r="A78" s="39" t="s">
        <v>181</v>
      </c>
      <c r="B78" s="39" t="s">
        <v>180</v>
      </c>
      <c r="C78" s="13">
        <f>'A1 - Raw Material Supply'!K125</f>
        <v>8.3608539655003408E-9</v>
      </c>
      <c r="D78" s="1">
        <f>'A2 - Transport'!L129</f>
        <v>8.4480920043352312E-8</v>
      </c>
      <c r="E78" s="62">
        <f t="shared" si="27"/>
        <v>9.2841774008852652E-8</v>
      </c>
      <c r="F78" s="1">
        <f>'A1 - Raw Material Supply'!O125</f>
        <v>3.1688799999999997E-7</v>
      </c>
      <c r="G78" s="1">
        <f>'A2 - Transport'!B129</f>
        <v>6.6465010976000005E-9</v>
      </c>
      <c r="H78" s="62">
        <f t="shared" si="28"/>
        <v>3.2353450109759996E-7</v>
      </c>
      <c r="I78" s="1">
        <f>'A1 - Raw Material Supply'!N125</f>
        <v>2.6846143887197546E-9</v>
      </c>
      <c r="J78" s="1">
        <f>'A2 - Transport'!O129</f>
        <v>1.1962951E-9</v>
      </c>
      <c r="K78" s="62">
        <f t="shared" si="29"/>
        <v>3.8809094887197548E-9</v>
      </c>
      <c r="L78" s="1">
        <f>'C3'' - Secondary Raw Material '!B331</f>
        <v>2.7167563726420761E-10</v>
      </c>
      <c r="M78" s="1">
        <f>'C2''- Transport Secondary'!D69</f>
        <v>1.71717E-8</v>
      </c>
      <c r="N78" s="62">
        <f t="shared" si="30"/>
        <v>1.7443375637264209E-8</v>
      </c>
      <c r="O78" s="1">
        <f>'C3'' - Secondary Raw Material '!C331+'C3'' - Secondary Raw Material '!D331+'C3'' - Secondary Raw Material '!E331</f>
        <v>0</v>
      </c>
      <c r="P78" s="1">
        <f>'C2''- Transport Secondary'!G69</f>
        <v>0</v>
      </c>
      <c r="Q78" s="62">
        <f t="shared" si="31"/>
        <v>0</v>
      </c>
      <c r="R78" s="1">
        <f>'A1 - Raw Material Supply'!Y125</f>
        <v>1.519562698401938E-8</v>
      </c>
      <c r="S78" s="1">
        <f>'A2 - Transport'!Y129</f>
        <v>4.680661986E-9</v>
      </c>
      <c r="T78" s="62">
        <f t="shared" si="32"/>
        <v>1.987628897001938E-8</v>
      </c>
      <c r="U78" s="62">
        <f>'A3 - Production '!D217</f>
        <v>3.8296404051255106E-8</v>
      </c>
      <c r="V78" s="62">
        <f>'A4 - Transport'!B28</f>
        <v>2.2894684175999996E-8</v>
      </c>
      <c r="W78" s="1">
        <f>'A5 - Construction'!B150</f>
        <v>6.6417272359011835E-10</v>
      </c>
      <c r="X78" s="1">
        <f>'A5 - Construction'!C150</f>
        <v>8.9312188341719221E-10</v>
      </c>
      <c r="Y78" s="1">
        <f>'A5 - Construction'!D150</f>
        <v>3.2598156267457412E-10</v>
      </c>
      <c r="Z78" s="62">
        <f t="shared" si="33"/>
        <v>1.8832761696818848E-9</v>
      </c>
      <c r="AA78" s="62">
        <f>'C1 - Deconstruction'!B98</f>
        <v>1.4291011930392459E-9</v>
      </c>
      <c r="AB78" s="1">
        <f>'D- Benefits &amp; Burdens'!B172</f>
        <v>4.059475E-8</v>
      </c>
      <c r="AC78" s="1">
        <f>'D- Benefits &amp; Burdens'!C172</f>
        <v>1.2384739377919393E-9</v>
      </c>
      <c r="AD78" s="62">
        <f t="shared" si="34"/>
        <v>4.1833223937791942E-8</v>
      </c>
      <c r="AE78" s="1">
        <f>'D- Benefits &amp; Burdens'!D172</f>
        <v>-3.3405372E-7</v>
      </c>
      <c r="AF78" s="1">
        <f>'D- Benefits &amp; Burdens'!E172</f>
        <v>-7.417745436868156E-9</v>
      </c>
      <c r="AG78" s="1">
        <f>'D- Benefits &amp; Burdens'!F172</f>
        <v>-3.6435167362792405E-9</v>
      </c>
      <c r="AH78" s="1">
        <f>'D- Benefits &amp; Burdens'!G172</f>
        <v>-1.9208638110406951E-9</v>
      </c>
      <c r="AI78" s="1">
        <f>'D- Benefits &amp; Burdens'!H172</f>
        <v>-7.0987747042800001E-9</v>
      </c>
      <c r="AJ78" s="1">
        <f>'D- Benefits &amp; Burdens'!I172</f>
        <v>-9.4379383791000014E-9</v>
      </c>
      <c r="AK78" s="1">
        <f>'D- Benefits &amp; Burdens'!J172</f>
        <v>-3.9968972881920007E-8</v>
      </c>
      <c r="AL78" s="1">
        <f>'D- Benefits &amp; Burdens'!K172</f>
        <v>-2.1404243052E-8</v>
      </c>
      <c r="AM78" s="62">
        <f t="shared" si="35"/>
        <v>-4.2494577500148811E-7</v>
      </c>
      <c r="AN78" s="62">
        <f t="shared" si="36"/>
        <v>-3.8311255106369617E-7</v>
      </c>
    </row>
    <row r="79" spans="1:40" ht="29" x14ac:dyDescent="0.35">
      <c r="A79" s="39" t="s">
        <v>182</v>
      </c>
      <c r="B79" s="39" t="s">
        <v>183</v>
      </c>
      <c r="C79" s="13">
        <f>'A1 - Raw Material Supply'!K126</f>
        <v>6.0930489631163806E-2</v>
      </c>
      <c r="D79" s="1">
        <f>'A2 - Transport'!L130</f>
        <v>9.0170686749313708E-2</v>
      </c>
      <c r="E79" s="62">
        <f t="shared" si="27"/>
        <v>0.15110117638047751</v>
      </c>
      <c r="F79" s="1">
        <f>'A1 - Raw Material Supply'!O126</f>
        <v>0.16730799999999998</v>
      </c>
      <c r="G79" s="1">
        <f>'A2 - Transport'!B130</f>
        <v>5.6248101315199998E-3</v>
      </c>
      <c r="H79" s="62">
        <f t="shared" si="28"/>
        <v>0.17293281013151998</v>
      </c>
      <c r="I79" s="1">
        <f>'A1 - Raw Material Supply'!N126</f>
        <v>0.11021911001328061</v>
      </c>
      <c r="J79" s="1">
        <f>'A2 - Transport'!O130</f>
        <v>1.0124022699999999E-3</v>
      </c>
      <c r="K79" s="62">
        <f t="shared" si="29"/>
        <v>0.11123151228328061</v>
      </c>
      <c r="L79" s="1">
        <f>'C3'' - Secondary Raw Material '!B332</f>
        <v>6.6519868279014841E-4</v>
      </c>
      <c r="M79" s="1">
        <f>'C2''- Transport Secondary'!D70</f>
        <v>1.4532090000000001E-2</v>
      </c>
      <c r="N79" s="62">
        <f t="shared" si="30"/>
        <v>1.5197288682790149E-2</v>
      </c>
      <c r="O79" s="1">
        <f>'C3'' - Secondary Raw Material '!C332+'C3'' - Secondary Raw Material '!D332+'C3'' - Secondary Raw Material '!E332</f>
        <v>0</v>
      </c>
      <c r="P79" s="1">
        <f>'C2''- Transport Secondary'!G70</f>
        <v>0</v>
      </c>
      <c r="Q79" s="62">
        <f t="shared" si="31"/>
        <v>0</v>
      </c>
      <c r="R79" s="1">
        <f>'A1 - Raw Material Supply'!Y126</f>
        <v>0.10643324427322706</v>
      </c>
      <c r="S79" s="1">
        <f>'A2 - Transport'!Y130</f>
        <v>3.9611570922000001E-3</v>
      </c>
      <c r="T79" s="62">
        <f t="shared" si="32"/>
        <v>0.11039440136542707</v>
      </c>
      <c r="U79" s="62">
        <f>'A3 - Production '!D218</f>
        <v>2.4461732204327431</v>
      </c>
      <c r="V79" s="62">
        <f>'A4 - Transport'!B29</f>
        <v>1.9375344955199998E-2</v>
      </c>
      <c r="W79" s="1">
        <f>'A5 - Construction'!B151</f>
        <v>1.6262290771683365E-3</v>
      </c>
      <c r="X79" s="1">
        <f>'A5 - Construction'!C151</f>
        <v>2.1868118407776123E-3</v>
      </c>
      <c r="Y79" s="1">
        <f>'A5 - Construction'!D151</f>
        <v>7.9816691805205604E-4</v>
      </c>
      <c r="Z79" s="62">
        <f t="shared" si="33"/>
        <v>4.6112078359980043E-3</v>
      </c>
      <c r="AA79" s="62">
        <f>'C1 - Deconstruction'!B99</f>
        <v>3.4991589262714472E-3</v>
      </c>
      <c r="AB79" s="1">
        <f>'D- Benefits &amp; Burdens'!B173</f>
        <v>3.4286980000000002E-2</v>
      </c>
      <c r="AC79" s="1">
        <f>'D- Benefits &amp; Burdens'!C173</f>
        <v>3.0324074708544474E-3</v>
      </c>
      <c r="AD79" s="62">
        <f t="shared" si="34"/>
        <v>3.7319387470854448E-2</v>
      </c>
      <c r="AE79" s="1">
        <f>'D- Benefits &amp; Burdens'!D173</f>
        <v>-0.17637101999999999</v>
      </c>
      <c r="AF79" s="1">
        <f>'D- Benefits &amp; Burdens'!E173</f>
        <v>-0.30454180078598542</v>
      </c>
      <c r="AG79" s="1">
        <f>'D- Benefits &amp; Burdens'!F173</f>
        <v>-2.8791530511477918E-2</v>
      </c>
      <c r="AH79" s="1">
        <f>'D- Benefits &amp; Burdens'!G173</f>
        <v>-8.6554156114640821E-3</v>
      </c>
      <c r="AI79" s="1">
        <f>'D- Benefits &amp; Burdens'!H173</f>
        <v>-5.9957395059743995E-3</v>
      </c>
      <c r="AJ79" s="1">
        <f>'D- Benefits &amp; Burdens'!I173</f>
        <v>-7.9714348393679999E-3</v>
      </c>
      <c r="AK79" s="1">
        <f>'D- Benefits &amp; Burdens'!J173</f>
        <v>-3.3758438562201599E-2</v>
      </c>
      <c r="AL79" s="1">
        <f>'D- Benefits &amp; Burdens'!K173</f>
        <v>-1.8078368592959998E-2</v>
      </c>
      <c r="AM79" s="62">
        <f t="shared" si="35"/>
        <v>-0.58416374840943142</v>
      </c>
      <c r="AN79" s="62">
        <f t="shared" si="36"/>
        <v>-0.54684436093857691</v>
      </c>
    </row>
    <row r="80" spans="1:40" x14ac:dyDescent="0.35">
      <c r="A80" s="39" t="s">
        <v>184</v>
      </c>
      <c r="B80" s="39" t="s">
        <v>185</v>
      </c>
      <c r="C80" s="13">
        <f>'A1 - Raw Material Supply'!K127</f>
        <v>390.87227002753411</v>
      </c>
      <c r="D80" s="1">
        <f>'A2 - Transport'!L131</f>
        <v>14.66175958222102</v>
      </c>
      <c r="E80" s="62">
        <f t="shared" si="27"/>
        <v>405.53402960975512</v>
      </c>
      <c r="F80" s="1">
        <f>'A1 - Raw Material Supply'!O127</f>
        <v>5.8280799999999999</v>
      </c>
      <c r="G80" s="1">
        <f>'A2 - Transport'!B131</f>
        <v>0.78244359896287996</v>
      </c>
      <c r="H80" s="62">
        <f t="shared" si="28"/>
        <v>6.6105235989628799</v>
      </c>
      <c r="I80" s="1">
        <f>'A1 - Raw Material Supply'!N127</f>
        <v>1.7705226474300351</v>
      </c>
      <c r="J80" s="1">
        <f>'A2 - Transport'!O131</f>
        <v>0.14083100712999999</v>
      </c>
      <c r="K80" s="62">
        <f t="shared" si="29"/>
        <v>1.9113536545600351</v>
      </c>
      <c r="L80" s="1">
        <f>'C3'' - Secondary Raw Material '!B333</f>
        <v>0.11390463257521803</v>
      </c>
      <c r="M80" s="1">
        <f>'C2''- Transport Secondary'!D71</f>
        <v>2.0214977099999998</v>
      </c>
      <c r="N80" s="62">
        <f t="shared" si="30"/>
        <v>2.135402342575218</v>
      </c>
      <c r="O80" s="1">
        <f>'C3'' - Secondary Raw Material '!C333+'C3'' - Secondary Raw Material '!D333+'C3'' - Secondary Raw Material '!E333</f>
        <v>0</v>
      </c>
      <c r="P80" s="1">
        <f>'C2''- Transport Secondary'!G71</f>
        <v>0</v>
      </c>
      <c r="Q80" s="62">
        <f t="shared" si="31"/>
        <v>0</v>
      </c>
      <c r="R80" s="1">
        <f>'A1 - Raw Material Supply'!Y127</f>
        <v>2.9238161430011052</v>
      </c>
      <c r="S80" s="1">
        <f>'A2 - Transport'!Y131</f>
        <v>0.55101984579180008</v>
      </c>
      <c r="T80" s="62">
        <f t="shared" si="32"/>
        <v>3.474835988792905</v>
      </c>
      <c r="U80" s="62">
        <f>'A3 - Production '!D219</f>
        <v>12.779598185982927</v>
      </c>
      <c r="V80" s="62">
        <f>'A4 - Transport'!B30</f>
        <v>2.6952224667887998</v>
      </c>
      <c r="W80" s="1">
        <f>'A5 - Construction'!B152</f>
        <v>0.27846571304235684</v>
      </c>
      <c r="X80" s="1">
        <f>'A5 - Construction'!C152</f>
        <v>0.37445654310396526</v>
      </c>
      <c r="Y80" s="1">
        <f>'A5 - Construction'!D152</f>
        <v>0.13667331563717891</v>
      </c>
      <c r="Z80" s="62">
        <f t="shared" si="33"/>
        <v>0.78959557178350104</v>
      </c>
      <c r="AA80" s="62">
        <f>'C1 - Deconstruction'!B100</f>
        <v>0.59917498655808599</v>
      </c>
      <c r="AB80" s="1">
        <f>'D- Benefits &amp; Burdens'!B174</f>
        <v>4.7789643999999996</v>
      </c>
      <c r="AC80" s="1">
        <f>'D- Benefits &amp; Burdens'!C174</f>
        <v>0.51925126691056267</v>
      </c>
      <c r="AD80" s="62">
        <f t="shared" si="34"/>
        <v>5.2982156669105622</v>
      </c>
      <c r="AE80" s="1">
        <f>'D- Benefits &amp; Burdens'!D174</f>
        <v>-6.1437851999999999</v>
      </c>
      <c r="AF80" s="1">
        <f>'D- Benefits &amp; Burdens'!E174</f>
        <v>-4.8920568793900054</v>
      </c>
      <c r="AG80" s="1">
        <f>'D- Benefits &amp; Burdens'!F174</f>
        <v>-8.8760555023183514</v>
      </c>
      <c r="AH80" s="1">
        <f>'D- Benefits &amp; Burdens'!G174</f>
        <v>-475.08902869255985</v>
      </c>
      <c r="AI80" s="1">
        <f>'D- Benefits &amp; Burdens'!H174</f>
        <v>-0.83569406377363198</v>
      </c>
      <c r="AJ80" s="1">
        <f>'D- Benefits &amp; Burdens'!I174</f>
        <v>-1.1110690796990401</v>
      </c>
      <c r="AK80" s="1">
        <f>'D- Benefits &amp; Burdens'!J174</f>
        <v>-4.7052955987476484</v>
      </c>
      <c r="AL80" s="1">
        <f>'D- Benefits &amp; Burdens'!K174</f>
        <v>-2.5197868087487998</v>
      </c>
      <c r="AM80" s="62">
        <f t="shared" si="35"/>
        <v>-504.17277182523731</v>
      </c>
      <c r="AN80" s="62">
        <f t="shared" si="36"/>
        <v>-498.87455615832675</v>
      </c>
    </row>
    <row r="81" spans="1:40" ht="29" x14ac:dyDescent="0.35">
      <c r="A81" s="39" t="s">
        <v>186</v>
      </c>
      <c r="B81" s="39" t="s">
        <v>187</v>
      </c>
      <c r="C81" s="13">
        <f>'A1 - Raw Material Supply'!K128</f>
        <v>4.6607130496736109E-6</v>
      </c>
      <c r="D81" s="1">
        <f>'A2 - Transport'!L132</f>
        <v>1.3479236630035266E-5</v>
      </c>
      <c r="E81" s="62">
        <f t="shared" si="27"/>
        <v>1.8139949679708876E-5</v>
      </c>
      <c r="F81" s="1">
        <f>'A1 - Raw Material Supply'!O128</f>
        <v>2.2603199999999999E-6</v>
      </c>
      <c r="G81" s="1">
        <f>'A2 - Transport'!B132</f>
        <v>1.0168314110399999E-6</v>
      </c>
      <c r="H81" s="62">
        <f t="shared" si="28"/>
        <v>3.27715141104E-6</v>
      </c>
      <c r="I81" s="1">
        <f>'A1 - Raw Material Supply'!N128</f>
        <v>1.0085925153782763E-6</v>
      </c>
      <c r="J81" s="1">
        <f>'A2 - Transport'!O132</f>
        <v>1.8301816499999997E-7</v>
      </c>
      <c r="K81" s="62">
        <f t="shared" si="29"/>
        <v>1.1916106803782762E-6</v>
      </c>
      <c r="L81" s="1">
        <f>'C3'' - Secondary Raw Material '!B334</f>
        <v>2.6007934671855809E-8</v>
      </c>
      <c r="M81" s="1">
        <f>'C2''- Transport Secondary'!D72</f>
        <v>2.6270549999999996E-6</v>
      </c>
      <c r="N81" s="62">
        <f t="shared" si="30"/>
        <v>2.6530629346718556E-6</v>
      </c>
      <c r="O81" s="1">
        <f>'C3'' - Secondary Raw Material '!C334+'C3'' - Secondary Raw Material '!D334+'C3'' - Secondary Raw Material '!E334</f>
        <v>0</v>
      </c>
      <c r="P81" s="1">
        <f>'C2''- Transport Secondary'!G72</f>
        <v>0</v>
      </c>
      <c r="Q81" s="62">
        <f t="shared" si="31"/>
        <v>0</v>
      </c>
      <c r="R81" s="1">
        <f>'A1 - Raw Material Supply'!Y128</f>
        <v>2.0002821138870845E-4</v>
      </c>
      <c r="S81" s="1">
        <f>'A2 - Transport'!Y132</f>
        <v>7.1608265190000001E-7</v>
      </c>
      <c r="T81" s="62">
        <f t="shared" si="32"/>
        <v>2.0074429404060845E-4</v>
      </c>
      <c r="U81" s="62">
        <f>'A3 - Production '!D220</f>
        <v>2.9980047636954735E-5</v>
      </c>
      <c r="V81" s="62">
        <f>'A4 - Transport'!B31</f>
        <v>3.5025998903999994E-6</v>
      </c>
      <c r="W81" s="1">
        <f>'A5 - Construction'!B153</f>
        <v>6.3582296078913462E-8</v>
      </c>
      <c r="X81" s="1">
        <f>'A5 - Construction'!C153</f>
        <v>8.5499958081737791E-8</v>
      </c>
      <c r="Y81" s="1">
        <f>'A5 - Construction'!D153</f>
        <v>3.1206726048919648E-8</v>
      </c>
      <c r="Z81" s="62">
        <f t="shared" si="33"/>
        <v>1.8028898020957092E-7</v>
      </c>
      <c r="AA81" s="62">
        <f>'C1 - Deconstruction'!B101</f>
        <v>1.3681009766764487E-7</v>
      </c>
      <c r="AB81" s="1">
        <f>'D- Benefits &amp; Burdens'!B175</f>
        <v>6.1397349999999998E-6</v>
      </c>
      <c r="AC81" s="1">
        <f>'D- Benefits &amp; Burdens'!C175</f>
        <v>1.1856105166899467E-7</v>
      </c>
      <c r="AD81" s="62">
        <f t="shared" si="34"/>
        <v>6.2582960516689943E-6</v>
      </c>
      <c r="AE81" s="1">
        <f>'D- Benefits &amp; Burdens'!D175</f>
        <v>-2.3827608E-6</v>
      </c>
      <c r="AF81" s="1">
        <f>'D- Benefits &amp; Burdens'!E175</f>
        <v>-2.7867996834265543E-6</v>
      </c>
      <c r="AG81" s="1">
        <f>'D- Benefits &amp; Burdens'!F175</f>
        <v>-2.2074421142253213E-6</v>
      </c>
      <c r="AH81" s="1">
        <f>'D- Benefits &amp; Burdens'!G175</f>
        <v>-6.4987430677752329E-7</v>
      </c>
      <c r="AI81" s="1">
        <f>'D- Benefits &amp; Burdens'!H175</f>
        <v>-1.0736510388407999E-6</v>
      </c>
      <c r="AJ81" s="1">
        <f>'D- Benefits &amp; Burdens'!I175</f>
        <v>-1.4274368137259999E-6</v>
      </c>
      <c r="AK81" s="1">
        <f>'D- Benefits &amp; Burdens'!J175</f>
        <v>-6.0450896166912004E-6</v>
      </c>
      <c r="AL81" s="1">
        <f>'D- Benefits &amp; Burdens'!K175</f>
        <v>-3.2372752687199996E-6</v>
      </c>
      <c r="AM81" s="62">
        <f t="shared" si="35"/>
        <v>-1.9810329642407397E-5</v>
      </c>
      <c r="AN81" s="62">
        <f t="shared" si="36"/>
        <v>-1.3552033590738403E-5</v>
      </c>
    </row>
    <row r="82" spans="1:40" x14ac:dyDescent="0.35">
      <c r="A82" s="39" t="s">
        <v>188</v>
      </c>
      <c r="B82" s="39" t="s">
        <v>189</v>
      </c>
      <c r="C82" s="13">
        <f>'A1 - Raw Material Supply'!K129</f>
        <v>3.5235955999964389E-8</v>
      </c>
      <c r="D82" s="1">
        <f>'A2 - Transport'!L133</f>
        <v>2.6609888187588262E-7</v>
      </c>
      <c r="E82" s="62">
        <f t="shared" si="27"/>
        <v>3.0133483787584703E-7</v>
      </c>
      <c r="F82" s="1">
        <f>'A1 - Raw Material Supply'!O129</f>
        <v>7.3571199999999993E-12</v>
      </c>
      <c r="G82" s="1">
        <f>'A2 - Transport'!B133</f>
        <v>2.0493852534400002E-8</v>
      </c>
      <c r="H82" s="62">
        <f t="shared" si="28"/>
        <v>2.0501209654400003E-8</v>
      </c>
      <c r="I82" s="1">
        <f>'A1 - Raw Material Supply'!N129</f>
        <v>4.3890806808969467E-9</v>
      </c>
      <c r="J82" s="1">
        <f>'A2 - Transport'!O133</f>
        <v>3.6886618999999997E-9</v>
      </c>
      <c r="K82" s="62">
        <f t="shared" si="29"/>
        <v>8.0777425808969473E-9</v>
      </c>
      <c r="L82" s="1">
        <f>'C3'' - Secondary Raw Material '!B335</f>
        <v>3.7585564815097762E-9</v>
      </c>
      <c r="M82" s="1">
        <f>'C2''- Transport Secondary'!D73</f>
        <v>5.2947299999999994E-8</v>
      </c>
      <c r="N82" s="62">
        <f t="shared" si="30"/>
        <v>5.6705856481509768E-8</v>
      </c>
      <c r="O82" s="1">
        <f>'C3'' - Secondary Raw Material '!C335+'C3'' - Secondary Raw Material '!D335+'C3'' - Secondary Raw Material '!E335</f>
        <v>0</v>
      </c>
      <c r="P82" s="1">
        <f>'C2''- Transport Secondary'!G73</f>
        <v>0</v>
      </c>
      <c r="Q82" s="62">
        <f t="shared" si="31"/>
        <v>0</v>
      </c>
      <c r="R82" s="1">
        <f>'A1 - Raw Material Supply'!Y129</f>
        <v>6.6867322617563686E-9</v>
      </c>
      <c r="S82" s="1">
        <f>'A2 - Transport'!Y133</f>
        <v>1.4432375034E-8</v>
      </c>
      <c r="T82" s="62">
        <f t="shared" si="32"/>
        <v>2.111910729575637E-8</v>
      </c>
      <c r="U82" s="62">
        <f>'A3 - Production '!D221</f>
        <v>2.6963662838574704E-6</v>
      </c>
      <c r="V82" s="62">
        <f>'A4 - Transport'!B32</f>
        <v>7.0593576143999996E-8</v>
      </c>
      <c r="W82" s="1">
        <f>'A5 - Construction'!B154</f>
        <v>9.1886439293190308E-9</v>
      </c>
      <c r="X82" s="1">
        <f>'A5 - Construction'!C154</f>
        <v>1.2356091541735607E-8</v>
      </c>
      <c r="Y82" s="1">
        <f>'A5 - Construction'!D154</f>
        <v>4.5098637757189311E-9</v>
      </c>
      <c r="Z82" s="62">
        <f t="shared" si="33"/>
        <v>2.6054599246773572E-8</v>
      </c>
      <c r="AA82" s="62">
        <f>'C1 - Deconstruction'!B102</f>
        <v>1.9771215431464347E-8</v>
      </c>
      <c r="AB82" s="1">
        <f>'D- Benefits &amp; Burdens'!B176</f>
        <v>1.2599509999999998E-7</v>
      </c>
      <c r="AC82" s="1">
        <f>'D- Benefits &amp; Burdens'!C176</f>
        <v>1.7133940654170295E-8</v>
      </c>
      <c r="AD82" s="62">
        <f t="shared" si="34"/>
        <v>1.4312904065417027E-7</v>
      </c>
      <c r="AE82" s="1">
        <f>'D- Benefits &amp; Burdens'!D176</f>
        <v>-7.7556528000000004E-12</v>
      </c>
      <c r="AF82" s="1">
        <f>'D- Benefits &amp; Burdens'!E176</f>
        <v>-1.2127284771164252E-8</v>
      </c>
      <c r="AG82" s="1">
        <f>'D- Benefits &amp; Burdens'!F176</f>
        <v>-1.2553939128773711E-8</v>
      </c>
      <c r="AH82" s="1">
        <f>'D- Benefits &amp; Burdens'!G176</f>
        <v>-1.4779949541860452E-8</v>
      </c>
      <c r="AI82" s="1">
        <f>'D- Benefits &amp; Burdens'!H176</f>
        <v>-2.2032672420528E-8</v>
      </c>
      <c r="AJ82" s="1">
        <f>'D- Benefits &amp; Burdens'!I176</f>
        <v>-2.929280239116E-8</v>
      </c>
      <c r="AK82" s="1">
        <f>'D- Benefits &amp; Burdens'!J176</f>
        <v>-1.2405285745459201E-7</v>
      </c>
      <c r="AL82" s="1">
        <f>'D- Benefits &amp; Burdens'!K176</f>
        <v>-6.643296839519999E-8</v>
      </c>
      <c r="AM82" s="62">
        <f t="shared" si="35"/>
        <v>-2.8128022975607842E-7</v>
      </c>
      <c r="AN82" s="62">
        <f t="shared" si="36"/>
        <v>-1.3815118910190815E-7</v>
      </c>
    </row>
    <row r="83" spans="1:40" x14ac:dyDescent="0.35">
      <c r="A83" s="39" t="s">
        <v>190</v>
      </c>
      <c r="B83" s="39" t="s">
        <v>191</v>
      </c>
      <c r="C83" s="13">
        <f>'A1 - Raw Material Supply'!K130</f>
        <v>6.4478729242085712E-7</v>
      </c>
      <c r="D83" s="1">
        <f>'A2 - Transport'!L134</f>
        <v>7.2341062152913949E-7</v>
      </c>
      <c r="E83" s="62">
        <f t="shared" si="27"/>
        <v>1.3681979139499966E-6</v>
      </c>
      <c r="F83" s="1">
        <f>'A1 - Raw Material Supply'!O130</f>
        <v>5.9388800000000003E-7</v>
      </c>
      <c r="G83" s="1">
        <f>'A2 - Transport'!B134</f>
        <v>5.7127756254399995E-8</v>
      </c>
      <c r="H83" s="62">
        <f t="shared" si="28"/>
        <v>6.5101575625440007E-7</v>
      </c>
      <c r="I83" s="1">
        <f>'A1 - Raw Material Supply'!N130</f>
        <v>2.7751311820864848E-8</v>
      </c>
      <c r="J83" s="1">
        <f>'A2 - Transport'!O134</f>
        <v>1.0282350649999999E-8</v>
      </c>
      <c r="K83" s="62">
        <f t="shared" si="29"/>
        <v>3.8033662470864848E-8</v>
      </c>
      <c r="L83" s="1">
        <f>'C3'' - Secondary Raw Material '!B336</f>
        <v>1.6427613993186483E-9</v>
      </c>
      <c r="M83" s="1">
        <f>'C2''- Transport Secondary'!D74</f>
        <v>1.4759354999999997E-7</v>
      </c>
      <c r="N83" s="62">
        <f t="shared" si="30"/>
        <v>1.4923631139931861E-7</v>
      </c>
      <c r="O83" s="1">
        <f>'C3'' - Secondary Raw Material '!C336+'C3'' - Secondary Raw Material '!D336+'C3'' - Secondary Raw Material '!E336</f>
        <v>0</v>
      </c>
      <c r="P83" s="1">
        <f>'C2''- Transport Secondary'!G74</f>
        <v>0</v>
      </c>
      <c r="Q83" s="62">
        <f t="shared" si="31"/>
        <v>0</v>
      </c>
      <c r="R83" s="1">
        <f>'A1 - Raw Material Supply'!Y130</f>
        <v>6.9930966262356109E-8</v>
      </c>
      <c r="S83" s="1">
        <f>'A2 - Transport'!Y134</f>
        <v>4.0231049858999998E-8</v>
      </c>
      <c r="T83" s="62">
        <f t="shared" si="32"/>
        <v>1.1016201612135611E-7</v>
      </c>
      <c r="U83" s="62">
        <f>'A3 - Production '!D222</f>
        <v>8.8490791124389334E-8</v>
      </c>
      <c r="V83" s="62">
        <f>'A4 - Transport'!B33</f>
        <v>1.9678352834399996E-7</v>
      </c>
      <c r="W83" s="1">
        <f>'A5 - Construction'!B155</f>
        <v>4.016102893072799E-9</v>
      </c>
      <c r="X83" s="1">
        <f>'A5 - Construction'!C155</f>
        <v>5.4005069049959681E-9</v>
      </c>
      <c r="Y83" s="1">
        <f>'A5 - Construction'!D155</f>
        <v>1.9711371010076017E-9</v>
      </c>
      <c r="Z83" s="62">
        <f t="shared" si="33"/>
        <v>1.138774689907637E-8</v>
      </c>
      <c r="AA83" s="62">
        <f>'C1 - Deconstruction'!B103</f>
        <v>8.6414530919530463E-9</v>
      </c>
      <c r="AB83" s="1">
        <f>'D- Benefits &amp; Burdens'!B177</f>
        <v>3.8300500000000001E-7</v>
      </c>
      <c r="AC83" s="1">
        <f>'D- Benefits &amp; Burdens'!C177</f>
        <v>7.4887730072320456E-9</v>
      </c>
      <c r="AD83" s="62">
        <f t="shared" si="34"/>
        <v>3.9049377300723205E-7</v>
      </c>
      <c r="AE83" s="1">
        <f>'D- Benefits &amp; Burdens'!D177</f>
        <v>-6.2605872E-7</v>
      </c>
      <c r="AF83" s="1">
        <f>'D- Benefits &amp; Burdens'!E177</f>
        <v>-7.6678485927542402E-8</v>
      </c>
      <c r="AG83" s="1">
        <f>'D- Benefits &amp; Burdens'!F177</f>
        <v>-2.3735714186745847E-7</v>
      </c>
      <c r="AH83" s="1">
        <f>'D- Benefits &amp; Burdens'!G177</f>
        <v>-2.5225046950408361E-7</v>
      </c>
      <c r="AI83" s="1">
        <f>'D- Benefits &amp; Burdens'!H177</f>
        <v>-6.6975808586400005E-8</v>
      </c>
      <c r="AJ83" s="1">
        <f>'D- Benefits &amp; Burdens'!I177</f>
        <v>-8.9045445258000003E-8</v>
      </c>
      <c r="AK83" s="1">
        <f>'D- Benefits &amp; Burdens'!J177</f>
        <v>-3.7710089256960008E-7</v>
      </c>
      <c r="AL83" s="1">
        <f>'D- Benefits &amp; Burdens'!K177</f>
        <v>-2.0194562376E-7</v>
      </c>
      <c r="AM83" s="62">
        <f t="shared" si="35"/>
        <v>-1.9274125874730844E-6</v>
      </c>
      <c r="AN83" s="62">
        <f t="shared" si="36"/>
        <v>-1.5369188144658524E-6</v>
      </c>
    </row>
    <row r="84" spans="1:40" ht="29" x14ac:dyDescent="0.35">
      <c r="A84" s="39" t="s">
        <v>192</v>
      </c>
      <c r="B84" s="39" t="s">
        <v>193</v>
      </c>
      <c r="C84" s="13">
        <f>'A1 - Raw Material Supply'!K131</f>
        <v>4.174544758673622E-2</v>
      </c>
      <c r="D84" s="1">
        <f>'A2 - Transport'!L135</f>
        <v>3.7128325857464485E-2</v>
      </c>
      <c r="E84" s="62">
        <f t="shared" si="27"/>
        <v>7.8873773444200712E-2</v>
      </c>
      <c r="F84" s="1">
        <f>'A1 - Raw Material Supply'!O131</f>
        <v>4.4984799999999991E-2</v>
      </c>
      <c r="G84" s="1">
        <f>'A2 - Transport'!B135</f>
        <v>2.3961960787199999E-3</v>
      </c>
      <c r="H84" s="62">
        <f t="shared" si="28"/>
        <v>4.738099607871999E-2</v>
      </c>
      <c r="I84" s="1">
        <f>'A1 - Raw Material Supply'!N131</f>
        <v>1.8598299854385759E-3</v>
      </c>
      <c r="J84" s="1">
        <f>'A2 - Transport'!O135</f>
        <v>4.3128821999999998E-4</v>
      </c>
      <c r="K84" s="62">
        <f t="shared" si="29"/>
        <v>2.2911182054385758E-3</v>
      </c>
      <c r="L84" s="1">
        <f>'C3'' - Secondary Raw Material '!B337</f>
        <v>4.1082738634614822E-4</v>
      </c>
      <c r="M84" s="1">
        <f>'C2''- Transport Secondary'!D75</f>
        <v>6.1907399999999993E-3</v>
      </c>
      <c r="N84" s="62">
        <f t="shared" si="30"/>
        <v>6.6015673863461478E-3</v>
      </c>
      <c r="O84" s="1">
        <f>'C3'' - Secondary Raw Material '!C337+'C3'' - Secondary Raw Material '!D337+'C3'' - Secondary Raw Material '!E337</f>
        <v>0</v>
      </c>
      <c r="P84" s="1">
        <f>'C2''- Transport Secondary'!G75</f>
        <v>0</v>
      </c>
      <c r="Q84" s="62">
        <f t="shared" si="31"/>
        <v>0</v>
      </c>
      <c r="R84" s="1">
        <f>'A1 - Raw Material Supply'!Y131</f>
        <v>3.4925808009998527E-3</v>
      </c>
      <c r="S84" s="1">
        <f>'A2 - Transport'!Y135</f>
        <v>1.6874719092000001E-3</v>
      </c>
      <c r="T84" s="62">
        <f t="shared" si="32"/>
        <v>5.180052710199853E-3</v>
      </c>
      <c r="U84" s="62">
        <f>'A3 - Production '!D223</f>
        <v>1.9038675305987823E-2</v>
      </c>
      <c r="V84" s="62">
        <f>'A4 - Transport'!B34</f>
        <v>8.2539898271999975E-3</v>
      </c>
      <c r="W84" s="1">
        <f>'A5 - Construction'!B156</f>
        <v>1.0043607401188179E-3</v>
      </c>
      <c r="X84" s="1">
        <f>'A5 - Construction'!C156</f>
        <v>1.350577227857946E-3</v>
      </c>
      <c r="Y84" s="1">
        <f>'A5 - Construction'!D156</f>
        <v>4.9294870434181631E-4</v>
      </c>
      <c r="Z84" s="62">
        <f t="shared" si="33"/>
        <v>2.8478866723185801E-3</v>
      </c>
      <c r="AA84" s="62">
        <f>'C1 - Deconstruction'!B104</f>
        <v>2.1610841291208631E-3</v>
      </c>
      <c r="AB84" s="1">
        <f>'D- Benefits &amp; Burdens'!B178</f>
        <v>2.4396925E-2</v>
      </c>
      <c r="AC84" s="1">
        <f>'D- Benefits &amp; Burdens'!C178</f>
        <v>1.872817953219971E-3</v>
      </c>
      <c r="AD84" s="62">
        <f t="shared" si="34"/>
        <v>2.626974295321997E-2</v>
      </c>
      <c r="AE84" s="1">
        <f>'D- Benefits &amp; Burdens'!D178</f>
        <v>-4.7421611999999995E-2</v>
      </c>
      <c r="AF84" s="1">
        <f>'D- Benefits &amp; Burdens'!E178</f>
        <v>-5.1388182398949718E-3</v>
      </c>
      <c r="AG84" s="1">
        <f>'D- Benefits &amp; Burdens'!F178</f>
        <v>-1.6583011729087289E-2</v>
      </c>
      <c r="AH84" s="1">
        <f>'D- Benefits &amp; Burdens'!G178</f>
        <v>-1.3430190325964372E-2</v>
      </c>
      <c r="AI84" s="1">
        <f>'D- Benefits &amp; Burdens'!H178</f>
        <v>-4.2662727089640001E-3</v>
      </c>
      <c r="AJ84" s="1">
        <f>'D- Benefits &amp; Burdens'!I178</f>
        <v>-5.6720801283300006E-3</v>
      </c>
      <c r="AK84" s="1">
        <f>'D- Benefits &amp; Burdens'!J178</f>
        <v>-2.4020840964096003E-2</v>
      </c>
      <c r="AL84" s="1">
        <f>'D- Benefits &amp; Burdens'!K178</f>
        <v>-1.2863676027599998E-2</v>
      </c>
      <c r="AM84" s="62">
        <f t="shared" si="35"/>
        <v>-0.12939650212393664</v>
      </c>
      <c r="AN84" s="62">
        <f t="shared" si="36"/>
        <v>-0.10312675917071666</v>
      </c>
    </row>
    <row r="85" spans="1:40" ht="29" x14ac:dyDescent="0.35">
      <c r="A85" s="39" t="s">
        <v>194</v>
      </c>
      <c r="B85" s="39" t="s">
        <v>195</v>
      </c>
      <c r="C85" s="13">
        <f>'A1 - Raw Material Supply'!K132</f>
        <v>3.057724396773855</v>
      </c>
      <c r="D85" s="1">
        <f>'A2 - Transport'!L136</f>
        <v>0.40855866696891496</v>
      </c>
      <c r="E85" s="62">
        <f t="shared" si="27"/>
        <v>3.46628306374277</v>
      </c>
      <c r="F85" s="1">
        <f>'A1 - Raw Material Supply'!O132</f>
        <v>0.15977359999999999</v>
      </c>
      <c r="G85" s="1">
        <f>'A2 - Transport'!B136</f>
        <v>2.825270403888E-2</v>
      </c>
      <c r="H85" s="62">
        <f t="shared" si="28"/>
        <v>0.18802630403887999</v>
      </c>
      <c r="I85" s="1">
        <f>'A1 - Raw Material Supply'!N132</f>
        <v>0.71560886893023357</v>
      </c>
      <c r="J85" s="1">
        <f>'A2 - Transport'!O136</f>
        <v>5.085167505E-3</v>
      </c>
      <c r="K85" s="62">
        <f t="shared" si="29"/>
        <v>0.72069403643523355</v>
      </c>
      <c r="L85" s="1">
        <f>'C3'' - Secondary Raw Material '!B338</f>
        <v>2.9984053368853725E-3</v>
      </c>
      <c r="M85" s="1">
        <f>'C2''- Transport Secondary'!D76</f>
        <v>7.2992834999999992E-2</v>
      </c>
      <c r="N85" s="62">
        <f t="shared" si="30"/>
        <v>7.5991240336885368E-2</v>
      </c>
      <c r="O85" s="1">
        <f>'C3'' - Secondary Raw Material '!C338+'C3'' - Secondary Raw Material '!D338+'C3'' - Secondary Raw Material '!E338</f>
        <v>0</v>
      </c>
      <c r="P85" s="1">
        <f>'C2''- Transport Secondary'!G76</f>
        <v>0</v>
      </c>
      <c r="Q85" s="62">
        <f t="shared" si="31"/>
        <v>0</v>
      </c>
      <c r="R85" s="1">
        <f>'A1 - Raw Material Supply'!Y132</f>
        <v>0.33021433976024206</v>
      </c>
      <c r="S85" s="1">
        <f>'A2 - Transport'!Y136</f>
        <v>1.98963869643E-2</v>
      </c>
      <c r="T85" s="62">
        <f t="shared" si="32"/>
        <v>0.35011072672454208</v>
      </c>
      <c r="U85" s="62">
        <f>'A3 - Production '!D224</f>
        <v>0.83193279722540636</v>
      </c>
      <c r="V85" s="62">
        <f>'A4 - Transport'!B35</f>
        <v>9.7319887048799986E-2</v>
      </c>
      <c r="W85" s="1">
        <f>'A5 - Construction'!B157</f>
        <v>7.3302820196924313E-3</v>
      </c>
      <c r="X85" s="1">
        <f>'A5 - Construction'!C157</f>
        <v>9.8571275978011092E-3</v>
      </c>
      <c r="Y85" s="1">
        <f>'A5 - Construction'!D157</f>
        <v>3.5977641097759529E-3</v>
      </c>
      <c r="Z85" s="62">
        <f t="shared" si="33"/>
        <v>2.0785173727269492E-2</v>
      </c>
      <c r="AA85" s="62">
        <f>'C1 - Deconstruction'!B105</f>
        <v>1.5772576029667661E-2</v>
      </c>
      <c r="AB85" s="1">
        <f>'D- Benefits &amp; Burdens'!B179</f>
        <v>0.17189346999999996</v>
      </c>
      <c r="AC85" s="1">
        <f>'D- Benefits &amp; Burdens'!C179</f>
        <v>1.366867821518138E-2</v>
      </c>
      <c r="AD85" s="62">
        <f t="shared" si="34"/>
        <v>0.18556214821518136</v>
      </c>
      <c r="AE85" s="1">
        <f>'D- Benefits &amp; Burdens'!D179</f>
        <v>-0.16842848399999999</v>
      </c>
      <c r="AF85" s="1">
        <f>'D- Benefits &amp; Burdens'!E179</f>
        <v>-1.9772688563369476</v>
      </c>
      <c r="AG85" s="1">
        <f>'D- Benefits &amp; Burdens'!F179</f>
        <v>-1.0837889978467863</v>
      </c>
      <c r="AH85" s="1">
        <f>'D- Benefits &amp; Burdens'!G179</f>
        <v>-1.2960012094595244</v>
      </c>
      <c r="AI85" s="1">
        <f>'D- Benefits &amp; Burdens'!H179</f>
        <v>-3.0058887335601598E-2</v>
      </c>
      <c r="AJ85" s="1">
        <f>'D- Benefits &amp; Burdens'!I179</f>
        <v>-3.9963787869851997E-2</v>
      </c>
      <c r="AK85" s="1">
        <f>'D- Benefits &amp; Burdens'!J179</f>
        <v>-0.1692436938522624</v>
      </c>
      <c r="AL85" s="1">
        <f>'D- Benefits &amp; Burdens'!K179</f>
        <v>-9.0633631465439984E-2</v>
      </c>
      <c r="AM85" s="62">
        <f t="shared" si="35"/>
        <v>-4.8553875481664157</v>
      </c>
      <c r="AN85" s="62">
        <f t="shared" si="36"/>
        <v>-4.6698253999512342</v>
      </c>
    </row>
    <row r="86" spans="1:40" x14ac:dyDescent="0.35">
      <c r="A86" s="148" t="s">
        <v>58</v>
      </c>
      <c r="B86" s="338">
        <f>+SUM(C67:C85,F67:F85,I67:I85,R67:R85)-SUM(C4:C22)+SUM(L67:L85,O67:O85)-SUM(D4:D22)+SUM(D67:D85,G67:G85,J67:J85,S67:S85)-SUM(E4:E22)+SUM(M67:M85,P67:P85)-SUM(F4:F22)+SUM(U67:U85)-SUM(G4:G22)+SUM(V67:V85)-SUM(H4:H22)+SUM(Z67:Z85)-SUM(I4:I22)+SUM(AA67:AA85)-SUM(J4:J22)+SUM(AN67:AN85)-SUM(K4:K22)</f>
        <v>0</v>
      </c>
      <c r="C86" s="338"/>
      <c r="G86" s="319"/>
      <c r="H86" s="319"/>
      <c r="I86" s="319"/>
      <c r="J86" s="319"/>
      <c r="K86" s="319"/>
      <c r="L86" s="319"/>
      <c r="M86" s="319"/>
      <c r="U86" s="338">
        <f>+SUM(U67:U85)-SUM(G4:G22)</f>
        <v>0</v>
      </c>
      <c r="V86" s="338">
        <f>+SUM(V67:V85)-SUM(H4:H22)</f>
        <v>0</v>
      </c>
      <c r="Z86" s="338">
        <f>+SUM(Z67:Z85)-SUM(I4:I22)</f>
        <v>0</v>
      </c>
      <c r="AA86" s="338">
        <f>+SUM(AA67:AA85)-SUM(J4:J22)</f>
        <v>0</v>
      </c>
      <c r="AN86" s="338">
        <f>+SUM(AN67:AN85)-SUM(K4:K22)</f>
        <v>0</v>
      </c>
    </row>
    <row r="87" spans="1:40" x14ac:dyDescent="0.35">
      <c r="A87" s="148"/>
      <c r="B87" s="329"/>
      <c r="G87" s="319"/>
      <c r="H87" s="319"/>
      <c r="I87" s="319"/>
      <c r="J87" s="319"/>
      <c r="K87" s="319"/>
      <c r="L87" s="319"/>
      <c r="M87" s="319"/>
    </row>
    <row r="88" spans="1:40" x14ac:dyDescent="0.35">
      <c r="F88" s="3"/>
      <c r="G88" s="323"/>
      <c r="H88" s="323"/>
      <c r="I88" s="323"/>
      <c r="J88" s="323"/>
      <c r="K88" s="323"/>
      <c r="L88" s="323"/>
      <c r="M88" s="323"/>
      <c r="N88" s="3"/>
      <c r="O88" s="3"/>
      <c r="P88" s="3"/>
      <c r="Q88" s="3"/>
      <c r="R88" s="3"/>
      <c r="S88" s="3"/>
    </row>
    <row r="89" spans="1:40" ht="21" x14ac:dyDescent="0.5">
      <c r="A89" s="76" t="s">
        <v>255</v>
      </c>
    </row>
    <row r="90" spans="1:40" x14ac:dyDescent="0.35">
      <c r="A90" s="328" t="s">
        <v>197</v>
      </c>
    </row>
    <row r="91" spans="1:40" ht="43.5" x14ac:dyDescent="0.35">
      <c r="A91" s="103" t="s">
        <v>153</v>
      </c>
      <c r="B91" s="103" t="s">
        <v>198</v>
      </c>
      <c r="C91" s="103" t="s">
        <v>199</v>
      </c>
      <c r="D91" s="108" t="s">
        <v>1011</v>
      </c>
      <c r="E91" s="103" t="s">
        <v>1012</v>
      </c>
      <c r="F91" s="108" t="s">
        <v>1015</v>
      </c>
      <c r="G91" s="108" t="s">
        <v>1010</v>
      </c>
      <c r="H91" s="108" t="s">
        <v>156</v>
      </c>
      <c r="I91" s="108" t="s">
        <v>157</v>
      </c>
      <c r="J91" s="103" t="s">
        <v>158</v>
      </c>
      <c r="K91" s="103" t="s">
        <v>159</v>
      </c>
      <c r="L91" s="103" t="s">
        <v>161</v>
      </c>
      <c r="M91" s="103" t="s">
        <v>987</v>
      </c>
      <c r="N91" s="103" t="s">
        <v>991</v>
      </c>
      <c r="O91" s="103" t="s">
        <v>1006</v>
      </c>
    </row>
    <row r="92" spans="1:40" x14ac:dyDescent="0.35">
      <c r="A92" s="39" t="s">
        <v>162</v>
      </c>
      <c r="B92" s="154">
        <v>55.6</v>
      </c>
      <c r="C92" s="154">
        <v>6.2E-2</v>
      </c>
      <c r="D92" s="1">
        <f>((C4/$B92)*$C92)*Input!$C$31</f>
        <v>1.7242539968125888E-5</v>
      </c>
      <c r="E92" s="1">
        <f>((D4/$B92)*$C92)*Input!$C$31</f>
        <v>4.5654690060450572E-8</v>
      </c>
      <c r="F92" s="1">
        <f>((E4/$B92)*$C92)*Input!$C$31</f>
        <v>5.3457518270645079E-6</v>
      </c>
      <c r="G92" s="1">
        <f>((F4/$B92)*$C92)*Input!$C$31</f>
        <v>7.6023525755395694E-7</v>
      </c>
      <c r="H92" s="1">
        <f>((G4/$B92)*$C92)*Input!$C$31</f>
        <v>4.2851752886226025E-6</v>
      </c>
      <c r="I92" s="1">
        <f>((H4/$B92)*$C92)*Input!$C$31</f>
        <v>1.0136064641915394E-6</v>
      </c>
      <c r="J92" s="1">
        <f>((I4/$B92)*$C92)*Input!$C$31</f>
        <v>3.164817820651399E-7</v>
      </c>
      <c r="K92" s="1">
        <f>((J4/$B92)*$C92)*Input!$C$31</f>
        <v>2.4015834724913239E-7</v>
      </c>
      <c r="L92" s="1">
        <f>((K4/$B92)*$C92)*Input!$C$31</f>
        <v>-1.8045814402647866E-5</v>
      </c>
      <c r="M92" s="1">
        <f>(SUM(D92:H92))*1000</f>
        <v>2.7679357031427411E-2</v>
      </c>
      <c r="N92" s="1">
        <f>SUM(D92:K92)*1000</f>
        <v>2.9249603624933226E-2</v>
      </c>
      <c r="O92" s="1">
        <f>SUM(D92:L92)*1000</f>
        <v>1.1203789222285357E-2</v>
      </c>
    </row>
    <row r="93" spans="1:40" x14ac:dyDescent="0.35">
      <c r="A93" s="39" t="s">
        <v>164</v>
      </c>
      <c r="B93" s="154">
        <v>8100</v>
      </c>
      <c r="C93" s="154">
        <v>0.21059999999999998</v>
      </c>
      <c r="D93" s="1">
        <f>((C5/$B93)*$C93)*Input!$C$31</f>
        <v>7.4736277379642974E-5</v>
      </c>
      <c r="E93" s="1">
        <f>((D5/$B93)*$C93)*Input!$C$31</f>
        <v>8.3261736706504406E-7</v>
      </c>
      <c r="F93" s="1">
        <f>((E5/$B93)*$C93)*Input!$C$31</f>
        <v>6.891198314279541E-5</v>
      </c>
      <c r="G93" s="1">
        <f>((F5/$B93)*$C93)*Input!$C$31</f>
        <v>1.1886815041919998E-5</v>
      </c>
      <c r="H93" s="1">
        <f>((G5/$B93)*$C93)*Input!$C$31</f>
        <v>1.0012370294518698E-4</v>
      </c>
      <c r="I93" s="1">
        <f>((H5/$B93)*$C93)*Input!$C$31</f>
        <v>1.5848452759091094E-5</v>
      </c>
      <c r="J93" s="1">
        <f>((I5/$B93)*$C93)*Input!$C$31</f>
        <v>5.7717668821806292E-6</v>
      </c>
      <c r="K93" s="1">
        <f>((J5/$B93)*$C93)*Input!$C$31</f>
        <v>4.3798350290080077E-6</v>
      </c>
      <c r="L93" s="1">
        <f>((K5/$B93)*$C93)*Input!$C$31</f>
        <v>-9.7590233610235356E-5</v>
      </c>
      <c r="M93" s="1">
        <f>(SUM(D93:H93))*1000</f>
        <v>0.25649139587661041</v>
      </c>
      <c r="N93" s="1">
        <f>SUM(D93:K93)*1000</f>
        <v>0.28249145054689018</v>
      </c>
      <c r="O93" s="1">
        <f>SUM(D93:L93)*1000</f>
        <v>0.18490121693665479</v>
      </c>
    </row>
    <row r="94" spans="1:40" x14ac:dyDescent="0.35">
      <c r="A94" s="39" t="s">
        <v>166</v>
      </c>
      <c r="B94" s="333"/>
      <c r="C94" s="333"/>
      <c r="D94" s="333"/>
      <c r="E94" s="333"/>
      <c r="F94" s="333"/>
      <c r="G94" s="333"/>
      <c r="H94" s="333"/>
      <c r="I94" s="333"/>
      <c r="J94" s="333"/>
      <c r="K94" s="333"/>
      <c r="L94" s="333"/>
      <c r="M94" s="333"/>
      <c r="N94" s="333"/>
      <c r="O94" s="333"/>
    </row>
    <row r="95" spans="1:40" x14ac:dyDescent="0.35">
      <c r="A95" s="39" t="s">
        <v>167</v>
      </c>
      <c r="B95" s="333"/>
      <c r="C95" s="333"/>
      <c r="D95" s="333"/>
      <c r="E95" s="333"/>
      <c r="F95" s="333"/>
      <c r="G95" s="333"/>
      <c r="H95" s="333"/>
      <c r="I95" s="333"/>
      <c r="J95" s="333"/>
      <c r="K95" s="333"/>
      <c r="L95" s="333"/>
      <c r="M95" s="333"/>
      <c r="N95" s="333"/>
      <c r="O95" s="333"/>
    </row>
    <row r="96" spans="1:40" x14ac:dyDescent="0.35">
      <c r="A96" s="39" t="s">
        <v>168</v>
      </c>
      <c r="B96" s="333"/>
      <c r="C96" s="333"/>
      <c r="D96" s="333"/>
      <c r="E96" s="333"/>
      <c r="F96" s="333"/>
      <c r="G96" s="333"/>
      <c r="H96" s="333"/>
      <c r="I96" s="333"/>
      <c r="J96" s="333"/>
      <c r="K96" s="333"/>
      <c r="L96" s="333"/>
      <c r="M96" s="333"/>
      <c r="N96" s="333"/>
      <c r="O96" s="333"/>
    </row>
    <row r="97" spans="1:18" x14ac:dyDescent="0.35">
      <c r="A97" s="39" t="s">
        <v>169</v>
      </c>
      <c r="B97" s="154">
        <v>42700</v>
      </c>
      <c r="C97" s="154">
        <v>1.9199999999999998E-2</v>
      </c>
      <c r="D97" s="1">
        <f>((C9/$B97)*$C97)*Input!$C$31</f>
        <v>5.6132411976663223E-5</v>
      </c>
      <c r="E97" s="1">
        <f>((D9/$B97)*$C97)*Input!$C$31</f>
        <v>6.3621116605882512E-9</v>
      </c>
      <c r="F97" s="1">
        <f>((E9/$B97)*$C97)*Input!$C$31</f>
        <v>1.0315803005376282E-6</v>
      </c>
      <c r="G97" s="1">
        <f>((F9/$B97)*$C97)*Input!$C$31</f>
        <v>1.7656381742163933E-7</v>
      </c>
      <c r="H97" s="1">
        <f>((G9/$B97)*$C97)*Input!$C$31</f>
        <v>9.4904080892537095E-7</v>
      </c>
      <c r="I97" s="1">
        <f>((H9/$B97)*$C97)*Input!$C$31</f>
        <v>2.3540900649192329E-7</v>
      </c>
      <c r="J97" s="1">
        <f>((I9/$B97)*$C97)*Input!$C$31</f>
        <v>4.4102641664511286E-8</v>
      </c>
      <c r="K97" s="1">
        <f>((J9/$B97)*$C97)*Input!$C$31</f>
        <v>3.3466752690648508E-8</v>
      </c>
      <c r="L97" s="1">
        <f>((K9/$B97)*$C97)*Input!$C$31</f>
        <v>-5.8810451232317042E-5</v>
      </c>
      <c r="M97" s="1">
        <f t="shared" ref="M97:M110" si="37">(SUM(D97:H97))*1000</f>
        <v>5.8295959015208447E-2</v>
      </c>
      <c r="N97" s="1">
        <f t="shared" ref="N97:N110" si="38">SUM(D97:K97)*1000</f>
        <v>5.860893741605553E-2</v>
      </c>
      <c r="O97" s="1">
        <f t="shared" ref="O97:O110" si="39">SUM(D97:L97)*1000</f>
        <v>-2.0151381626151108E-4</v>
      </c>
    </row>
    <row r="98" spans="1:18" x14ac:dyDescent="0.35">
      <c r="A98" s="39" t="s">
        <v>171</v>
      </c>
      <c r="B98" s="154">
        <v>65000</v>
      </c>
      <c r="C98" s="154">
        <v>7.5499999999999998E-2</v>
      </c>
      <c r="D98" s="1">
        <f>((C10/$B98)*$C98)*Input!$C$31</f>
        <v>2.3614552667516702E-4</v>
      </c>
      <c r="E98" s="1">
        <f>((D10/$B98)*$C98)*Input!$C$31</f>
        <v>4.9407308690633505E-7</v>
      </c>
      <c r="F98" s="1">
        <f>((E10/$B98)*$C98)*Input!$C$31</f>
        <v>4.1274769227930679E-5</v>
      </c>
      <c r="G98" s="1">
        <f>((F10/$B98)*$C98)*Input!$C$31</f>
        <v>7.1472218900676902E-6</v>
      </c>
      <c r="H98" s="1">
        <f>((G10/$B98)*$C98)*Input!$C$31</f>
        <v>8.3381358924568771E-5</v>
      </c>
      <c r="I98" s="1">
        <f>((H10/$B98)*$C98)*Input!$C$31</f>
        <v>9.5292480015894504E-6</v>
      </c>
      <c r="J98" s="1">
        <f>((I10/$B98)*$C98)*Input!$C$31</f>
        <v>3.4249521967513378E-6</v>
      </c>
      <c r="K98" s="1">
        <f>((J10/$B98)*$C98)*Input!$C$31</f>
        <v>2.5989832767365709E-6</v>
      </c>
      <c r="L98" s="1">
        <f>((K10/$B98)*$C98)*Input!$C$31</f>
        <v>-2.6084676448626744E-4</v>
      </c>
      <c r="M98" s="1">
        <f t="shared" si="37"/>
        <v>0.36844294980464048</v>
      </c>
      <c r="N98" s="1">
        <f t="shared" si="38"/>
        <v>0.38399613327971788</v>
      </c>
      <c r="O98" s="1">
        <f t="shared" si="39"/>
        <v>0.12314936879345044</v>
      </c>
    </row>
    <row r="99" spans="1:18" x14ac:dyDescent="0.35">
      <c r="A99" s="39" t="s">
        <v>173</v>
      </c>
      <c r="B99" s="154">
        <v>1.61</v>
      </c>
      <c r="C99" s="154">
        <v>2.7999999999999997E-2</v>
      </c>
      <c r="D99" s="1">
        <f>((C11/$B99)*$C99)*Input!$C$31</f>
        <v>1.7702616657117042E-6</v>
      </c>
      <c r="E99" s="1">
        <f>((D11/$B99)*$C99)*Input!$C$31</f>
        <v>5.8875524540489382E-9</v>
      </c>
      <c r="F99" s="1">
        <f>((E11/$B99)*$C99)*Input!$C$31</f>
        <v>1.2095049326567243E-6</v>
      </c>
      <c r="G99" s="1">
        <f>((F11/$B99)*$C99)*Input!$C$31</f>
        <v>1.8545647304347824E-7</v>
      </c>
      <c r="H99" s="1">
        <f>((G11/$B99)*$C99)*Input!$C$31</f>
        <v>2.3095895507367038E-6</v>
      </c>
      <c r="I99" s="1">
        <f>((H11/$B99)*$C99)*Input!$C$31</f>
        <v>2.4726540637940858E-7</v>
      </c>
      <c r="J99" s="1">
        <f>((I11/$B99)*$C99)*Input!$C$31</f>
        <v>4.0812961169865106E-8</v>
      </c>
      <c r="K99" s="1">
        <f>((J11/$B99)*$C99)*Input!$C$31</f>
        <v>3.0970418698161943E-8</v>
      </c>
      <c r="L99" s="1">
        <f>((K11/$B99)*$C99)*Input!$C$31</f>
        <v>-2.6491393200990551E-6</v>
      </c>
      <c r="M99" s="1">
        <f t="shared" si="37"/>
        <v>5.4807001746026594E-3</v>
      </c>
      <c r="N99" s="1">
        <f t="shared" si="38"/>
        <v>5.7997489608500952E-3</v>
      </c>
      <c r="O99" s="1">
        <f t="shared" si="39"/>
        <v>3.1506096407510403E-3</v>
      </c>
    </row>
    <row r="100" spans="1:18" x14ac:dyDescent="0.35">
      <c r="A100" s="39" t="s">
        <v>175</v>
      </c>
      <c r="B100" s="154">
        <v>19.5</v>
      </c>
      <c r="C100" s="154">
        <v>2.9600000000000001E-2</v>
      </c>
      <c r="D100" s="1">
        <f>((C12/$B100)*$C100)*Input!$C$31</f>
        <v>7.1656256860737874E-6</v>
      </c>
      <c r="E100" s="1">
        <f>((D12/$B100)*$C100)*Input!$C$31</f>
        <v>1.4053637232832214E-8</v>
      </c>
      <c r="F100" s="1">
        <f>((E12/$B100)*$C100)*Input!$C$31</f>
        <v>1.9483995636314826E-6</v>
      </c>
      <c r="G100" s="1">
        <f>((F12/$B100)*$C100)*Input!$C$31</f>
        <v>2.2556708233846153E-7</v>
      </c>
      <c r="H100" s="1">
        <f>((G12/$B100)*$C100)*Input!$C$31</f>
        <v>1.5228498866190161E-6</v>
      </c>
      <c r="I100" s="1">
        <f>((H12/$B100)*$C100)*Input!$C$31</f>
        <v>3.0074407954022391E-7</v>
      </c>
      <c r="J100" s="1">
        <f>((I12/$B100)*$C100)*Input!$C$31</f>
        <v>9.7420881623653393E-8</v>
      </c>
      <c r="K100" s="1">
        <f>((J12/$B100)*$C100)*Input!$C$31</f>
        <v>7.3926649950025875E-8</v>
      </c>
      <c r="L100" s="1">
        <f>((K12/$B100)*$C100)*Input!$C$31</f>
        <v>-7.6555456618123624E-6</v>
      </c>
      <c r="M100" s="1">
        <f t="shared" si="37"/>
        <v>1.087649585589558E-2</v>
      </c>
      <c r="N100" s="1">
        <f t="shared" si="38"/>
        <v>1.1348587467009482E-2</v>
      </c>
      <c r="O100" s="1">
        <f t="shared" si="39"/>
        <v>3.6930418051971197E-3</v>
      </c>
    </row>
    <row r="101" spans="1:18" x14ac:dyDescent="0.35">
      <c r="A101" s="39" t="s">
        <v>177</v>
      </c>
      <c r="B101" s="154">
        <v>177</v>
      </c>
      <c r="C101" s="154">
        <v>3.7100000000000001E-2</v>
      </c>
      <c r="D101" s="1">
        <f>((C13/$B101)*$C101)*Input!$C$31</f>
        <v>1.2024052688308025E-5</v>
      </c>
      <c r="E101" s="1">
        <f>((D13/$B101)*$C101)*Input!$C$31</f>
        <v>2.1096531390016671E-8</v>
      </c>
      <c r="F101" s="1">
        <f>((E13/$B101)*$C101)*Input!$C$31</f>
        <v>2.9227194516820266E-6</v>
      </c>
      <c r="G101" s="1">
        <f>((F13/$B101)*$C101)*Input!$C$31</f>
        <v>3.3714045233898302E-7</v>
      </c>
      <c r="H101" s="1">
        <f>((G13/$B101)*$C101)*Input!$C$31</f>
        <v>2.2681670979424687E-6</v>
      </c>
      <c r="I101" s="1">
        <f>((H13/$B101)*$C101)*Input!$C$31</f>
        <v>4.4950262229451932E-7</v>
      </c>
      <c r="J101" s="1">
        <f>((I13/$B101)*$C101)*Input!$C$31</f>
        <v>1.4624275930611246E-7</v>
      </c>
      <c r="K101" s="1">
        <f>((J13/$B101)*$C101)*Input!$C$31</f>
        <v>1.1097453743760765E-7</v>
      </c>
      <c r="L101" s="1">
        <f>((K13/$B101)*$C101)*Input!$C$31</f>
        <v>-1.2266001887492438E-5</v>
      </c>
      <c r="M101" s="1">
        <f t="shared" si="37"/>
        <v>1.7573176221661522E-2</v>
      </c>
      <c r="N101" s="1">
        <f t="shared" si="38"/>
        <v>1.8279896140699761E-2</v>
      </c>
      <c r="O101" s="1">
        <f t="shared" si="39"/>
        <v>6.0138942532073237E-3</v>
      </c>
      <c r="R101" s="87">
        <f>+Results!B23+Results!B54+Results!B61+Results!B86+Results!B112+Results!B119+Results!B126+Results!B152+Results!B160</f>
        <v>1.1368683772161603E-13</v>
      </c>
    </row>
    <row r="102" spans="1:18" x14ac:dyDescent="0.35">
      <c r="A102" s="39" t="s">
        <v>179</v>
      </c>
      <c r="B102" s="154">
        <v>1.6900000000000001E-5</v>
      </c>
      <c r="C102" s="154">
        <v>2.1299999999999999E-2</v>
      </c>
      <c r="D102" s="1">
        <f>((C14/$B102)*$C102)*Input!$C$31</f>
        <v>2.8450718583864857E-6</v>
      </c>
      <c r="E102" s="1">
        <f>((D14/$B102)*$C102)*Input!$C$31</f>
        <v>2.4664999255433163E-9</v>
      </c>
      <c r="F102" s="1">
        <f>((E14/$B102)*$C102)*Input!$C$31</f>
        <v>3.0282673454918575E-7</v>
      </c>
      <c r="G102" s="1">
        <f>((F14/$B102)*$C102)*Input!$C$31</f>
        <v>5.1070513420118331E-8</v>
      </c>
      <c r="H102" s="1">
        <f>((G14/$B102)*$C102)*Input!$C$31</f>
        <v>4.8020950833532081E-7</v>
      </c>
      <c r="I102" s="1">
        <f>((H14/$B102)*$C102)*Input!$C$31</f>
        <v>6.8091294132775371E-8</v>
      </c>
      <c r="J102" s="1">
        <f>((I14/$B102)*$C102)*Input!$C$31</f>
        <v>1.7097964981602147E-8</v>
      </c>
      <c r="K102" s="1">
        <f>((J14/$B102)*$C102)*Input!$C$31</f>
        <v>1.2974582563681187E-8</v>
      </c>
      <c r="L102" s="1">
        <f>((K14/$B102)*$C102)*Input!$C$31</f>
        <v>-3.0196773963201817E-6</v>
      </c>
      <c r="M102" s="1">
        <f t="shared" si="37"/>
        <v>3.6816451146166542E-3</v>
      </c>
      <c r="N102" s="1">
        <f t="shared" si="38"/>
        <v>3.7798089562947122E-3</v>
      </c>
      <c r="O102" s="1">
        <f t="shared" si="39"/>
        <v>7.6013155997453044E-4</v>
      </c>
    </row>
    <row r="103" spans="1:18" x14ac:dyDescent="0.35">
      <c r="A103" s="39" t="s">
        <v>181</v>
      </c>
      <c r="B103" s="154">
        <v>2.3000000000000001E-4</v>
      </c>
      <c r="C103" s="154">
        <v>1.84E-2</v>
      </c>
      <c r="D103" s="1">
        <f>((C15/$B103)*$C103)*Input!$C$31</f>
        <v>5.2704629043953584E-6</v>
      </c>
      <c r="E103" s="1">
        <f>((D15/$B103)*$C103)*Input!$C$31</f>
        <v>4.1729377883782286E-9</v>
      </c>
      <c r="F103" s="1">
        <f>((E15/$B103)*$C103)*Input!$C$31</f>
        <v>1.4899872495659876E-6</v>
      </c>
      <c r="G103" s="1">
        <f>((F15/$B103)*$C103)*Input!$C$31</f>
        <v>2.6375731200000002E-7</v>
      </c>
      <c r="H103" s="1">
        <f>((G15/$B103)*$C103)*Input!$C$31</f>
        <v>5.8823276622727842E-7</v>
      </c>
      <c r="I103" s="1">
        <f>((H15/$B103)*$C103)*Input!$C$31</f>
        <v>3.5166234894335998E-7</v>
      </c>
      <c r="J103" s="1">
        <f>((I15/$B103)*$C103)*Input!$C$31</f>
        <v>2.8927121966313752E-8</v>
      </c>
      <c r="K103" s="1">
        <f>((J15/$B103)*$C103)*Input!$C$31</f>
        <v>2.1950994325082815E-8</v>
      </c>
      <c r="L103" s="1">
        <f>((K15/$B103)*$C103)*Input!$C$31</f>
        <v>-5.8846087843383736E-6</v>
      </c>
      <c r="M103" s="1">
        <f t="shared" si="37"/>
        <v>7.6166131699770025E-3</v>
      </c>
      <c r="N103" s="1">
        <f t="shared" si="38"/>
        <v>8.0191536352117575E-3</v>
      </c>
      <c r="O103" s="1">
        <f t="shared" si="39"/>
        <v>2.1345448508733843E-3</v>
      </c>
    </row>
    <row r="104" spans="1:18" x14ac:dyDescent="0.35">
      <c r="A104" s="39" t="s">
        <v>182</v>
      </c>
      <c r="B104" s="154">
        <v>4220</v>
      </c>
      <c r="C104" s="154">
        <v>5.0099999999999999E-2</v>
      </c>
      <c r="D104" s="1">
        <f>((C16/$B104)*$C104)*Input!$C$31</f>
        <v>1.0140981056428592E-6</v>
      </c>
      <c r="E104" s="1">
        <f>((D16/$B104)*$C104)*Input!$C$31</f>
        <v>1.5162746847144538E-9</v>
      </c>
      <c r="F104" s="1">
        <f>((E16/$B104)*$C104)*Input!$C$31</f>
        <v>2.2969613881824404E-7</v>
      </c>
      <c r="G104" s="1">
        <f>((F16/$B104)*$C104)*Input!$C$31</f>
        <v>3.3124900504265403E-8</v>
      </c>
      <c r="H104" s="1">
        <f>((G16/$B104)*$C104)*Input!$C$31</f>
        <v>5.5758837540252708E-6</v>
      </c>
      <c r="I104" s="1">
        <f>((H16/$B104)*$C104)*Input!$C$31</f>
        <v>4.4164767344326967E-8</v>
      </c>
      <c r="J104" s="1">
        <f>((I16/$B104)*$C104)*Input!$C$31</f>
        <v>1.0510931378206635E-8</v>
      </c>
      <c r="K104" s="1">
        <f>((J16/$B104)*$C104)*Input!$C$31</f>
        <v>7.9760923089076543E-9</v>
      </c>
      <c r="L104" s="1">
        <f>((K16/$B104)*$C104)*Input!$C$31</f>
        <v>-1.2464941414076679E-6</v>
      </c>
      <c r="M104" s="1">
        <f t="shared" si="37"/>
        <v>6.8543191736753547E-3</v>
      </c>
      <c r="N104" s="1">
        <f t="shared" si="38"/>
        <v>6.9169709647067951E-3</v>
      </c>
      <c r="O104" s="1">
        <f t="shared" si="39"/>
        <v>5.6704768232991266E-3</v>
      </c>
    </row>
    <row r="105" spans="1:18" x14ac:dyDescent="0.35">
      <c r="A105" s="39" t="s">
        <v>184</v>
      </c>
      <c r="B105" s="154">
        <v>819000</v>
      </c>
      <c r="C105" s="154">
        <v>7.9399999999999998E-2</v>
      </c>
      <c r="D105" s="1">
        <f>((C17/$B105)*$C105)*Input!$C$31</f>
        <v>7.4715283908328657E-6</v>
      </c>
      <c r="E105" s="1">
        <f>((D17/$B105)*$C105)*Input!$C$31</f>
        <v>2.1202116516272084E-9</v>
      </c>
      <c r="F105" s="1">
        <f>((E17/$B105)*$C105)*Input!$C$31</f>
        <v>3.0035520944949276E-7</v>
      </c>
      <c r="G105" s="1">
        <f>((F17/$B105)*$C105)*Input!$C$31</f>
        <v>3.7627995469362634E-8</v>
      </c>
      <c r="H105" s="1">
        <f>((G17/$B105)*$C105)*Input!$C$31</f>
        <v>2.3787841077615692E-7</v>
      </c>
      <c r="I105" s="1">
        <f>((H17/$B105)*$C105)*Input!$C$31</f>
        <v>5.016865379939182E-8</v>
      </c>
      <c r="J105" s="1">
        <f>((I17/$B105)*$C105)*Input!$C$31</f>
        <v>1.469746834276571E-8</v>
      </c>
      <c r="K105" s="1">
        <f>((J17/$B105)*$C105)*Input!$C$31</f>
        <v>1.115299491462846E-8</v>
      </c>
      <c r="L105" s="1">
        <f>((K17/$B105)*$C105)*Input!$C$31</f>
        <v>-9.2860107859859084E-6</v>
      </c>
      <c r="M105" s="1">
        <f t="shared" si="37"/>
        <v>8.0495102181795068E-3</v>
      </c>
      <c r="N105" s="1">
        <f t="shared" si="38"/>
        <v>8.1255293352362912E-3</v>
      </c>
      <c r="O105" s="1">
        <f t="shared" si="39"/>
        <v>-1.1604814507496179E-3</v>
      </c>
    </row>
    <row r="106" spans="1:18" x14ac:dyDescent="0.35">
      <c r="A106" s="39" t="s">
        <v>186</v>
      </c>
      <c r="B106" s="154">
        <v>65000</v>
      </c>
      <c r="C106" s="154">
        <v>8.3199999999999996E-2</v>
      </c>
      <c r="D106" s="1">
        <f>((C18/$B106)*$C106)*Input!$C$31</f>
        <v>5.1107718009756136E-11</v>
      </c>
      <c r="E106" s="1">
        <f>((D18/$B106)*$C106)*Input!$C$31</f>
        <v>6.3917100249552833E-15</v>
      </c>
      <c r="F106" s="1">
        <f>((E18/$B106)*$C106)*Input!$C$31</f>
        <v>3.7835166985360015E-12</v>
      </c>
      <c r="G106" s="1">
        <f>((F18/$B106)*$C106)*Input!$C$31</f>
        <v>6.4562503679999993E-13</v>
      </c>
      <c r="H106" s="1">
        <f>((G18/$B106)*$C106)*Input!$C$31</f>
        <v>7.3678965072579963E-12</v>
      </c>
      <c r="I106" s="1">
        <f>((H18/$B106)*$C106)*Input!$C$31</f>
        <v>8.6079894906470382E-13</v>
      </c>
      <c r="J106" s="1">
        <f>((I18/$B106)*$C106)*Input!$C$31</f>
        <v>4.4307819776304149E-14</v>
      </c>
      <c r="K106" s="1">
        <f>((J18/$B106)*$C106)*Input!$C$31</f>
        <v>3.36224496028004E-14</v>
      </c>
      <c r="L106" s="1">
        <f>((K18/$B106)*$C106)*Input!$C$31</f>
        <v>-3.3305477752598697E-12</v>
      </c>
      <c r="M106" s="1">
        <f t="shared" si="37"/>
        <v>6.2911147962375095E-8</v>
      </c>
      <c r="N106" s="1">
        <f t="shared" si="38"/>
        <v>6.3849877180818899E-8</v>
      </c>
      <c r="O106" s="1">
        <f t="shared" si="39"/>
        <v>6.0519329405559021E-8</v>
      </c>
    </row>
    <row r="107" spans="1:18" x14ac:dyDescent="0.35">
      <c r="A107" s="39" t="s">
        <v>188</v>
      </c>
      <c r="B107" s="154">
        <v>5.3600000000000002E-2</v>
      </c>
      <c r="C107" s="154">
        <v>6.3099999999999989E-2</v>
      </c>
      <c r="D107" s="1">
        <f>((C19/$B107)*$C107)*Input!$C$31</f>
        <v>1.0469505150631078E-8</v>
      </c>
      <c r="E107" s="1">
        <f>((D19/$B107)*$C107)*Input!$C$31</f>
        <v>8.4954596053707516E-10</v>
      </c>
      <c r="F107" s="1">
        <f>((E19/$B107)*$C107)*Input!$C$31</f>
        <v>6.8874408257280828E-8</v>
      </c>
      <c r="G107" s="1">
        <f>((F19/$B107)*$C107)*Input!$C$31</f>
        <v>1.1967670316417908E-8</v>
      </c>
      <c r="H107" s="1">
        <f>((G19/$B107)*$C107)*Input!$C$31</f>
        <v>6.0945926869757493E-7</v>
      </c>
      <c r="I107" s="1">
        <f>((H19/$B107)*$C107)*Input!$C$31</f>
        <v>1.5956255479473666E-8</v>
      </c>
      <c r="J107" s="1">
        <f>((I19/$B107)*$C107)*Input!$C$31</f>
        <v>5.8891171790020722E-9</v>
      </c>
      <c r="K107" s="1">
        <f>((J19/$B107)*$C107)*Input!$C$31</f>
        <v>4.4688848730462096E-9</v>
      </c>
      <c r="L107" s="1">
        <f>((K19/$B107)*$C107)*Input!$C$31</f>
        <v>-3.122629265312383E-8</v>
      </c>
      <c r="M107" s="1">
        <f t="shared" si="37"/>
        <v>7.0162039838244175E-4</v>
      </c>
      <c r="N107" s="1">
        <f t="shared" si="38"/>
        <v>7.2793465591396362E-4</v>
      </c>
      <c r="O107" s="1">
        <f t="shared" si="39"/>
        <v>6.967083632608399E-4</v>
      </c>
    </row>
    <row r="108" spans="1:18" x14ac:dyDescent="0.35">
      <c r="A108" s="39" t="s">
        <v>190</v>
      </c>
      <c r="B108" s="154">
        <v>5.9500000000000004E-4</v>
      </c>
      <c r="C108" s="154">
        <v>8.9600000000000013E-2</v>
      </c>
      <c r="D108" s="1">
        <f>((C20/$B108)*$C108)*Input!$C$31</f>
        <v>3.8638027826715553E-5</v>
      </c>
      <c r="E108" s="1">
        <f>((D20/$B108)*$C108)*Input!$C$31</f>
        <v>4.7497063705476585E-8</v>
      </c>
      <c r="F108" s="1">
        <f>((E20/$B108)*$C108)*Input!$C$31</f>
        <v>2.4028151180373475E-5</v>
      </c>
      <c r="G108" s="1">
        <f>((F20/$B108)*$C108)*Input!$C$31</f>
        <v>4.2673636291764701E-6</v>
      </c>
      <c r="H108" s="1">
        <f>((G20/$B108)*$C108)*Input!$C$31</f>
        <v>2.558529038438815E-6</v>
      </c>
      <c r="I108" s="1">
        <f>((H20/$B108)*$C108)*Input!$C$31</f>
        <v>5.6895905795084039E-6</v>
      </c>
      <c r="J108" s="1">
        <f>((I20/$B108)*$C108)*Input!$C$31</f>
        <v>3.2925325622553048E-7</v>
      </c>
      <c r="K108" s="1">
        <f>((J20/$B108)*$C108)*Input!$C$31</f>
        <v>2.4984982492686832E-7</v>
      </c>
      <c r="L108" s="1">
        <f>((K20/$B108)*$C108)*Input!$C$31</f>
        <v>-4.4436843275662101E-5</v>
      </c>
      <c r="M108" s="1">
        <f t="shared" si="37"/>
        <v>6.9539568738409788E-2</v>
      </c>
      <c r="N108" s="1">
        <f t="shared" si="38"/>
        <v>7.5808262399070583E-2</v>
      </c>
      <c r="O108" s="1">
        <f t="shared" si="39"/>
        <v>3.1371419123408489E-2</v>
      </c>
    </row>
    <row r="109" spans="1:18" x14ac:dyDescent="0.35">
      <c r="A109" s="39" t="s">
        <v>192</v>
      </c>
      <c r="B109" s="154">
        <v>40.6</v>
      </c>
      <c r="C109" s="154">
        <v>4.7800000000000002E-2</v>
      </c>
      <c r="D109" s="1">
        <f>((C21/$B109)*$C109)*Input!$C$31</f>
        <v>2.081521688388295E-5</v>
      </c>
      <c r="E109" s="1">
        <f>((D21/$B109)*$C109)*Input!$C$31</f>
        <v>9.2867227116512568E-8</v>
      </c>
      <c r="F109" s="1">
        <f>((E21/$B109)*$C109)*Input!$C$31</f>
        <v>9.4134331399820851E-6</v>
      </c>
      <c r="G109" s="1">
        <f>((F21/$B109)*$C109)*Input!$C$31</f>
        <v>1.3994122025615762E-6</v>
      </c>
      <c r="H109" s="1">
        <f>((G21/$B109)*$C109)*Input!$C$31</f>
        <v>4.3036784849318678E-6</v>
      </c>
      <c r="I109" s="1">
        <f>((H21/$B109)*$C109)*Input!$C$31</f>
        <v>1.8658083014312979E-6</v>
      </c>
      <c r="J109" s="1">
        <f>((I21/$B109)*$C109)*Input!$C$31</f>
        <v>6.4376267792785716E-7</v>
      </c>
      <c r="K109" s="1">
        <f>((J21/$B109)*$C109)*Input!$C$31</f>
        <v>4.8851147052757718E-7</v>
      </c>
      <c r="L109" s="1">
        <f>((K21/$B109)*$C109)*Input!$C$31</f>
        <v>-2.3311727708501708E-5</v>
      </c>
      <c r="M109" s="1">
        <f t="shared" si="37"/>
        <v>3.6024607938474992E-2</v>
      </c>
      <c r="N109" s="1">
        <f t="shared" si="38"/>
        <v>3.902269038836173E-2</v>
      </c>
      <c r="O109" s="1">
        <f t="shared" si="39"/>
        <v>1.5710962679860021E-2</v>
      </c>
    </row>
    <row r="110" spans="1:18" x14ac:dyDescent="0.35">
      <c r="A110" s="39" t="s">
        <v>194</v>
      </c>
      <c r="B110" s="154">
        <v>11500</v>
      </c>
      <c r="C110" s="154">
        <v>8.5099999999999995E-2</v>
      </c>
      <c r="D110" s="1">
        <f>((C22/$B110)*$C110)*Input!$C$31</f>
        <v>6.0573267687237203E-6</v>
      </c>
      <c r="E110" s="1">
        <f>((D22/$B110)*$C110)*Input!$C$31</f>
        <v>4.2601343026467376E-9</v>
      </c>
      <c r="F110" s="1">
        <f>((E22/$B110)*$C110)*Input!$C$31</f>
        <v>6.5611538851785654E-7</v>
      </c>
      <c r="G110" s="1">
        <f>((F22/$B110)*$C110)*Input!$C$31</f>
        <v>1.0370821996799998E-7</v>
      </c>
      <c r="H110" s="1">
        <f>((G22/$B110)*$C110)*Input!$C$31</f>
        <v>1.1820101182978572E-6</v>
      </c>
      <c r="I110" s="1">
        <f>((H22/$B110)*$C110)*Input!$C$31</f>
        <v>1.3827209551893501E-7</v>
      </c>
      <c r="J110" s="1">
        <f>((I22/$B110)*$C110)*Input!$C$31</f>
        <v>2.9531574831704496E-8</v>
      </c>
      <c r="K110" s="1">
        <f>((J22/$B110)*$C110)*Input!$C$31</f>
        <v>2.2409676022951813E-8</v>
      </c>
      <c r="L110" s="1">
        <f>((K22/$B110)*$C110)*Input!$C$31</f>
        <v>-6.6348879282507142E-6</v>
      </c>
      <c r="M110" s="1">
        <f t="shared" si="37"/>
        <v>8.0034206298100815E-3</v>
      </c>
      <c r="N110" s="1">
        <f t="shared" si="38"/>
        <v>8.1936339761836709E-3</v>
      </c>
      <c r="O110" s="1">
        <f t="shared" si="39"/>
        <v>1.5587460479329575E-3</v>
      </c>
    </row>
    <row r="111" spans="1:18" x14ac:dyDescent="0.35">
      <c r="A111" s="376" t="s">
        <v>200</v>
      </c>
      <c r="B111" s="377"/>
      <c r="C111" s="330">
        <f>SUM(C92:C110)</f>
        <v>1</v>
      </c>
      <c r="D111" s="13">
        <f>SUM(D92:D110)*1000</f>
        <v>0.48733894939114109</v>
      </c>
      <c r="E111" s="13">
        <f t="shared" ref="E111:L111" si="40">SUM(E92:E110)*1000</f>
        <v>1.575494878296462E-3</v>
      </c>
      <c r="F111" s="13">
        <f t="shared" si="40"/>
        <v>0.15913415167932873</v>
      </c>
      <c r="G111" s="13">
        <f>SUM(G92:G110)*1000</f>
        <v>2.6887033103725453E-2</v>
      </c>
      <c r="H111" s="13">
        <f t="shared" si="40"/>
        <v>0.21037577322022852</v>
      </c>
      <c r="I111" s="13">
        <f t="shared" si="40"/>
        <v>3.5847943496535084E-2</v>
      </c>
      <c r="J111" s="13">
        <f t="shared" si="40"/>
        <v>1.0921450261902051E-2</v>
      </c>
      <c r="K111" s="13">
        <f t="shared" si="40"/>
        <v>8.2876095658553448E-3</v>
      </c>
      <c r="L111" s="13">
        <f t="shared" si="40"/>
        <v>-0.55171543024453917</v>
      </c>
      <c r="M111" s="1">
        <f>SUM(M92:M110)</f>
        <v>0.8853114022727202</v>
      </c>
      <c r="N111" s="1">
        <f>SUM(N92:N110)</f>
        <v>0.94036840559701285</v>
      </c>
      <c r="O111" s="1">
        <f>SUM(O92:O110)</f>
        <v>0.38865297535247362</v>
      </c>
    </row>
    <row r="112" spans="1:18" x14ac:dyDescent="0.35">
      <c r="A112" s="148" t="s">
        <v>58</v>
      </c>
      <c r="B112" s="337">
        <f>+SUM(D47:L47)*Input!$C$31-SUM(Results!D111:L111)</f>
        <v>0</v>
      </c>
      <c r="C112" s="256"/>
      <c r="D112" s="337">
        <f>+D47*Input!$C$31-D111</f>
        <v>0</v>
      </c>
      <c r="E112" s="337">
        <f>+E47*Input!$C$31-E111</f>
        <v>0</v>
      </c>
      <c r="F112" s="337">
        <f>+F47*Input!$C$31-F111</f>
        <v>0</v>
      </c>
      <c r="G112" s="337">
        <f>+G47*Input!$C$31-G111</f>
        <v>0</v>
      </c>
      <c r="H112" s="337">
        <f>+H47*Input!$C$31-H111</f>
        <v>0</v>
      </c>
      <c r="I112" s="337">
        <f>+I47*Input!$C$31-I111</f>
        <v>0</v>
      </c>
      <c r="J112" s="337">
        <f>+J47*Input!$C$31-J111</f>
        <v>0</v>
      </c>
      <c r="K112" s="337">
        <f>+K47*Input!$C$31-K111</f>
        <v>0</v>
      </c>
      <c r="L112" s="337">
        <f>+L47*Input!$C$31-L111</f>
        <v>0</v>
      </c>
      <c r="M112" s="337">
        <f>+M47*Input!$C$31-M111</f>
        <v>0</v>
      </c>
      <c r="N112" s="337">
        <f>+N47*Input!$C$31-N111</f>
        <v>0</v>
      </c>
      <c r="O112" s="337">
        <f>+O47*Input!$C$31-O111</f>
        <v>0</v>
      </c>
    </row>
    <row r="113" spans="1:28" x14ac:dyDescent="0.35">
      <c r="A113" s="24"/>
      <c r="B113" s="24"/>
      <c r="C113" s="24"/>
      <c r="D113" s="24"/>
    </row>
    <row r="115" spans="1:28" ht="21" x14ac:dyDescent="0.5">
      <c r="A115" s="76" t="s">
        <v>256</v>
      </c>
    </row>
    <row r="117" spans="1:28" ht="43.5" x14ac:dyDescent="0.35">
      <c r="A117" s="246" t="s">
        <v>153</v>
      </c>
      <c r="B117" s="246" t="s">
        <v>154</v>
      </c>
      <c r="C117" s="108" t="s">
        <v>1011</v>
      </c>
      <c r="D117" s="108" t="s">
        <v>1012</v>
      </c>
      <c r="E117" s="108" t="s">
        <v>1015</v>
      </c>
      <c r="F117" s="108" t="s">
        <v>1010</v>
      </c>
      <c r="G117" s="108" t="s">
        <v>156</v>
      </c>
      <c r="H117" s="108" t="s">
        <v>157</v>
      </c>
      <c r="I117" s="108" t="s">
        <v>158</v>
      </c>
      <c r="J117" s="108" t="s">
        <v>159</v>
      </c>
      <c r="K117" s="108" t="s">
        <v>204</v>
      </c>
      <c r="L117" s="103" t="s">
        <v>987</v>
      </c>
      <c r="M117" s="103" t="s">
        <v>991</v>
      </c>
    </row>
    <row r="118" spans="1:28" x14ac:dyDescent="0.35">
      <c r="A118" s="1" t="s">
        <v>164</v>
      </c>
      <c r="B118" s="1" t="s">
        <v>257</v>
      </c>
      <c r="C118" s="1">
        <f>'A1 - Raw Material Supply'!$Z$115*Input!$C$31</f>
        <v>2.8744722069093451</v>
      </c>
      <c r="D118" s="1">
        <f>'C3'' - Secondary Raw Material '!$F$321*Input!$C$31</f>
        <v>3.2023744887117074E-2</v>
      </c>
      <c r="E118" s="1">
        <f>'A2 - Transport'!$Z$119*Input!$C$31</f>
        <v>2.650460890107516</v>
      </c>
      <c r="F118" s="1">
        <f>('C2''- Transport Secondary'!$D$59+'C2''- Transport Secondary'!$G$59)*Input!$C$31</f>
        <v>0.45718519391999995</v>
      </c>
      <c r="G118" s="1">
        <f>'A3 - Production '!$D$207*Input!$C$31</f>
        <v>3.8509116517379609</v>
      </c>
      <c r="H118" s="1">
        <f>'A4 - Transport'!$B$18*Input!$C$31</f>
        <v>0.60955587534965749</v>
      </c>
      <c r="I118" s="1">
        <f>'A5 - Construction'!$E$140*Input!$C$31</f>
        <v>0.22199103393002423</v>
      </c>
      <c r="J118" s="1">
        <f>'C1 - Deconstruction'!$B$88*Input!$C$31</f>
        <v>0.16845519342338494</v>
      </c>
      <c r="K118" s="1">
        <f>'D- Benefits &amp; Burdens'!$N$162*Input!$C$31</f>
        <v>-3.7534705234705905</v>
      </c>
      <c r="L118" s="1">
        <f>SUM(C118:G118)</f>
        <v>9.8650536875619395</v>
      </c>
      <c r="M118" s="1">
        <f>SUM(C118:J118)</f>
        <v>10.865055790265007</v>
      </c>
    </row>
    <row r="119" spans="1:28" x14ac:dyDescent="0.35">
      <c r="A119" s="148" t="s">
        <v>58</v>
      </c>
      <c r="B119" s="338">
        <f>+SUM(E134,H134,K134,N134,Q134,T134,U134,V134,Z134,AA134,AD134,AM134)-SUM(C118:K118)</f>
        <v>0</v>
      </c>
      <c r="L119" s="257">
        <f>+L118-L53*Input!$C$31</f>
        <v>0</v>
      </c>
      <c r="M119" s="257">
        <f>+M118-M53*Input!$C$31</f>
        <v>0</v>
      </c>
    </row>
    <row r="121" spans="1:28" ht="21" x14ac:dyDescent="0.5">
      <c r="A121" s="76" t="s">
        <v>258</v>
      </c>
    </row>
    <row r="122" spans="1:28" x14ac:dyDescent="0.35">
      <c r="A122" s="11" t="s">
        <v>259</v>
      </c>
      <c r="O122" s="15" t="s">
        <v>216</v>
      </c>
      <c r="P122" s="15" t="s">
        <v>262</v>
      </c>
      <c r="Q122" s="15" t="s">
        <v>1017</v>
      </c>
      <c r="R122" s="15" t="s">
        <v>254</v>
      </c>
      <c r="S122" s="15"/>
    </row>
    <row r="123" spans="1:28" ht="14.5" customHeight="1" x14ac:dyDescent="0.35">
      <c r="A123" s="384" t="s">
        <v>209</v>
      </c>
      <c r="B123" s="384" t="s">
        <v>253</v>
      </c>
      <c r="C123" s="381" t="s">
        <v>260</v>
      </c>
      <c r="D123" s="382"/>
      <c r="E123" s="381" t="s">
        <v>59</v>
      </c>
      <c r="F123" s="382"/>
      <c r="G123" s="381" t="s">
        <v>212</v>
      </c>
      <c r="H123" s="382"/>
      <c r="I123" s="381" t="s">
        <v>213</v>
      </c>
      <c r="J123" s="382"/>
      <c r="K123" s="378" t="s">
        <v>214</v>
      </c>
      <c r="L123" s="379"/>
      <c r="M123" s="381" t="s">
        <v>1016</v>
      </c>
      <c r="N123" s="382"/>
      <c r="O123" s="103" t="s">
        <v>364</v>
      </c>
      <c r="P123" s="103" t="s">
        <v>364</v>
      </c>
      <c r="Q123" s="103" t="s">
        <v>364</v>
      </c>
      <c r="R123" s="103" t="s">
        <v>364</v>
      </c>
      <c r="S123" s="381" t="s">
        <v>229</v>
      </c>
      <c r="T123" s="382"/>
      <c r="U123" s="384" t="s">
        <v>231</v>
      </c>
      <c r="V123" s="384"/>
      <c r="W123" s="384"/>
      <c r="X123" s="384"/>
      <c r="Y123" s="384"/>
      <c r="Z123" s="384"/>
      <c r="AA123" s="384"/>
      <c r="AB123" s="384"/>
    </row>
    <row r="124" spans="1:28" ht="43.5" x14ac:dyDescent="0.35">
      <c r="A124" s="384"/>
      <c r="B124" s="384"/>
      <c r="C124" s="103" t="s">
        <v>1011</v>
      </c>
      <c r="D124" s="103" t="s">
        <v>1015</v>
      </c>
      <c r="E124" s="103" t="s">
        <v>1011</v>
      </c>
      <c r="F124" s="103" t="s">
        <v>1015</v>
      </c>
      <c r="G124" s="103" t="s">
        <v>1011</v>
      </c>
      <c r="H124" s="103" t="s">
        <v>1015</v>
      </c>
      <c r="I124" s="103" t="s">
        <v>1012</v>
      </c>
      <c r="J124" s="103" t="s">
        <v>1010</v>
      </c>
      <c r="K124" s="103" t="s">
        <v>1012</v>
      </c>
      <c r="L124" s="103" t="s">
        <v>1010</v>
      </c>
      <c r="M124" s="103" t="s">
        <v>1011</v>
      </c>
      <c r="N124" s="103" t="s">
        <v>1015</v>
      </c>
      <c r="O124" s="103" t="s">
        <v>218</v>
      </c>
      <c r="P124" s="103" t="s">
        <v>263</v>
      </c>
      <c r="Q124" s="103" t="s">
        <v>264</v>
      </c>
      <c r="R124" s="108" t="s">
        <v>159</v>
      </c>
      <c r="S124" s="103" t="s">
        <v>160</v>
      </c>
      <c r="T124" s="103" t="s">
        <v>265</v>
      </c>
      <c r="U124" s="103" t="s">
        <v>266</v>
      </c>
      <c r="V124" s="103" t="s">
        <v>212</v>
      </c>
      <c r="W124" s="103" t="s">
        <v>211</v>
      </c>
      <c r="X124" s="103" t="s">
        <v>267</v>
      </c>
      <c r="Y124" s="103" t="s">
        <v>268</v>
      </c>
      <c r="Z124" s="103" t="s">
        <v>269</v>
      </c>
      <c r="AA124" s="103" t="s">
        <v>270</v>
      </c>
      <c r="AB124" s="103" t="s">
        <v>271</v>
      </c>
    </row>
    <row r="125" spans="1:28" x14ac:dyDescent="0.35">
      <c r="A125" s="1" t="s">
        <v>164</v>
      </c>
      <c r="B125" s="1" t="s">
        <v>257</v>
      </c>
      <c r="C125" s="1">
        <f>C68*Input!$C$31</f>
        <v>0.42802594561767537</v>
      </c>
      <c r="D125" s="1">
        <f>D68*Input!$C$31</f>
        <v>2.3170320707001091</v>
      </c>
      <c r="E125" s="1">
        <f>F68*Input!$C$31</f>
        <v>2.2550015999999999</v>
      </c>
      <c r="F125" s="1">
        <f>G68*Input!$C$31</f>
        <v>0.17695871073893374</v>
      </c>
      <c r="G125" s="1">
        <f>I68*Input!$C$31</f>
        <v>6.5831490932352826E-2</v>
      </c>
      <c r="H125" s="1">
        <f>J68*Input!$C$31</f>
        <v>3.1850568509759994E-2</v>
      </c>
      <c r="I125" s="1">
        <f>L68*Input!C31</f>
        <v>3.2023744887117074E-2</v>
      </c>
      <c r="J125" s="1">
        <f>M68*Input!C31</f>
        <v>0.45718519391999995</v>
      </c>
      <c r="K125" s="1">
        <f>O68*Input!$C$31</f>
        <v>0</v>
      </c>
      <c r="L125" s="1">
        <f>P68*Input!$C$31</f>
        <v>0</v>
      </c>
      <c r="M125" s="1">
        <f>R68*Input!$C$31</f>
        <v>0.12561317035931716</v>
      </c>
      <c r="N125" s="1">
        <f>S68*Input!$C$31</f>
        <v>0.12461954015871358</v>
      </c>
      <c r="O125" s="1">
        <f>U68*Input!$C$31</f>
        <v>3.8509116517379609</v>
      </c>
      <c r="P125" s="1">
        <f>V68*Input!$C$31</f>
        <v>0.60955587534965749</v>
      </c>
      <c r="Q125" s="1">
        <f>Z68*Input!$C$31</f>
        <v>0.22199103393002423</v>
      </c>
      <c r="R125" s="1">
        <f>AA68*Input!$C$31</f>
        <v>0.16845519342338494</v>
      </c>
      <c r="S125" s="1">
        <f>$AC$68*Input!$C$31</f>
        <v>0.14598502034476504</v>
      </c>
      <c r="T125" s="1">
        <f>$AB$68*Input!$C$31</f>
        <v>1.08753757728</v>
      </c>
      <c r="U125" s="1">
        <f>AE68*Input!$C$31</f>
        <v>-2.3771543040000003</v>
      </c>
      <c r="V125" s="1">
        <f>AF68*Input!$C$31</f>
        <v>-0.1818962319197579</v>
      </c>
      <c r="W125" s="1">
        <f>AG68*Input!$C$31</f>
        <v>-0.14622850590868589</v>
      </c>
      <c r="X125" s="1">
        <f>AH68*Input!$C$31</f>
        <v>-0.19449897264521324</v>
      </c>
      <c r="Y125" s="1">
        <f>AI68*Input!$C$31</f>
        <v>-0.19017691311189797</v>
      </c>
      <c r="Z125" s="1">
        <f>AJ68*Input!$C$31</f>
        <v>-0.25284335140195086</v>
      </c>
      <c r="AA125" s="1">
        <f>AK68*Input!$C$31</f>
        <v>-1.0707729431607118</v>
      </c>
      <c r="AB125" s="1">
        <f>AL68*Input!$C$31</f>
        <v>-0.57342189894713858</v>
      </c>
    </row>
    <row r="126" spans="1:28" x14ac:dyDescent="0.35">
      <c r="A126" s="148" t="s">
        <v>58</v>
      </c>
      <c r="B126" s="338">
        <f>+SUM(C118:J118)-SUM(C125:R125)</f>
        <v>0</v>
      </c>
    </row>
    <row r="127" spans="1:28" x14ac:dyDescent="0.35">
      <c r="A127" s="24"/>
      <c r="B127" s="24"/>
      <c r="C127" s="24"/>
      <c r="D127" s="24"/>
    </row>
    <row r="128" spans="1:28" ht="15" customHeight="1" x14ac:dyDescent="0.5">
      <c r="A128" s="76"/>
    </row>
    <row r="129" spans="1:40" ht="21" x14ac:dyDescent="0.5">
      <c r="A129" s="76" t="s">
        <v>1008</v>
      </c>
      <c r="F129" s="37"/>
      <c r="G129" s="37"/>
      <c r="H129" s="37"/>
      <c r="I129" s="37"/>
      <c r="J129" s="37"/>
      <c r="K129" s="37"/>
      <c r="L129" s="37"/>
      <c r="M129" s="37"/>
      <c r="N129" s="37"/>
      <c r="O129" s="37"/>
      <c r="P129" s="37"/>
      <c r="Q129" s="37"/>
      <c r="R129" s="16"/>
      <c r="S129" s="16"/>
    </row>
    <row r="131" spans="1:40" ht="29" x14ac:dyDescent="0.35">
      <c r="A131" s="385" t="s">
        <v>209</v>
      </c>
      <c r="B131" s="385" t="s">
        <v>253</v>
      </c>
      <c r="C131" s="378" t="s">
        <v>221</v>
      </c>
      <c r="D131" s="387"/>
      <c r="E131" s="379"/>
      <c r="F131" s="378" t="s">
        <v>59</v>
      </c>
      <c r="G131" s="387"/>
      <c r="H131" s="379"/>
      <c r="I131" s="378" t="s">
        <v>212</v>
      </c>
      <c r="J131" s="387"/>
      <c r="K131" s="379"/>
      <c r="L131" s="378" t="s">
        <v>213</v>
      </c>
      <c r="M131" s="387"/>
      <c r="N131" s="379"/>
      <c r="O131" s="378" t="s">
        <v>214</v>
      </c>
      <c r="P131" s="387"/>
      <c r="Q131" s="379"/>
      <c r="R131" s="378" t="s">
        <v>215</v>
      </c>
      <c r="S131" s="387"/>
      <c r="T131" s="379"/>
      <c r="U131" s="104" t="s">
        <v>140</v>
      </c>
      <c r="V131" s="103" t="s">
        <v>223</v>
      </c>
      <c r="W131" s="104" t="s">
        <v>224</v>
      </c>
      <c r="X131" s="104" t="s">
        <v>225</v>
      </c>
      <c r="Y131" s="103" t="s">
        <v>226</v>
      </c>
      <c r="Z131" s="390" t="s">
        <v>227</v>
      </c>
      <c r="AA131" s="321" t="s">
        <v>254</v>
      </c>
      <c r="AB131" s="320" t="s">
        <v>229</v>
      </c>
      <c r="AC131" s="322"/>
      <c r="AD131" s="390" t="s">
        <v>230</v>
      </c>
      <c r="AE131" s="381" t="s">
        <v>231</v>
      </c>
      <c r="AF131" s="383"/>
      <c r="AG131" s="383"/>
      <c r="AH131" s="383"/>
      <c r="AI131" s="383"/>
      <c r="AJ131" s="383"/>
      <c r="AK131" s="383"/>
      <c r="AL131" s="382"/>
      <c r="AM131" s="390" t="s">
        <v>232</v>
      </c>
      <c r="AN131" s="390" t="s">
        <v>233</v>
      </c>
    </row>
    <row r="132" spans="1:40" ht="43.5" x14ac:dyDescent="0.35">
      <c r="A132" s="386"/>
      <c r="B132" s="386"/>
      <c r="C132" s="104" t="s">
        <v>234</v>
      </c>
      <c r="D132" s="104" t="s">
        <v>235</v>
      </c>
      <c r="E132" s="104" t="s">
        <v>200</v>
      </c>
      <c r="F132" s="104" t="s">
        <v>234</v>
      </c>
      <c r="G132" s="104" t="s">
        <v>235</v>
      </c>
      <c r="H132" s="104" t="s">
        <v>200</v>
      </c>
      <c r="I132" s="104" t="s">
        <v>234</v>
      </c>
      <c r="J132" s="104" t="s">
        <v>235</v>
      </c>
      <c r="K132" s="104" t="s">
        <v>200</v>
      </c>
      <c r="L132" s="104" t="s">
        <v>236</v>
      </c>
      <c r="M132" s="104" t="s">
        <v>237</v>
      </c>
      <c r="N132" s="104" t="s">
        <v>200</v>
      </c>
      <c r="O132" s="104" t="s">
        <v>252</v>
      </c>
      <c r="P132" s="104" t="s">
        <v>237</v>
      </c>
      <c r="Q132" s="104" t="s">
        <v>200</v>
      </c>
      <c r="R132" s="104" t="s">
        <v>234</v>
      </c>
      <c r="S132" s="104" t="s">
        <v>235</v>
      </c>
      <c r="T132" s="104" t="s">
        <v>200</v>
      </c>
      <c r="U132" s="104" t="s">
        <v>238</v>
      </c>
      <c r="V132" s="104" t="s">
        <v>239</v>
      </c>
      <c r="W132" s="104" t="s">
        <v>240</v>
      </c>
      <c r="X132" s="104" t="s">
        <v>240</v>
      </c>
      <c r="Y132" s="104" t="s">
        <v>240</v>
      </c>
      <c r="Z132" s="391"/>
      <c r="AA132" s="103" t="s">
        <v>251</v>
      </c>
      <c r="AB132" s="104" t="str">
        <f>'D- Benefits &amp; Burdens'!B186</f>
        <v>Transport</v>
      </c>
      <c r="AC132" s="104" t="str">
        <f>'D- Benefits &amp; Burdens'!C186</f>
        <v>Waste processing</v>
      </c>
      <c r="AD132" s="391"/>
      <c r="AE132" s="103" t="s">
        <v>243</v>
      </c>
      <c r="AF132" s="103" t="s">
        <v>244</v>
      </c>
      <c r="AG132" s="103" t="s">
        <v>245</v>
      </c>
      <c r="AH132" s="103" t="s">
        <v>246</v>
      </c>
      <c r="AI132" s="103" t="s">
        <v>247</v>
      </c>
      <c r="AJ132" s="103" t="s">
        <v>248</v>
      </c>
      <c r="AK132" s="103" t="s">
        <v>249</v>
      </c>
      <c r="AL132" s="103" t="s">
        <v>250</v>
      </c>
      <c r="AM132" s="391"/>
      <c r="AN132" s="391"/>
    </row>
    <row r="133" spans="1:40" x14ac:dyDescent="0.35">
      <c r="A133" s="39" t="s">
        <v>162</v>
      </c>
      <c r="B133" s="39" t="s">
        <v>163</v>
      </c>
      <c r="C133" s="1">
        <f>C67*Input!$C$31</f>
        <v>6.6392536851410571E-3</v>
      </c>
      <c r="D133" s="1">
        <f>D67*Input!$C$31</f>
        <v>4.2967197283027116E-3</v>
      </c>
      <c r="E133" s="62">
        <f>E67*Input!$C$31</f>
        <v>1.0935973413443769E-2</v>
      </c>
      <c r="F133" s="1">
        <f>F67*Input!$C$31</f>
        <v>7.3181183999999995E-3</v>
      </c>
      <c r="G133" s="1">
        <f>G67*Input!$C$31</f>
        <v>2.6388268689407998E-4</v>
      </c>
      <c r="H133" s="62">
        <f>H67*Input!$C$31</f>
        <v>7.5820010868940793E-3</v>
      </c>
      <c r="I133" s="1">
        <f>I67*Input!$C$31</f>
        <v>5.0365660055101214E-4</v>
      </c>
      <c r="J133" s="1">
        <f>J67*Input!$C$31</f>
        <v>4.7495902080000005E-5</v>
      </c>
      <c r="K133" s="62">
        <f>K67*Input!$C$31</f>
        <v>5.5115250263101207E-4</v>
      </c>
      <c r="L133" s="1">
        <f>L67*Input!$C$31</f>
        <v>4.0941947860662124E-5</v>
      </c>
      <c r="M133" s="1">
        <f>M67*Input!$C$31</f>
        <v>6.8175936000000007E-4</v>
      </c>
      <c r="N133" s="62">
        <f>N67*Input!$C$31</f>
        <v>7.2270130786066217E-4</v>
      </c>
      <c r="O133" s="1">
        <f>O67*Input!$C$31</f>
        <v>0</v>
      </c>
      <c r="P133" s="1">
        <f>P67*Input!$C$31</f>
        <v>0</v>
      </c>
      <c r="Q133" s="62">
        <f>Q67*Input!$C$31</f>
        <v>0</v>
      </c>
      <c r="R133" s="1">
        <f>R67*Input!$C$31</f>
        <v>1.0016361889498566E-3</v>
      </c>
      <c r="S133" s="1">
        <f>S67*Input!$C$31</f>
        <v>1.8583396634880002E-4</v>
      </c>
      <c r="T133" s="62">
        <f>T67*Input!$C$31</f>
        <v>1.1874701552986565E-3</v>
      </c>
      <c r="U133" s="62">
        <f>U67*Input!$C$31</f>
        <v>3.8428346136680112E-3</v>
      </c>
      <c r="V133" s="62">
        <f>V67*Input!$C$31</f>
        <v>9.0897611950079991E-4</v>
      </c>
      <c r="W133" s="1">
        <f>W67*Input!$C$31</f>
        <v>1.0009187902725169E-4</v>
      </c>
      <c r="X133" s="1">
        <f>X67*Input!$C$31</f>
        <v>1.3459487921812455E-4</v>
      </c>
      <c r="Y133" s="1">
        <f>Y67*Input!$C$31</f>
        <v>4.912593663884602E-5</v>
      </c>
      <c r="Z133" s="250">
        <f>Z67*Input!$C$31</f>
        <v>2.8381269488422225E-4</v>
      </c>
      <c r="AA133" s="250">
        <f>AA67*Input!$C$31</f>
        <v>2.1536780817825422E-4</v>
      </c>
      <c r="AB133" s="89">
        <f>AB67*Input!$C$31</f>
        <v>2.9751926399999998E-3</v>
      </c>
      <c r="AC133" s="89">
        <f>AC67*Input!$C$31</f>
        <v>1.8663997956708492E-4</v>
      </c>
      <c r="AD133" s="250">
        <f>AD67*Input!$C$31</f>
        <v>3.1618326195670845E-3</v>
      </c>
      <c r="AE133" s="89">
        <f>AE67*Input!$C$31</f>
        <v>-7.7145384959999997E-3</v>
      </c>
      <c r="AF133" s="89">
        <f>AF67*Input!$C$31</f>
        <v>-1.3916324318992525E-3</v>
      </c>
      <c r="AG133" s="89">
        <f>AG67*Input!$C$31</f>
        <v>-2.8138885042152326E-3</v>
      </c>
      <c r="AH133" s="89">
        <f>AH67*Input!$C$31</f>
        <v>-1.7147685983223385E-3</v>
      </c>
      <c r="AI133" s="89">
        <f>AI67*Input!$C$31</f>
        <v>-5.2026979481809921E-4</v>
      </c>
      <c r="AJ133" s="89">
        <f>AJ67*Input!$C$31</f>
        <v>-6.9170729718182414E-4</v>
      </c>
      <c r="AK133" s="89">
        <f>AK67*Input!$C$31</f>
        <v>-2.9293293824114693E-3</v>
      </c>
      <c r="AL133" s="89">
        <f>AL67*Input!$C$31</f>
        <v>-1.5687187725772801E-3</v>
      </c>
      <c r="AM133" s="250">
        <f>AM67*Input!$C$31</f>
        <v>-1.9344853277425494E-2</v>
      </c>
      <c r="AN133" s="250">
        <f>AN67*Input!$C$31</f>
        <v>-1.6183020657858409E-2</v>
      </c>
    </row>
    <row r="134" spans="1:40" x14ac:dyDescent="0.35">
      <c r="A134" s="39" t="s">
        <v>164</v>
      </c>
      <c r="B134" s="39" t="s">
        <v>165</v>
      </c>
      <c r="C134" s="1">
        <f>C68*Input!$C$31</f>
        <v>0.42802594561767537</v>
      </c>
      <c r="D134" s="1">
        <f>D68*Input!$C$31</f>
        <v>2.3170320707001091</v>
      </c>
      <c r="E134" s="62">
        <f>E68*Input!$C$31</f>
        <v>2.7450580163177842</v>
      </c>
      <c r="F134" s="1">
        <f>F68*Input!$C$31</f>
        <v>2.2550015999999999</v>
      </c>
      <c r="G134" s="1">
        <f>G68*Input!$C$31</f>
        <v>0.17695871073893374</v>
      </c>
      <c r="H134" s="62">
        <f>H68*Input!$C$31</f>
        <v>2.4319603107389338</v>
      </c>
      <c r="I134" s="1">
        <f>I68*Input!$C$31</f>
        <v>6.5831490932352826E-2</v>
      </c>
      <c r="J134" s="1">
        <f>J68*Input!$C$31</f>
        <v>3.1850568509759994E-2</v>
      </c>
      <c r="K134" s="62">
        <f>K68*Input!$C$31</f>
        <v>9.7682059442112834E-2</v>
      </c>
      <c r="L134" s="1">
        <f>L68*Input!$C$31</f>
        <v>3.2023744887117074E-2</v>
      </c>
      <c r="M134" s="1">
        <f>M68*Input!$C$31</f>
        <v>0.45718519391999995</v>
      </c>
      <c r="N134" s="62">
        <f>N68*Input!$C$31</f>
        <v>0.48920893880711708</v>
      </c>
      <c r="O134" s="1">
        <f>O68*Input!$C$31</f>
        <v>0</v>
      </c>
      <c r="P134" s="1">
        <f>P68*Input!$C$31</f>
        <v>0</v>
      </c>
      <c r="Q134" s="62">
        <f>Q68*Input!$C$31</f>
        <v>0</v>
      </c>
      <c r="R134" s="1">
        <f>R68*Input!$C$31</f>
        <v>0.12561317035931716</v>
      </c>
      <c r="S134" s="1">
        <f>S68*Input!$C$31</f>
        <v>0.12461954015871358</v>
      </c>
      <c r="T134" s="62">
        <f>T68*Input!$C$31</f>
        <v>0.25023271051803075</v>
      </c>
      <c r="U134" s="62">
        <f>U68*Input!$C$31</f>
        <v>3.8509116517379609</v>
      </c>
      <c r="V134" s="62">
        <f>V68*Input!$C$31</f>
        <v>0.60955587534965749</v>
      </c>
      <c r="W134" s="1">
        <f>W68*Input!$C$31</f>
        <v>7.8289308807425517E-2</v>
      </c>
      <c r="X134" s="1">
        <f>X68*Input!$C$31</f>
        <v>0.10527667344657325</v>
      </c>
      <c r="Y134" s="1">
        <f>Y68*Input!$C$31</f>
        <v>3.842505167602546E-2</v>
      </c>
      <c r="Z134" s="250">
        <f>Z68*Input!$C$31</f>
        <v>0.22199103393002423</v>
      </c>
      <c r="AA134" s="250">
        <f>AA68*Input!$C$31</f>
        <v>0.16845519342338494</v>
      </c>
      <c r="AB134" s="89">
        <f>AB68*Input!$C$31</f>
        <v>1.08753757728</v>
      </c>
      <c r="AC134" s="1">
        <f>AC68*Input!$C$31</f>
        <v>0.14598502034476504</v>
      </c>
      <c r="AD134" s="62">
        <f>AD68*Input!$C$31</f>
        <v>1.233522597624765</v>
      </c>
      <c r="AE134" s="1">
        <f>AE68*Input!$C$31</f>
        <v>-2.3771543040000003</v>
      </c>
      <c r="AF134" s="1">
        <f>AF68*Input!$C$31</f>
        <v>-0.1818962319197579</v>
      </c>
      <c r="AG134" s="1">
        <f>AG68*Input!$C$31</f>
        <v>-0.14622850590868589</v>
      </c>
      <c r="AH134" s="1">
        <f>AH68*Input!$C$31</f>
        <v>-0.19449897264521324</v>
      </c>
      <c r="AI134" s="1">
        <f>AI68*Input!$C$31</f>
        <v>-0.19017691311189797</v>
      </c>
      <c r="AJ134" s="1">
        <f>AJ68*Input!$C$31</f>
        <v>-0.25284335140195086</v>
      </c>
      <c r="AK134" s="1">
        <f>AK68*Input!$C$31</f>
        <v>-1.0707729431607118</v>
      </c>
      <c r="AL134" s="1">
        <f>AL68*Input!$C$31</f>
        <v>-0.57342189894713858</v>
      </c>
      <c r="AM134" s="62">
        <f>AM68*Input!$C$31</f>
        <v>-4.986993121095356</v>
      </c>
      <c r="AN134" s="62">
        <f>AN68*Input!$C$31</f>
        <v>-3.7534705234705905</v>
      </c>
    </row>
    <row r="135" spans="1:40" x14ac:dyDescent="0.35">
      <c r="A135" s="39" t="s">
        <v>166</v>
      </c>
      <c r="B135" s="39" t="s">
        <v>165</v>
      </c>
      <c r="C135" s="1">
        <f>C69*Input!$C$31</f>
        <v>8.1028261963275977E-4</v>
      </c>
      <c r="D135" s="1">
        <f>D69*Input!$C$31</f>
        <v>1.060699869927327E-3</v>
      </c>
      <c r="E135" s="62">
        <f>E69*Input!$C$31</f>
        <v>1.8709824895600867E-3</v>
      </c>
      <c r="F135" s="1">
        <f>F69*Input!$C$31</f>
        <v>8.9349119999999997E-3</v>
      </c>
      <c r="G135" s="1">
        <f>G69*Input!$C$31</f>
        <v>8.2702645742592002E-5</v>
      </c>
      <c r="H135" s="62">
        <f>H69*Input!$C$31</f>
        <v>9.0176146457425933E-3</v>
      </c>
      <c r="I135" s="1">
        <f>I69*Input!$C$31</f>
        <v>1.0266644810281592E-3</v>
      </c>
      <c r="J135" s="1">
        <f>J69*Input!$C$31</f>
        <v>1.4885541792000001E-5</v>
      </c>
      <c r="K135" s="62">
        <f>K69*Input!$C$31</f>
        <v>1.0415500228201592E-3</v>
      </c>
      <c r="L135" s="1">
        <f>L69*Input!$C$31</f>
        <v>6.6184957912473123E-6</v>
      </c>
      <c r="M135" s="1">
        <f>M69*Input!$C$31</f>
        <v>2.1366806400000002E-4</v>
      </c>
      <c r="N135" s="62">
        <f>N69*Input!$C$31</f>
        <v>2.2028655979124733E-4</v>
      </c>
      <c r="O135" s="1">
        <f>O69*Input!$C$31</f>
        <v>0</v>
      </c>
      <c r="P135" s="1">
        <f>P69*Input!$C$31</f>
        <v>0</v>
      </c>
      <c r="Q135" s="62">
        <f>Q69*Input!$C$31</f>
        <v>0</v>
      </c>
      <c r="R135" s="1">
        <f>R69*Input!$C$31</f>
        <v>2.0518677208664949E-2</v>
      </c>
      <c r="S135" s="1">
        <f>S69*Input!$C$31</f>
        <v>5.8241640885120005E-5</v>
      </c>
      <c r="T135" s="62">
        <f>T69*Input!$C$31</f>
        <v>2.0576918849550069E-2</v>
      </c>
      <c r="U135" s="62">
        <f>U69*Input!$C$31</f>
        <v>1.2986558302062014E-3</v>
      </c>
      <c r="V135" s="62">
        <f>V69*Input!$C$31</f>
        <v>2.8487935636991999E-4</v>
      </c>
      <c r="W135" s="1">
        <f>W69*Input!$C$31</f>
        <v>1.6180414335303369E-5</v>
      </c>
      <c r="X135" s="1">
        <f>X69*Input!$C$31</f>
        <v>2.1758018076235984E-5</v>
      </c>
      <c r="Y135" s="1">
        <f>Y69*Input!$C$31</f>
        <v>7.9414835364412547E-6</v>
      </c>
      <c r="Z135" s="250">
        <f>Z69*Input!$C$31</f>
        <v>4.5879915947980601E-5</v>
      </c>
      <c r="AA135" s="250">
        <f>AA69*Input!$C$31</f>
        <v>3.4815415642876601E-5</v>
      </c>
      <c r="AB135" s="89">
        <f>AB69*Input!$C$31</f>
        <v>5.0264793599999989E-4</v>
      </c>
      <c r="AC135" s="1">
        <f>AC69*Input!$C$31</f>
        <v>3.0171400819698537E-5</v>
      </c>
      <c r="AD135" s="62">
        <f>AD69*Input!$C$31</f>
        <v>5.3281933681969846E-4</v>
      </c>
      <c r="AE135" s="1">
        <f>AE69*Input!$C$31</f>
        <v>-9.4189132800000016E-3</v>
      </c>
      <c r="AF135" s="1">
        <f>AF69*Input!$C$31</f>
        <v>-2.8367335738571217E-3</v>
      </c>
      <c r="AG135" s="1">
        <f>AG69*Input!$C$31</f>
        <v>-4.5072816010370998E-4</v>
      </c>
      <c r="AH135" s="1">
        <f>AH69*Input!$C$31</f>
        <v>4.6792964613074159E-5</v>
      </c>
      <c r="AI135" s="1">
        <f>AI69*Input!$C$31</f>
        <v>-8.7897682661806087E-5</v>
      </c>
      <c r="AJ135" s="1">
        <f>AJ69*Input!$C$31</f>
        <v>-1.168614228773376E-4</v>
      </c>
      <c r="AK135" s="1">
        <f>AK69*Input!$C$31</f>
        <v>-4.9489950604787714E-4</v>
      </c>
      <c r="AL135" s="1">
        <f>AL69*Input!$C$31</f>
        <v>-2.6502931023667198E-4</v>
      </c>
      <c r="AM135" s="62">
        <f>AM69*Input!$C$31</f>
        <v>-1.3624269971171454E-2</v>
      </c>
      <c r="AN135" s="62">
        <f>AN69*Input!$C$31</f>
        <v>-1.3091450634351756E-2</v>
      </c>
    </row>
    <row r="136" spans="1:40" x14ac:dyDescent="0.35">
      <c r="A136" s="39" t="s">
        <v>167</v>
      </c>
      <c r="B136" s="39" t="s">
        <v>165</v>
      </c>
      <c r="C136" s="1">
        <f>C70*Input!$C$31</f>
        <v>0.42710423579823575</v>
      </c>
      <c r="D136" s="1">
        <f>D70*Input!$C$31</f>
        <v>2.3156890825063163</v>
      </c>
      <c r="E136" s="62">
        <f>E70*Input!$C$31</f>
        <v>2.7427933183045519</v>
      </c>
      <c r="F136" s="1">
        <f>F70*Input!$C$31</f>
        <v>2.2464921599999998</v>
      </c>
      <c r="G136" s="1">
        <f>G70*Input!$C$31</f>
        <v>0.17686193264805888</v>
      </c>
      <c r="H136" s="62">
        <f>H70*Input!$C$31</f>
        <v>2.4233540926480588</v>
      </c>
      <c r="I136" s="1">
        <f>I70*Input!$C$31</f>
        <v>6.4693567324098908E-2</v>
      </c>
      <c r="J136" s="1">
        <f>J70*Input!$C$31</f>
        <v>3.1833149546880005E-2</v>
      </c>
      <c r="K136" s="62">
        <f>K70*Input!$C$31</f>
        <v>9.6526716870978899E-2</v>
      </c>
      <c r="L136" s="1">
        <f>L70*Input!$C$31</f>
        <v>3.2015710217664466E-2</v>
      </c>
      <c r="M136" s="1">
        <f>M70*Input!$C$31</f>
        <v>0.45693516096000003</v>
      </c>
      <c r="N136" s="62">
        <f>N70*Input!$C$31</f>
        <v>0.48895087117766445</v>
      </c>
      <c r="O136" s="1">
        <f>O70*Input!$C$31</f>
        <v>0</v>
      </c>
      <c r="P136" s="1">
        <f>P70*Input!$C$31</f>
        <v>0</v>
      </c>
      <c r="Q136" s="62">
        <f>Q70*Input!$C$31</f>
        <v>0</v>
      </c>
      <c r="R136" s="1">
        <f>R70*Input!$C$31</f>
        <v>0.10500791454553669</v>
      </c>
      <c r="S136" s="1">
        <f>S70*Input!$C$31</f>
        <v>0.12455138617447681</v>
      </c>
      <c r="T136" s="62">
        <f>T70*Input!$C$31</f>
        <v>0.22955930072001351</v>
      </c>
      <c r="U136" s="62">
        <f>U70*Input!$C$31</f>
        <v>3.8489397842911441</v>
      </c>
      <c r="V136" s="62">
        <f>V70*Input!$C$31</f>
        <v>0.6092225114047487</v>
      </c>
      <c r="W136" s="1">
        <f>W70*Input!$C$31</f>
        <v>7.8269666235322916E-2</v>
      </c>
      <c r="X136" s="1">
        <f>X70*Input!$C$31</f>
        <v>0.10525025981896054</v>
      </c>
      <c r="Y136" s="1">
        <f>Y70*Input!$C$31</f>
        <v>3.8415410936317958E-2</v>
      </c>
      <c r="Z136" s="250">
        <f>Z70*Input!$C$31</f>
        <v>0.22193533699060139</v>
      </c>
      <c r="AA136" s="250">
        <f>AA70*Input!$C$31</f>
        <v>0.16841292847899747</v>
      </c>
      <c r="AB136" s="89">
        <f>AB70*Input!$C$31</f>
        <v>1.0869494159999999</v>
      </c>
      <c r="AC136" s="1">
        <f>AC70*Input!$C$31</f>
        <v>0.14594839310495791</v>
      </c>
      <c r="AD136" s="62">
        <f>AD70*Input!$C$31</f>
        <v>1.2328978091049578</v>
      </c>
      <c r="AE136" s="1">
        <f>AE70*Input!$C$31</f>
        <v>-2.3681839104</v>
      </c>
      <c r="AF136" s="1">
        <f>AF70*Input!$C$31</f>
        <v>-0.17875208291716863</v>
      </c>
      <c r="AG136" s="1">
        <f>AG70*Input!$C$31</f>
        <v>-0.14572970826516521</v>
      </c>
      <c r="AH136" s="1">
        <f>AH70*Input!$C$31</f>
        <v>-0.19451899988715718</v>
      </c>
      <c r="AI136" s="1">
        <f>AI70*Input!$C$31</f>
        <v>-0.19007406177234049</v>
      </c>
      <c r="AJ136" s="1">
        <f>AJ70*Input!$C$31</f>
        <v>-0.25270660884490564</v>
      </c>
      <c r="AK136" s="1">
        <f>AK70*Input!$C$31</f>
        <v>-1.070193848517919</v>
      </c>
      <c r="AL136" s="1">
        <f>AL70*Input!$C$31</f>
        <v>-0.57311178133363194</v>
      </c>
      <c r="AM136" s="62">
        <f>AM70*Input!$C$31</f>
        <v>-4.9732710019382882</v>
      </c>
      <c r="AN136" s="62">
        <f>AN70*Input!$C$31</f>
        <v>-3.7403731928333301</v>
      </c>
    </row>
    <row r="137" spans="1:40" x14ac:dyDescent="0.35">
      <c r="A137" s="39" t="s">
        <v>168</v>
      </c>
      <c r="B137" s="39" t="s">
        <v>165</v>
      </c>
      <c r="C137" s="1">
        <f>C71*Input!$C$31</f>
        <v>1.1142719980682941E-4</v>
      </c>
      <c r="D137" s="1">
        <f>D71*Input!$C$31</f>
        <v>2.8228555027191247E-4</v>
      </c>
      <c r="E137" s="62">
        <f>E71*Input!$C$31</f>
        <v>3.937127500787419E-4</v>
      </c>
      <c r="F137" s="1">
        <f>F71*Input!$C$31</f>
        <v>1.1275008000000001E-3</v>
      </c>
      <c r="G137" s="1">
        <f>G71*Input!$C$31</f>
        <v>1.4075222184960002E-5</v>
      </c>
      <c r="H137" s="62">
        <f>H71*Input!$C$31</f>
        <v>1.1415760221849601E-3</v>
      </c>
      <c r="I137" s="1">
        <f>I71*Input!$C$31</f>
        <v>1.1125912722574701E-4</v>
      </c>
      <c r="J137" s="1">
        <f>J71*Input!$C$31</f>
        <v>2.5333809599999997E-6</v>
      </c>
      <c r="K137" s="62">
        <f>K71*Input!$C$31</f>
        <v>1.1379250818574701E-4</v>
      </c>
      <c r="L137" s="1">
        <f>L71*Input!$C$31</f>
        <v>1.4161736613608893E-6</v>
      </c>
      <c r="M137" s="1">
        <f>M71*Input!$C$31</f>
        <v>3.6364319999999995E-5</v>
      </c>
      <c r="N137" s="62">
        <f>N71*Input!$C$31</f>
        <v>3.7780493661360889E-5</v>
      </c>
      <c r="O137" s="1">
        <f>O71*Input!$C$31</f>
        <v>0</v>
      </c>
      <c r="P137" s="1">
        <f>P71*Input!$C$31</f>
        <v>0</v>
      </c>
      <c r="Q137" s="62">
        <f>Q71*Input!$C$31</f>
        <v>0</v>
      </c>
      <c r="R137" s="1">
        <f>R71*Input!$C$31</f>
        <v>8.6578605115472321E-5</v>
      </c>
      <c r="S137" s="1">
        <f>S71*Input!$C$31</f>
        <v>9.9121863456000014E-6</v>
      </c>
      <c r="T137" s="62">
        <f>T71*Input!$C$31</f>
        <v>9.6490791461072319E-5</v>
      </c>
      <c r="U137" s="62">
        <f>U71*Input!$C$31</f>
        <v>6.7321161661042836E-4</v>
      </c>
      <c r="V137" s="62">
        <f>V71*Input!$C$31</f>
        <v>4.8483820569599997E-5</v>
      </c>
      <c r="W137" s="1">
        <f>W71*Input!$C$31</f>
        <v>3.4621577673080912E-6</v>
      </c>
      <c r="X137" s="1">
        <f>X71*Input!$C$31</f>
        <v>4.6556095364944739E-6</v>
      </c>
      <c r="Y137" s="1">
        <f>Y71*Input!$C$31</f>
        <v>1.6992561710641705E-6</v>
      </c>
      <c r="Z137" s="250">
        <f>Z71*Input!$C$31</f>
        <v>9.8170234748667354E-6</v>
      </c>
      <c r="AA137" s="250">
        <f>AA71*Input!$C$31</f>
        <v>7.4495287445792635E-6</v>
      </c>
      <c r="AB137" s="89">
        <f>AB71*Input!$C$31</f>
        <v>8.5511327999999992E-5</v>
      </c>
      <c r="AC137" s="1">
        <f>AC71*Input!$C$31</f>
        <v>6.4558389874214863E-6</v>
      </c>
      <c r="AD137" s="62">
        <f>AD71*Input!$C$31</f>
        <v>9.1967166987421485E-5</v>
      </c>
      <c r="AE137" s="1">
        <f>AE71*Input!$C$31</f>
        <v>-1.1885771519999999E-3</v>
      </c>
      <c r="AF137" s="1">
        <f>AF71*Input!$C$31</f>
        <v>-3.0741542873212631E-4</v>
      </c>
      <c r="AG137" s="1">
        <f>AG71*Input!$C$31</f>
        <v>-4.8069483416935012E-5</v>
      </c>
      <c r="AH137" s="1">
        <f>AH71*Input!$C$31</f>
        <v>-2.6765722669221122E-5</v>
      </c>
      <c r="AI137" s="1">
        <f>AI71*Input!$C$31</f>
        <v>-1.4953304359203841E-5</v>
      </c>
      <c r="AJ137" s="1">
        <f>AJ71*Input!$C$31</f>
        <v>-1.9880665464844802E-5</v>
      </c>
      <c r="AK137" s="1">
        <f>AK71*Input!$C$31</f>
        <v>-8.4193151822069766E-5</v>
      </c>
      <c r="AL137" s="1">
        <f>AL71*Input!$C$31</f>
        <v>-4.5087240301056001E-5</v>
      </c>
      <c r="AM137" s="62">
        <f>AM71*Input!$C$31</f>
        <v>-1.7349421487654569E-3</v>
      </c>
      <c r="AN137" s="62">
        <f>AN71*Input!$C$31</f>
        <v>-1.6429749817780356E-3</v>
      </c>
    </row>
    <row r="138" spans="1:40" x14ac:dyDescent="0.35">
      <c r="A138" s="39" t="s">
        <v>169</v>
      </c>
      <c r="B138" s="39" t="s">
        <v>170</v>
      </c>
      <c r="C138" s="1">
        <f>C72*Input!$C$31</f>
        <v>2.8465144632645609</v>
      </c>
      <c r="D138" s="1">
        <f>D72*Input!$C$31</f>
        <v>2.0078138155421619</v>
      </c>
      <c r="E138" s="62">
        <f>E72*Input!$C$31</f>
        <v>4.8543282788067224</v>
      </c>
      <c r="F138" s="1">
        <f>F72*Input!$C$31</f>
        <v>121.25951999999999</v>
      </c>
      <c r="G138" s="1">
        <f>G72*Input!$C$31</f>
        <v>0.15198759559259137</v>
      </c>
      <c r="H138" s="62">
        <f>H72*Input!$C$31</f>
        <v>121.41150759559258</v>
      </c>
      <c r="I138" s="1">
        <f>I72*Input!$C$31</f>
        <v>0.20549306353978389</v>
      </c>
      <c r="J138" s="1">
        <f>J72*Input!$C$31</f>
        <v>2.7356049927359995E-2</v>
      </c>
      <c r="K138" s="62">
        <f>K72*Input!$C$31</f>
        <v>0.2328491134671439</v>
      </c>
      <c r="L138" s="1">
        <f>L72*Input!$C$31</f>
        <v>1.4149071245162414E-2</v>
      </c>
      <c r="M138" s="1">
        <f>M72*Input!$C$31</f>
        <v>0.39267057311999998</v>
      </c>
      <c r="N138" s="62">
        <f>N72*Input!$C$31</f>
        <v>0.40681964436516244</v>
      </c>
      <c r="O138" s="1">
        <f>O72*Input!$C$31</f>
        <v>0</v>
      </c>
      <c r="P138" s="1">
        <f>P72*Input!$C$31</f>
        <v>0</v>
      </c>
      <c r="Q138" s="62">
        <f>Q72*Input!$C$31</f>
        <v>0</v>
      </c>
      <c r="R138" s="1">
        <f>R72*Input!$C$31</f>
        <v>0.52461785879565603</v>
      </c>
      <c r="S138" s="1">
        <f>S72*Input!$C$31</f>
        <v>0.10703414482104959</v>
      </c>
      <c r="T138" s="62">
        <f>T72*Input!$C$31</f>
        <v>0.63165200361670559</v>
      </c>
      <c r="U138" s="62">
        <f>U72*Input!$C$31</f>
        <v>2.1106272156829866</v>
      </c>
      <c r="V138" s="62">
        <f>V72*Input!$C$31</f>
        <v>0.52353982172943359</v>
      </c>
      <c r="W138" s="1">
        <f>W72*Input!$C$31</f>
        <v>3.4590614306836222E-2</v>
      </c>
      <c r="X138" s="1">
        <f>X72*Input!$C$31</f>
        <v>4.6514458515078475E-2</v>
      </c>
      <c r="Y138" s="1">
        <f>Y72*Input!$C$31</f>
        <v>1.6977364629889049E-2</v>
      </c>
      <c r="Z138" s="250">
        <f>Z72*Input!$C$31</f>
        <v>9.8082437451803756E-2</v>
      </c>
      <c r="AA138" s="250">
        <f>AA72*Input!$C$31</f>
        <v>7.4428663535973508E-2</v>
      </c>
      <c r="AB138" s="89">
        <f>AB72*Input!$C$31</f>
        <v>0.92424748416000002</v>
      </c>
      <c r="AC138" s="1">
        <f>AC72*Input!$C$31</f>
        <v>6.4500652901950964E-2</v>
      </c>
      <c r="AD138" s="62">
        <f>AD72*Input!$C$31</f>
        <v>0.98874813706195097</v>
      </c>
      <c r="AE138" s="1">
        <f>AE72*Input!$C$31</f>
        <v>-127.8281088</v>
      </c>
      <c r="AF138" s="1">
        <f>AF72*Input!$C$31</f>
        <v>-0.56778926641572514</v>
      </c>
      <c r="AG138" s="1">
        <f>AG72*Input!$C$31</f>
        <v>-1.4449064597919234</v>
      </c>
      <c r="AH138" s="1">
        <f>AH72*Input!$C$31</f>
        <v>-0.16610990630386485</v>
      </c>
      <c r="AI138" s="1">
        <f>AI72*Input!$C$31</f>
        <v>-0.1616224920968706</v>
      </c>
      <c r="AJ138" s="1">
        <f>AJ72*Input!$C$31</f>
        <v>-0.21487977638833308</v>
      </c>
      <c r="AK138" s="1">
        <f>AK72*Input!$C$31</f>
        <v>-0.91000000321652019</v>
      </c>
      <c r="AL138" s="1">
        <f>AL72*Input!$C$31</f>
        <v>-0.48732453805381631</v>
      </c>
      <c r="AM138" s="62">
        <f>AM72*Input!$C$31</f>
        <v>-131.78074124226706</v>
      </c>
      <c r="AN138" s="62">
        <f>AN72*Input!$C$31</f>
        <v>-130.79199310520511</v>
      </c>
    </row>
    <row r="139" spans="1:40" ht="29" x14ac:dyDescent="0.35">
      <c r="A139" s="39" t="s">
        <v>171</v>
      </c>
      <c r="B139" s="39" t="s">
        <v>172</v>
      </c>
      <c r="C139" s="1">
        <f>C73*Input!$C$31</f>
        <v>5.8855572222615651</v>
      </c>
      <c r="D139" s="1">
        <f>D73*Input!$C$31</f>
        <v>31.046964280429105</v>
      </c>
      <c r="E139" s="62">
        <f>E73*Input!$C$31</f>
        <v>36.932521502690669</v>
      </c>
      <c r="F139" s="1">
        <f>F73*Input!$C$31</f>
        <v>194.866176</v>
      </c>
      <c r="G139" s="1">
        <f>G73*Input!$C$31</f>
        <v>2.3816802680254465</v>
      </c>
      <c r="H139" s="62">
        <f>H73*Input!$C$31</f>
        <v>197.24785626802546</v>
      </c>
      <c r="I139" s="1">
        <f>I73*Input!$C$31</f>
        <v>1.1023818802532117</v>
      </c>
      <c r="J139" s="1">
        <f>J73*Input!$C$31</f>
        <v>0.42867553808639997</v>
      </c>
      <c r="K139" s="62">
        <f>K73*Input!$C$31</f>
        <v>1.5310574183396117</v>
      </c>
      <c r="L139" s="1">
        <f>L73*Input!$C$31</f>
        <v>0.42536093574717587</v>
      </c>
      <c r="M139" s="1">
        <f>M73*Input!$C$31</f>
        <v>6.1532373887999992</v>
      </c>
      <c r="N139" s="62">
        <f>N73*Input!$C$31</f>
        <v>6.5785983245471753</v>
      </c>
      <c r="O139" s="1">
        <f>O73*Input!$C$31</f>
        <v>0</v>
      </c>
      <c r="P139" s="1">
        <f>P73*Input!$C$31</f>
        <v>0</v>
      </c>
      <c r="Q139" s="62">
        <f>Q73*Input!$C$31</f>
        <v>0</v>
      </c>
      <c r="R139" s="1">
        <f>R73*Input!$C$31</f>
        <v>1.4499807105429279</v>
      </c>
      <c r="S139" s="1">
        <f>S73*Input!$C$31</f>
        <v>1.677249447439104</v>
      </c>
      <c r="T139" s="62">
        <f>T73*Input!$C$31</f>
        <v>3.1272301579820314</v>
      </c>
      <c r="U139" s="62">
        <f>U73*Input!$C$31</f>
        <v>71.785275895324105</v>
      </c>
      <c r="V139" s="62">
        <f>V73*Input!$C$31</f>
        <v>8.2039883457392619</v>
      </c>
      <c r="W139" s="1">
        <f>W73*Input!$C$31</f>
        <v>1.0398912984946673</v>
      </c>
      <c r="X139" s="1">
        <f>X73*Input!$C$31</f>
        <v>1.3983556416476195</v>
      </c>
      <c r="Y139" s="1">
        <f>Y73*Input!$C$31</f>
        <v>0.51038740143171268</v>
      </c>
      <c r="Z139" s="250">
        <f>Z73*Input!$C$31</f>
        <v>2.9486343415739995</v>
      </c>
      <c r="AA139" s="250">
        <f>AA73*Input!$C$31</f>
        <v>2.2375352713626104</v>
      </c>
      <c r="AB139" s="89">
        <f>AB73*Input!$C$31</f>
        <v>14.622314179199996</v>
      </c>
      <c r="AC139" s="1">
        <f>AC73*Input!$C$31</f>
        <v>1.9390713071755914</v>
      </c>
      <c r="AD139" s="62">
        <f>AD73*Input!$C$31</f>
        <v>16.561385486375588</v>
      </c>
      <c r="AE139" s="1">
        <f>AE73*Input!$C$31</f>
        <v>-205.42201344</v>
      </c>
      <c r="AF139" s="1">
        <f>AF73*Input!$C$31</f>
        <v>-3.0459451444100898</v>
      </c>
      <c r="AG139" s="1">
        <f>AG73*Input!$C$31</f>
        <v>-2.0720206123821234</v>
      </c>
      <c r="AH139" s="1">
        <f>AH73*Input!$C$31</f>
        <v>-2.5281484251485127</v>
      </c>
      <c r="AI139" s="1">
        <f>AI73*Input!$C$31</f>
        <v>-2.556993552450495</v>
      </c>
      <c r="AJ139" s="1">
        <f>AJ73*Input!$C$31</f>
        <v>-3.3995652192248951</v>
      </c>
      <c r="AK139" s="1">
        <f>AK73*Input!$C$31</f>
        <v>-14.396907947440475</v>
      </c>
      <c r="AL139" s="1">
        <f>AL73*Input!$C$31</f>
        <v>-7.7098532858141171</v>
      </c>
      <c r="AM139" s="62">
        <f>AM73*Input!$C$31</f>
        <v>-241.13144762687074</v>
      </c>
      <c r="AN139" s="62">
        <f>AN73*Input!$C$31</f>
        <v>-224.57006214049517</v>
      </c>
    </row>
    <row r="140" spans="1:40" ht="29" x14ac:dyDescent="0.35">
      <c r="A140" s="39" t="s">
        <v>173</v>
      </c>
      <c r="B140" s="39" t="s">
        <v>174</v>
      </c>
      <c r="C140" s="1">
        <f>C74*Input!$C$31</f>
        <v>2.7216973757624703E-5</v>
      </c>
      <c r="D140" s="1">
        <f>D74*Input!$C$31</f>
        <v>6.1769377484824063E-5</v>
      </c>
      <c r="E140" s="62">
        <f>E74*Input!$C$31</f>
        <v>8.898635124244876E-5</v>
      </c>
      <c r="F140" s="1">
        <f>F74*Input!$C$31</f>
        <v>1.8933504E-6</v>
      </c>
      <c r="G140" s="1">
        <f>G74*Input!$C$31</f>
        <v>4.1275242095615997E-6</v>
      </c>
      <c r="H140" s="62">
        <f>H74*Input!$C$31</f>
        <v>6.0208746095615997E-6</v>
      </c>
      <c r="I140" s="1">
        <f>I74*Input!$C$31</f>
        <v>3.9556946014784309E-5</v>
      </c>
      <c r="J140" s="1">
        <f>J74*Input!$C$31</f>
        <v>7.4290772159999999E-7</v>
      </c>
      <c r="K140" s="62">
        <f>K74*Input!$C$31</f>
        <v>4.0299853736384317E-5</v>
      </c>
      <c r="L140" s="1">
        <f>L74*Input!$C$31</f>
        <v>3.3853426610781397E-7</v>
      </c>
      <c r="M140" s="1">
        <f>M74*Input!$C$31</f>
        <v>1.0663747199999999E-5</v>
      </c>
      <c r="N140" s="62">
        <f>N74*Input!$C$31</f>
        <v>1.1002281466107814E-5</v>
      </c>
      <c r="O140" s="1">
        <f>O74*Input!$C$31</f>
        <v>0</v>
      </c>
      <c r="P140" s="1">
        <f>P74*Input!$C$31</f>
        <v>0</v>
      </c>
      <c r="Q140" s="62">
        <f>Q74*Input!$C$31</f>
        <v>0</v>
      </c>
      <c r="R140" s="1">
        <f>R74*Input!$C$31</f>
        <v>3.312277560601401E-5</v>
      </c>
      <c r="S140" s="1">
        <f>S74*Input!$C$31</f>
        <v>2.9067242117759998E-6</v>
      </c>
      <c r="T140" s="62">
        <f>T74*Input!$C$31</f>
        <v>3.6029499817790011E-5</v>
      </c>
      <c r="U140" s="62">
        <f>U74*Input!$C$31</f>
        <v>1.3280139916736051E-4</v>
      </c>
      <c r="V140" s="62">
        <f>V74*Input!$C$31</f>
        <v>1.4217760866815995E-5</v>
      </c>
      <c r="W140" s="1">
        <f>W74*Input!$C$31</f>
        <v>8.2762380835328335E-7</v>
      </c>
      <c r="X140" s="1">
        <f>X74*Input!$C$31</f>
        <v>1.1129167281695807E-6</v>
      </c>
      <c r="Y140" s="1">
        <f>Y74*Input!$C$31</f>
        <v>4.0620473074438E-7</v>
      </c>
      <c r="Z140" s="250">
        <f>Z74*Input!$C$31</f>
        <v>2.3467452672672443E-6</v>
      </c>
      <c r="AA140" s="250">
        <f>AA74*Input!$C$31</f>
        <v>1.7807990751443119E-6</v>
      </c>
      <c r="AB140" s="89">
        <f>AB74*Input!$C$31</f>
        <v>2.5018559999999999E-5</v>
      </c>
      <c r="AC140" s="1">
        <f>AC74*Input!$C$31</f>
        <v>1.5432589754682634E-6</v>
      </c>
      <c r="AD140" s="62">
        <f>AD74*Input!$C$31</f>
        <v>2.6561818975468265E-5</v>
      </c>
      <c r="AE140" s="1">
        <f>AE74*Input!$C$31</f>
        <v>-1.9959125759999997E-6</v>
      </c>
      <c r="AF140" s="1">
        <f>AF74*Input!$C$31</f>
        <v>-1.0929813869377895E-4</v>
      </c>
      <c r="AG140" s="1">
        <f>AG74*Input!$C$31</f>
        <v>-1.0804841523195163E-5</v>
      </c>
      <c r="AH140" s="1">
        <f>AH74*Input!$C$31</f>
        <v>-8.7725179431018649E-6</v>
      </c>
      <c r="AI140" s="1">
        <f>AI74*Input!$C$31</f>
        <v>-4.3749775738368003E-6</v>
      </c>
      <c r="AJ140" s="1">
        <f>AJ74*Input!$C$31</f>
        <v>-5.8166050440959998E-6</v>
      </c>
      <c r="AK140" s="1">
        <f>AK74*Input!$C$31</f>
        <v>-2.4632893322035205E-5</v>
      </c>
      <c r="AL140" s="1">
        <f>AL74*Input!$C$31</f>
        <v>-1.319144320512E-5</v>
      </c>
      <c r="AM140" s="62">
        <f>AM74*Input!$C$31</f>
        <v>-1.7888732988116397E-4</v>
      </c>
      <c r="AN140" s="62">
        <f>AN74*Input!$C$31</f>
        <v>-1.5232551090569568E-4</v>
      </c>
    </row>
    <row r="141" spans="1:40" ht="29" x14ac:dyDescent="0.35">
      <c r="A141" s="39" t="s">
        <v>175</v>
      </c>
      <c r="B141" s="39" t="s">
        <v>176</v>
      </c>
      <c r="C141" s="1">
        <f>C75*Input!$C$31</f>
        <v>2.5195314929932662E-3</v>
      </c>
      <c r="D141" s="1">
        <f>D75*Input!$C$31</f>
        <v>1.175198914727533E-3</v>
      </c>
      <c r="E141" s="62">
        <f>E75*Input!$C$31</f>
        <v>3.6947304077207996E-3</v>
      </c>
      <c r="F141" s="1">
        <f>F75*Input!$C$31</f>
        <v>1.88909568E-3</v>
      </c>
      <c r="G141" s="1">
        <f>G75*Input!$C$31</f>
        <v>5.7517289361408002E-5</v>
      </c>
      <c r="H141" s="62">
        <f>H75*Input!$C$31</f>
        <v>1.9466129693614079E-3</v>
      </c>
      <c r="I141" s="1">
        <f>I75*Input!$C$31</f>
        <v>1.1406337373686712E-4</v>
      </c>
      <c r="J141" s="1">
        <f>J75*Input!$C$31</f>
        <v>1.0352462207999998E-5</v>
      </c>
      <c r="K141" s="62">
        <f>K75*Input!$C$31</f>
        <v>1.244158359448671E-4</v>
      </c>
      <c r="L141" s="1">
        <f>L75*Input!$C$31</f>
        <v>9.2583083121698704E-6</v>
      </c>
      <c r="M141" s="1">
        <f>M75*Input!$C$31</f>
        <v>1.4859993599999999E-4</v>
      </c>
      <c r="N141" s="62">
        <f>N75*Input!$C$31</f>
        <v>1.5785824431216987E-4</v>
      </c>
      <c r="O141" s="1">
        <f>O75*Input!$C$31</f>
        <v>0</v>
      </c>
      <c r="P141" s="1">
        <f>P75*Input!$C$31</f>
        <v>0</v>
      </c>
      <c r="Q141" s="62">
        <f>Q75*Input!$C$31</f>
        <v>0</v>
      </c>
      <c r="R141" s="1">
        <f>R75*Input!$C$31</f>
        <v>1.9790745591982768E-4</v>
      </c>
      <c r="S141" s="1">
        <f>S75*Input!$C$31</f>
        <v>4.0505370554879999E-5</v>
      </c>
      <c r="T141" s="62">
        <f>T75*Input!$C$31</f>
        <v>2.384128264747077E-4</v>
      </c>
      <c r="U141" s="62">
        <f>U75*Input!$C$31</f>
        <v>1.0032288104415814E-3</v>
      </c>
      <c r="V141" s="62">
        <f>V75*Input!$C$31</f>
        <v>1.9812532267007995E-4</v>
      </c>
      <c r="W141" s="1">
        <f>W75*Input!$C$31</f>
        <v>2.2634034871337433E-5</v>
      </c>
      <c r="X141" s="1">
        <f>X75*Input!$C$31</f>
        <v>3.0436287332532145E-5</v>
      </c>
      <c r="Y141" s="1">
        <f>Y75*Input!$C$31</f>
        <v>1.1108974811712902E-5</v>
      </c>
      <c r="Z141" s="250">
        <f>Z75*Input!$C$31</f>
        <v>6.4179297015582481E-5</v>
      </c>
      <c r="AA141" s="250">
        <f>AA75*Input!$C$31</f>
        <v>4.8701678176537314E-5</v>
      </c>
      <c r="AB141" s="89">
        <f>AB75*Input!$C$31</f>
        <v>1.06749888E-3</v>
      </c>
      <c r="AC141" s="1">
        <f>AC75*Input!$C$31</f>
        <v>4.220538016632635E-5</v>
      </c>
      <c r="AD141" s="62">
        <f>AD75*Input!$C$31</f>
        <v>1.1097042601663262E-3</v>
      </c>
      <c r="AE141" s="1">
        <f>AE75*Input!$C$31</f>
        <v>-1.9914273792E-3</v>
      </c>
      <c r="AF141" s="1">
        <f>AF75*Input!$C$31</f>
        <v>-3.1516372466956798E-4</v>
      </c>
      <c r="AG141" s="1">
        <f>AG75*Input!$C$31</f>
        <v>-1.0107659795927518E-3</v>
      </c>
      <c r="AH141" s="1">
        <f>AH75*Input!$C$31</f>
        <v>-7.8693991523966168E-4</v>
      </c>
      <c r="AI141" s="1">
        <f>AI75*Input!$C$31</f>
        <v>-1.8667276054640638E-4</v>
      </c>
      <c r="AJ141" s="1">
        <f>AJ75*Input!$C$31</f>
        <v>-2.4818452260940799E-4</v>
      </c>
      <c r="AK141" s="1">
        <f>AK75*Input!$C$31</f>
        <v>-1.0510431468650496E-3</v>
      </c>
      <c r="AL141" s="1">
        <f>AL75*Input!$C$31</f>
        <v>-5.6285616946175998E-4</v>
      </c>
      <c r="AM141" s="62">
        <f>AM75*Input!$C$31</f>
        <v>-6.1530535981846055E-3</v>
      </c>
      <c r="AN141" s="62">
        <f>AN75*Input!$C$31</f>
        <v>-5.04334933801828E-3</v>
      </c>
    </row>
    <row r="142" spans="1:40" x14ac:dyDescent="0.35">
      <c r="A142" s="39" t="s">
        <v>177</v>
      </c>
      <c r="B142" s="39" t="s">
        <v>178</v>
      </c>
      <c r="C142" s="1">
        <f>C76*Input!$C$31</f>
        <v>3.3304306474648403E-2</v>
      </c>
      <c r="D142" s="1">
        <f>D76*Input!$C$31</f>
        <v>1.2770908879034039E-2</v>
      </c>
      <c r="E142" s="62">
        <f>E76*Input!$C$31</f>
        <v>4.607521535368244E-2</v>
      </c>
      <c r="F142" s="1">
        <f>F76*Input!$C$31</f>
        <v>2.0677939200000002E-2</v>
      </c>
      <c r="G142" s="1">
        <f>G76*Input!$C$31</f>
        <v>6.2257261028351996E-4</v>
      </c>
      <c r="H142" s="62">
        <f>H76*Input!$C$31</f>
        <v>2.1300511810283522E-2</v>
      </c>
      <c r="I142" s="1">
        <f>I76*Input!$C$31</f>
        <v>1.3519684261212555E-3</v>
      </c>
      <c r="J142" s="1">
        <f>J76*Input!$C$31</f>
        <v>1.1205603552E-4</v>
      </c>
      <c r="K142" s="62">
        <f>K76*Input!$C$31</f>
        <v>1.4640244616412554E-3</v>
      </c>
      <c r="L142" s="1">
        <f>L76*Input!$C$31</f>
        <v>1.0064921983916307E-4</v>
      </c>
      <c r="M142" s="1">
        <f>M76*Input!$C$31</f>
        <v>1.6084598399999999E-3</v>
      </c>
      <c r="N142" s="62">
        <f>N76*Input!$C$31</f>
        <v>1.7091090598391628E-3</v>
      </c>
      <c r="O142" s="1">
        <f>O76*Input!$C$31</f>
        <v>0</v>
      </c>
      <c r="P142" s="1">
        <f>P76*Input!$C$31</f>
        <v>0</v>
      </c>
      <c r="Q142" s="62">
        <f>Q76*Input!$C$31</f>
        <v>0</v>
      </c>
      <c r="R142" s="1">
        <f>R76*Input!$C$31</f>
        <v>2.0312124714815557E-3</v>
      </c>
      <c r="S142" s="1">
        <f>S76*Input!$C$31</f>
        <v>4.3843398318719996E-4</v>
      </c>
      <c r="T142" s="62">
        <f>T76*Input!$C$31</f>
        <v>2.4696464546687556E-3</v>
      </c>
      <c r="U142" s="62">
        <f>U76*Input!$C$31</f>
        <v>1.0821174564307735E-2</v>
      </c>
      <c r="V142" s="62">
        <f>V76*Input!$C$31</f>
        <v>2.1445273354751999E-3</v>
      </c>
      <c r="W142" s="1">
        <f>W76*Input!$C$31</f>
        <v>2.4605984968312277E-4</v>
      </c>
      <c r="X142" s="1">
        <f>X76*Input!$C$31</f>
        <v>3.3087994820751388E-4</v>
      </c>
      <c r="Y142" s="1">
        <f>Y76*Input!$C$31</f>
        <v>1.2076824516008859E-4</v>
      </c>
      <c r="Z142" s="250">
        <f>Z76*Input!$C$31</f>
        <v>6.9770804305072521E-4</v>
      </c>
      <c r="AA142" s="250">
        <f>AA76*Input!$C$31</f>
        <v>5.294472540823868E-4</v>
      </c>
      <c r="AB142" s="89">
        <f>AB76*Input!$C$31</f>
        <v>1.1644785599999997E-2</v>
      </c>
      <c r="AC142" s="1">
        <f>AC76*Input!$C$31</f>
        <v>4.5882448969345726E-4</v>
      </c>
      <c r="AD142" s="62">
        <f>AD76*Input!$C$31</f>
        <v>1.2103610089693457E-2</v>
      </c>
      <c r="AE142" s="1">
        <f>AE76*Input!$C$31</f>
        <v>-2.1798056448000001E-2</v>
      </c>
      <c r="AF142" s="1">
        <f>AF76*Input!$C$31</f>
        <v>-3.7355672627655137E-3</v>
      </c>
      <c r="AG142" s="1">
        <f>AG76*Input!$C$31</f>
        <v>-1.4097965842915176E-2</v>
      </c>
      <c r="AH142" s="1">
        <f>AH76*Input!$C$31</f>
        <v>-8.6429484037207384E-3</v>
      </c>
      <c r="AI142" s="1">
        <f>AI76*Input!$C$31</f>
        <v>-2.036315273626368E-3</v>
      </c>
      <c r="AJ142" s="1">
        <f>AJ76*Input!$C$31</f>
        <v>-2.7073148358009599E-3</v>
      </c>
      <c r="AK142" s="1">
        <f>AK76*Input!$C$31</f>
        <v>-1.1465278634852354E-2</v>
      </c>
      <c r="AL142" s="1">
        <f>AL76*Input!$C$31</f>
        <v>-6.1399028512511989E-3</v>
      </c>
      <c r="AM142" s="62">
        <f>AM76*Input!$C$31</f>
        <v>-7.0623349552932313E-2</v>
      </c>
      <c r="AN142" s="62">
        <f>AN76*Input!$C$31</f>
        <v>-5.8519739463238858E-2</v>
      </c>
    </row>
    <row r="143" spans="1:40" x14ac:dyDescent="0.35">
      <c r="A143" s="39" t="s">
        <v>179</v>
      </c>
      <c r="B143" s="39" t="s">
        <v>180</v>
      </c>
      <c r="C143" s="1">
        <f>C77*Input!$C$31</f>
        <v>6.7550838864074646E-11</v>
      </c>
      <c r="D143" s="1">
        <f>D77*Input!$C$31</f>
        <v>2.1071888024683498E-10</v>
      </c>
      <c r="E143" s="62">
        <f>E77*Input!$C$31</f>
        <v>2.7826971911090958E-10</v>
      </c>
      <c r="F143" s="1">
        <f>F77*Input!$C$31</f>
        <v>2.11034112E-9</v>
      </c>
      <c r="G143" s="1">
        <f>G77*Input!$C$31</f>
        <v>1.5684010103807996E-11</v>
      </c>
      <c r="H143" s="62">
        <f>H77*Input!$C$31</f>
        <v>2.1260251301038078E-9</v>
      </c>
      <c r="I143" s="1">
        <f>I77*Input!$C$31</f>
        <v>1.3565714297368255E-11</v>
      </c>
      <c r="J143" s="1">
        <f>J77*Input!$C$31</f>
        <v>2.8229446080000001E-12</v>
      </c>
      <c r="K143" s="62">
        <f>K77*Input!$C$31</f>
        <v>1.6388658905368256E-11</v>
      </c>
      <c r="L143" s="1">
        <f>L77*Input!$C$31</f>
        <v>1.9569882038348375E-12</v>
      </c>
      <c r="M143" s="1">
        <f>M77*Input!$C$31</f>
        <v>4.0520735999999998E-11</v>
      </c>
      <c r="N143" s="62">
        <f>N77*Input!$C$31</f>
        <v>4.2477724203834832E-11</v>
      </c>
      <c r="O143" s="1">
        <f>O77*Input!$C$31</f>
        <v>0</v>
      </c>
      <c r="P143" s="1">
        <f>P77*Input!$C$31</f>
        <v>0</v>
      </c>
      <c r="Q143" s="62">
        <f>Q77*Input!$C$31</f>
        <v>0</v>
      </c>
      <c r="R143" s="1">
        <f>R77*Input!$C$31</f>
        <v>6.5899810722670032E-11</v>
      </c>
      <c r="S143" s="1">
        <f>S77*Input!$C$31</f>
        <v>1.1045142218879999E-11</v>
      </c>
      <c r="T143" s="62">
        <f>T77*Input!$C$31</f>
        <v>7.6944952941550026E-11</v>
      </c>
      <c r="U143" s="62">
        <f>U77*Input!$C$31</f>
        <v>3.8101130004070061E-10</v>
      </c>
      <c r="V143" s="62">
        <f>V77*Input!$C$31</f>
        <v>5.4025486894079987E-11</v>
      </c>
      <c r="W143" s="1">
        <f>W77*Input!$C$31</f>
        <v>4.7843015975358462E-12</v>
      </c>
      <c r="X143" s="1">
        <f>X77*Input!$C$31</f>
        <v>6.4335139066386535E-12</v>
      </c>
      <c r="Y143" s="1">
        <f>Y77*Input!$C$31</f>
        <v>2.3481754906178154E-12</v>
      </c>
      <c r="Z143" s="250">
        <f>Z77*Input!$C$31</f>
        <v>1.3565990994792315E-11</v>
      </c>
      <c r="AA143" s="250">
        <f>AA77*Input!$C$31</f>
        <v>1.0294387104517001E-11</v>
      </c>
      <c r="AB143" s="89">
        <f>AB77*Input!$C$31</f>
        <v>1.01654112E-10</v>
      </c>
      <c r="AC143" s="1">
        <f>AC77*Input!$C$31</f>
        <v>8.9212227913489734E-12</v>
      </c>
      <c r="AD143" s="62">
        <f>AD77*Input!$C$31</f>
        <v>1.1057533479134899E-10</v>
      </c>
      <c r="AE143" s="1">
        <f>AE77*Input!$C$31</f>
        <v>-2.2246576128000001E-9</v>
      </c>
      <c r="AF143" s="1">
        <f>AF77*Input!$C$31</f>
        <v>-3.7482856290265112E-11</v>
      </c>
      <c r="AG143" s="1">
        <f>AG77*Input!$C$31</f>
        <v>-2.6352711135983022E-11</v>
      </c>
      <c r="AH143" s="1">
        <f>AH77*Input!$C$31</f>
        <v>-2.2880640971865886E-11</v>
      </c>
      <c r="AI143" s="1">
        <f>AI77*Input!$C$31</f>
        <v>-1.777618137447936E-11</v>
      </c>
      <c r="AJ143" s="1">
        <f>AJ77*Input!$C$31</f>
        <v>-2.36337271454592E-11</v>
      </c>
      <c r="AK143" s="1">
        <f>AK77*Input!$C$31</f>
        <v>-1.0008709120917505E-10</v>
      </c>
      <c r="AL143" s="1">
        <f>AL77*Input!$C$31</f>
        <v>-5.3598786061824001E-11</v>
      </c>
      <c r="AM143" s="62">
        <f>AM77*Input!$C$31</f>
        <v>-2.5064696069890519E-9</v>
      </c>
      <c r="AN143" s="62">
        <f>AN77*Input!$C$31</f>
        <v>-2.395894272197703E-9</v>
      </c>
    </row>
    <row r="144" spans="1:40" x14ac:dyDescent="0.35">
      <c r="A144" s="39" t="s">
        <v>181</v>
      </c>
      <c r="B144" s="39" t="s">
        <v>180</v>
      </c>
      <c r="C144" s="1">
        <f>C78*Input!$C$31</f>
        <v>1.6052839613760655E-9</v>
      </c>
      <c r="D144" s="1">
        <f>D78*Input!$C$31</f>
        <v>1.6220336648323644E-8</v>
      </c>
      <c r="E144" s="62">
        <f>E78*Input!$C$31</f>
        <v>1.782562060969971E-8</v>
      </c>
      <c r="F144" s="1">
        <f>F78*Input!$C$31</f>
        <v>6.0842495999999996E-8</v>
      </c>
      <c r="G144" s="1">
        <f>G78*Input!$C$31</f>
        <v>1.2761282107392001E-9</v>
      </c>
      <c r="H144" s="62">
        <f>H78*Input!$C$31</f>
        <v>6.2118624210739191E-8</v>
      </c>
      <c r="I144" s="1">
        <f>I78*Input!$C$31</f>
        <v>5.1544596263419286E-10</v>
      </c>
      <c r="J144" s="1">
        <f>J78*Input!$C$31</f>
        <v>2.2968865920000001E-10</v>
      </c>
      <c r="K144" s="62">
        <f>K78*Input!$C$31</f>
        <v>7.4513462183419297E-10</v>
      </c>
      <c r="L144" s="1">
        <f>L78*Input!$C$31</f>
        <v>5.2161722354727859E-11</v>
      </c>
      <c r="M144" s="1">
        <f>M78*Input!$C$31</f>
        <v>3.2969664000000001E-9</v>
      </c>
      <c r="N144" s="62">
        <f>N78*Input!$C$31</f>
        <v>3.3491281223547283E-9</v>
      </c>
      <c r="O144" s="1">
        <f>O78*Input!$C$31</f>
        <v>0</v>
      </c>
      <c r="P144" s="1">
        <f>P78*Input!$C$31</f>
        <v>0</v>
      </c>
      <c r="Q144" s="62">
        <f>Q78*Input!$C$31</f>
        <v>0</v>
      </c>
      <c r="R144" s="1">
        <f>R78*Input!$C$31</f>
        <v>2.917560380931721E-9</v>
      </c>
      <c r="S144" s="1">
        <f>S78*Input!$C$31</f>
        <v>8.9868710131199999E-10</v>
      </c>
      <c r="T144" s="62">
        <f>T78*Input!$C$31</f>
        <v>3.8162474822437207E-9</v>
      </c>
      <c r="U144" s="62">
        <f>U78*Input!$C$31</f>
        <v>7.3529095778409802E-9</v>
      </c>
      <c r="V144" s="62">
        <f>V78*Input!$C$31</f>
        <v>4.395779361791999E-9</v>
      </c>
      <c r="W144" s="1">
        <f>W78*Input!$C$31</f>
        <v>1.2752116292930273E-10</v>
      </c>
      <c r="X144" s="1">
        <f>X78*Input!$C$31</f>
        <v>1.7147940161610092E-10</v>
      </c>
      <c r="Y144" s="1">
        <f>Y78*Input!$C$31</f>
        <v>6.2588460033518228E-11</v>
      </c>
      <c r="Z144" s="250">
        <f>Z78*Input!$C$31</f>
        <v>3.6158902457892189E-10</v>
      </c>
      <c r="AA144" s="250">
        <f>AA78*Input!$C$31</f>
        <v>2.7438742906353523E-10</v>
      </c>
      <c r="AB144" s="89">
        <f>AB78*Input!$C$31</f>
        <v>7.7941920000000002E-9</v>
      </c>
      <c r="AC144" s="1">
        <f>AC78*Input!$C$31</f>
        <v>2.3778699605605235E-10</v>
      </c>
      <c r="AD144" s="62">
        <f>AD78*Input!$C$31</f>
        <v>8.0319789960560528E-9</v>
      </c>
      <c r="AE144" s="1">
        <f>AE78*Input!$C$31</f>
        <v>-6.4138314239999999E-8</v>
      </c>
      <c r="AF144" s="1">
        <f>AF78*Input!$C$31</f>
        <v>-1.4242071238786861E-9</v>
      </c>
      <c r="AG144" s="1">
        <f>AG78*Input!$C$31</f>
        <v>-6.9955521336561415E-10</v>
      </c>
      <c r="AH144" s="1">
        <f>AH78*Input!$C$31</f>
        <v>-3.6880585171981345E-10</v>
      </c>
      <c r="AI144" s="1">
        <f>AI78*Input!$C$31</f>
        <v>-1.36296474322176E-9</v>
      </c>
      <c r="AJ144" s="1">
        <f>AJ78*Input!$C$31</f>
        <v>-1.8120841687872004E-9</v>
      </c>
      <c r="AK144" s="1">
        <f>AK78*Input!$C$31</f>
        <v>-7.6740427933286413E-9</v>
      </c>
      <c r="AL144" s="1">
        <f>AL78*Input!$C$31</f>
        <v>-4.1096146659840002E-9</v>
      </c>
      <c r="AM144" s="62">
        <f>AM78*Input!$C$31</f>
        <v>-8.1589588800285721E-8</v>
      </c>
      <c r="AN144" s="62">
        <f>AN78*Input!$C$31</f>
        <v>-7.3557609804229673E-8</v>
      </c>
    </row>
    <row r="145" spans="1:40" ht="29" x14ac:dyDescent="0.35">
      <c r="A145" s="39" t="s">
        <v>182</v>
      </c>
      <c r="B145" s="39" t="s">
        <v>183</v>
      </c>
      <c r="C145" s="1">
        <f>C79*Input!$C$31</f>
        <v>1.169865400918345E-2</v>
      </c>
      <c r="D145" s="1">
        <f>D79*Input!$C$31</f>
        <v>1.7312771855868232E-2</v>
      </c>
      <c r="E145" s="62">
        <f>E79*Input!$C$31</f>
        <v>2.9011425865051683E-2</v>
      </c>
      <c r="F145" s="1">
        <f>F79*Input!$C$31</f>
        <v>3.2123135999999997E-2</v>
      </c>
      <c r="G145" s="1">
        <f>G79*Input!$C$31</f>
        <v>1.07996354525184E-3</v>
      </c>
      <c r="H145" s="62">
        <f>H79*Input!$C$31</f>
        <v>3.3203099545251837E-2</v>
      </c>
      <c r="I145" s="1">
        <f>I79*Input!$C$31</f>
        <v>2.1162069122549879E-2</v>
      </c>
      <c r="J145" s="1">
        <f>J79*Input!$C$31</f>
        <v>1.9438123583999999E-4</v>
      </c>
      <c r="K145" s="62">
        <f>K79*Input!$C$31</f>
        <v>2.1356450358389879E-2</v>
      </c>
      <c r="L145" s="1">
        <f>L79*Input!$C$31</f>
        <v>1.277181470957085E-4</v>
      </c>
      <c r="M145" s="1">
        <f>M79*Input!$C$31</f>
        <v>2.7901612800000004E-3</v>
      </c>
      <c r="N145" s="62">
        <f>N79*Input!$C$31</f>
        <v>2.9178794270957086E-3</v>
      </c>
      <c r="O145" s="1">
        <f>O79*Input!$C$31</f>
        <v>0</v>
      </c>
      <c r="P145" s="1">
        <f>P79*Input!$C$31</f>
        <v>0</v>
      </c>
      <c r="Q145" s="62">
        <f>Q79*Input!$C$31</f>
        <v>0</v>
      </c>
      <c r="R145" s="1">
        <f>R79*Input!$C$31</f>
        <v>2.0435182900459595E-2</v>
      </c>
      <c r="S145" s="1">
        <f>S79*Input!$C$31</f>
        <v>7.6054216170240007E-4</v>
      </c>
      <c r="T145" s="62">
        <f>T79*Input!$C$31</f>
        <v>2.1195725062161996E-2</v>
      </c>
      <c r="U145" s="62">
        <f>U79*Input!$C$31</f>
        <v>0.4696652583230867</v>
      </c>
      <c r="V145" s="62">
        <f>V79*Input!$C$31</f>
        <v>3.7200662313983997E-3</v>
      </c>
      <c r="W145" s="1">
        <f>W79*Input!$C$31</f>
        <v>3.1223598281632063E-4</v>
      </c>
      <c r="X145" s="1">
        <f>X79*Input!$C$31</f>
        <v>4.1986787342930158E-4</v>
      </c>
      <c r="Y145" s="1">
        <f>Y79*Input!$C$31</f>
        <v>1.5324804826599475E-4</v>
      </c>
      <c r="Z145" s="250">
        <f>Z79*Input!$C$31</f>
        <v>8.853519045116168E-4</v>
      </c>
      <c r="AA145" s="250">
        <f>AA79*Input!$C$31</f>
        <v>6.7183851384411788E-4</v>
      </c>
      <c r="AB145" s="89">
        <f>AB79*Input!$C$31</f>
        <v>6.5831001600000008E-3</v>
      </c>
      <c r="AC145" s="1">
        <f>AC79*Input!$C$31</f>
        <v>5.8222223440405397E-4</v>
      </c>
      <c r="AD145" s="62">
        <f>AD79*Input!$C$31</f>
        <v>7.1653223944040546E-3</v>
      </c>
      <c r="AE145" s="1">
        <f>AE79*Input!$C$31</f>
        <v>-3.3863235839999999E-2</v>
      </c>
      <c r="AF145" s="1">
        <f>AF79*Input!$C$31</f>
        <v>-5.84720257509092E-2</v>
      </c>
      <c r="AG145" s="1">
        <f>AG79*Input!$C$31</f>
        <v>-5.5279738582037601E-3</v>
      </c>
      <c r="AH145" s="1">
        <f>AH79*Input!$C$31</f>
        <v>-1.6618397974011037E-3</v>
      </c>
      <c r="AI145" s="1">
        <f>AI79*Input!$C$31</f>
        <v>-1.1511819851470848E-3</v>
      </c>
      <c r="AJ145" s="1">
        <f>AJ79*Input!$C$31</f>
        <v>-1.5305154891586559E-3</v>
      </c>
      <c r="AK145" s="1">
        <f>AK79*Input!$C$31</f>
        <v>-6.4816202039427069E-3</v>
      </c>
      <c r="AL145" s="1">
        <f>AL79*Input!$C$31</f>
        <v>-3.4710467698483198E-3</v>
      </c>
      <c r="AM145" s="62">
        <f>AM79*Input!$C$31</f>
        <v>-0.11215943969461084</v>
      </c>
      <c r="AN145" s="62">
        <f>AN79*Input!$C$31</f>
        <v>-0.10499411730020677</v>
      </c>
    </row>
    <row r="146" spans="1:40" x14ac:dyDescent="0.35">
      <c r="A146" s="39" t="s">
        <v>184</v>
      </c>
      <c r="B146" s="39" t="s">
        <v>185</v>
      </c>
      <c r="C146" s="1">
        <f>C80*Input!$C$31</f>
        <v>75.047475845286556</v>
      </c>
      <c r="D146" s="1">
        <f>D80*Input!$C$31</f>
        <v>2.8150578397864359</v>
      </c>
      <c r="E146" s="62">
        <f>E80*Input!$C$31</f>
        <v>77.862533685072989</v>
      </c>
      <c r="F146" s="1">
        <f>F80*Input!$C$31</f>
        <v>1.1189913600000001</v>
      </c>
      <c r="G146" s="1">
        <f>G80*Input!$C$31</f>
        <v>0.15022917100087296</v>
      </c>
      <c r="H146" s="62">
        <f>H80*Input!$C$31</f>
        <v>1.2692205310008731</v>
      </c>
      <c r="I146" s="1">
        <f>I80*Input!$C$31</f>
        <v>0.33994034830656672</v>
      </c>
      <c r="J146" s="1">
        <f>J80*Input!$C$31</f>
        <v>2.7039553368959999E-2</v>
      </c>
      <c r="K146" s="62">
        <f>K80*Input!$C$31</f>
        <v>0.36697990167552674</v>
      </c>
      <c r="L146" s="1">
        <f>L80*Input!$C$31</f>
        <v>2.1869689454441864E-2</v>
      </c>
      <c r="M146" s="1">
        <f>M80*Input!$C$31</f>
        <v>0.38812756031999995</v>
      </c>
      <c r="N146" s="62">
        <f>N80*Input!$C$31</f>
        <v>0.40999724977444185</v>
      </c>
      <c r="O146" s="1">
        <f>O80*Input!$C$31</f>
        <v>0</v>
      </c>
      <c r="P146" s="1">
        <f>P80*Input!$C$31</f>
        <v>0</v>
      </c>
      <c r="Q146" s="62">
        <f>Q80*Input!$C$31</f>
        <v>0</v>
      </c>
      <c r="R146" s="1">
        <f>R80*Input!$C$31</f>
        <v>0.56137269945621215</v>
      </c>
      <c r="S146" s="1">
        <f>S80*Input!$C$31</f>
        <v>0.10579581039202561</v>
      </c>
      <c r="T146" s="62">
        <f>T80*Input!$C$31</f>
        <v>0.66716850984823772</v>
      </c>
      <c r="U146" s="62">
        <f>U80*Input!$C$31</f>
        <v>2.4536828517087219</v>
      </c>
      <c r="V146" s="62">
        <f>V80*Input!$C$31</f>
        <v>0.51748271362344955</v>
      </c>
      <c r="W146" s="1">
        <f>W80*Input!$C$31</f>
        <v>5.3465416904132514E-2</v>
      </c>
      <c r="X146" s="1">
        <f>X80*Input!$C$31</f>
        <v>7.1895656275961325E-2</v>
      </c>
      <c r="Y146" s="1">
        <f>Y80*Input!$C$31</f>
        <v>2.624127660233835E-2</v>
      </c>
      <c r="Z146" s="250">
        <f>Z80*Input!$C$31</f>
        <v>0.1516023497824322</v>
      </c>
      <c r="AA146" s="250">
        <f>AA80*Input!$C$31</f>
        <v>0.11504159741915251</v>
      </c>
      <c r="AB146" s="89">
        <f>AB80*Input!$C$31</f>
        <v>0.91756116479999994</v>
      </c>
      <c r="AC146" s="1">
        <f>AC80*Input!$C$31</f>
        <v>9.9696243246828034E-2</v>
      </c>
      <c r="AD146" s="62">
        <f>AD80*Input!$C$31</f>
        <v>1.017257408046828</v>
      </c>
      <c r="AE146" s="1">
        <f>AE80*Input!$C$31</f>
        <v>-1.1796067584000001</v>
      </c>
      <c r="AF146" s="1">
        <f>AF80*Input!$C$31</f>
        <v>-0.93927492084288111</v>
      </c>
      <c r="AG146" s="1">
        <f>AG80*Input!$C$31</f>
        <v>-1.7042026564451236</v>
      </c>
      <c r="AH146" s="1">
        <f>AH80*Input!$C$31</f>
        <v>-91.217093508971487</v>
      </c>
      <c r="AI146" s="1">
        <f>AI80*Input!$C$31</f>
        <v>-0.16045326024453735</v>
      </c>
      <c r="AJ146" s="1">
        <f>AJ80*Input!$C$31</f>
        <v>-0.21332526330221571</v>
      </c>
      <c r="AK146" s="1">
        <f>AK80*Input!$C$31</f>
        <v>-0.90341675495954854</v>
      </c>
      <c r="AL146" s="1">
        <f>AL80*Input!$C$31</f>
        <v>-0.48379906727976957</v>
      </c>
      <c r="AM146" s="62">
        <f>AM80*Input!$C$31</f>
        <v>-96.80117219044557</v>
      </c>
      <c r="AN146" s="62">
        <f>AN80*Input!$C$31</f>
        <v>-95.783914782398739</v>
      </c>
    </row>
    <row r="147" spans="1:40" ht="29" x14ac:dyDescent="0.35">
      <c r="A147" s="39" t="s">
        <v>186</v>
      </c>
      <c r="B147" s="39" t="s">
        <v>187</v>
      </c>
      <c r="C147" s="1">
        <f>C81*Input!$C$31</f>
        <v>8.948569055373333E-7</v>
      </c>
      <c r="D147" s="1">
        <f>D81*Input!$C$31</f>
        <v>2.5880134329667713E-6</v>
      </c>
      <c r="E147" s="62">
        <f>E81*Input!$C$31</f>
        <v>3.4828703385041044E-6</v>
      </c>
      <c r="F147" s="1">
        <f>F81*Input!$C$31</f>
        <v>4.3398144000000001E-7</v>
      </c>
      <c r="G147" s="1">
        <f>G81*Input!$C$31</f>
        <v>1.9523163091967999E-7</v>
      </c>
      <c r="H147" s="62">
        <f>H81*Input!$C$31</f>
        <v>6.2921307091968003E-7</v>
      </c>
      <c r="I147" s="1">
        <f>I81*Input!$C$31</f>
        <v>1.9364976295262905E-7</v>
      </c>
      <c r="J147" s="1">
        <f>J81*Input!$C$31</f>
        <v>3.5139487679999996E-8</v>
      </c>
      <c r="K147" s="62">
        <f>K81*Input!$C$31</f>
        <v>2.2878925063262903E-7</v>
      </c>
      <c r="L147" s="1">
        <f>L81*Input!$C$31</f>
        <v>4.9935234569963153E-9</v>
      </c>
      <c r="M147" s="1">
        <f>M81*Input!$C$31</f>
        <v>5.0439455999999995E-7</v>
      </c>
      <c r="N147" s="62">
        <f>N81*Input!$C$31</f>
        <v>5.0938808345699632E-7</v>
      </c>
      <c r="O147" s="1">
        <f>O81*Input!$C$31</f>
        <v>0</v>
      </c>
      <c r="P147" s="1">
        <f>P81*Input!$C$31</f>
        <v>0</v>
      </c>
      <c r="Q147" s="62">
        <f>Q81*Input!$C$31</f>
        <v>0</v>
      </c>
      <c r="R147" s="1">
        <f>R81*Input!$C$31</f>
        <v>3.8405416586632021E-5</v>
      </c>
      <c r="S147" s="1">
        <f>S81*Input!$C$31</f>
        <v>1.374878691648E-7</v>
      </c>
      <c r="T147" s="62">
        <f>T81*Input!$C$31</f>
        <v>3.8542904455796822E-5</v>
      </c>
      <c r="U147" s="62">
        <f>U81*Input!$C$31</f>
        <v>5.7561691462953093E-6</v>
      </c>
      <c r="V147" s="62">
        <f>V81*Input!$C$31</f>
        <v>6.7249917895679995E-7</v>
      </c>
      <c r="W147" s="1">
        <f>W81*Input!$C$31</f>
        <v>1.2207800847151385E-8</v>
      </c>
      <c r="X147" s="1">
        <f>X81*Input!$C$31</f>
        <v>1.6415991951693655E-8</v>
      </c>
      <c r="Y147" s="1">
        <f>Y81*Input!$C$31</f>
        <v>5.9916914013925727E-9</v>
      </c>
      <c r="Z147" s="250">
        <f>Z81*Input!$C$31</f>
        <v>3.4615484200237621E-8</v>
      </c>
      <c r="AA147" s="250">
        <f>AA81*Input!$C$31</f>
        <v>2.6267538752187815E-8</v>
      </c>
      <c r="AB147" s="89">
        <f>AB81*Input!$C$31</f>
        <v>1.17882912E-6</v>
      </c>
      <c r="AC147" s="1">
        <f>AC81*Input!$C$31</f>
        <v>2.2763721920446975E-8</v>
      </c>
      <c r="AD147" s="62">
        <f>AD81*Input!$C$31</f>
        <v>1.201592841920447E-6</v>
      </c>
      <c r="AE147" s="1">
        <f>AE81*Input!$C$31</f>
        <v>-4.5749007360000003E-7</v>
      </c>
      <c r="AF147" s="1">
        <f>AF81*Input!$C$31</f>
        <v>-5.3506553921789849E-7</v>
      </c>
      <c r="AG147" s="1">
        <f>AG81*Input!$C$31</f>
        <v>-4.2382888593126167E-7</v>
      </c>
      <c r="AH147" s="1">
        <f>AH81*Input!$C$31</f>
        <v>-1.2477586690128448E-7</v>
      </c>
      <c r="AI147" s="1">
        <f>AI81*Input!$C$31</f>
        <v>-2.0614099945743359E-7</v>
      </c>
      <c r="AJ147" s="1">
        <f>AJ81*Input!$C$31</f>
        <v>-2.74067868235392E-7</v>
      </c>
      <c r="AK147" s="1">
        <f>AK81*Input!$C$31</f>
        <v>-1.1606572064047106E-6</v>
      </c>
      <c r="AL147" s="1">
        <f>AL81*Input!$C$31</f>
        <v>-6.2155685159423996E-7</v>
      </c>
      <c r="AM147" s="62">
        <f>AM81*Input!$C$31</f>
        <v>-3.8035832913422203E-6</v>
      </c>
      <c r="AN147" s="62">
        <f>AN81*Input!$C$31</f>
        <v>-2.6019904494217735E-6</v>
      </c>
    </row>
    <row r="148" spans="1:40" x14ac:dyDescent="0.35">
      <c r="A148" s="39" t="s">
        <v>188</v>
      </c>
      <c r="B148" s="39" t="s">
        <v>189</v>
      </c>
      <c r="C148" s="1">
        <f>C82*Input!$C$31</f>
        <v>6.7653035519931625E-9</v>
      </c>
      <c r="D148" s="1">
        <f>D82*Input!$C$31</f>
        <v>5.1090985320169463E-8</v>
      </c>
      <c r="E148" s="62">
        <f>E82*Input!$C$31</f>
        <v>5.7856288872162633E-8</v>
      </c>
      <c r="F148" s="1">
        <f>F82*Input!$C$31</f>
        <v>1.4125670399999999E-12</v>
      </c>
      <c r="G148" s="1">
        <f>G82*Input!$C$31</f>
        <v>3.9348196866048007E-9</v>
      </c>
      <c r="H148" s="62">
        <f>H82*Input!$C$31</f>
        <v>3.936232253644801E-9</v>
      </c>
      <c r="I148" s="1">
        <f>I82*Input!$C$31</f>
        <v>8.427034907322138E-10</v>
      </c>
      <c r="J148" s="1">
        <f>J82*Input!$C$31</f>
        <v>7.0822308479999998E-10</v>
      </c>
      <c r="K148" s="62">
        <f>K82*Input!$C$31</f>
        <v>1.5509265755322139E-9</v>
      </c>
      <c r="L148" s="1">
        <f>L82*Input!$C$31</f>
        <v>7.2164284444987708E-10</v>
      </c>
      <c r="M148" s="1">
        <f>M82*Input!$C$31</f>
        <v>1.0165881599999998E-8</v>
      </c>
      <c r="N148" s="62">
        <f>N82*Input!$C$31</f>
        <v>1.0887524444449876E-8</v>
      </c>
      <c r="O148" s="1">
        <f>O82*Input!$C$31</f>
        <v>0</v>
      </c>
      <c r="P148" s="1">
        <f>P82*Input!$C$31</f>
        <v>0</v>
      </c>
      <c r="Q148" s="62">
        <f>Q82*Input!$C$31</f>
        <v>0</v>
      </c>
      <c r="R148" s="1">
        <f>R82*Input!$C$31</f>
        <v>1.2838525942572228E-9</v>
      </c>
      <c r="S148" s="1">
        <f>S82*Input!$C$31</f>
        <v>2.771016006528E-9</v>
      </c>
      <c r="T148" s="62">
        <f>T82*Input!$C$31</f>
        <v>4.0548686007852228E-9</v>
      </c>
      <c r="U148" s="62">
        <f>U82*Input!$C$31</f>
        <v>5.1770232650063438E-7</v>
      </c>
      <c r="V148" s="62">
        <f>V82*Input!$C$31</f>
        <v>1.3553966619647999E-8</v>
      </c>
      <c r="W148" s="1">
        <f>W82*Input!$C$31</f>
        <v>1.7642196344292539E-9</v>
      </c>
      <c r="X148" s="1">
        <f>X82*Input!$C$31</f>
        <v>2.3723695760132367E-9</v>
      </c>
      <c r="Y148" s="1">
        <f>Y82*Input!$C$31</f>
        <v>8.6589384493803483E-10</v>
      </c>
      <c r="Z148" s="250">
        <f>Z82*Input!$C$31</f>
        <v>5.0024830553805262E-9</v>
      </c>
      <c r="AA148" s="250">
        <f>AA82*Input!$C$31</f>
        <v>3.7960733628411551E-9</v>
      </c>
      <c r="AB148" s="89">
        <f>AB82*Input!$C$31</f>
        <v>2.4191059199999997E-8</v>
      </c>
      <c r="AC148" s="1">
        <f>AC82*Input!$C$31</f>
        <v>3.2897166056006967E-9</v>
      </c>
      <c r="AD148" s="62">
        <f>AD82*Input!$C$31</f>
        <v>2.7480775805600692E-8</v>
      </c>
      <c r="AE148" s="1">
        <f>AE82*Input!$C$31</f>
        <v>-1.4890853376000002E-12</v>
      </c>
      <c r="AF148" s="1">
        <f>AF82*Input!$C$31</f>
        <v>-2.3284386760635366E-9</v>
      </c>
      <c r="AG148" s="1">
        <f>AG82*Input!$C$31</f>
        <v>-2.4103563127245524E-9</v>
      </c>
      <c r="AH148" s="1">
        <f>AH82*Input!$C$31</f>
        <v>-2.8377503120372069E-9</v>
      </c>
      <c r="AI148" s="1">
        <f>AI82*Input!$C$31</f>
        <v>-4.230273104741376E-9</v>
      </c>
      <c r="AJ148" s="1">
        <f>AJ82*Input!$C$31</f>
        <v>-5.6242180591027203E-9</v>
      </c>
      <c r="AK148" s="1">
        <f>AK82*Input!$C$31</f>
        <v>-2.3818148631281668E-8</v>
      </c>
      <c r="AL148" s="1">
        <f>AL82*Input!$C$31</f>
        <v>-1.2755129931878398E-8</v>
      </c>
      <c r="AM148" s="62">
        <f>AM82*Input!$C$31</f>
        <v>-5.4005804113167054E-8</v>
      </c>
      <c r="AN148" s="62">
        <f>AN82*Input!$C$31</f>
        <v>-2.6525028307566365E-8</v>
      </c>
    </row>
    <row r="149" spans="1:40" x14ac:dyDescent="0.35">
      <c r="A149" s="39" t="s">
        <v>190</v>
      </c>
      <c r="B149" s="39" t="s">
        <v>191</v>
      </c>
      <c r="C149" s="1">
        <f>C83*Input!$C$31</f>
        <v>1.2379916014480458E-7</v>
      </c>
      <c r="D149" s="1">
        <f>D83*Input!$C$31</f>
        <v>1.3889483933359479E-7</v>
      </c>
      <c r="E149" s="62">
        <f>E83*Input!$C$31</f>
        <v>2.6269399947839937E-7</v>
      </c>
      <c r="F149" s="1">
        <f>F83*Input!$C$31</f>
        <v>1.14026496E-7</v>
      </c>
      <c r="G149" s="1">
        <f>G83*Input!$C$31</f>
        <v>1.0968529200844799E-8</v>
      </c>
      <c r="H149" s="62">
        <f>H83*Input!$C$31</f>
        <v>1.2499502520084483E-7</v>
      </c>
      <c r="I149" s="1">
        <f>I83*Input!$C$31</f>
        <v>5.3282518696060506E-9</v>
      </c>
      <c r="J149" s="1">
        <f>J83*Input!$C$31</f>
        <v>1.9742113247999997E-9</v>
      </c>
      <c r="K149" s="62">
        <f>K83*Input!$C$31</f>
        <v>7.3024631944060507E-9</v>
      </c>
      <c r="L149" s="1">
        <f>L83*Input!$C$31</f>
        <v>3.1541018866918046E-10</v>
      </c>
      <c r="M149" s="1">
        <f>M83*Input!$C$31</f>
        <v>2.8337961599999996E-8</v>
      </c>
      <c r="N149" s="62">
        <f>N83*Input!$C$31</f>
        <v>2.8653371788669175E-8</v>
      </c>
      <c r="O149" s="1">
        <f>O83*Input!$C$31</f>
        <v>0</v>
      </c>
      <c r="P149" s="1">
        <f>P83*Input!$C$31</f>
        <v>0</v>
      </c>
      <c r="Q149" s="62">
        <f>Q83*Input!$C$31</f>
        <v>0</v>
      </c>
      <c r="R149" s="1">
        <f>R83*Input!$C$31</f>
        <v>1.3426745522372374E-8</v>
      </c>
      <c r="S149" s="1">
        <f>S83*Input!$C$31</f>
        <v>7.7243615729279995E-9</v>
      </c>
      <c r="T149" s="62">
        <f>T83*Input!$C$31</f>
        <v>2.1151107095300375E-8</v>
      </c>
      <c r="U149" s="62">
        <f>U83*Input!$C$31</f>
        <v>1.6990231895882753E-8</v>
      </c>
      <c r="V149" s="62">
        <f>V83*Input!$C$31</f>
        <v>3.7782437442047997E-8</v>
      </c>
      <c r="W149" s="1">
        <f>W83*Input!$C$31</f>
        <v>7.7109175546997738E-10</v>
      </c>
      <c r="X149" s="1">
        <f>X83*Input!$C$31</f>
        <v>1.0368973257592258E-9</v>
      </c>
      <c r="Y149" s="1">
        <f>Y83*Input!$C$31</f>
        <v>3.7845832339345952E-10</v>
      </c>
      <c r="Z149" s="250">
        <f>Z83*Input!$C$31</f>
        <v>2.1864474046226629E-9</v>
      </c>
      <c r="AA149" s="250">
        <f>AA83*Input!$C$31</f>
        <v>1.6591589936549849E-9</v>
      </c>
      <c r="AB149" s="89">
        <f>AB83*Input!$C$31</f>
        <v>7.3536960000000006E-8</v>
      </c>
      <c r="AC149" s="1">
        <f>AC83*Input!$C$31</f>
        <v>1.4378444173885529E-9</v>
      </c>
      <c r="AD149" s="62">
        <f>AD83*Input!$C$31</f>
        <v>7.4974804417388559E-8</v>
      </c>
      <c r="AE149" s="1">
        <f>AE83*Input!$C$31</f>
        <v>-1.2020327424000001E-7</v>
      </c>
      <c r="AF149" s="1">
        <f>AF83*Input!$C$31</f>
        <v>-1.4722269298088142E-8</v>
      </c>
      <c r="AG149" s="1">
        <f>AG83*Input!$C$31</f>
        <v>-4.5572571238552026E-8</v>
      </c>
      <c r="AH149" s="1">
        <f>AH83*Input!$C$31</f>
        <v>-4.8432090144784052E-8</v>
      </c>
      <c r="AI149" s="1">
        <f>AI83*Input!$C$31</f>
        <v>-1.2859355248588801E-8</v>
      </c>
      <c r="AJ149" s="1">
        <f>AJ83*Input!$C$31</f>
        <v>-1.7096725489536001E-8</v>
      </c>
      <c r="AK149" s="1">
        <f>AK83*Input!$C$31</f>
        <v>-7.2403371373363215E-8</v>
      </c>
      <c r="AL149" s="1">
        <f>AL83*Input!$C$31</f>
        <v>-3.8773559761920002E-8</v>
      </c>
      <c r="AM149" s="62">
        <f>AM83*Input!$C$31</f>
        <v>-3.700632167948322E-7</v>
      </c>
      <c r="AN149" s="62">
        <f>AN83*Input!$C$31</f>
        <v>-2.9508841237744364E-7</v>
      </c>
    </row>
    <row r="150" spans="1:40" ht="29" x14ac:dyDescent="0.35">
      <c r="A150" s="39" t="s">
        <v>192</v>
      </c>
      <c r="B150" s="39" t="s">
        <v>193</v>
      </c>
      <c r="C150" s="1">
        <f>C84*Input!$C$31</f>
        <v>8.0151259366533553E-3</v>
      </c>
      <c r="D150" s="1">
        <f>D84*Input!$C$31</f>
        <v>7.128638564633181E-3</v>
      </c>
      <c r="E150" s="62">
        <f>E84*Input!$C$31</f>
        <v>1.5143764501286537E-2</v>
      </c>
      <c r="F150" s="1">
        <f>F84*Input!$C$31</f>
        <v>8.6370815999999989E-3</v>
      </c>
      <c r="G150" s="1">
        <f>G84*Input!$C$31</f>
        <v>4.6006964711423998E-4</v>
      </c>
      <c r="H150" s="62">
        <f>H84*Input!$C$31</f>
        <v>9.0971512471142383E-3</v>
      </c>
      <c r="I150" s="1">
        <f>I84*Input!$C$31</f>
        <v>3.5708735720420661E-4</v>
      </c>
      <c r="J150" s="1">
        <f>J84*Input!$C$31</f>
        <v>8.2807338239999996E-5</v>
      </c>
      <c r="K150" s="62">
        <f>K84*Input!$C$31</f>
        <v>4.3989469544420659E-4</v>
      </c>
      <c r="L150" s="1">
        <f>L84*Input!$C$31</f>
        <v>7.8878858178460463E-5</v>
      </c>
      <c r="M150" s="1">
        <f>M84*Input!$C$31</f>
        <v>1.18862208E-3</v>
      </c>
      <c r="N150" s="62">
        <f>N84*Input!$C$31</f>
        <v>1.2675009381784604E-3</v>
      </c>
      <c r="O150" s="1">
        <f>O84*Input!$C$31</f>
        <v>0</v>
      </c>
      <c r="P150" s="1">
        <f>P84*Input!$C$31</f>
        <v>0</v>
      </c>
      <c r="Q150" s="62">
        <f>Q84*Input!$C$31</f>
        <v>0</v>
      </c>
      <c r="R150" s="1">
        <f>R84*Input!$C$31</f>
        <v>6.7057551379197172E-4</v>
      </c>
      <c r="S150" s="1">
        <f>S84*Input!$C$31</f>
        <v>3.239946065664E-4</v>
      </c>
      <c r="T150" s="62">
        <f>T84*Input!$C$31</f>
        <v>9.9457012035837188E-4</v>
      </c>
      <c r="U150" s="62">
        <f>U84*Input!$C$31</f>
        <v>3.6554256587496624E-3</v>
      </c>
      <c r="V150" s="62">
        <f>V84*Input!$C$31</f>
        <v>1.5847660468223995E-3</v>
      </c>
      <c r="W150" s="1">
        <f>W84*Input!$C$31</f>
        <v>1.9283726210281304E-4</v>
      </c>
      <c r="X150" s="1">
        <f>X84*Input!$C$31</f>
        <v>2.5931082774872564E-4</v>
      </c>
      <c r="Y150" s="1">
        <f>Y84*Input!$C$31</f>
        <v>9.464615123362873E-5</v>
      </c>
      <c r="Z150" s="250">
        <f>Z84*Input!$C$31</f>
        <v>5.4679424108516742E-4</v>
      </c>
      <c r="AA150" s="250">
        <f>AA84*Input!$C$31</f>
        <v>4.1492815279120569E-4</v>
      </c>
      <c r="AB150" s="89">
        <f>AB84*Input!$C$31</f>
        <v>4.6842096000000001E-3</v>
      </c>
      <c r="AC150" s="1">
        <f>AC84*Input!$C$31</f>
        <v>3.5958104701823445E-4</v>
      </c>
      <c r="AD150" s="62">
        <f>AD84*Input!$C$31</f>
        <v>5.0437906470182344E-3</v>
      </c>
      <c r="AE150" s="1">
        <f>AE84*Input!$C$31</f>
        <v>-9.1049495039999991E-3</v>
      </c>
      <c r="AF150" s="1">
        <f>AF84*Input!$C$31</f>
        <v>-9.8665310205983464E-4</v>
      </c>
      <c r="AG150" s="1">
        <f>AG84*Input!$C$31</f>
        <v>-3.1839382519847593E-3</v>
      </c>
      <c r="AH150" s="1">
        <f>AH84*Input!$C$31</f>
        <v>-2.5785965425851594E-3</v>
      </c>
      <c r="AI150" s="1">
        <f>AI84*Input!$C$31</f>
        <v>-8.1912436012108807E-4</v>
      </c>
      <c r="AJ150" s="1">
        <f>AJ84*Input!$C$31</f>
        <v>-1.0890393846393601E-3</v>
      </c>
      <c r="AK150" s="1">
        <f>AK84*Input!$C$31</f>
        <v>-4.6120014651064327E-3</v>
      </c>
      <c r="AL150" s="1">
        <f>AL84*Input!$C$31</f>
        <v>-2.4698257972991995E-3</v>
      </c>
      <c r="AM150" s="62">
        <f>AM84*Input!$C$31</f>
        <v>-2.4844128407795835E-2</v>
      </c>
      <c r="AN150" s="62">
        <f>AN84*Input!$C$31</f>
        <v>-1.9800337760777598E-2</v>
      </c>
    </row>
    <row r="151" spans="1:40" ht="29" x14ac:dyDescent="0.35">
      <c r="A151" s="39" t="s">
        <v>194</v>
      </c>
      <c r="B151" s="39" t="s">
        <v>195</v>
      </c>
      <c r="C151" s="1">
        <f>C85*Input!$C$31</f>
        <v>0.58708308418058019</v>
      </c>
      <c r="D151" s="1">
        <f>D85*Input!$C$31</f>
        <v>7.8443264058031675E-2</v>
      </c>
      <c r="E151" s="62">
        <f>E85*Input!$C$31</f>
        <v>0.6655263482386119</v>
      </c>
      <c r="F151" s="1">
        <f>F85*Input!$C$31</f>
        <v>3.0676531199999999E-2</v>
      </c>
      <c r="G151" s="1">
        <f>G85*Input!$C$31</f>
        <v>5.4245191754649603E-3</v>
      </c>
      <c r="H151" s="62">
        <f>H85*Input!$C$31</f>
        <v>3.610105037546496E-2</v>
      </c>
      <c r="I151" s="1">
        <f>I85*Input!$C$31</f>
        <v>0.13739690283460484</v>
      </c>
      <c r="J151" s="1">
        <f>J85*Input!$C$31</f>
        <v>9.7635216095999999E-4</v>
      </c>
      <c r="K151" s="62">
        <f>K85*Input!$C$31</f>
        <v>0.13837325499556485</v>
      </c>
      <c r="L151" s="1">
        <f>L85*Input!$C$31</f>
        <v>5.7569382468199148E-4</v>
      </c>
      <c r="M151" s="1">
        <f>M85*Input!$C$31</f>
        <v>1.4014624319999999E-2</v>
      </c>
      <c r="N151" s="62">
        <f>N85*Input!$C$31</f>
        <v>1.4590318144681992E-2</v>
      </c>
      <c r="O151" s="1">
        <f>O85*Input!$C$31</f>
        <v>0</v>
      </c>
      <c r="P151" s="1">
        <f>P85*Input!$C$31</f>
        <v>0</v>
      </c>
      <c r="Q151" s="62">
        <f>Q85*Input!$C$31</f>
        <v>0</v>
      </c>
      <c r="R151" s="1">
        <f>R85*Input!$C$31</f>
        <v>6.3401153233966473E-2</v>
      </c>
      <c r="S151" s="1">
        <f>S85*Input!$C$31</f>
        <v>3.8201062971456E-3</v>
      </c>
      <c r="T151" s="62">
        <f>T85*Input!$C$31</f>
        <v>6.7221259531112076E-2</v>
      </c>
      <c r="U151" s="62">
        <f>U85*Input!$C$31</f>
        <v>0.15973109706727803</v>
      </c>
      <c r="V151" s="62">
        <f>V85*Input!$C$31</f>
        <v>1.8685418313369596E-2</v>
      </c>
      <c r="W151" s="1">
        <f>W85*Input!$C$31</f>
        <v>1.4074141477809468E-3</v>
      </c>
      <c r="X151" s="1">
        <f>X85*Input!$C$31</f>
        <v>1.892568498777813E-3</v>
      </c>
      <c r="Y151" s="1">
        <f>Y85*Input!$C$31</f>
        <v>6.9077070907698295E-4</v>
      </c>
      <c r="Z151" s="250">
        <f>Z85*Input!$C$31</f>
        <v>3.9907533556357427E-3</v>
      </c>
      <c r="AA151" s="250">
        <f>AA85*Input!$C$31</f>
        <v>3.0283345976961909E-3</v>
      </c>
      <c r="AB151" s="89">
        <f>AB85*Input!$C$31</f>
        <v>3.3003546239999994E-2</v>
      </c>
      <c r="AC151" s="1">
        <f>AC85*Input!$C$31</f>
        <v>2.6243862173148248E-3</v>
      </c>
      <c r="AD151" s="62">
        <f>AD85*Input!$C$31</f>
        <v>3.5627932457314819E-2</v>
      </c>
      <c r="AE151" s="1">
        <f>AE85*Input!$C$31</f>
        <v>-3.2338268928E-2</v>
      </c>
      <c r="AF151" s="1">
        <f>AF85*Input!$C$31</f>
        <v>-0.37963562041669396</v>
      </c>
      <c r="AG151" s="1">
        <f>AG85*Input!$C$31</f>
        <v>-0.20808748758658296</v>
      </c>
      <c r="AH151" s="1">
        <f>AH85*Input!$C$31</f>
        <v>-0.24883223221622869</v>
      </c>
      <c r="AI151" s="1">
        <f>AI85*Input!$C$31</f>
        <v>-5.7713063684355073E-3</v>
      </c>
      <c r="AJ151" s="1">
        <f>AJ85*Input!$C$31</f>
        <v>-7.6730472710115835E-3</v>
      </c>
      <c r="AK151" s="1">
        <f>AK85*Input!$C$31</f>
        <v>-3.2494789219634383E-2</v>
      </c>
      <c r="AL151" s="1">
        <f>AL85*Input!$C$31</f>
        <v>-1.7401657241364478E-2</v>
      </c>
      <c r="AM151" s="62">
        <f>AM85*Input!$C$31</f>
        <v>-0.93223440924795187</v>
      </c>
      <c r="AN151" s="62">
        <f>AN85*Input!$C$31</f>
        <v>-0.89660647679063699</v>
      </c>
    </row>
    <row r="152" spans="1:40" x14ac:dyDescent="0.35">
      <c r="A152" s="148" t="s">
        <v>58</v>
      </c>
      <c r="B152" s="338">
        <f>+SUM(E133:E151,H133:H151,K133:K151,N133:N151,Q133:Q151,T133:T151,U133:V151,Z133:Z151,AA133:AA151,AD133:AD151,AM133:AM151)-SUM(C4:K22)*Input!$C$31</f>
        <v>1.1368683772161603E-13</v>
      </c>
      <c r="C152" s="257">
        <f>+SUM(C133:C151)-SUM(C67:C85)*Input!$C$31</f>
        <v>0</v>
      </c>
      <c r="D152" s="257">
        <f>+SUM(D133:D151)-SUM(D67:D85)*Input!$C$31</f>
        <v>0</v>
      </c>
      <c r="E152" s="257">
        <f>+SUM(E133:E151)-SUM(E67:E85)*Input!$C$31</f>
        <v>0</v>
      </c>
      <c r="F152" s="257">
        <f>+SUM(F133:F151)-SUM(F67:F85)*Input!$C$31</f>
        <v>0</v>
      </c>
      <c r="G152" s="257">
        <f>+SUM(G133:G151)-SUM(G67:G85)*Input!$C$31</f>
        <v>0</v>
      </c>
      <c r="H152" s="257">
        <f>+SUM(H133:H151)-SUM(H67:H85)*Input!$C$31</f>
        <v>0</v>
      </c>
      <c r="I152" s="257">
        <f>+SUM(I133:I151)-SUM(I67:I85)*Input!$C$31</f>
        <v>0</v>
      </c>
      <c r="J152" s="257">
        <f>+SUM(J133:J151)-SUM(J67:J85)*Input!$C$31</f>
        <v>0</v>
      </c>
      <c r="K152" s="257">
        <f>+SUM(K133:K151)-SUM(K67:K85)*Input!$C$31</f>
        <v>0</v>
      </c>
      <c r="L152" s="257">
        <f>+SUM(L133:L151)-SUM(L67:L85)*Input!$C$31</f>
        <v>0</v>
      </c>
      <c r="M152" s="257">
        <f>+SUM(M133:M151)-SUM(M67:M85)*Input!$C$31</f>
        <v>0</v>
      </c>
      <c r="N152" s="257">
        <f>+SUM(N133:N151)-SUM(N67:N85)*Input!$C$31</f>
        <v>0</v>
      </c>
      <c r="O152" s="257">
        <f>+SUM(O133:O151)-SUM(O67:O85)*Input!$C$31</f>
        <v>0</v>
      </c>
      <c r="P152" s="257">
        <f>+SUM(P133:P151)-SUM(P67:P85)*Input!$C$31</f>
        <v>0</v>
      </c>
      <c r="Q152" s="257">
        <f>+SUM(Q133:Q151)-SUM(Q67:Q85)*Input!$C$31</f>
        <v>0</v>
      </c>
      <c r="R152" s="257">
        <f>+SUM(R133:R151)-SUM(R67:R85)*Input!$C$31</f>
        <v>0</v>
      </c>
      <c r="S152" s="257">
        <f>+SUM(S133:S151)-SUM(S67:S85)*Input!$C$31</f>
        <v>0</v>
      </c>
      <c r="T152" s="257">
        <f>+SUM(T133:T151)-SUM(T67:T85)*Input!$C$31</f>
        <v>0</v>
      </c>
      <c r="U152" s="257">
        <f>+SUM(U133:U151)-SUM(U67:U85)*Input!$C$31</f>
        <v>0</v>
      </c>
      <c r="V152" s="257">
        <f>+SUM(V133:V151)-SUM(V67:V85)*Input!$C$31</f>
        <v>0</v>
      </c>
      <c r="W152" s="257">
        <f>+SUM(W133:W151)-SUM(W67:W85)*Input!$C$31</f>
        <v>0</v>
      </c>
      <c r="X152" s="257">
        <f>+SUM(X133:X151)-SUM(X67:X85)*Input!$C$31</f>
        <v>0</v>
      </c>
      <c r="Y152" s="257">
        <f>+SUM(Y133:Y151)-SUM(Y67:Y85)*Input!$C$31</f>
        <v>0</v>
      </c>
      <c r="Z152" s="257">
        <f>+SUM(Z133:Z151)-SUM(Z67:Z85)*Input!$C$31</f>
        <v>0</v>
      </c>
      <c r="AA152" s="257">
        <f>+SUM(AA133:AA151)-SUM(AA67:AA85)*Input!$C$31</f>
        <v>0</v>
      </c>
      <c r="AB152" s="257">
        <f>+SUM(AB133:AB151)-SUM(AB67:AB85)*Input!$C$31</f>
        <v>0</v>
      </c>
      <c r="AC152" s="257">
        <f>+SUM(AC133:AC151)-SUM(AC67:AC85)*Input!$C$31</f>
        <v>0</v>
      </c>
      <c r="AD152" s="257">
        <f>+SUM(AD133:AD151)-SUM(AD67:AD85)*Input!$C$31</f>
        <v>0</v>
      </c>
      <c r="AE152" s="257">
        <f>+SUM(AE133:AE151)-SUM(AE67:AE85)*Input!$C$31</f>
        <v>0</v>
      </c>
      <c r="AF152" s="257">
        <f>+SUM(AF133:AF151)-SUM(AF67:AF85)*Input!$C$31</f>
        <v>0</v>
      </c>
      <c r="AG152" s="257">
        <f>+SUM(AG133:AG151)-SUM(AG67:AG85)*Input!$C$31</f>
        <v>0</v>
      </c>
      <c r="AH152" s="257">
        <f>+SUM(AH133:AH151)-SUM(AH67:AH85)*Input!$C$31</f>
        <v>0</v>
      </c>
      <c r="AI152" s="257">
        <f>+SUM(AI133:AI151)-SUM(AI67:AI85)*Input!$C$31</f>
        <v>0</v>
      </c>
      <c r="AJ152" s="257">
        <f>+SUM(AJ133:AJ151)-SUM(AJ67:AJ85)*Input!$C$31</f>
        <v>0</v>
      </c>
      <c r="AK152" s="257">
        <f>+SUM(AK133:AK151)-SUM(AK67:AK85)*Input!$C$31</f>
        <v>0</v>
      </c>
      <c r="AL152" s="257">
        <f>+SUM(AL133:AL151)-SUM(AL67:AL85)*Input!$C$31</f>
        <v>0</v>
      </c>
      <c r="AM152" s="257">
        <f>+SUM(AM133:AM151)-SUM(AM67:AM85)*Input!$C$31</f>
        <v>0</v>
      </c>
      <c r="AN152" s="257">
        <f>+SUM(AN133:AN151)-SUM(AN67:AN85)*Input!$C$31</f>
        <v>0</v>
      </c>
    </row>
    <row r="153" spans="1:40" x14ac:dyDescent="0.35">
      <c r="A153" s="148"/>
      <c r="B153" s="257"/>
      <c r="C153" s="257"/>
      <c r="D153" s="257"/>
      <c r="E153" s="257"/>
      <c r="F153" s="257"/>
      <c r="G153" s="257"/>
      <c r="H153" s="257"/>
      <c r="I153" s="257"/>
      <c r="J153" s="257"/>
      <c r="K153" s="257"/>
      <c r="L153" s="257"/>
      <c r="M153" s="257"/>
      <c r="N153" s="257"/>
      <c r="O153" s="257"/>
      <c r="P153" s="257"/>
      <c r="Q153" s="257"/>
      <c r="R153" s="257"/>
      <c r="S153" s="257"/>
      <c r="T153" s="257"/>
      <c r="U153" s="257"/>
      <c r="V153" s="257"/>
      <c r="W153" s="257"/>
      <c r="X153" s="257"/>
      <c r="Y153" s="257"/>
      <c r="Z153" s="257"/>
      <c r="AA153" s="257"/>
      <c r="AB153" s="257"/>
      <c r="AC153" s="257"/>
      <c r="AD153" s="257"/>
      <c r="AE153" s="257"/>
      <c r="AF153" s="257"/>
      <c r="AG153" s="257"/>
      <c r="AH153" s="257"/>
      <c r="AI153" s="257"/>
      <c r="AJ153" s="257"/>
      <c r="AK153" s="257"/>
      <c r="AL153" s="257"/>
      <c r="AM153" s="257"/>
      <c r="AN153" s="257"/>
    </row>
    <row r="154" spans="1:40" x14ac:dyDescent="0.35">
      <c r="B154" s="28"/>
    </row>
    <row r="155" spans="1:40" ht="21" x14ac:dyDescent="0.5">
      <c r="A155" s="76" t="s">
        <v>272</v>
      </c>
    </row>
    <row r="156" spans="1:40" ht="14.5" customHeight="1" x14ac:dyDescent="0.35">
      <c r="A156" s="11" t="s">
        <v>273</v>
      </c>
      <c r="O156" s="15" t="s">
        <v>216</v>
      </c>
      <c r="P156" s="15" t="s">
        <v>262</v>
      </c>
      <c r="Q156" s="15" t="s">
        <v>1017</v>
      </c>
      <c r="R156" s="15" t="s">
        <v>254</v>
      </c>
    </row>
    <row r="157" spans="1:40" ht="14.5" customHeight="1" x14ac:dyDescent="0.35">
      <c r="A157" s="384" t="s">
        <v>209</v>
      </c>
      <c r="B157" s="384" t="s">
        <v>210</v>
      </c>
      <c r="C157" s="381" t="s">
        <v>260</v>
      </c>
      <c r="D157" s="382"/>
      <c r="E157" s="381" t="s">
        <v>59</v>
      </c>
      <c r="F157" s="382"/>
      <c r="G157" s="381" t="s">
        <v>212</v>
      </c>
      <c r="H157" s="382"/>
      <c r="I157" s="383" t="s">
        <v>213</v>
      </c>
      <c r="J157" s="382"/>
      <c r="K157" s="378" t="s">
        <v>214</v>
      </c>
      <c r="L157" s="379"/>
      <c r="M157" s="381" t="s">
        <v>1016</v>
      </c>
      <c r="N157" s="382"/>
      <c r="O157" s="103" t="s">
        <v>364</v>
      </c>
      <c r="P157" s="103" t="s">
        <v>364</v>
      </c>
      <c r="Q157" s="103" t="s">
        <v>364</v>
      </c>
      <c r="R157" s="103" t="s">
        <v>364</v>
      </c>
      <c r="S157" s="381" t="s">
        <v>229</v>
      </c>
      <c r="T157" s="382"/>
      <c r="U157" s="384" t="s">
        <v>231</v>
      </c>
      <c r="V157" s="384"/>
      <c r="W157" s="384"/>
      <c r="X157" s="384"/>
      <c r="Y157" s="384"/>
      <c r="Z157" s="384"/>
      <c r="AA157" s="384"/>
      <c r="AB157" s="384"/>
    </row>
    <row r="158" spans="1:40" ht="43.5" x14ac:dyDescent="0.35">
      <c r="A158" s="384"/>
      <c r="B158" s="384"/>
      <c r="C158" s="103" t="s">
        <v>1011</v>
      </c>
      <c r="D158" s="103" t="s">
        <v>1015</v>
      </c>
      <c r="E158" s="103" t="s">
        <v>1011</v>
      </c>
      <c r="F158" s="103" t="s">
        <v>1015</v>
      </c>
      <c r="G158" s="103" t="s">
        <v>1011</v>
      </c>
      <c r="H158" s="103" t="s">
        <v>1015</v>
      </c>
      <c r="I158" s="103" t="s">
        <v>1012</v>
      </c>
      <c r="J158" s="103" t="s">
        <v>1010</v>
      </c>
      <c r="K158" s="103" t="s">
        <v>1012</v>
      </c>
      <c r="L158" s="103" t="s">
        <v>1010</v>
      </c>
      <c r="M158" s="103" t="s">
        <v>1011</v>
      </c>
      <c r="N158" s="103" t="s">
        <v>1015</v>
      </c>
      <c r="O158" s="103" t="s">
        <v>218</v>
      </c>
      <c r="P158" s="103" t="s">
        <v>263</v>
      </c>
      <c r="Q158" s="103" t="s">
        <v>264</v>
      </c>
      <c r="R158" s="108" t="s">
        <v>159</v>
      </c>
      <c r="S158" s="103" t="s">
        <v>160</v>
      </c>
      <c r="T158" s="103" t="s">
        <v>265</v>
      </c>
      <c r="U158" s="103" t="s">
        <v>266</v>
      </c>
      <c r="V158" s="103" t="s">
        <v>212</v>
      </c>
      <c r="W158" s="103" t="s">
        <v>211</v>
      </c>
      <c r="X158" s="103" t="s">
        <v>267</v>
      </c>
      <c r="Y158" s="103" t="s">
        <v>268</v>
      </c>
      <c r="Z158" s="103" t="s">
        <v>269</v>
      </c>
      <c r="AA158" s="103" t="s">
        <v>270</v>
      </c>
      <c r="AB158" s="103" t="s">
        <v>271</v>
      </c>
    </row>
    <row r="159" spans="1:40" x14ac:dyDescent="0.35">
      <c r="A159" s="1" t="s">
        <v>164</v>
      </c>
      <c r="B159" s="53" t="s">
        <v>274</v>
      </c>
      <c r="C159" s="1">
        <f>+C125/Input!$C$31</f>
        <v>2.2293018000920592</v>
      </c>
      <c r="D159" s="1">
        <f>+D125/Input!$C$31</f>
        <v>12.067875368229734</v>
      </c>
      <c r="E159" s="1">
        <f>+E125/Input!$C$31</f>
        <v>11.7448</v>
      </c>
      <c r="F159" s="1">
        <f>+F125/Input!$C$31</f>
        <v>0.92165995176527982</v>
      </c>
      <c r="G159" s="1">
        <f>+G125/Input!$C$31</f>
        <v>0.3428723486060043</v>
      </c>
      <c r="H159" s="1">
        <f>+H125/Input!$C$31</f>
        <v>0.16588837765499997</v>
      </c>
      <c r="I159" s="1">
        <f>+I125/Input!$C$31</f>
        <v>0.16679033795373477</v>
      </c>
      <c r="J159" s="1">
        <f>+J125/Input!$C$31</f>
        <v>2.3811728849999998</v>
      </c>
      <c r="K159" s="1">
        <f>+K125/Input!$C$31</f>
        <v>0</v>
      </c>
      <c r="L159" s="1">
        <f>+L125/Input!$C$31</f>
        <v>0</v>
      </c>
      <c r="M159" s="1">
        <f>+M125/Input!$C$31</f>
        <v>0.65423526228811013</v>
      </c>
      <c r="N159" s="1">
        <f>+N125/Input!$C$31</f>
        <v>0.64906010499329991</v>
      </c>
      <c r="O159" s="1">
        <f>+O125/Input!$C$31</f>
        <v>20.056831519468545</v>
      </c>
      <c r="P159" s="1">
        <f>+P125/Input!$C$31</f>
        <v>3.1747701841127993</v>
      </c>
      <c r="Q159" s="1">
        <f>+Q125/Input!$C$31</f>
        <v>1.1562033017188762</v>
      </c>
      <c r="R159" s="1">
        <f>+R125/Input!$C$31</f>
        <v>0.87737079908012994</v>
      </c>
      <c r="S159" s="1">
        <f>+S125/Input!$C$31</f>
        <v>0.76033864762898462</v>
      </c>
      <c r="T159" s="1">
        <f>+T125/Input!$C$31</f>
        <v>5.6642582150000003</v>
      </c>
      <c r="U159" s="1">
        <f>+U125/Input!$C$31</f>
        <v>-12.381012000000002</v>
      </c>
      <c r="V159" s="1">
        <f>+V125/Input!$C$31</f>
        <v>-0.94737620791540567</v>
      </c>
      <c r="W159" s="1">
        <f>+W125/Input!$C$31</f>
        <v>-0.76160680160773897</v>
      </c>
      <c r="X159" s="1">
        <f>+X125/Input!$C$31</f>
        <v>-1.0130154825271522</v>
      </c>
      <c r="Y159" s="1">
        <f>+Y125/Input!$C$31</f>
        <v>-0.99050475579113517</v>
      </c>
      <c r="Z159" s="1">
        <f>+Z125/Input!$C$31</f>
        <v>-1.316892455218494</v>
      </c>
      <c r="AA159" s="1">
        <f>+AA125/Input!$C$31</f>
        <v>-5.5769424122953737</v>
      </c>
      <c r="AB159" s="1">
        <f>+AB125/Input!$C$31</f>
        <v>-2.9865723903496799</v>
      </c>
    </row>
    <row r="160" spans="1:40" x14ac:dyDescent="0.35">
      <c r="A160" s="148" t="s">
        <v>58</v>
      </c>
      <c r="B160" s="338">
        <f>+SUM(C125:R125)-(SUM(C159:R159)*Input!C31)</f>
        <v>0</v>
      </c>
    </row>
    <row r="168" spans="2:2" x14ac:dyDescent="0.35">
      <c r="B168" s="332"/>
    </row>
  </sheetData>
  <mergeCells count="55">
    <mergeCell ref="M157:N157"/>
    <mergeCell ref="S157:T157"/>
    <mergeCell ref="U157:AB157"/>
    <mergeCell ref="U123:AB123"/>
    <mergeCell ref="AN131:AN132"/>
    <mergeCell ref="AM131:AM132"/>
    <mergeCell ref="AE131:AL131"/>
    <mergeCell ref="AD131:AD132"/>
    <mergeCell ref="Z131:Z132"/>
    <mergeCell ref="L131:N131"/>
    <mergeCell ref="O131:Q131"/>
    <mergeCell ref="S123:T123"/>
    <mergeCell ref="M123:N123"/>
    <mergeCell ref="R131:T131"/>
    <mergeCell ref="AN65:AN66"/>
    <mergeCell ref="G58:H58"/>
    <mergeCell ref="Z65:Z66"/>
    <mergeCell ref="F65:H65"/>
    <mergeCell ref="I65:K65"/>
    <mergeCell ref="M58:N58"/>
    <mergeCell ref="R65:T65"/>
    <mergeCell ref="I58:J58"/>
    <mergeCell ref="K58:L58"/>
    <mergeCell ref="AA65:AA66"/>
    <mergeCell ref="O65:Q65"/>
    <mergeCell ref="L65:N65"/>
    <mergeCell ref="I131:K131"/>
    <mergeCell ref="F131:H131"/>
    <mergeCell ref="AD65:AD66"/>
    <mergeCell ref="AE65:AL65"/>
    <mergeCell ref="AM65:AM66"/>
    <mergeCell ref="A65:A66"/>
    <mergeCell ref="C65:E65"/>
    <mergeCell ref="A131:A132"/>
    <mergeCell ref="C131:E131"/>
    <mergeCell ref="E123:F123"/>
    <mergeCell ref="C123:D123"/>
    <mergeCell ref="B123:B124"/>
    <mergeCell ref="A123:A124"/>
    <mergeCell ref="A47:B47"/>
    <mergeCell ref="A111:B111"/>
    <mergeCell ref="K123:L123"/>
    <mergeCell ref="K157:L157"/>
    <mergeCell ref="A58:A59"/>
    <mergeCell ref="C58:D58"/>
    <mergeCell ref="E58:F58"/>
    <mergeCell ref="G123:H123"/>
    <mergeCell ref="I157:J157"/>
    <mergeCell ref="A157:A158"/>
    <mergeCell ref="B157:B158"/>
    <mergeCell ref="C157:D157"/>
    <mergeCell ref="E157:F157"/>
    <mergeCell ref="G157:H157"/>
    <mergeCell ref="I123:J123"/>
    <mergeCell ref="B131:B132"/>
  </mergeCells>
  <phoneticPr fontId="5" type="noConversion"/>
  <conditionalFormatting sqref="C28:C30 C33:C46">
    <cfRule type="colorScale" priority="9">
      <colorScale>
        <cfvo type="min"/>
        <cfvo type="percentile" val="50"/>
        <cfvo type="max"/>
        <color rgb="FFF8696B"/>
        <color rgb="FFFCFCFF"/>
        <color rgb="FF63BE7B"/>
      </colorScale>
    </cfRule>
  </conditionalFormatting>
  <conditionalFormatting sqref="C28:C46">
    <cfRule type="colorScale" priority="5">
      <colorScale>
        <cfvo type="min"/>
        <cfvo type="percentile" val="50"/>
        <cfvo type="max"/>
        <color rgb="FF63BE7B"/>
        <color rgb="FFFCFCFF"/>
        <color rgb="FFF8696B"/>
      </colorScale>
    </cfRule>
  </conditionalFormatting>
  <conditionalFormatting sqref="C92:C94 C97:C110">
    <cfRule type="colorScale" priority="4">
      <colorScale>
        <cfvo type="min"/>
        <cfvo type="percentile" val="50"/>
        <cfvo type="max"/>
        <color rgb="FFF8696B"/>
        <color rgb="FFFCFCFF"/>
        <color rgb="FF63BE7B"/>
      </colorScale>
    </cfRule>
  </conditionalFormatting>
  <conditionalFormatting sqref="C92:C110">
    <cfRule type="colorScale" priority="3">
      <colorScale>
        <cfvo type="min"/>
        <cfvo type="percentile" val="50"/>
        <cfvo type="max"/>
        <color rgb="FF63BE7B"/>
        <color rgb="FFFCFCFF"/>
        <color rgb="FFF8696B"/>
      </colorScale>
    </cfRule>
  </conditionalFormatting>
  <conditionalFormatting sqref="D30:L30">
    <cfRule type="colorScale" priority="2">
      <colorScale>
        <cfvo type="min"/>
        <cfvo type="percentile" val="50"/>
        <cfvo type="max"/>
        <color rgb="FFF8696B"/>
        <color rgb="FFFCFCFF"/>
        <color rgb="FF63BE7B"/>
      </colorScale>
    </cfRule>
  </conditionalFormatting>
  <conditionalFormatting sqref="D30:L32">
    <cfRule type="colorScale" priority="1">
      <colorScale>
        <cfvo type="min"/>
        <cfvo type="percentile" val="50"/>
        <cfvo type="max"/>
        <color rgb="FF63BE7B"/>
        <color rgb="FFFCFCFF"/>
        <color rgb="FFF8696B"/>
      </colorScale>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02FF3-555E-4404-8E7F-65812F0FB047}">
  <dimension ref="A1:C46"/>
  <sheetViews>
    <sheetView workbookViewId="0">
      <selection activeCell="C50" sqref="C50"/>
    </sheetView>
  </sheetViews>
  <sheetFormatPr defaultRowHeight="14.5" x14ac:dyDescent="0.35"/>
  <cols>
    <col min="1" max="1" width="43.54296875" bestFit="1" customWidth="1"/>
    <col min="2" max="3" width="34.6328125" bestFit="1" customWidth="1"/>
  </cols>
  <sheetData>
    <row r="1" spans="1:3" ht="21" x14ac:dyDescent="0.5">
      <c r="A1" s="76" t="s">
        <v>1033</v>
      </c>
    </row>
    <row r="2" spans="1:3" ht="21" x14ac:dyDescent="0.5">
      <c r="A2" s="354" t="s">
        <v>1036</v>
      </c>
      <c r="B2" s="188">
        <f>Input!$F$63</f>
        <v>20</v>
      </c>
    </row>
    <row r="3" spans="1:3" ht="21" x14ac:dyDescent="0.5">
      <c r="A3" s="354" t="s">
        <v>824</v>
      </c>
      <c r="B3" s="154">
        <f>Input!$D$63</f>
        <v>20</v>
      </c>
    </row>
    <row r="4" spans="1:3" ht="21" x14ac:dyDescent="0.5">
      <c r="A4" s="76"/>
    </row>
    <row r="5" spans="1:3" ht="21" x14ac:dyDescent="0.5">
      <c r="A5" s="355" t="s">
        <v>629</v>
      </c>
    </row>
    <row r="6" spans="1:3" x14ac:dyDescent="0.35">
      <c r="A6" s="392" t="s">
        <v>209</v>
      </c>
      <c r="B6" s="393" t="str">
        <f>" Impacts per ton for "&amp;B3&amp;" km."</f>
        <v xml:space="preserve"> Impacts per ton for 20 km.</v>
      </c>
      <c r="C6" s="371" t="str">
        <f>" Impacts for "&amp;B2&amp;" ton."</f>
        <v xml:space="preserve"> Impacts for 20 ton.</v>
      </c>
    </row>
    <row r="7" spans="1:3" x14ac:dyDescent="0.35">
      <c r="A7" s="392"/>
      <c r="B7" s="394"/>
      <c r="C7" s="371"/>
    </row>
    <row r="8" spans="1:3" x14ac:dyDescent="0.35">
      <c r="A8" s="1" t="s">
        <v>162</v>
      </c>
      <c r="B8" s="154">
        <f>'A4 - Transport'!$B$17</f>
        <v>4.7342506223999993E-3</v>
      </c>
      <c r="C8" s="154">
        <f>$B$2*B8</f>
        <v>9.4685012447999983E-2</v>
      </c>
    </row>
    <row r="9" spans="1:3" x14ac:dyDescent="0.35">
      <c r="A9" s="1" t="s">
        <v>164</v>
      </c>
      <c r="B9" s="154">
        <f>'A4 - Transport'!$B$18</f>
        <v>3.1747701841127993</v>
      </c>
      <c r="C9" s="154">
        <f t="shared" ref="C9:C26" si="0">$B$2*B9</f>
        <v>63.495403682255983</v>
      </c>
    </row>
    <row r="10" spans="1:3" x14ac:dyDescent="0.35">
      <c r="A10" s="1" t="s">
        <v>166</v>
      </c>
      <c r="B10" s="154">
        <f>'A4 - Transport'!$B$19</f>
        <v>1.4837466477599999E-3</v>
      </c>
      <c r="C10" s="154">
        <f t="shared" si="0"/>
        <v>2.9674932955199997E-2</v>
      </c>
    </row>
    <row r="11" spans="1:3" x14ac:dyDescent="0.35">
      <c r="A11" s="1" t="s">
        <v>167</v>
      </c>
      <c r="B11" s="154">
        <f>'A4 - Transport'!$B$20</f>
        <v>3.1730339135663996</v>
      </c>
      <c r="C11" s="154">
        <f t="shared" si="0"/>
        <v>63.460678271327993</v>
      </c>
    </row>
    <row r="12" spans="1:3" x14ac:dyDescent="0.35">
      <c r="A12" s="1" t="s">
        <v>168</v>
      </c>
      <c r="B12" s="154">
        <f>'A4 - Transport'!$B$21</f>
        <v>2.5251989879999996E-4</v>
      </c>
      <c r="C12" s="154">
        <f t="shared" si="0"/>
        <v>5.0503979759999994E-3</v>
      </c>
    </row>
    <row r="13" spans="1:3" x14ac:dyDescent="0.35">
      <c r="A13" s="1" t="s">
        <v>169</v>
      </c>
      <c r="B13" s="154">
        <f>'A4 - Transport'!$B$22</f>
        <v>2.7267699048407996</v>
      </c>
      <c r="C13" s="154">
        <f t="shared" si="0"/>
        <v>54.535398096815996</v>
      </c>
    </row>
    <row r="14" spans="1:3" x14ac:dyDescent="0.35">
      <c r="A14" s="1" t="s">
        <v>171</v>
      </c>
      <c r="B14" s="154">
        <f>'A4 - Transport'!$B$23</f>
        <v>42.729105967391988</v>
      </c>
      <c r="C14" s="154">
        <f t="shared" si="0"/>
        <v>854.58211934783981</v>
      </c>
    </row>
    <row r="15" spans="1:3" x14ac:dyDescent="0.35">
      <c r="A15" s="1" t="s">
        <v>173</v>
      </c>
      <c r="B15" s="154">
        <f>'A4 - Transport'!$B$24</f>
        <v>7.4050837847999975E-5</v>
      </c>
      <c r="C15" s="154">
        <f t="shared" si="0"/>
        <v>1.4810167569599994E-3</v>
      </c>
    </row>
    <row r="16" spans="1:3" x14ac:dyDescent="0.35">
      <c r="A16" s="1" t="s">
        <v>175</v>
      </c>
      <c r="B16" s="154">
        <f>'A4 - Transport'!$B$25</f>
        <v>1.0319027222399997E-3</v>
      </c>
      <c r="C16" s="154">
        <f t="shared" si="0"/>
        <v>2.0638054444799995E-2</v>
      </c>
    </row>
    <row r="17" spans="1:3" x14ac:dyDescent="0.35">
      <c r="A17" s="1" t="s">
        <v>177</v>
      </c>
      <c r="B17" s="154">
        <f>'A4 - Transport'!$B$26</f>
        <v>1.1169413205599998E-2</v>
      </c>
      <c r="C17" s="154">
        <f t="shared" si="0"/>
        <v>0.22338826411199997</v>
      </c>
    </row>
    <row r="18" spans="1:3" x14ac:dyDescent="0.35">
      <c r="A18" s="1" t="s">
        <v>179</v>
      </c>
      <c r="B18" s="154">
        <f>'A4 - Transport'!$B$27</f>
        <v>2.8138274423999994E-10</v>
      </c>
      <c r="C18" s="154">
        <f t="shared" si="0"/>
        <v>5.6276548847999987E-9</v>
      </c>
    </row>
    <row r="19" spans="1:3" x14ac:dyDescent="0.35">
      <c r="A19" s="1" t="s">
        <v>181</v>
      </c>
      <c r="B19" s="154">
        <f>'A4 - Transport'!$B$28</f>
        <v>2.2894684175999996E-8</v>
      </c>
      <c r="C19" s="154">
        <f t="shared" si="0"/>
        <v>4.5789368351999993E-7</v>
      </c>
    </row>
    <row r="20" spans="1:3" x14ac:dyDescent="0.35">
      <c r="A20" s="1" t="s">
        <v>182</v>
      </c>
      <c r="B20" s="154">
        <f>'A4 - Transport'!$B$29</f>
        <v>1.9375344955199998E-2</v>
      </c>
      <c r="C20" s="154">
        <f t="shared" si="0"/>
        <v>0.38750689910399994</v>
      </c>
    </row>
    <row r="21" spans="1:3" x14ac:dyDescent="0.35">
      <c r="A21" s="1" t="s">
        <v>184</v>
      </c>
      <c r="B21" s="154">
        <f>'A4 - Transport'!$B$30</f>
        <v>2.6952224667887998</v>
      </c>
      <c r="C21" s="154">
        <f t="shared" si="0"/>
        <v>53.904449335775993</v>
      </c>
    </row>
    <row r="22" spans="1:3" x14ac:dyDescent="0.35">
      <c r="A22" s="1" t="s">
        <v>186</v>
      </c>
      <c r="B22" s="154">
        <f>'A4 - Transport'!$B$31</f>
        <v>3.5025998903999994E-6</v>
      </c>
      <c r="C22" s="154">
        <f t="shared" si="0"/>
        <v>7.0051997807999986E-5</v>
      </c>
    </row>
    <row r="23" spans="1:3" x14ac:dyDescent="0.35">
      <c r="A23" s="1" t="s">
        <v>188</v>
      </c>
      <c r="B23" s="154">
        <f>'A4 - Transport'!$B$32</f>
        <v>7.0593576143999996E-8</v>
      </c>
      <c r="C23" s="154">
        <f t="shared" si="0"/>
        <v>1.4118715228799999E-6</v>
      </c>
    </row>
    <row r="24" spans="1:3" x14ac:dyDescent="0.35">
      <c r="A24" s="1" t="s">
        <v>190</v>
      </c>
      <c r="B24" s="154">
        <f>'A4 - Transport'!$B$33</f>
        <v>1.9678352834399996E-7</v>
      </c>
      <c r="C24" s="154">
        <f t="shared" si="0"/>
        <v>3.9356705668799991E-6</v>
      </c>
    </row>
    <row r="25" spans="1:3" x14ac:dyDescent="0.35">
      <c r="A25" s="1" t="s">
        <v>192</v>
      </c>
      <c r="B25" s="154">
        <f>'A4 - Transport'!$B$34</f>
        <v>8.2539898271999975E-3</v>
      </c>
      <c r="C25" s="154">
        <f t="shared" si="0"/>
        <v>0.16507979654399996</v>
      </c>
    </row>
    <row r="26" spans="1:3" x14ac:dyDescent="0.35">
      <c r="A26" s="1" t="s">
        <v>194</v>
      </c>
      <c r="B26" s="154">
        <f>'A4 - Transport'!$B$35</f>
        <v>9.7319887048799986E-2</v>
      </c>
      <c r="C26" s="154">
        <f t="shared" si="0"/>
        <v>1.9463977409759998</v>
      </c>
    </row>
    <row r="28" spans="1:3" ht="21" x14ac:dyDescent="0.5">
      <c r="A28" s="76" t="s">
        <v>1035</v>
      </c>
    </row>
    <row r="29" spans="1:3" x14ac:dyDescent="0.35">
      <c r="A29" s="356" t="s">
        <v>1037</v>
      </c>
      <c r="B29" s="353" t="str">
        <f>" Single Score (mPt) per ton for "&amp;B3&amp;" km."</f>
        <v xml:space="preserve"> Single Score (mPt) per ton for 20 km.</v>
      </c>
      <c r="C29" s="353" t="str">
        <f>" Single Score (mPt) for "&amp;B2&amp;" ton."</f>
        <v xml:space="preserve"> Single Score (mPt) for 20 ton.</v>
      </c>
    </row>
    <row r="30" spans="1:3" x14ac:dyDescent="0.35">
      <c r="A30" s="1" t="s">
        <v>162</v>
      </c>
      <c r="B30" s="154">
        <f>Results!$I$28*1000</f>
        <v>5.279200334330934E-3</v>
      </c>
      <c r="C30" s="177">
        <f>$B$2*B30</f>
        <v>0.10558400668661869</v>
      </c>
    </row>
    <row r="31" spans="1:3" x14ac:dyDescent="0.35">
      <c r="A31" s="1" t="s">
        <v>164</v>
      </c>
      <c r="B31" s="154">
        <f>Results!$I$29*1000</f>
        <v>8.2544024786932776E-2</v>
      </c>
      <c r="C31" s="177">
        <f t="shared" ref="C31:C45" si="1">$B$2*B31</f>
        <v>1.6508804957386556</v>
      </c>
    </row>
    <row r="32" spans="1:3" x14ac:dyDescent="0.35">
      <c r="A32" s="1" t="s">
        <v>169</v>
      </c>
      <c r="B32" s="154">
        <f>Results!$I$33*1000</f>
        <v>1.226088575478767E-3</v>
      </c>
      <c r="C32" s="177">
        <f t="shared" si="1"/>
        <v>2.4521771509575341E-2</v>
      </c>
    </row>
    <row r="33" spans="1:3" x14ac:dyDescent="0.35">
      <c r="A33" s="1" t="s">
        <v>171</v>
      </c>
      <c r="B33" s="154">
        <f>Results!$I$34*1000</f>
        <v>4.9631500008278387E-2</v>
      </c>
      <c r="C33" s="177">
        <f t="shared" si="1"/>
        <v>0.99263000016556768</v>
      </c>
    </row>
    <row r="34" spans="1:3" x14ac:dyDescent="0.35">
      <c r="A34" s="1" t="s">
        <v>173</v>
      </c>
      <c r="B34" s="154">
        <f>Results!$I$35*1000</f>
        <v>1.2878406582260862E-3</v>
      </c>
      <c r="C34" s="177">
        <f t="shared" si="1"/>
        <v>2.5756813164521726E-2</v>
      </c>
    </row>
    <row r="35" spans="1:3" x14ac:dyDescent="0.35">
      <c r="A35" s="1" t="s">
        <v>175</v>
      </c>
      <c r="B35" s="154">
        <f>Results!$I$36*1000</f>
        <v>1.5663754142719996E-3</v>
      </c>
      <c r="C35" s="177">
        <f t="shared" si="1"/>
        <v>3.1327508285439995E-2</v>
      </c>
    </row>
    <row r="36" spans="1:3" x14ac:dyDescent="0.35">
      <c r="A36" s="1" t="s">
        <v>177</v>
      </c>
      <c r="B36" s="154">
        <f>Results!$I$37*1000</f>
        <v>2.3411594911172881E-3</v>
      </c>
      <c r="C36" s="177">
        <f t="shared" si="1"/>
        <v>4.6823189822345762E-2</v>
      </c>
    </row>
    <row r="37" spans="1:3" x14ac:dyDescent="0.35">
      <c r="A37" s="1" t="s">
        <v>179</v>
      </c>
      <c r="B37" s="154">
        <f>Results!$I$38*1000</f>
        <v>3.5464215694153839E-4</v>
      </c>
      <c r="C37" s="177">
        <f t="shared" si="1"/>
        <v>7.0928431388307678E-3</v>
      </c>
    </row>
    <row r="38" spans="1:3" x14ac:dyDescent="0.35">
      <c r="A38" s="1" t="s">
        <v>181</v>
      </c>
      <c r="B38" s="154">
        <f>Results!$I$39*1000</f>
        <v>1.8315747340799998E-3</v>
      </c>
      <c r="C38" s="177">
        <f t="shared" si="1"/>
        <v>3.6631494681599999E-2</v>
      </c>
    </row>
    <row r="39" spans="1:3" x14ac:dyDescent="0.35">
      <c r="A39" s="1" t="s">
        <v>182</v>
      </c>
      <c r="B39" s="154">
        <f>Results!$I$40*1000</f>
        <v>2.3002482991836963E-4</v>
      </c>
      <c r="C39" s="177">
        <f t="shared" si="1"/>
        <v>4.6004965983673929E-3</v>
      </c>
    </row>
    <row r="40" spans="1:3" x14ac:dyDescent="0.35">
      <c r="A40" s="1" t="s">
        <v>184</v>
      </c>
      <c r="B40" s="154">
        <f>Results!$I$41*1000</f>
        <v>2.6129507187183236E-4</v>
      </c>
      <c r="C40" s="177">
        <f t="shared" si="1"/>
        <v>5.2259014374366475E-3</v>
      </c>
    </row>
    <row r="41" spans="1:3" x14ac:dyDescent="0.35">
      <c r="A41" s="1" t="s">
        <v>186</v>
      </c>
      <c r="B41" s="154">
        <f>Results!$I$42*1000</f>
        <v>4.4833278597119993E-9</v>
      </c>
      <c r="C41" s="177">
        <f t="shared" si="1"/>
        <v>8.9666557194239993E-8</v>
      </c>
    </row>
    <row r="42" spans="1:3" x14ac:dyDescent="0.35">
      <c r="A42" s="1" t="s">
        <v>188</v>
      </c>
      <c r="B42" s="154">
        <f>Results!$I$43*1000</f>
        <v>8.3105497288925341E-5</v>
      </c>
      <c r="C42" s="177">
        <f t="shared" si="1"/>
        <v>1.6621099457785069E-3</v>
      </c>
    </row>
    <row r="43" spans="1:3" x14ac:dyDescent="0.35">
      <c r="A43" s="1" t="s">
        <v>190</v>
      </c>
      <c r="B43" s="154">
        <f>Results!$I$44*1000</f>
        <v>2.9633284268272938E-2</v>
      </c>
      <c r="C43" s="177">
        <f t="shared" si="1"/>
        <v>0.59266568536545872</v>
      </c>
    </row>
    <row r="44" spans="1:3" x14ac:dyDescent="0.35">
      <c r="A44" s="1" t="s">
        <v>192</v>
      </c>
      <c r="B44" s="154">
        <f>Results!$I$45*1000</f>
        <v>9.7177515699546774E-3</v>
      </c>
      <c r="C44" s="177">
        <f t="shared" si="1"/>
        <v>0.19435503139909355</v>
      </c>
    </row>
    <row r="45" spans="1:3" x14ac:dyDescent="0.35">
      <c r="A45" s="1" t="s">
        <v>194</v>
      </c>
      <c r="B45" s="154">
        <f>Results!$I$46*1000</f>
        <v>7.2016716416111988E-4</v>
      </c>
      <c r="C45" s="177">
        <f t="shared" si="1"/>
        <v>1.4403343283222398E-2</v>
      </c>
    </row>
    <row r="46" spans="1:3" x14ac:dyDescent="0.35">
      <c r="A46" s="1" t="s">
        <v>1038</v>
      </c>
      <c r="B46" s="154">
        <f>SUM(B30:B45)</f>
        <v>0.18670803904445349</v>
      </c>
      <c r="C46" s="177">
        <f>SUM(C30:C45)</f>
        <v>3.73416078088907</v>
      </c>
    </row>
  </sheetData>
  <mergeCells count="3">
    <mergeCell ref="A6:A7"/>
    <mergeCell ref="B6:B7"/>
    <mergeCell ref="C6:C7"/>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4F84D-83A6-444F-A591-66B8B7EB9ADB}">
  <sheetPr codeName="Sheet6"/>
  <dimension ref="A2:Z139"/>
  <sheetViews>
    <sheetView showGridLines="0" zoomScale="70" zoomScaleNormal="70" workbookViewId="0"/>
  </sheetViews>
  <sheetFormatPr defaultRowHeight="14.5" x14ac:dyDescent="0.35"/>
  <cols>
    <col min="1" max="1" width="100.81640625" customWidth="1"/>
    <col min="2" max="2" width="47" customWidth="1"/>
    <col min="3" max="3" width="25.1796875" customWidth="1"/>
    <col min="4" max="4" width="26.81640625" customWidth="1"/>
    <col min="5" max="5" width="19.1796875" customWidth="1"/>
    <col min="6" max="6" width="18.81640625" customWidth="1"/>
    <col min="7" max="7" width="21.1796875" customWidth="1"/>
    <col min="8" max="8" width="17" customWidth="1"/>
    <col min="9" max="9" width="15" customWidth="1"/>
    <col min="10" max="10" width="19.54296875" customWidth="1"/>
    <col min="11" max="11" width="14.81640625" customWidth="1"/>
    <col min="12" max="12" width="15.453125" customWidth="1"/>
    <col min="13" max="13" width="16.81640625" customWidth="1"/>
    <col min="14" max="14" width="17.453125" customWidth="1"/>
    <col min="15" max="15" width="18.1796875" customWidth="1"/>
    <col min="16" max="16" width="17.81640625" customWidth="1"/>
    <col min="17" max="17" width="19" customWidth="1"/>
    <col min="18" max="18" width="15.453125" customWidth="1"/>
    <col min="19" max="19" width="19" customWidth="1"/>
    <col min="20" max="20" width="17.81640625" customWidth="1"/>
    <col min="21" max="21" width="18.1796875" customWidth="1"/>
    <col min="22" max="22" width="19.81640625" customWidth="1"/>
    <col min="23" max="23" width="17.453125" customWidth="1"/>
    <col min="24" max="24" width="14.81640625" customWidth="1"/>
    <col min="25" max="25" width="14.54296875" customWidth="1"/>
    <col min="26" max="26" width="13.81640625" customWidth="1"/>
  </cols>
  <sheetData>
    <row r="2" spans="1:23" ht="23.5" x14ac:dyDescent="0.55000000000000004">
      <c r="A2" s="100" t="s">
        <v>275</v>
      </c>
    </row>
    <row r="3" spans="1:23" s="15" customFormat="1" ht="101" customHeight="1" x14ac:dyDescent="0.35">
      <c r="A3" s="104" t="s">
        <v>276</v>
      </c>
      <c r="B3" s="104" t="s">
        <v>277</v>
      </c>
      <c r="C3" s="103" t="s">
        <v>278</v>
      </c>
      <c r="D3" s="103" t="s">
        <v>57</v>
      </c>
      <c r="E3" s="103" t="s">
        <v>279</v>
      </c>
      <c r="F3" s="103" t="s">
        <v>280</v>
      </c>
      <c r="G3" s="103" t="s">
        <v>281</v>
      </c>
      <c r="H3" s="103" t="s">
        <v>282</v>
      </c>
      <c r="I3" s="103" t="s">
        <v>283</v>
      </c>
      <c r="J3" s="103" t="s">
        <v>284</v>
      </c>
      <c r="K3" s="103" t="s">
        <v>285</v>
      </c>
      <c r="L3" s="103" t="s">
        <v>286</v>
      </c>
      <c r="M3" s="103" t="s">
        <v>287</v>
      </c>
      <c r="N3" s="103" t="s">
        <v>288</v>
      </c>
      <c r="O3" s="103" t="s">
        <v>289</v>
      </c>
      <c r="P3" s="103" t="s">
        <v>290</v>
      </c>
      <c r="Q3" s="103" t="s">
        <v>291</v>
      </c>
      <c r="R3" s="103" t="s">
        <v>292</v>
      </c>
      <c r="S3" s="103" t="s">
        <v>293</v>
      </c>
      <c r="T3" s="103" t="s">
        <v>294</v>
      </c>
      <c r="U3" s="103" t="s">
        <v>295</v>
      </c>
      <c r="V3" s="103" t="s">
        <v>296</v>
      </c>
      <c r="W3" s="103" t="s">
        <v>297</v>
      </c>
    </row>
    <row r="4" spans="1:23" x14ac:dyDescent="0.35">
      <c r="A4" s="6" t="s">
        <v>266</v>
      </c>
      <c r="B4" s="158" t="str">
        <f>Input!A39</f>
        <v>Virgin binder</v>
      </c>
      <c r="C4" s="154">
        <f>+Input!B39*(1-Input!E39)</f>
        <v>2.2159999999999999E-2</v>
      </c>
      <c r="D4" s="158" t="str">
        <f>Input!$C$39</f>
        <v>Conventional_Bitumen</v>
      </c>
      <c r="E4" s="158" cm="1">
        <f t="array" ref="E4">INDEX(LCI!H$2:H$137,MATCH('A1 - Raw Material Supply'!$B4&amp;'A1 - Raw Material Supply'!$D4,LCI!$B2:$B137&amp;LCI!$D2:$D137,0))*$C4</f>
        <v>3.8115199999999995E-2</v>
      </c>
      <c r="F4" s="158" cm="1">
        <f t="array" ref="F4">INDEX(LCI!I$2:I$137,MATCH('A1 - Raw Material Supply'!$B4&amp;'A1 - Raw Material Supply'!$D4,LCI!$B2:$B137&amp;LCI!$D2:$D137,0))*$C4</f>
        <v>11.7448</v>
      </c>
      <c r="G4" s="158" cm="1">
        <f t="array" ref="G4">INDEX(LCI!J$2:J$137,MATCH('A1 - Raw Material Supply'!$B4&amp;'A1 - Raw Material Supply'!$D4,LCI!$B2:$B137&amp;LCI!$D2:$D137,0))*$C4</f>
        <v>4.6536000000000001E-2</v>
      </c>
      <c r="H4" s="158" cm="1">
        <f t="array" ref="H4">INDEX(LCI!K$2:K$137,MATCH('A1 - Raw Material Supply'!$B4&amp;'A1 - Raw Material Supply'!$D4,LCI!$B2:$B137&amp;LCI!$D2:$D137,0))*$C4</f>
        <v>11.700479999999999</v>
      </c>
      <c r="I4" s="158" cm="1">
        <f t="array" ref="I4">INDEX(LCI!L$2:L$137,MATCH('A1 - Raw Material Supply'!$B4&amp;'A1 - Raw Material Supply'!$D4,LCI!$B2:$B137&amp;LCI!$D2:$D137,0))*$C4</f>
        <v>5.8723999999999998E-3</v>
      </c>
      <c r="J4" s="158" cm="1">
        <f t="array" ref="J4">INDEX(LCI!M$2:M$137,MATCH('A1 - Raw Material Supply'!$B4&amp;'A1 - Raw Material Supply'!$D4,LCI!$B2:$B137&amp;LCI!$D2:$D137,0))*$C4</f>
        <v>631.55999999999995</v>
      </c>
      <c r="K4" s="158" cm="1">
        <f t="array" ref="K4">INDEX(LCI!N$2:N$137,MATCH('A1 - Raw Material Supply'!$B4&amp;'A1 - Raw Material Supply'!$D4,LCI!$B2:$B137&amp;LCI!$D2:$D137,0))*$C4</f>
        <v>1014.928</v>
      </c>
      <c r="L4" s="158" cm="1">
        <f t="array" ref="L4">INDEX(LCI!O$2:O$137,MATCH('A1 - Raw Material Supply'!$B4&amp;'A1 - Raw Material Supply'!$D4,LCI!$B2:$B137&amp;LCI!$D2:$D137,0))*$C4</f>
        <v>9.8611999999999997E-6</v>
      </c>
      <c r="M4" s="158" cm="1">
        <f t="array" ref="M4">INDEX(LCI!P$2:P$137,MATCH('A1 - Raw Material Supply'!$B4&amp;'A1 - Raw Material Supply'!$D4,LCI!$B2:$B137&amp;LCI!$D2:$D137,0))*$C4</f>
        <v>9.8390400000000003E-3</v>
      </c>
      <c r="N4" s="158" cm="1">
        <f t="array" ref="N4">INDEX(LCI!Q$2:Q$137,MATCH('A1 - Raw Material Supply'!$B4&amp;'A1 - Raw Material Supply'!$D4,LCI!$B2:$B137&amp;LCI!$D2:$D137,0))*$C4</f>
        <v>0.1076976</v>
      </c>
      <c r="O4" s="158" cm="1">
        <f t="array" ref="O4">INDEX(LCI!R$2:R$137,MATCH('A1 - Raw Material Supply'!$B4&amp;'A1 - Raw Material Supply'!$D4,LCI!$B2:$B137&amp;LCI!$D2:$D137,0))*$C4</f>
        <v>1.099136E-8</v>
      </c>
      <c r="P4" s="158" cm="1">
        <f t="array" ref="P4">INDEX(LCI!S$2:S$137,MATCH('A1 - Raw Material Supply'!$B4&amp;'A1 - Raw Material Supply'!$D4,LCI!$B2:$B137&amp;LCI!$D2:$D137,0))*$C4</f>
        <v>3.1688799999999997E-7</v>
      </c>
      <c r="Q4" s="158" cm="1">
        <f t="array" ref="Q4">INDEX(LCI!T$2:T$137,MATCH('A1 - Raw Material Supply'!$B4&amp;'A1 - Raw Material Supply'!$D4,LCI!$B2:$B137&amp;LCI!$D2:$D137,0))*$C4</f>
        <v>0.16730799999999998</v>
      </c>
      <c r="R4" s="158" cm="1">
        <f t="array" ref="R4">INDEX(LCI!U$2:U$137,MATCH('A1 - Raw Material Supply'!$B4&amp;'A1 - Raw Material Supply'!$D4,LCI!$B2:$B137&amp;LCI!$D2:$D137,0))*$C4</f>
        <v>5.8280799999999999</v>
      </c>
      <c r="S4" s="158" cm="1">
        <f t="array" ref="S4">INDEX(LCI!V$2:V$137,MATCH('A1 - Raw Material Supply'!$B4&amp;'A1 - Raw Material Supply'!$D4,LCI!$B2:$B137&amp;LCI!$D2:$D137,0))*$C4</f>
        <v>2.2603199999999999E-6</v>
      </c>
      <c r="T4" s="158" cm="1">
        <f t="array" ref="T4">INDEX(LCI!W$2:W$137,MATCH('A1 - Raw Material Supply'!$B4&amp;'A1 - Raw Material Supply'!$D4,LCI!$B2:$B137&amp;LCI!$D2:$D137,0))*$C4</f>
        <v>7.3571199999999993E-12</v>
      </c>
      <c r="U4" s="158" cm="1">
        <f t="array" ref="U4">INDEX(LCI!X$2:X$137,MATCH('A1 - Raw Material Supply'!$B4&amp;'A1 - Raw Material Supply'!$D4,LCI!$B2:$B137&amp;LCI!$D2:$D137,0))*$C4</f>
        <v>5.9388800000000003E-7</v>
      </c>
      <c r="V4" s="158" cm="1">
        <f t="array" ref="V4">INDEX(LCI!Y$2:Y$137,MATCH('A1 - Raw Material Supply'!$B4&amp;'A1 - Raw Material Supply'!$D4,LCI!$B2:$B137&amp;LCI!$D2:$D137,0))*$C4</f>
        <v>4.4984799999999991E-2</v>
      </c>
      <c r="W4" s="158" cm="1">
        <f t="array" ref="W4">INDEX(LCI!Z$2:Z$137,MATCH('A1 - Raw Material Supply'!$B4&amp;'A1 - Raw Material Supply'!$D4,LCI!$B2:$B137&amp;LCI!$D2:$D137,0))*$C4</f>
        <v>0.15977359999999999</v>
      </c>
    </row>
    <row r="5" spans="1:23" x14ac:dyDescent="0.35">
      <c r="A5" s="395" t="s">
        <v>211</v>
      </c>
      <c r="B5" s="158" t="str">
        <f>Input!A40</f>
        <v>Virgin crushed coarse aggregate 1 (&gt;2 mm)</v>
      </c>
      <c r="C5" s="154">
        <f>+Input!B40*(1-Input!E40)</f>
        <v>5.0999999999999997E-2</v>
      </c>
      <c r="D5" s="158"/>
      <c r="E5" s="158">
        <f>INDEX(LCI!H$2:H$130,MATCH('A1 - Raw Material Supply'!$B5,LCI!$D$2:$D$130,0))*$C5</f>
        <v>2.7762888003827727E-3</v>
      </c>
      <c r="F5" s="158">
        <f>INDEX(LCI!I$2:I$130,MATCH('A1 - Raw Material Supply'!$B5,LCI!$D$2:$D$130,0))*$C5</f>
        <v>0.14427457329700158</v>
      </c>
      <c r="G5" s="158">
        <f>INDEX(LCI!J$2:J$130,MATCH('A1 - Raw Material Supply'!$B5,LCI!$D$2:$D$130,0))*$C5</f>
        <v>4.4470544623162093E-4</v>
      </c>
      <c r="H5" s="158">
        <f>INDEX(LCI!K$2:K$130,MATCH('A1 - Raw Material Supply'!$B5,LCI!$D$2:$D$130,0))*$C5</f>
        <v>0.1437824406807699</v>
      </c>
      <c r="I5" s="158">
        <f>INDEX(LCI!L$2:L$130,MATCH('A1 - Raw Material Supply'!$B5,LCI!$D$2:$D$130,0))*$C5</f>
        <v>4.7427170000057053E-5</v>
      </c>
      <c r="J5" s="158">
        <f>INDEX(LCI!M$2:M$130,MATCH('A1 - Raw Material Supply'!$B5,LCI!$D$2:$D$130,0))*$C5</f>
        <v>1.4255993497652113</v>
      </c>
      <c r="K5" s="158">
        <f>INDEX(LCI!N$2:N$130,MATCH('A1 - Raw Material Supply'!$B5,LCI!$D$2:$D$130,0))*$C5</f>
        <v>2.0443338859025153</v>
      </c>
      <c r="L5" s="158">
        <f>INDEX(LCI!O$2:O$130,MATCH('A1 - Raw Material Supply'!$B5,LCI!$D$2:$D$130,0))*$C5</f>
        <v>1.0660465212399542E-5</v>
      </c>
      <c r="M5" s="158">
        <f>INDEX(LCI!P$2:P$130,MATCH('A1 - Raw Material Supply'!$B5,LCI!$D$2:$D$130,0))*$C5</f>
        <v>9.972599357606375E-4</v>
      </c>
      <c r="N5" s="158">
        <f>INDEX(LCI!Q$2:Q$130,MATCH('A1 - Raw Material Supply'!$B5,LCI!$D$2:$D$130,0))*$C5</f>
        <v>1.390958618979826E-2</v>
      </c>
      <c r="O5" s="158">
        <f>INDEX(LCI!R$2:R$130,MATCH('A1 - Raw Material Supply'!$B5,LCI!$D$2:$D$130,0))*$C5</f>
        <v>2.6000581287052966E-11</v>
      </c>
      <c r="P5" s="158">
        <f>INDEX(LCI!S$2:S$130,MATCH('A1 - Raw Material Supply'!$B5,LCI!$D$2:$D$130,0))*$C5</f>
        <v>6.902076259265248E-10</v>
      </c>
      <c r="Q5" s="158">
        <f>INDEX(LCI!T$2:T$130,MATCH('A1 - Raw Material Supply'!$B5,LCI!$D$2:$D$130,0))*$C5</f>
        <v>5.4541080388755677E-3</v>
      </c>
      <c r="R5" s="158">
        <f>INDEX(LCI!U$2:U$130,MATCH('A1 - Raw Material Supply'!$B5,LCI!$D$2:$D$130,0))*$C5</f>
        <v>1.6814307822017627</v>
      </c>
      <c r="S5" s="158">
        <f>INDEX(LCI!V$2:V$130,MATCH('A1 - Raw Material Supply'!$B5,LCI!$D$2:$D$130,0))*$C5</f>
        <v>4.1816560518549485E-7</v>
      </c>
      <c r="T5" s="158">
        <f>INDEX(LCI!W$2:W$130,MATCH('A1 - Raw Material Supply'!$B5,LCI!$D$2:$D$130,0))*$C5</f>
        <v>2.3781486814152874E-9</v>
      </c>
      <c r="U5" s="158">
        <f>INDEX(LCI!X$2:X$130,MATCH('A1 - Raw Material Supply'!$B5,LCI!$D$2:$D$130,0))*$C5</f>
        <v>4.4963622028629042E-8</v>
      </c>
      <c r="V5" s="158">
        <f>INDEX(LCI!Y$2:Y$130,MATCH('A1 - Raw Material Supply'!$B5,LCI!$D$2:$D$130,0))*$C5</f>
        <v>3.1413938742966838E-3</v>
      </c>
      <c r="W5" s="158">
        <f>INDEX(LCI!Z$2:Z$130,MATCH('A1 - Raw Material Supply'!$B5,LCI!$D$2:$D$130,0))*$C5</f>
        <v>0.20530698370635614</v>
      </c>
    </row>
    <row r="6" spans="1:23" x14ac:dyDescent="0.35">
      <c r="A6" s="396"/>
      <c r="B6" s="158" t="str">
        <f>Input!A41</f>
        <v>Virgin crushed coarse aggregate 2 (&gt;2 mm)</v>
      </c>
      <c r="C6" s="154">
        <f>+Input!B41*(1-Input!E41)</f>
        <v>0.10199999999999999</v>
      </c>
      <c r="D6" s="158"/>
      <c r="E6" s="158">
        <f>INDEX(LCI!H$2:H$130,MATCH('A1 - Raw Material Supply'!$B6,LCI!$D$2:$D$130,0))*$C6</f>
        <v>5.5525776007655453E-3</v>
      </c>
      <c r="F6" s="158">
        <f>INDEX(LCI!I$2:I$130,MATCH('A1 - Raw Material Supply'!$B6,LCI!$D$2:$D$130,0))*$C6</f>
        <v>0.28854914659400316</v>
      </c>
      <c r="G6" s="158">
        <f>INDEX(LCI!J$2:J$130,MATCH('A1 - Raw Material Supply'!$B6,LCI!$D$2:$D$130,0))*$C6</f>
        <v>8.8941089246324186E-4</v>
      </c>
      <c r="H6" s="158">
        <f>INDEX(LCI!K$2:K$130,MATCH('A1 - Raw Material Supply'!$B6,LCI!$D$2:$D$130,0))*$C6</f>
        <v>0.28756488136153979</v>
      </c>
      <c r="I6" s="158">
        <f>INDEX(LCI!L$2:L$130,MATCH('A1 - Raw Material Supply'!$B6,LCI!$D$2:$D$130,0))*$C6</f>
        <v>9.4854340000114106E-5</v>
      </c>
      <c r="J6" s="158">
        <f>INDEX(LCI!M$2:M$130,MATCH('A1 - Raw Material Supply'!$B6,LCI!$D$2:$D$130,0))*$C6</f>
        <v>2.8511986995304226</v>
      </c>
      <c r="K6" s="158">
        <f>INDEX(LCI!N$2:N$130,MATCH('A1 - Raw Material Supply'!$B6,LCI!$D$2:$D$130,0))*$C6</f>
        <v>4.0886677718050306</v>
      </c>
      <c r="L6" s="158">
        <f>INDEX(LCI!O$2:O$130,MATCH('A1 - Raw Material Supply'!$B6,LCI!$D$2:$D$130,0))*$C6</f>
        <v>2.1320930424799085E-5</v>
      </c>
      <c r="M6" s="158">
        <f>INDEX(LCI!P$2:P$130,MATCH('A1 - Raw Material Supply'!$B6,LCI!$D$2:$D$130,0))*$C6</f>
        <v>1.994519871521275E-3</v>
      </c>
      <c r="N6" s="158">
        <f>INDEX(LCI!Q$2:Q$130,MATCH('A1 - Raw Material Supply'!$B6,LCI!$D$2:$D$130,0))*$C6</f>
        <v>2.7819172379596521E-2</v>
      </c>
      <c r="O6" s="158">
        <f>INDEX(LCI!R$2:R$130,MATCH('A1 - Raw Material Supply'!$B6,LCI!$D$2:$D$130,0))*$C6</f>
        <v>5.2001162574105932E-11</v>
      </c>
      <c r="P6" s="158">
        <f>INDEX(LCI!S$2:S$130,MATCH('A1 - Raw Material Supply'!$B6,LCI!$D$2:$D$130,0))*$C6</f>
        <v>1.3804152518530496E-9</v>
      </c>
      <c r="Q6" s="158">
        <f>INDEX(LCI!T$2:T$130,MATCH('A1 - Raw Material Supply'!$B6,LCI!$D$2:$D$130,0))*$C6</f>
        <v>1.0908216077751135E-2</v>
      </c>
      <c r="R6" s="158">
        <f>INDEX(LCI!U$2:U$130,MATCH('A1 - Raw Material Supply'!$B6,LCI!$D$2:$D$130,0))*$C6</f>
        <v>3.3628615644035253</v>
      </c>
      <c r="S6" s="158">
        <f>INDEX(LCI!V$2:V$130,MATCH('A1 - Raw Material Supply'!$B6,LCI!$D$2:$D$130,0))*$C6</f>
        <v>8.363312103709897E-7</v>
      </c>
      <c r="T6" s="158">
        <f>INDEX(LCI!W$2:W$130,MATCH('A1 - Raw Material Supply'!$B6,LCI!$D$2:$D$130,0))*$C6</f>
        <v>4.7562973628305749E-9</v>
      </c>
      <c r="U6" s="158">
        <f>INDEX(LCI!X$2:X$130,MATCH('A1 - Raw Material Supply'!$B6,LCI!$D$2:$D$130,0))*$C6</f>
        <v>8.9927244057258084E-8</v>
      </c>
      <c r="V6" s="158">
        <f>INDEX(LCI!Y$2:Y$130,MATCH('A1 - Raw Material Supply'!$B6,LCI!$D$2:$D$130,0))*$C6</f>
        <v>6.2827877485933676E-3</v>
      </c>
      <c r="W6" s="158">
        <f>INDEX(LCI!Z$2:Z$130,MATCH('A1 - Raw Material Supply'!$B6,LCI!$D$2:$D$130,0))*$C6</f>
        <v>0.41061396741271228</v>
      </c>
    </row>
    <row r="7" spans="1:23" x14ac:dyDescent="0.35">
      <c r="A7" s="396"/>
      <c r="B7" s="158" t="str">
        <f>Input!A42</f>
        <v>Virgin crushed coarse aggregate 3 (&gt;2 mm)</v>
      </c>
      <c r="C7" s="154">
        <f>+Input!B42*(1-Input!E42)</f>
        <v>0.35299999999999998</v>
      </c>
      <c r="D7" s="158"/>
      <c r="E7" s="158">
        <f>INDEX(LCI!H$2:H$130,MATCH('A1 - Raw Material Supply'!$B7,LCI!$D$2:$D$130,0))*$C7</f>
        <v>1.9216273461472918E-2</v>
      </c>
      <c r="F7" s="158">
        <f>INDEX(LCI!I$2:I$130,MATCH('A1 - Raw Material Supply'!$B7,LCI!$D$2:$D$130,0))*$C7</f>
        <v>0.99860636027140315</v>
      </c>
      <c r="G7" s="158">
        <f>INDEX(LCI!J$2:J$130,MATCH('A1 - Raw Material Supply'!$B7,LCI!$D$2:$D$130,0))*$C7</f>
        <v>3.0780592650933762E-3</v>
      </c>
      <c r="H7" s="158">
        <f>INDEX(LCI!K$2:K$130,MATCH('A1 - Raw Material Supply'!$B7,LCI!$D$2:$D$130,0))*$C7</f>
        <v>0.99520003059434847</v>
      </c>
      <c r="I7" s="158">
        <f>INDEX(LCI!L$2:L$130,MATCH('A1 - Raw Material Supply'!$B7,LCI!$D$2:$D$130,0))*$C7</f>
        <v>3.2827041196117923E-4</v>
      </c>
      <c r="J7" s="158">
        <f>INDEX(LCI!M$2:M$130,MATCH('A1 - Raw Material Supply'!$B7,LCI!$D$2:$D$130,0))*$C7</f>
        <v>9.8673837346494029</v>
      </c>
      <c r="K7" s="158">
        <f>INDEX(LCI!N$2:N$130,MATCH('A1 - Raw Material Supply'!$B7,LCI!$D$2:$D$130,0))*$C7</f>
        <v>14.149997288697804</v>
      </c>
      <c r="L7" s="158">
        <f>INDEX(LCI!O$2:O$130,MATCH('A1 - Raw Material Supply'!$B7,LCI!$D$2:$D$130,0))*$C7</f>
        <v>7.3787141568177228E-5</v>
      </c>
      <c r="M7" s="158">
        <f>INDEX(LCI!P$2:P$130,MATCH('A1 - Raw Material Supply'!$B7,LCI!$D$2:$D$130,0))*$C7</f>
        <v>6.9026030847746086E-3</v>
      </c>
      <c r="N7" s="158">
        <f>INDEX(LCI!Q$2:Q$130,MATCH('A1 - Raw Material Supply'!$B7,LCI!$D$2:$D$130,0))*$C7</f>
        <v>9.6276155392133064E-2</v>
      </c>
      <c r="O7" s="158">
        <f>INDEX(LCI!R$2:R$130,MATCH('A1 - Raw Material Supply'!$B7,LCI!$D$2:$D$130,0))*$C7</f>
        <v>1.7996480773195484E-10</v>
      </c>
      <c r="P7" s="158">
        <f>INDEX(LCI!S$2:S$130,MATCH('A1 - Raw Material Supply'!$B7,LCI!$D$2:$D$130,0))*$C7</f>
        <v>4.7773194500404562E-9</v>
      </c>
      <c r="Q7" s="158">
        <f>INDEX(LCI!T$2:T$130,MATCH('A1 - Raw Material Supply'!$B7,LCI!$D$2:$D$130,0))*$C7</f>
        <v>3.7750983092609318E-2</v>
      </c>
      <c r="R7" s="158">
        <f>INDEX(LCI!U$2:U$130,MATCH('A1 - Raw Material Supply'!$B7,LCI!$D$2:$D$130,0))*$C7</f>
        <v>11.638138551318084</v>
      </c>
      <c r="S7" s="158">
        <f>INDEX(LCI!V$2:V$130,MATCH('A1 - Raw Material Supply'!$B7,LCI!$D$2:$D$130,0))*$C7</f>
        <v>2.8943619339309744E-6</v>
      </c>
      <c r="T7" s="158">
        <f>INDEX(LCI!W$2:W$130,MATCH('A1 - Raw Material Supply'!$B7,LCI!$D$2:$D$130,0))*$C7</f>
        <v>1.6460519304697971E-8</v>
      </c>
      <c r="U7" s="158">
        <f>INDEX(LCI!X$2:X$130,MATCH('A1 - Raw Material Supply'!$B7,LCI!$D$2:$D$130,0))*$C7</f>
        <v>3.1121879560992262E-7</v>
      </c>
      <c r="V7" s="158">
        <f>INDEX(LCI!Y$2:Y$130,MATCH('A1 - Raw Material Supply'!$B7,LCI!$D$2:$D$130,0))*$C7</f>
        <v>2.1743373286798616E-2</v>
      </c>
      <c r="W7" s="158">
        <f>INDEX(LCI!Z$2:Z$130,MATCH('A1 - Raw Material Supply'!$B7,LCI!$D$2:$D$130,0))*$C7</f>
        <v>1.4210463774185043</v>
      </c>
    </row>
    <row r="8" spans="1:23" x14ac:dyDescent="0.35">
      <c r="A8" s="396"/>
      <c r="B8" s="158" t="str">
        <f>Input!A43</f>
        <v>Virgin crushed fine aggregate 1 (≤2 mm)</v>
      </c>
      <c r="C8" s="154">
        <f>+Input!B43*(1-Input!E43)</f>
        <v>0</v>
      </c>
      <c r="D8" s="158"/>
      <c r="E8" s="158">
        <f>INDEX(LCI!H$2:H$130,MATCH('A1 - Raw Material Supply'!$B8,LCI!$D$2:$D$130,0))*$C8</f>
        <v>0</v>
      </c>
      <c r="F8" s="158">
        <f>INDEX(LCI!I$2:I$130,MATCH('A1 - Raw Material Supply'!$B8,LCI!$D$2:$D$130,0))*$C8</f>
        <v>0</v>
      </c>
      <c r="G8" s="158">
        <f>INDEX(LCI!J$2:J$130,MATCH('A1 - Raw Material Supply'!$B8,LCI!$D$2:$D$130,0))*$C8</f>
        <v>0</v>
      </c>
      <c r="H8" s="158">
        <f>INDEX(LCI!K$2:K$130,MATCH('A1 - Raw Material Supply'!$B8,LCI!$D$2:$D$130,0))*$C8</f>
        <v>0</v>
      </c>
      <c r="I8" s="158">
        <f>INDEX(LCI!L$2:L$130,MATCH('A1 - Raw Material Supply'!$B8,LCI!$D$2:$D$130,0))*$C8</f>
        <v>0</v>
      </c>
      <c r="J8" s="158">
        <f>INDEX(LCI!M$2:M$130,MATCH('A1 - Raw Material Supply'!$B8,LCI!$D$2:$D$130,0))*$C8</f>
        <v>0</v>
      </c>
      <c r="K8" s="158">
        <f>INDEX(LCI!N$2:N$130,MATCH('A1 - Raw Material Supply'!$B8,LCI!$D$2:$D$130,0))*$C8</f>
        <v>0</v>
      </c>
      <c r="L8" s="158">
        <f>INDEX(LCI!O$2:O$130,MATCH('A1 - Raw Material Supply'!$B8,LCI!$D$2:$D$130,0))*$C8</f>
        <v>0</v>
      </c>
      <c r="M8" s="158">
        <f>INDEX(LCI!P$2:P$130,MATCH('A1 - Raw Material Supply'!$B8,LCI!$D$2:$D$130,0))*$C8</f>
        <v>0</v>
      </c>
      <c r="N8" s="158">
        <f>INDEX(LCI!Q$2:Q$130,MATCH('A1 - Raw Material Supply'!$B8,LCI!$D$2:$D$130,0))*$C8</f>
        <v>0</v>
      </c>
      <c r="O8" s="158">
        <f>INDEX(LCI!R$2:R$130,MATCH('A1 - Raw Material Supply'!$B8,LCI!$D$2:$D$130,0))*$C8</f>
        <v>0</v>
      </c>
      <c r="P8" s="158">
        <f>INDEX(LCI!S$2:S$130,MATCH('A1 - Raw Material Supply'!$B8,LCI!$D$2:$D$130,0))*$C8</f>
        <v>0</v>
      </c>
      <c r="Q8" s="158">
        <f>INDEX(LCI!T$2:T$130,MATCH('A1 - Raw Material Supply'!$B8,LCI!$D$2:$D$130,0))*$C8</f>
        <v>0</v>
      </c>
      <c r="R8" s="158">
        <f>INDEX(LCI!U$2:U$130,MATCH('A1 - Raw Material Supply'!$B8,LCI!$D$2:$D$130,0))*$C8</f>
        <v>0</v>
      </c>
      <c r="S8" s="158">
        <f>INDEX(LCI!V$2:V$130,MATCH('A1 - Raw Material Supply'!$B8,LCI!$D$2:$D$130,0))*$C8</f>
        <v>0</v>
      </c>
      <c r="T8" s="158">
        <f>INDEX(LCI!W$2:W$130,MATCH('A1 - Raw Material Supply'!$B8,LCI!$D$2:$D$130,0))*$C8</f>
        <v>0</v>
      </c>
      <c r="U8" s="158">
        <f>INDEX(LCI!X$2:X$130,MATCH('A1 - Raw Material Supply'!$B8,LCI!$D$2:$D$130,0))*$C8</f>
        <v>0</v>
      </c>
      <c r="V8" s="158">
        <f>INDEX(LCI!Y$2:Y$130,MATCH('A1 - Raw Material Supply'!$B8,LCI!$D$2:$D$130,0))*$C8</f>
        <v>0</v>
      </c>
      <c r="W8" s="158">
        <f>INDEX(LCI!Z$2:Z$130,MATCH('A1 - Raw Material Supply'!$B8,LCI!$D$2:$D$130,0))*$C8</f>
        <v>0</v>
      </c>
    </row>
    <row r="9" spans="1:23" x14ac:dyDescent="0.35">
      <c r="A9" s="396"/>
      <c r="B9" s="158" t="str">
        <f>Input!A44</f>
        <v>Virgin crushed fine aggregate 2 (≤2 mm)</v>
      </c>
      <c r="C9" s="154">
        <f>+Input!B44*(1-Input!E44)</f>
        <v>0</v>
      </c>
      <c r="D9" s="158"/>
      <c r="E9" s="158">
        <f>INDEX(LCI!H$2:H$130,MATCH('A1 - Raw Material Supply'!$B9,LCI!$D$2:$D$130,0))*$C9</f>
        <v>0</v>
      </c>
      <c r="F9" s="158">
        <f>INDEX(LCI!I$2:I$130,MATCH('A1 - Raw Material Supply'!$B9,LCI!$D$2:$D$130,0))*$C9</f>
        <v>0</v>
      </c>
      <c r="G9" s="158">
        <f>INDEX(LCI!J$2:J$130,MATCH('A1 - Raw Material Supply'!$B9,LCI!$D$2:$D$130,0))*$C9</f>
        <v>0</v>
      </c>
      <c r="H9" s="158">
        <f>INDEX(LCI!K$2:K$130,MATCH('A1 - Raw Material Supply'!$B9,LCI!$D$2:$D$130,0))*$C9</f>
        <v>0</v>
      </c>
      <c r="I9" s="158">
        <f>INDEX(LCI!L$2:L$130,MATCH('A1 - Raw Material Supply'!$B9,LCI!$D$2:$D$130,0))*$C9</f>
        <v>0</v>
      </c>
      <c r="J9" s="158">
        <f>INDEX(LCI!M$2:M$130,MATCH('A1 - Raw Material Supply'!$B9,LCI!$D$2:$D$130,0))*$C9</f>
        <v>0</v>
      </c>
      <c r="K9" s="158">
        <f>INDEX(LCI!N$2:N$130,MATCH('A1 - Raw Material Supply'!$B9,LCI!$D$2:$D$130,0))*$C9</f>
        <v>0</v>
      </c>
      <c r="L9" s="158">
        <f>INDEX(LCI!O$2:O$130,MATCH('A1 - Raw Material Supply'!$B9,LCI!$D$2:$D$130,0))*$C9</f>
        <v>0</v>
      </c>
      <c r="M9" s="158">
        <f>INDEX(LCI!P$2:P$130,MATCH('A1 - Raw Material Supply'!$B9,LCI!$D$2:$D$130,0))*$C9</f>
        <v>0</v>
      </c>
      <c r="N9" s="158">
        <f>INDEX(LCI!Q$2:Q$130,MATCH('A1 - Raw Material Supply'!$B9,LCI!$D$2:$D$130,0))*$C9</f>
        <v>0</v>
      </c>
      <c r="O9" s="158">
        <f>INDEX(LCI!R$2:R$130,MATCH('A1 - Raw Material Supply'!$B9,LCI!$D$2:$D$130,0))*$C9</f>
        <v>0</v>
      </c>
      <c r="P9" s="158">
        <f>INDEX(LCI!S$2:S$130,MATCH('A1 - Raw Material Supply'!$B9,LCI!$D$2:$D$130,0))*$C9</f>
        <v>0</v>
      </c>
      <c r="Q9" s="158">
        <f>INDEX(LCI!T$2:T$130,MATCH('A1 - Raw Material Supply'!$B9,LCI!$D$2:$D$130,0))*$C9</f>
        <v>0</v>
      </c>
      <c r="R9" s="158">
        <f>INDEX(LCI!U$2:U$130,MATCH('A1 - Raw Material Supply'!$B9,LCI!$D$2:$D$130,0))*$C9</f>
        <v>0</v>
      </c>
      <c r="S9" s="158">
        <f>INDEX(LCI!V$2:V$130,MATCH('A1 - Raw Material Supply'!$B9,LCI!$D$2:$D$130,0))*$C9</f>
        <v>0</v>
      </c>
      <c r="T9" s="158">
        <f>INDEX(LCI!W$2:W$130,MATCH('A1 - Raw Material Supply'!$B9,LCI!$D$2:$D$130,0))*$C9</f>
        <v>0</v>
      </c>
      <c r="U9" s="158">
        <f>INDEX(LCI!X$2:X$130,MATCH('A1 - Raw Material Supply'!$B9,LCI!$D$2:$D$130,0))*$C9</f>
        <v>0</v>
      </c>
      <c r="V9" s="158">
        <f>INDEX(LCI!Y$2:Y$130,MATCH('A1 - Raw Material Supply'!$B9,LCI!$D$2:$D$130,0))*$C9</f>
        <v>0</v>
      </c>
      <c r="W9" s="158">
        <f>INDEX(LCI!Z$2:Z$130,MATCH('A1 - Raw Material Supply'!$B9,LCI!$D$2:$D$130,0))*$C9</f>
        <v>0</v>
      </c>
    </row>
    <row r="10" spans="1:23" x14ac:dyDescent="0.35">
      <c r="A10" s="396"/>
      <c r="B10" s="158" t="str">
        <f>Input!A45</f>
        <v>Virgin crushed fine aggregate 3 (≤2 mm)</v>
      </c>
      <c r="C10" s="154">
        <f>+Input!B45*(1-Input!E45)</f>
        <v>0</v>
      </c>
      <c r="D10" s="158"/>
      <c r="E10" s="158">
        <f>INDEX(LCI!H$2:H$130,MATCH('A1 - Raw Material Supply'!$B10,LCI!$D$2:$D$130,0))*$C10</f>
        <v>0</v>
      </c>
      <c r="F10" s="158">
        <f>INDEX(LCI!I$2:I$130,MATCH('A1 - Raw Material Supply'!$B10,LCI!$D$2:$D$130,0))*$C10</f>
        <v>0</v>
      </c>
      <c r="G10" s="158">
        <f>INDEX(LCI!J$2:J$130,MATCH('A1 - Raw Material Supply'!$B10,LCI!$D$2:$D$130,0))*$C10</f>
        <v>0</v>
      </c>
      <c r="H10" s="158">
        <f>INDEX(LCI!K$2:K$130,MATCH('A1 - Raw Material Supply'!$B10,LCI!$D$2:$D$130,0))*$C10</f>
        <v>0</v>
      </c>
      <c r="I10" s="158">
        <f>INDEX(LCI!L$2:L$130,MATCH('A1 - Raw Material Supply'!$B10,LCI!$D$2:$D$130,0))*$C10</f>
        <v>0</v>
      </c>
      <c r="J10" s="158">
        <f>INDEX(LCI!M$2:M$130,MATCH('A1 - Raw Material Supply'!$B10,LCI!$D$2:$D$130,0))*$C10</f>
        <v>0</v>
      </c>
      <c r="K10" s="158">
        <f>INDEX(LCI!N$2:N$130,MATCH('A1 - Raw Material Supply'!$B10,LCI!$D$2:$D$130,0))*$C10</f>
        <v>0</v>
      </c>
      <c r="L10" s="158">
        <f>INDEX(LCI!O$2:O$130,MATCH('A1 - Raw Material Supply'!$B10,LCI!$D$2:$D$130,0))*$C10</f>
        <v>0</v>
      </c>
      <c r="M10" s="158">
        <f>INDEX(LCI!P$2:P$130,MATCH('A1 - Raw Material Supply'!$B10,LCI!$D$2:$D$130,0))*$C10</f>
        <v>0</v>
      </c>
      <c r="N10" s="158">
        <f>INDEX(LCI!Q$2:Q$130,MATCH('A1 - Raw Material Supply'!$B10,LCI!$D$2:$D$130,0))*$C10</f>
        <v>0</v>
      </c>
      <c r="O10" s="158">
        <f>INDEX(LCI!R$2:R$130,MATCH('A1 - Raw Material Supply'!$B10,LCI!$D$2:$D$130,0))*$C10</f>
        <v>0</v>
      </c>
      <c r="P10" s="158">
        <f>INDEX(LCI!S$2:S$130,MATCH('A1 - Raw Material Supply'!$B10,LCI!$D$2:$D$130,0))*$C10</f>
        <v>0</v>
      </c>
      <c r="Q10" s="158">
        <f>INDEX(LCI!T$2:T$130,MATCH('A1 - Raw Material Supply'!$B10,LCI!$D$2:$D$130,0))*$C10</f>
        <v>0</v>
      </c>
      <c r="R10" s="158">
        <f>INDEX(LCI!U$2:U$130,MATCH('A1 - Raw Material Supply'!$B10,LCI!$D$2:$D$130,0))*$C10</f>
        <v>0</v>
      </c>
      <c r="S10" s="158">
        <f>INDEX(LCI!V$2:V$130,MATCH('A1 - Raw Material Supply'!$B10,LCI!$D$2:$D$130,0))*$C10</f>
        <v>0</v>
      </c>
      <c r="T10" s="158">
        <f>INDEX(LCI!W$2:W$130,MATCH('A1 - Raw Material Supply'!$B10,LCI!$D$2:$D$130,0))*$C10</f>
        <v>0</v>
      </c>
      <c r="U10" s="158">
        <f>INDEX(LCI!X$2:X$130,MATCH('A1 - Raw Material Supply'!$B10,LCI!$D$2:$D$130,0))*$C10</f>
        <v>0</v>
      </c>
      <c r="V10" s="158">
        <f>INDEX(LCI!Y$2:Y$130,MATCH('A1 - Raw Material Supply'!$B10,LCI!$D$2:$D$130,0))*$C10</f>
        <v>0</v>
      </c>
      <c r="W10" s="158">
        <f>INDEX(LCI!Z$2:Z$130,MATCH('A1 - Raw Material Supply'!$B10,LCI!$D$2:$D$130,0))*$C10</f>
        <v>0</v>
      </c>
    </row>
    <row r="11" spans="1:23" x14ac:dyDescent="0.35">
      <c r="A11" s="396"/>
      <c r="B11" s="158" t="str">
        <f>Input!A46</f>
        <v>Virgin natural fine aggregate 1 (≤2 mm)</v>
      </c>
      <c r="C11" s="154">
        <f>+Input!B46*(1-Input!E46)</f>
        <v>0.153</v>
      </c>
      <c r="D11" s="158"/>
      <c r="E11" s="158">
        <f>INDEX(LCI!H$2:H$130,MATCH('A1 - Raw Material Supply'!$B11,LCI!$D$2:$D$130,0))*$C11</f>
        <v>7.0343064141551023E-3</v>
      </c>
      <c r="F11" s="158">
        <f>INDEX(LCI!I$2:I$130,MATCH('A1 - Raw Material Supply'!$B11,LCI!$D$2:$D$130,0))*$C11</f>
        <v>0.79787171992965111</v>
      </c>
      <c r="G11" s="158">
        <f>INDEX(LCI!J$2:J$130,MATCH('A1 - Raw Material Supply'!$B11,LCI!$D$2:$D$130,0))*$C11</f>
        <v>-1.9195362653428194E-4</v>
      </c>
      <c r="H11" s="158">
        <f>INDEX(LCI!K$2:K$130,MATCH('A1 - Raw Material Supply'!$B11,LCI!$D$2:$D$130,0))*$C11</f>
        <v>0.79795387547915309</v>
      </c>
      <c r="I11" s="158">
        <f>INDEX(LCI!L$2:L$130,MATCH('A1 - Raw Material Supply'!$B11,LCI!$D$2:$D$130,0))*$C11</f>
        <v>1.0979807703255282E-4</v>
      </c>
      <c r="J11" s="158">
        <f>INDEX(LCI!M$2:M$130,MATCH('A1 - Raw Material Supply'!$B11,LCI!$D$2:$D$130,0))*$C11</f>
        <v>0.68141437889121736</v>
      </c>
      <c r="K11" s="158">
        <f>INDEX(LCI!N$2:N$130,MATCH('A1 - Raw Material Supply'!$B11,LCI!$D$2:$D$130,0))*$C11</f>
        <v>10.370944919540303</v>
      </c>
      <c r="L11" s="158">
        <f>INDEX(LCI!O$2:O$130,MATCH('A1 - Raw Material Supply'!$B11,LCI!$D$2:$D$130,0))*$C11</f>
        <v>3.5986534448919457E-5</v>
      </c>
      <c r="M11" s="158">
        <f>INDEX(LCI!P$2:P$130,MATCH('A1 - Raw Material Supply'!$B11,LCI!$D$2:$D$130,0))*$C11</f>
        <v>3.2281769672834067E-3</v>
      </c>
      <c r="N11" s="158">
        <f>INDEX(LCI!Q$2:Q$130,MATCH('A1 - Raw Material Supply'!$B11,LCI!$D$2:$D$130,0))*$C11</f>
        <v>3.5455015593932562E-2</v>
      </c>
      <c r="O11" s="158">
        <f>INDEX(LCI!R$2:R$130,MATCH('A1 - Raw Material Supply'!$B11,LCI!$D$2:$D$130,0))*$C11</f>
        <v>9.3860734157275078E-11</v>
      </c>
      <c r="P11" s="158">
        <f>INDEX(LCI!S$2:S$130,MATCH('A1 - Raw Material Supply'!$B11,LCI!$D$2:$D$130,0))*$C11</f>
        <v>1.5129116376803103E-9</v>
      </c>
      <c r="Q11" s="158">
        <f>INDEX(LCI!T$2:T$130,MATCH('A1 - Raw Material Supply'!$B11,LCI!$D$2:$D$130,0))*$C11</f>
        <v>6.8171824219277885E-3</v>
      </c>
      <c r="R11" s="158">
        <f>INDEX(LCI!U$2:U$130,MATCH('A1 - Raw Material Supply'!$B11,LCI!$D$2:$D$130,0))*$C11</f>
        <v>374.18983912961073</v>
      </c>
      <c r="S11" s="158">
        <f>INDEX(LCI!V$2:V$130,MATCH('A1 - Raw Material Supply'!$B11,LCI!$D$2:$D$130,0))*$C11</f>
        <v>5.1185430018615164E-7</v>
      </c>
      <c r="T11" s="158">
        <f>INDEX(LCI!W$2:W$130,MATCH('A1 - Raw Material Supply'!$B11,LCI!$D$2:$D$130,0))*$C11</f>
        <v>1.1640990651020557E-8</v>
      </c>
      <c r="U11" s="158">
        <f>INDEX(LCI!X$2:X$130,MATCH('A1 - Raw Material Supply'!$B11,LCI!$D$2:$D$130,0))*$C11</f>
        <v>1.9867763072504735E-7</v>
      </c>
      <c r="V11" s="158">
        <f>INDEX(LCI!Y$2:Y$130,MATCH('A1 - Raw Material Supply'!$B11,LCI!$D$2:$D$130,0))*$C11</f>
        <v>1.057789267704755E-2</v>
      </c>
      <c r="W11" s="158">
        <f>INDEX(LCI!Z$2:Z$130,MATCH('A1 - Raw Material Supply'!$B11,LCI!$D$2:$D$130,0))*$C11</f>
        <v>1.0207570682362821</v>
      </c>
    </row>
    <row r="12" spans="1:23" x14ac:dyDescent="0.35">
      <c r="A12" s="396"/>
      <c r="B12" s="158" t="str">
        <f>Input!A47</f>
        <v>Virgin natural fine aggregate 2 (≤2 mm)</v>
      </c>
      <c r="C12" s="154">
        <f>+Input!B47*(1-Input!E47)</f>
        <v>0</v>
      </c>
      <c r="D12" s="158"/>
      <c r="E12" s="158">
        <f>INDEX(LCI!H$2:H$130,MATCH('A1 - Raw Material Supply'!$B12,LCI!$D$2:$D$130,0))*$C12</f>
        <v>0</v>
      </c>
      <c r="F12" s="158">
        <f>INDEX(LCI!I$2:I$130,MATCH('A1 - Raw Material Supply'!$B12,LCI!$D$2:$D$130,0))*$C12</f>
        <v>0</v>
      </c>
      <c r="G12" s="158">
        <f>INDEX(LCI!J$2:J$130,MATCH('A1 - Raw Material Supply'!$B12,LCI!$D$2:$D$130,0))*$C12</f>
        <v>0</v>
      </c>
      <c r="H12" s="158">
        <f>INDEX(LCI!K$2:K$130,MATCH('A1 - Raw Material Supply'!$B12,LCI!$D$2:$D$130,0))*$C12</f>
        <v>0</v>
      </c>
      <c r="I12" s="158">
        <f>INDEX(LCI!L$2:L$130,MATCH('A1 - Raw Material Supply'!$B12,LCI!$D$2:$D$130,0))*$C12</f>
        <v>0</v>
      </c>
      <c r="J12" s="158">
        <f>INDEX(LCI!M$2:M$130,MATCH('A1 - Raw Material Supply'!$B12,LCI!$D$2:$D$130,0))*$C12</f>
        <v>0</v>
      </c>
      <c r="K12" s="158">
        <f>INDEX(LCI!N$2:N$130,MATCH('A1 - Raw Material Supply'!$B12,LCI!$D$2:$D$130,0))*$C12</f>
        <v>0</v>
      </c>
      <c r="L12" s="158">
        <f>INDEX(LCI!O$2:O$130,MATCH('A1 - Raw Material Supply'!$B12,LCI!$D$2:$D$130,0))*$C12</f>
        <v>0</v>
      </c>
      <c r="M12" s="158">
        <f>INDEX(LCI!P$2:P$130,MATCH('A1 - Raw Material Supply'!$B12,LCI!$D$2:$D$130,0))*$C12</f>
        <v>0</v>
      </c>
      <c r="N12" s="158">
        <f>INDEX(LCI!Q$2:Q$130,MATCH('A1 - Raw Material Supply'!$B12,LCI!$D$2:$D$130,0))*$C12</f>
        <v>0</v>
      </c>
      <c r="O12" s="158">
        <f>INDEX(LCI!R$2:R$130,MATCH('A1 - Raw Material Supply'!$B12,LCI!$D$2:$D$130,0))*$C12</f>
        <v>0</v>
      </c>
      <c r="P12" s="158">
        <f>INDEX(LCI!S$2:S$130,MATCH('A1 - Raw Material Supply'!$B12,LCI!$D$2:$D$130,0))*$C12</f>
        <v>0</v>
      </c>
      <c r="Q12" s="158">
        <f>INDEX(LCI!T$2:T$130,MATCH('A1 - Raw Material Supply'!$B12,LCI!$D$2:$D$130,0))*$C12</f>
        <v>0</v>
      </c>
      <c r="R12" s="158">
        <f>INDEX(LCI!U$2:U$130,MATCH('A1 - Raw Material Supply'!$B12,LCI!$D$2:$D$130,0))*$C12</f>
        <v>0</v>
      </c>
      <c r="S12" s="158">
        <f>INDEX(LCI!V$2:V$130,MATCH('A1 - Raw Material Supply'!$B12,LCI!$D$2:$D$130,0))*$C12</f>
        <v>0</v>
      </c>
      <c r="T12" s="158">
        <f>INDEX(LCI!W$2:W$130,MATCH('A1 - Raw Material Supply'!$B12,LCI!$D$2:$D$130,0))*$C12</f>
        <v>0</v>
      </c>
      <c r="U12" s="158">
        <f>INDEX(LCI!X$2:X$130,MATCH('A1 - Raw Material Supply'!$B12,LCI!$D$2:$D$130,0))*$C12</f>
        <v>0</v>
      </c>
      <c r="V12" s="158">
        <f>INDEX(LCI!Y$2:Y$130,MATCH('A1 - Raw Material Supply'!$B12,LCI!$D$2:$D$130,0))*$C12</f>
        <v>0</v>
      </c>
      <c r="W12" s="158">
        <f>INDEX(LCI!Z$2:Z$130,MATCH('A1 - Raw Material Supply'!$B12,LCI!$D$2:$D$130,0))*$C12</f>
        <v>0</v>
      </c>
    </row>
    <row r="13" spans="1:23" x14ac:dyDescent="0.35">
      <c r="A13" s="397"/>
      <c r="B13" s="158" t="str">
        <f>Input!A48</f>
        <v>Virgin natural fine aggregate 3 (≤2 mm)</v>
      </c>
      <c r="C13" s="154">
        <f>+Input!B48*(1-Input!E48)</f>
        <v>0</v>
      </c>
      <c r="D13" s="158"/>
      <c r="E13" s="158">
        <f>INDEX(LCI!H$2:H$130,MATCH('A1 - Raw Material Supply'!$B13,LCI!$D$2:$D$130,0))*$C13</f>
        <v>0</v>
      </c>
      <c r="F13" s="158">
        <f>INDEX(LCI!I$2:I$130,MATCH('A1 - Raw Material Supply'!$B13,LCI!$D$2:$D$130,0))*$C13</f>
        <v>0</v>
      </c>
      <c r="G13" s="158">
        <f>INDEX(LCI!J$2:J$130,MATCH('A1 - Raw Material Supply'!$B13,LCI!$D$2:$D$130,0))*$C13</f>
        <v>0</v>
      </c>
      <c r="H13" s="158">
        <f>INDEX(LCI!K$2:K$130,MATCH('A1 - Raw Material Supply'!$B13,LCI!$D$2:$D$130,0))*$C13</f>
        <v>0</v>
      </c>
      <c r="I13" s="158">
        <f>INDEX(LCI!L$2:L$130,MATCH('A1 - Raw Material Supply'!$B13,LCI!$D$2:$D$130,0))*$C13</f>
        <v>0</v>
      </c>
      <c r="J13" s="158">
        <f>INDEX(LCI!M$2:M$130,MATCH('A1 - Raw Material Supply'!$B13,LCI!$D$2:$D$130,0))*$C13</f>
        <v>0</v>
      </c>
      <c r="K13" s="158">
        <f>INDEX(LCI!N$2:N$130,MATCH('A1 - Raw Material Supply'!$B13,LCI!$D$2:$D$130,0))*$C13</f>
        <v>0</v>
      </c>
      <c r="L13" s="158">
        <f>INDEX(LCI!O$2:O$130,MATCH('A1 - Raw Material Supply'!$B13,LCI!$D$2:$D$130,0))*$C13</f>
        <v>0</v>
      </c>
      <c r="M13" s="158">
        <f>INDEX(LCI!P$2:P$130,MATCH('A1 - Raw Material Supply'!$B13,LCI!$D$2:$D$130,0))*$C13</f>
        <v>0</v>
      </c>
      <c r="N13" s="158">
        <f>INDEX(LCI!Q$2:Q$130,MATCH('A1 - Raw Material Supply'!$B13,LCI!$D$2:$D$130,0))*$C13</f>
        <v>0</v>
      </c>
      <c r="O13" s="158">
        <f>INDEX(LCI!R$2:R$130,MATCH('A1 - Raw Material Supply'!$B13,LCI!$D$2:$D$130,0))*$C13</f>
        <v>0</v>
      </c>
      <c r="P13" s="158">
        <f>INDEX(LCI!S$2:S$130,MATCH('A1 - Raw Material Supply'!$B13,LCI!$D$2:$D$130,0))*$C13</f>
        <v>0</v>
      </c>
      <c r="Q13" s="158">
        <f>INDEX(LCI!T$2:T$130,MATCH('A1 - Raw Material Supply'!$B13,LCI!$D$2:$D$130,0))*$C13</f>
        <v>0</v>
      </c>
      <c r="R13" s="158">
        <f>INDEX(LCI!U$2:U$130,MATCH('A1 - Raw Material Supply'!$B13,LCI!$D$2:$D$130,0))*$C13</f>
        <v>0</v>
      </c>
      <c r="S13" s="158">
        <f>INDEX(LCI!V$2:V$130,MATCH('A1 - Raw Material Supply'!$B13,LCI!$D$2:$D$130,0))*$C13</f>
        <v>0</v>
      </c>
      <c r="T13" s="158">
        <f>INDEX(LCI!W$2:W$130,MATCH('A1 - Raw Material Supply'!$B13,LCI!$D$2:$D$130,0))*$C13</f>
        <v>0</v>
      </c>
      <c r="U13" s="158">
        <f>INDEX(LCI!X$2:X$130,MATCH('A1 - Raw Material Supply'!$B13,LCI!$D$2:$D$130,0))*$C13</f>
        <v>0</v>
      </c>
      <c r="V13" s="158">
        <f>INDEX(LCI!Y$2:Y$130,MATCH('A1 - Raw Material Supply'!$B13,LCI!$D$2:$D$130,0))*$C13</f>
        <v>0</v>
      </c>
      <c r="W13" s="158">
        <f>INDEX(LCI!Z$2:Z$130,MATCH('A1 - Raw Material Supply'!$B13,LCI!$D$2:$D$130,0))*$C13</f>
        <v>0</v>
      </c>
    </row>
    <row r="14" spans="1:23" ht="14" customHeight="1" x14ac:dyDescent="0.35">
      <c r="A14" s="398" t="s">
        <v>212</v>
      </c>
      <c r="B14" s="158" t="str">
        <f>Input!A49</f>
        <v>Filler 1</v>
      </c>
      <c r="C14" s="154">
        <f>+Input!B49*(1-Input!E49)</f>
        <v>5.4999999999999997E-3</v>
      </c>
      <c r="D14" s="158" t="str">
        <f>Input!$C$49</f>
        <v>Limestone_residue</v>
      </c>
      <c r="E14" s="158" cm="1">
        <f t="array" ref="E14">INDEX(LCI!H$2:H$130,MATCH('A1 - Raw Material Supply'!$B$14&amp;'A1 - Raw Material Supply'!$D$14,LCI!$B$2:$B$130&amp;LCI!$D$2:$D$130,0))*$C14</f>
        <v>9.3081697010435698E-4</v>
      </c>
      <c r="F14" s="158" cm="1">
        <f t="array" ref="F14">INDEX(LCI!I$2:I$130,MATCH('A1 - Raw Material Supply'!$B$14&amp;'A1 - Raw Material Supply'!$D$14,LCI!$B$2:$B$130&amp;LCI!$D$2:$D$130,0))*$C14</f>
        <v>0.12166438176342087</v>
      </c>
      <c r="G14" s="158" cm="1">
        <f t="array" ref="G14">INDEX(LCI!J$2:J$130,MATCH('A1 - Raw Material Supply'!$B$14&amp;'A1 - Raw Material Supply'!$D$14,LCI!$B$2:$B$130&amp;LCI!$D$2:$D$130,0))*$C14</f>
        <v>1.8973973943732778E-3</v>
      </c>
      <c r="H14" s="158" cm="1">
        <f t="array" ref="H14">INDEX(LCI!K$2:K$130,MATCH('A1 - Raw Material Supply'!$B$14&amp;'A1 - Raw Material Supply'!$D$14,LCI!$B$2:$B$130&amp;LCI!$D$2:$D$130,0))*$C14</f>
        <v>0.11956136434225269</v>
      </c>
      <c r="I14" s="158" cm="1">
        <f t="array" ref="I14">INDEX(LCI!L$2:L$130,MATCH('A1 - Raw Material Supply'!$B$14&amp;'A1 - Raw Material Supply'!$D$14,LCI!$B$2:$B$130&amp;LCI!$D$2:$D$130,0))*$C14</f>
        <v>2.0562002679489535E-4</v>
      </c>
      <c r="J14" s="158" cm="1">
        <f t="array" ref="J14">INDEX(LCI!M$2:M$130,MATCH('A1 - Raw Material Supply'!$B$14&amp;'A1 - Raw Material Supply'!$D$14,LCI!$B$2:$B$130&amp;LCI!$D$2:$D$130,0))*$C14</f>
        <v>0.37977548705269193</v>
      </c>
      <c r="K14" s="158" cm="1">
        <f t="array" ref="K14">INDEX(LCI!N$2:N$130,MATCH('A1 - Raw Material Supply'!$B$14&amp;'A1 - Raw Material Supply'!$D$14,LCI!$B$2:$B$130&amp;LCI!$D$2:$D$130,0))*$C14</f>
        <v>2.0373321039625885</v>
      </c>
      <c r="L14" s="158" cm="1">
        <f t="array" ref="L14">INDEX(LCI!O$2:O$130,MATCH('A1 - Raw Material Supply'!$B$14&amp;'A1 - Raw Material Supply'!$D$14,LCI!$B$2:$B$130&amp;LCI!$D$2:$D$130,0))*$C14</f>
        <v>7.3105915013882289E-5</v>
      </c>
      <c r="M14" s="158" cm="1">
        <f t="array" ref="M14">INDEX(LCI!P$2:P$130,MATCH('A1 - Raw Material Supply'!$B$14&amp;'A1 - Raw Material Supply'!$D$14,LCI!$B$2:$B$130&amp;LCI!$D$2:$D$130,0))*$C14</f>
        <v>2.1080260603251652E-4</v>
      </c>
      <c r="N14" s="158" cm="1">
        <f t="array" ref="N14">INDEX(LCI!Q$2:Q$130,MATCH('A1 - Raw Material Supply'!$B$14&amp;'A1 - Raw Material Supply'!$D$14,LCI!$B$2:$B$130&amp;LCI!$D$2:$D$130,0))*$C14</f>
        <v>2.49859756171603E-3</v>
      </c>
      <c r="O14" s="158" cm="1">
        <f t="array" ref="O14">INDEX(LCI!R$2:R$130,MATCH('A1 - Raw Material Supply'!$B$14&amp;'A1 - Raw Material Supply'!$D$14,LCI!$B$2:$B$130&amp;LCI!$D$2:$D$130,0))*$C14</f>
        <v>2.5071044568388908E-11</v>
      </c>
      <c r="P14" s="158" cm="1">
        <f t="array" ref="P14">INDEX(LCI!S$2:S$130,MATCH('A1 - Raw Material Supply'!$B$14&amp;'A1 - Raw Material Supply'!$D$14,LCI!$B$2:$B$130&amp;LCI!$D$2:$D$130,0))*$C14</f>
        <v>9.5260510567475159E-10</v>
      </c>
      <c r="Q14" s="158" cm="1">
        <f t="array" ref="Q14">INDEX(LCI!T$2:T$130,MATCH('A1 - Raw Material Supply'!$B$14&amp;'A1 - Raw Material Supply'!$D$14,LCI!$B$2:$B$130&amp;LCI!$D$2:$D$130,0))*$C14</f>
        <v>3.9110006778906019E-2</v>
      </c>
      <c r="R14" s="158" cm="1">
        <f t="array" ref="R14">INDEX(LCI!U$2:U$130,MATCH('A1 - Raw Material Supply'!$B$14&amp;'A1 - Raw Material Supply'!$D$14,LCI!$B$2:$B$130&amp;LCI!$D$2:$D$130,0))*$C14</f>
        <v>0.6282499716687221</v>
      </c>
      <c r="S14" s="158" cm="1">
        <f t="array" ref="S14">INDEX(LCI!V$2:V$130,MATCH('A1 - Raw Material Supply'!$B$14&amp;'A1 - Raw Material Supply'!$D$14,LCI!$B$2:$B$130&amp;LCI!$D$2:$D$130,0))*$C14</f>
        <v>3.5788766674713027E-7</v>
      </c>
      <c r="T14" s="158" cm="1">
        <f t="array" ref="T14">INDEX(LCI!W$2:W$130,MATCH('A1 - Raw Material Supply'!$B$14&amp;'A1 - Raw Material Supply'!$D$14,LCI!$B$2:$B$130&amp;LCI!$D$2:$D$130,0))*$C14</f>
        <v>1.5574157254795618E-9</v>
      </c>
      <c r="U14" s="158" cm="1">
        <f t="array" ref="U14">INDEX(LCI!X$2:X$130,MATCH('A1 - Raw Material Supply'!$B$14&amp;'A1 - Raw Material Supply'!$D$14,LCI!$B$2:$B$130&amp;LCI!$D$2:$D$130,0))*$C14</f>
        <v>9.8472396783713966E-9</v>
      </c>
      <c r="V14" s="158" cm="1">
        <f t="array" ref="V14">INDEX(LCI!Y$2:Y$130,MATCH('A1 - Raw Material Supply'!$B$14&amp;'A1 - Raw Material Supply'!$D$14,LCI!$B$2:$B$130&amp;LCI!$D$2:$D$130,0))*$C14</f>
        <v>6.5993967225239786E-4</v>
      </c>
      <c r="W14" s="158" cm="1">
        <f t="array" ref="W14">INDEX(LCI!Z$2:Z$130,MATCH('A1 - Raw Material Supply'!$B$14&amp;'A1 - Raw Material Supply'!$D$14,LCI!$B$2:$B$130&amp;LCI!$D$2:$D$130,0))*$C14</f>
        <v>0.25392572768492161</v>
      </c>
    </row>
    <row r="15" spans="1:23" s="24" customFormat="1" ht="14" customHeight="1" x14ac:dyDescent="0.35">
      <c r="A15" s="399"/>
      <c r="B15" s="158" t="str">
        <f>Input!A50</f>
        <v>Filler 2</v>
      </c>
      <c r="C15" s="154">
        <f>+Input!B50*(1-Input!E50)</f>
        <v>0.01</v>
      </c>
      <c r="D15" s="158" t="str">
        <f>Input!$C$50</f>
        <v>Limestone_residue</v>
      </c>
      <c r="E15" s="158" cm="1">
        <f t="array" ref="E15">INDEX(LCI!H$2:H$130,MATCH('A1 - Raw Material Supply'!$B$15&amp;'A1 - Raw Material Supply'!$D$15,LCI!$B$2:$B$130&amp;LCI!$D$2:$D$130,0))*$C15</f>
        <v>1.6923944910988309E-3</v>
      </c>
      <c r="F15" s="158" cm="1">
        <f t="array" ref="F15">INDEX(LCI!I$2:I$130,MATCH('A1 - Raw Material Supply'!$B$15&amp;'A1 - Raw Material Supply'!$D$15,LCI!$B$2:$B$130&amp;LCI!$D$2:$D$130,0))*$C15</f>
        <v>0.22120796684258343</v>
      </c>
      <c r="G15" s="158" cm="1">
        <f t="array" ref="G15">INDEX(LCI!J$2:J$130,MATCH('A1 - Raw Material Supply'!$B$15&amp;'A1 - Raw Material Supply'!$D$15,LCI!$B$2:$B$130&amp;LCI!$D$2:$D$130,0))*$C15</f>
        <v>3.4498134443150508E-3</v>
      </c>
      <c r="H15" s="158" cm="1">
        <f t="array" ref="H15">INDEX(LCI!K$2:K$130,MATCH('A1 - Raw Material Supply'!$B$15&amp;'A1 - Raw Material Supply'!$D$15,LCI!$B$2:$B$130&amp;LCI!$D$2:$D$130,0))*$C15</f>
        <v>0.21738429880409579</v>
      </c>
      <c r="I15" s="158" cm="1">
        <f t="array" ref="I15">INDEX(LCI!L$2:L$130,MATCH('A1 - Raw Material Supply'!$B$15&amp;'A1 - Raw Material Supply'!$D$15,LCI!$B$2:$B$130&amp;LCI!$D$2:$D$130,0))*$C15</f>
        <v>3.7385459417253698E-4</v>
      </c>
      <c r="J15" s="158" cm="1">
        <f t="array" ref="J15">INDEX(LCI!M$2:M$130,MATCH('A1 - Raw Material Supply'!$B$15&amp;'A1 - Raw Material Supply'!$D$15,LCI!$B$2:$B$130&amp;LCI!$D$2:$D$130,0))*$C15</f>
        <v>0.69050088555034905</v>
      </c>
      <c r="K15" s="158" cm="1">
        <f t="array" ref="K15">INDEX(LCI!N$2:N$130,MATCH('A1 - Raw Material Supply'!$B$15&amp;'A1 - Raw Material Supply'!$D$15,LCI!$B$2:$B$130&amp;LCI!$D$2:$D$130,0))*$C15</f>
        <v>3.7042401890228884</v>
      </c>
      <c r="L15" s="158" cm="1">
        <f t="array" ref="L15">INDEX(LCI!O$2:O$130,MATCH('A1 - Raw Material Supply'!$B$15&amp;'A1 - Raw Material Supply'!$D$15,LCI!$B$2:$B$130&amp;LCI!$D$2:$D$130,0))*$C15</f>
        <v>1.3291984547978599E-4</v>
      </c>
      <c r="M15" s="158" cm="1">
        <f t="array" ref="M15">INDEX(LCI!P$2:P$130,MATCH('A1 - Raw Material Supply'!$B$15&amp;'A1 - Raw Material Supply'!$D$15,LCI!$B$2:$B$130&amp;LCI!$D$2:$D$130,0))*$C15</f>
        <v>3.8327746551366642E-4</v>
      </c>
      <c r="N15" s="158" cm="1">
        <f t="array" ref="N15">INDEX(LCI!Q$2:Q$130,MATCH('A1 - Raw Material Supply'!$B$15&amp;'A1 - Raw Material Supply'!$D$15,LCI!$B$2:$B$130&amp;LCI!$D$2:$D$130,0))*$C15</f>
        <v>4.5429046576655092E-3</v>
      </c>
      <c r="O15" s="158" cm="1">
        <f t="array" ref="O15">INDEX(LCI!R$2:R$130,MATCH('A1 - Raw Material Supply'!$B$15&amp;'A1 - Raw Material Supply'!$D$15,LCI!$B$2:$B$130&amp;LCI!$D$2:$D$130,0))*$C15</f>
        <v>4.5583717397070746E-11</v>
      </c>
      <c r="P15" s="158" cm="1">
        <f t="array" ref="P15">INDEX(LCI!S$2:S$130,MATCH('A1 - Raw Material Supply'!$B$15&amp;'A1 - Raw Material Supply'!$D$15,LCI!$B$2:$B$130&amp;LCI!$D$2:$D$130,0))*$C15</f>
        <v>1.732009283045003E-9</v>
      </c>
      <c r="Q15" s="158" cm="1">
        <f t="array" ref="Q15">INDEX(LCI!T$2:T$130,MATCH('A1 - Raw Material Supply'!$B$15&amp;'A1 - Raw Material Supply'!$D$15,LCI!$B$2:$B$130&amp;LCI!$D$2:$D$130,0))*$C15</f>
        <v>7.1109103234374582E-2</v>
      </c>
      <c r="R15" s="158" cm="1">
        <f t="array" ref="R15">INDEX(LCI!U$2:U$130,MATCH('A1 - Raw Material Supply'!$B$15&amp;'A1 - Raw Material Supply'!$D$15,LCI!$B$2:$B$130&amp;LCI!$D$2:$D$130,0))*$C15</f>
        <v>1.1422726757613131</v>
      </c>
      <c r="S15" s="158" cm="1">
        <f t="array" ref="S15">INDEX(LCI!V$2:V$130,MATCH('A1 - Raw Material Supply'!$B$15&amp;'A1 - Raw Material Supply'!$D$15,LCI!$B$2:$B$130&amp;LCI!$D$2:$D$130,0))*$C15</f>
        <v>6.5070484863114593E-7</v>
      </c>
      <c r="T15" s="158" cm="1">
        <f t="array" ref="T15">INDEX(LCI!W$2:W$130,MATCH('A1 - Raw Material Supply'!$B$15&amp;'A1 - Raw Material Supply'!$D$15,LCI!$B$2:$B$130&amp;LCI!$D$2:$D$130,0))*$C15</f>
        <v>2.831664955417385E-9</v>
      </c>
      <c r="U15" s="158" cm="1">
        <f t="array" ref="U15">INDEX(LCI!X$2:X$130,MATCH('A1 - Raw Material Supply'!$B$15&amp;'A1 - Raw Material Supply'!$D$15,LCI!$B$2:$B$130&amp;LCI!$D$2:$D$130,0))*$C15</f>
        <v>1.790407214249345E-8</v>
      </c>
      <c r="V15" s="158" cm="1">
        <f t="array" ref="V15">INDEX(LCI!Y$2:Y$130,MATCH('A1 - Raw Material Supply'!$B$15&amp;'A1 - Raw Material Supply'!$D$15,LCI!$B$2:$B$130&amp;LCI!$D$2:$D$130,0))*$C15</f>
        <v>1.1998903131861781E-3</v>
      </c>
      <c r="W15" s="158" cm="1">
        <f t="array" ref="W15">INDEX(LCI!Z$2:Z$130,MATCH('A1 - Raw Material Supply'!$B$15&amp;'A1 - Raw Material Supply'!$D$15,LCI!$B$2:$B$130&amp;LCI!$D$2:$D$130,0))*$C15</f>
        <v>0.46168314124531201</v>
      </c>
    </row>
    <row r="16" spans="1:23" s="11" customFormat="1" ht="17.5" customHeight="1" x14ac:dyDescent="0.35">
      <c r="A16" s="400" t="s">
        <v>298</v>
      </c>
      <c r="B16" s="158" t="str">
        <f>Input!A51</f>
        <v>RAP 1</v>
      </c>
      <c r="C16" s="154"/>
      <c r="D16" s="159"/>
      <c r="E16" s="159"/>
      <c r="F16" s="159"/>
      <c r="G16" s="159"/>
      <c r="H16" s="159"/>
      <c r="I16" s="159"/>
      <c r="J16" s="159"/>
      <c r="K16" s="159"/>
      <c r="L16" s="159"/>
      <c r="M16" s="159"/>
      <c r="N16" s="159"/>
      <c r="O16" s="159"/>
      <c r="P16" s="159"/>
      <c r="Q16" s="159"/>
      <c r="R16" s="159"/>
      <c r="S16" s="159"/>
      <c r="T16" s="159"/>
      <c r="U16" s="159"/>
      <c r="V16" s="159"/>
      <c r="W16" s="159"/>
    </row>
    <row r="17" spans="1:23" s="11" customFormat="1" ht="18" customHeight="1" x14ac:dyDescent="0.35">
      <c r="A17" s="400"/>
      <c r="B17" s="158" t="str">
        <f>Input!A52</f>
        <v>RAP 2</v>
      </c>
      <c r="C17" s="154"/>
      <c r="D17" s="159"/>
      <c r="E17" s="159"/>
      <c r="F17" s="159"/>
      <c r="G17" s="159"/>
      <c r="H17" s="159"/>
      <c r="I17" s="159"/>
      <c r="J17" s="159"/>
      <c r="K17" s="159"/>
      <c r="L17" s="159"/>
      <c r="M17" s="159"/>
      <c r="N17" s="159"/>
      <c r="O17" s="159"/>
      <c r="P17" s="159"/>
      <c r="Q17" s="159"/>
      <c r="R17" s="159"/>
      <c r="S17" s="159"/>
      <c r="T17" s="159"/>
      <c r="U17" s="159"/>
      <c r="V17" s="159"/>
      <c r="W17" s="159"/>
    </row>
    <row r="18" spans="1:23" x14ac:dyDescent="0.35">
      <c r="A18" s="401" t="s">
        <v>299</v>
      </c>
      <c r="B18" s="158" t="str">
        <f>Input!A53</f>
        <v>Other_waste 1</v>
      </c>
      <c r="C18" s="154"/>
      <c r="D18" s="158"/>
      <c r="E18" s="158"/>
      <c r="F18" s="158"/>
      <c r="G18" s="158"/>
      <c r="H18" s="158"/>
      <c r="I18" s="158"/>
      <c r="J18" s="158"/>
      <c r="K18" s="158"/>
      <c r="L18" s="158"/>
      <c r="M18" s="158"/>
      <c r="N18" s="158"/>
      <c r="O18" s="158"/>
      <c r="P18" s="158"/>
      <c r="Q18" s="158"/>
      <c r="R18" s="158"/>
      <c r="S18" s="158"/>
      <c r="T18" s="158"/>
      <c r="U18" s="158"/>
      <c r="V18" s="158"/>
      <c r="W18" s="158"/>
    </row>
    <row r="19" spans="1:23" x14ac:dyDescent="0.35">
      <c r="A19" s="401"/>
      <c r="B19" s="158" t="str">
        <f>Input!A54</f>
        <v>Other_waste 2</v>
      </c>
      <c r="C19" s="154"/>
      <c r="D19" s="158"/>
      <c r="E19" s="158"/>
      <c r="F19" s="158"/>
      <c r="G19" s="158"/>
      <c r="H19" s="158"/>
      <c r="I19" s="158"/>
      <c r="J19" s="158"/>
      <c r="K19" s="158"/>
      <c r="L19" s="158"/>
      <c r="M19" s="158"/>
      <c r="N19" s="158"/>
      <c r="O19" s="158"/>
      <c r="P19" s="158"/>
      <c r="Q19" s="158"/>
      <c r="R19" s="158"/>
      <c r="S19" s="158"/>
      <c r="T19" s="158"/>
      <c r="U19" s="158"/>
      <c r="V19" s="158"/>
      <c r="W19" s="158"/>
    </row>
    <row r="20" spans="1:23" x14ac:dyDescent="0.35">
      <c r="A20" s="401" t="s">
        <v>261</v>
      </c>
      <c r="B20" s="158" t="str">
        <f>Input!A55</f>
        <v>Additive 1</v>
      </c>
      <c r="C20" s="154">
        <f>+Input!B55*(1-Input!E55)</f>
        <v>3.3E-3</v>
      </c>
      <c r="D20" s="158" t="str">
        <f>Input!$C$55</f>
        <v>Cellulose_fibres</v>
      </c>
      <c r="E20" s="158" cm="1">
        <f t="array" ref="E20">INDEX(LCI!H$2:H$130,MATCH('A1 - Raw Material Supply'!$B$20&amp;'A1 - Raw Material Supply'!$D$20,LCI!$B$2:$B$130&amp;LCI!$D$2:$D$130,0))*$C$20</f>
        <v>5.2168551507805029E-3</v>
      </c>
      <c r="F20" s="158" cm="1">
        <f t="array" ref="F20">INDEX(LCI!I$2:I$130,MATCH('A1 - Raw Material Supply'!$B$20&amp;'A1 - Raw Material Supply'!$D$20,LCI!$B$2:$B$130&amp;LCI!$D$2:$D$130,0))*$C$20</f>
        <v>0.65423526228811013</v>
      </c>
      <c r="G20" s="158" cm="1">
        <f t="array" ref="G20">INDEX(LCI!J$2:J$130,MATCH('A1 - Raw Material Supply'!$B$20&amp;'A1 - Raw Material Supply'!$D$20,LCI!$B$2:$B$130&amp;LCI!$D$2:$D$130,0))*$C$20</f>
        <v>0.1068681104617966</v>
      </c>
      <c r="H20" s="158" cm="1">
        <f t="array" ref="H20">INDEX(LCI!K$2:K$130,MATCH('A1 - Raw Material Supply'!$B$20&amp;'A1 - Raw Material Supply'!$D$20,LCI!$B$2:$B$130&amp;LCI!$D$2:$D$130,0))*$C$20</f>
        <v>0.5469162215913369</v>
      </c>
      <c r="I20" s="158" cm="1">
        <f t="array" ref="I20">INDEX(LCI!L$2:L$130,MATCH('A1 - Raw Material Supply'!$B$20&amp;'A1 - Raw Material Supply'!$D$20,LCI!$B$2:$B$130&amp;LCI!$D$2:$D$130,0))*$C$20</f>
        <v>4.5093023497641831E-4</v>
      </c>
      <c r="J20" s="158" cm="1">
        <f t="array" ref="J20">INDEX(LCI!M$2:M$130,MATCH('A1 - Raw Material Supply'!$B$20&amp;'A1 - Raw Material Supply'!$D$20,LCI!$B$2:$B$130&amp;LCI!$D$2:$D$130,0))*$C$20</f>
        <v>2.7323846812273751</v>
      </c>
      <c r="K20" s="158" cm="1">
        <f t="array" ref="K20">INDEX(LCI!N$2:N$130,MATCH('A1 - Raw Material Supply'!$B$20&amp;'A1 - Raw Material Supply'!$D$20,LCI!$B$2:$B$130&amp;LCI!$D$2:$D$130,0))*$C$20</f>
        <v>7.5519828674110823</v>
      </c>
      <c r="L20" s="158" cm="1">
        <f t="array" ref="L20">INDEX(LCI!O$2:O$130,MATCH('A1 - Raw Material Supply'!$B$20&amp;'A1 - Raw Material Supply'!$D$20,LCI!$B$2:$B$130&amp;LCI!$D$2:$D$130,0))*$C$20</f>
        <v>1.7251445628132297E-4</v>
      </c>
      <c r="M20" s="158" cm="1">
        <f t="array" ref="M20">INDEX(LCI!P$2:P$130,MATCH('A1 - Raw Material Supply'!$B$20&amp;'A1 - Raw Material Supply'!$D$20,LCI!$B$2:$B$130&amp;LCI!$D$2:$D$130,0))*$C$20</f>
        <v>1.0307679995824358E-3</v>
      </c>
      <c r="N20" s="158" cm="1">
        <f t="array" ref="N20">INDEX(LCI!Q$2:Q$130,MATCH('A1 - Raw Material Supply'!$B$20&amp;'A1 - Raw Material Supply'!$D$20,LCI!$B$2:$B$130&amp;LCI!$D$2:$D$130,0))*$C$20</f>
        <v>1.0579231622299769E-2</v>
      </c>
      <c r="O20" s="158" cm="1">
        <f t="array" ref="O20">INDEX(LCI!R$2:R$130,MATCH('A1 - Raw Material Supply'!$B$20&amp;'A1 - Raw Material Supply'!$D$20,LCI!$B$2:$B$130&amp;LCI!$D$2:$D$130,0))*$C$20</f>
        <v>3.4322818084723971E-10</v>
      </c>
      <c r="P20" s="158" cm="1">
        <f t="array" ref="P20">INDEX(LCI!S$2:S$130,MATCH('A1 - Raw Material Supply'!$B$20&amp;'A1 - Raw Material Supply'!$D$20,LCI!$B$2:$B$130&amp;LCI!$D$2:$D$130,0))*$C$20</f>
        <v>1.519562698401938E-8</v>
      </c>
      <c r="Q20" s="158" cm="1">
        <f t="array" ref="Q20">INDEX(LCI!T$2:T$130,MATCH('A1 - Raw Material Supply'!$B$20&amp;'A1 - Raw Material Supply'!$D$20,LCI!$B$2:$B$130&amp;LCI!$D$2:$D$130,0))*$C$20</f>
        <v>0.10643324427322706</v>
      </c>
      <c r="R20" s="158" cm="1">
        <f t="array" ref="R20">INDEX(LCI!U$2:U$130,MATCH('A1 - Raw Material Supply'!$B$20&amp;'A1 - Raw Material Supply'!$D$20,LCI!$B$2:$B$130&amp;LCI!$D$2:$D$130,0))*$C$20</f>
        <v>2.9238161430011052</v>
      </c>
      <c r="S20" s="158" cm="1">
        <f t="array" ref="S20">INDEX(LCI!V$2:V$130,MATCH('A1 - Raw Material Supply'!$B$20&amp;'A1 - Raw Material Supply'!$D$20,LCI!$B$2:$B$130&amp;LCI!$D$2:$D$130,0))*$C$20</f>
        <v>2.0002821138870845E-4</v>
      </c>
      <c r="T20" s="158" cm="1">
        <f t="array" ref="T20">INDEX(LCI!W$2:W$130,MATCH('A1 - Raw Material Supply'!$B$20&amp;'A1 - Raw Material Supply'!$D$20,LCI!$B$2:$B$130&amp;LCI!$D$2:$D$130,0))*$C$20</f>
        <v>6.6867322617563686E-9</v>
      </c>
      <c r="U20" s="158" cm="1">
        <f t="array" ref="U20">INDEX(LCI!X$2:X$130,MATCH('A1 - Raw Material Supply'!$B$20&amp;'A1 - Raw Material Supply'!$D$20,LCI!$B$2:$B$130&amp;LCI!$D$2:$D$130,0))*$C$20</f>
        <v>6.9930966262356109E-8</v>
      </c>
      <c r="V20" s="158" cm="1">
        <f t="array" ref="V20">INDEX(LCI!Y$2:Y$130,MATCH('A1 - Raw Material Supply'!$B$20&amp;'A1 - Raw Material Supply'!$D$20,LCI!$B$2:$B$130&amp;LCI!$D$2:$D$130,0))*$C$20</f>
        <v>3.4925808009998527E-3</v>
      </c>
      <c r="W20" s="158" cm="1">
        <f t="array" ref="W20">INDEX(LCI!Z$2:Z$130,MATCH('A1 - Raw Material Supply'!$B$20&amp;'A1 - Raw Material Supply'!$D$20,LCI!$B$2:$B$130&amp;LCI!$D$2:$D$130,0))*$C$20</f>
        <v>0.33021433976024206</v>
      </c>
    </row>
    <row r="21" spans="1:23" x14ac:dyDescent="0.35">
      <c r="A21" s="401"/>
      <c r="B21" s="158" t="str">
        <f>Input!A56</f>
        <v>Additive 2</v>
      </c>
      <c r="C21" s="154">
        <f>+Input!B56*(1-Input!E56)</f>
        <v>0</v>
      </c>
      <c r="D21" s="158" t="str">
        <f>Input!$C$56</f>
        <v>No_additives</v>
      </c>
      <c r="E21" s="158" cm="1">
        <f t="array" ref="E21">INDEX(LCI!H$2:H$130,MATCH('A1 - Raw Material Supply'!$B$21&amp;'A1 - Raw Material Supply'!$D$21,LCI!$B$2:$B$130&amp;LCI!$D$2:$D$130,0))*$C$21</f>
        <v>0</v>
      </c>
      <c r="F21" s="158" cm="1">
        <f t="array" ref="F21">INDEX(LCI!I$2:I$130,MATCH('A1 - Raw Material Supply'!$B$21&amp;'A1 - Raw Material Supply'!$D$21,LCI!$B$2:$B$130&amp;LCI!$D$2:$D$130,0))*$C$21</f>
        <v>0</v>
      </c>
      <c r="G21" s="158" cm="1">
        <f t="array" ref="G21">INDEX(LCI!J$2:J$130,MATCH('A1 - Raw Material Supply'!$B$21&amp;'A1 - Raw Material Supply'!$D$21,LCI!$B$2:$B$130&amp;LCI!$D$2:$D$130,0))*$C$21</f>
        <v>0</v>
      </c>
      <c r="H21" s="158" cm="1">
        <f t="array" ref="H21">INDEX(LCI!K$2:K$130,MATCH('A1 - Raw Material Supply'!$B$21&amp;'A1 - Raw Material Supply'!$D$21,LCI!$B$2:$B$130&amp;LCI!$D$2:$D$130,0))*$C$21</f>
        <v>0</v>
      </c>
      <c r="I21" s="158" cm="1">
        <f t="array" ref="I21">INDEX(LCI!L$2:L$130,MATCH('A1 - Raw Material Supply'!$B$21&amp;'A1 - Raw Material Supply'!$D$21,LCI!$B$2:$B$130&amp;LCI!$D$2:$D$130,0))*$C$21</f>
        <v>0</v>
      </c>
      <c r="J21" s="158" cm="1">
        <f t="array" ref="J21">INDEX(LCI!M$2:M$130,MATCH('A1 - Raw Material Supply'!$B$21&amp;'A1 - Raw Material Supply'!$D$21,LCI!$B$2:$B$130&amp;LCI!$D$2:$D$130,0))*$C$21</f>
        <v>0</v>
      </c>
      <c r="K21" s="158" cm="1">
        <f t="array" ref="K21">INDEX(LCI!N$2:N$130,MATCH('A1 - Raw Material Supply'!$B$21&amp;'A1 - Raw Material Supply'!$D$21,LCI!$B$2:$B$130&amp;LCI!$D$2:$D$130,0))*$C$21</f>
        <v>0</v>
      </c>
      <c r="L21" s="158" cm="1">
        <f t="array" ref="L21">INDEX(LCI!O$2:O$130,MATCH('A1 - Raw Material Supply'!$B$21&amp;'A1 - Raw Material Supply'!$D$21,LCI!$B$2:$B$130&amp;LCI!$D$2:$D$130,0))*$C$21</f>
        <v>0</v>
      </c>
      <c r="M21" s="158" cm="1">
        <f t="array" ref="M21">INDEX(LCI!P$2:P$130,MATCH('A1 - Raw Material Supply'!$B$21&amp;'A1 - Raw Material Supply'!$D$21,LCI!$B$2:$B$130&amp;LCI!$D$2:$D$130,0))*$C$21</f>
        <v>0</v>
      </c>
      <c r="N21" s="158" cm="1">
        <f t="array" ref="N21">INDEX(LCI!Q$2:Q$130,MATCH('A1 - Raw Material Supply'!$B$21&amp;'A1 - Raw Material Supply'!$D$21,LCI!$B$2:$B$130&amp;LCI!$D$2:$D$130,0))*$C$21</f>
        <v>0</v>
      </c>
      <c r="O21" s="158" cm="1">
        <f t="array" ref="O21">INDEX(LCI!R$2:R$130,MATCH('A1 - Raw Material Supply'!$B$21&amp;'A1 - Raw Material Supply'!$D$21,LCI!$B$2:$B$130&amp;LCI!$D$2:$D$130,0))*$C$21</f>
        <v>0</v>
      </c>
      <c r="P21" s="158" cm="1">
        <f t="array" ref="P21">INDEX(LCI!S$2:S$130,MATCH('A1 - Raw Material Supply'!$B$21&amp;'A1 - Raw Material Supply'!$D$21,LCI!$B$2:$B$130&amp;LCI!$D$2:$D$130,0))*$C$21</f>
        <v>0</v>
      </c>
      <c r="Q21" s="158" cm="1">
        <f t="array" ref="Q21">INDEX(LCI!T$2:T$130,MATCH('A1 - Raw Material Supply'!$B$21&amp;'A1 - Raw Material Supply'!$D$21,LCI!$B$2:$B$130&amp;LCI!$D$2:$D$130,0))*$C$21</f>
        <v>0</v>
      </c>
      <c r="R21" s="158" cm="1">
        <f t="array" ref="R21">INDEX(LCI!U$2:U$130,MATCH('A1 - Raw Material Supply'!$B$21&amp;'A1 - Raw Material Supply'!$D$21,LCI!$B$2:$B$130&amp;LCI!$D$2:$D$130,0))*$C$21</f>
        <v>0</v>
      </c>
      <c r="S21" s="158" cm="1">
        <f t="array" ref="S21">INDEX(LCI!V$2:V$130,MATCH('A1 - Raw Material Supply'!$B$21&amp;'A1 - Raw Material Supply'!$D$21,LCI!$B$2:$B$130&amp;LCI!$D$2:$D$130,0))*$C$21</f>
        <v>0</v>
      </c>
      <c r="T21" s="158" cm="1">
        <f t="array" ref="T21">INDEX(LCI!W$2:W$130,MATCH('A1 - Raw Material Supply'!$B$21&amp;'A1 - Raw Material Supply'!$D$21,LCI!$B$2:$B$130&amp;LCI!$D$2:$D$130,0))*$C$21</f>
        <v>0</v>
      </c>
      <c r="U21" s="158" cm="1">
        <f t="array" ref="U21">INDEX(LCI!X$2:X$130,MATCH('A1 - Raw Material Supply'!$B$21&amp;'A1 - Raw Material Supply'!$D$21,LCI!$B$2:$B$130&amp;LCI!$D$2:$D$130,0))*$C$21</f>
        <v>0</v>
      </c>
      <c r="V21" s="158" cm="1">
        <f t="array" ref="V21">INDEX(LCI!Y$2:Y$130,MATCH('A1 - Raw Material Supply'!$B$21&amp;'A1 - Raw Material Supply'!$D$21,LCI!$B$2:$B$130&amp;LCI!$D$2:$D$130,0))*$C$21</f>
        <v>0</v>
      </c>
      <c r="W21" s="158" cm="1">
        <f t="array" ref="W21">INDEX(LCI!Z$2:Z$130,MATCH('A1 - Raw Material Supply'!$B$21&amp;'A1 - Raw Material Supply'!$D$21,LCI!$B$2:$B$130&amp;LCI!$D$2:$D$130,0))*$C$21</f>
        <v>0</v>
      </c>
    </row>
    <row r="22" spans="1:23" x14ac:dyDescent="0.35">
      <c r="A22" s="401"/>
      <c r="B22" s="158" t="str">
        <f>Input!A57</f>
        <v>Additive 3</v>
      </c>
      <c r="C22" s="154">
        <f>+Input!B57*(1-Input!E57)</f>
        <v>0</v>
      </c>
      <c r="D22" s="158" t="str">
        <f>Input!$C$57</f>
        <v>No_additives</v>
      </c>
      <c r="E22" s="158" cm="1">
        <f t="array" ref="E22">INDEX(LCI!H$2:H$130,MATCH('A1 - Raw Material Supply'!$B$22&amp;'A1 - Raw Material Supply'!$D$22,LCI!$B$2:$B$130&amp;LCI!$D$2:$D$130,0))*$C$22</f>
        <v>0</v>
      </c>
      <c r="F22" s="158" cm="1">
        <f t="array" ref="F22">INDEX(LCI!I$2:I$130,MATCH('A1 - Raw Material Supply'!$B$22&amp;'A1 - Raw Material Supply'!$D$22,LCI!$B$2:$B$130&amp;LCI!$D$2:$D$130,0))*$C$22</f>
        <v>0</v>
      </c>
      <c r="G22" s="158" cm="1">
        <f t="array" ref="G22">INDEX(LCI!J$2:J$130,MATCH('A1 - Raw Material Supply'!$B$22&amp;'A1 - Raw Material Supply'!$D$22,LCI!$B$2:$B$130&amp;LCI!$D$2:$D$130,0))*$C$22</f>
        <v>0</v>
      </c>
      <c r="H22" s="158" cm="1">
        <f t="array" ref="H22">INDEX(LCI!K$2:K$130,MATCH('A1 - Raw Material Supply'!$B$22&amp;'A1 - Raw Material Supply'!$D$22,LCI!$B$2:$B$130&amp;LCI!$D$2:$D$130,0))*$C$22</f>
        <v>0</v>
      </c>
      <c r="I22" s="158" cm="1">
        <f t="array" ref="I22">INDEX(LCI!L$2:L$130,MATCH('A1 - Raw Material Supply'!$B$22&amp;'A1 - Raw Material Supply'!$D$22,LCI!$B$2:$B$130&amp;LCI!$D$2:$D$130,0))*$C$22</f>
        <v>0</v>
      </c>
      <c r="J22" s="158" cm="1">
        <f t="array" ref="J22">INDEX(LCI!M$2:M$130,MATCH('A1 - Raw Material Supply'!$B$22&amp;'A1 - Raw Material Supply'!$D$22,LCI!$B$2:$B$130&amp;LCI!$D$2:$D$130,0))*$C$22</f>
        <v>0</v>
      </c>
      <c r="K22" s="158" cm="1">
        <f t="array" ref="K22">INDEX(LCI!N$2:N$130,MATCH('A1 - Raw Material Supply'!$B$22&amp;'A1 - Raw Material Supply'!$D$22,LCI!$B$2:$B$130&amp;LCI!$D$2:$D$130,0))*$C$22</f>
        <v>0</v>
      </c>
      <c r="L22" s="158" cm="1">
        <f t="array" ref="L22">INDEX(LCI!O$2:O$130,MATCH('A1 - Raw Material Supply'!$B$22&amp;'A1 - Raw Material Supply'!$D$22,LCI!$B$2:$B$130&amp;LCI!$D$2:$D$130,0))*$C$22</f>
        <v>0</v>
      </c>
      <c r="M22" s="158" cm="1">
        <f t="array" ref="M22">INDEX(LCI!P$2:P$130,MATCH('A1 - Raw Material Supply'!$B$22&amp;'A1 - Raw Material Supply'!$D$22,LCI!$B$2:$B$130&amp;LCI!$D$2:$D$130,0))*$C$22</f>
        <v>0</v>
      </c>
      <c r="N22" s="158" cm="1">
        <f t="array" ref="N22">INDEX(LCI!Q$2:Q$130,MATCH('A1 - Raw Material Supply'!$B$22&amp;'A1 - Raw Material Supply'!$D$22,LCI!$B$2:$B$130&amp;LCI!$D$2:$D$130,0))*$C$22</f>
        <v>0</v>
      </c>
      <c r="O22" s="158" cm="1">
        <f t="array" ref="O22">INDEX(LCI!R$2:R$130,MATCH('A1 - Raw Material Supply'!$B$22&amp;'A1 - Raw Material Supply'!$D$22,LCI!$B$2:$B$130&amp;LCI!$D$2:$D$130,0))*$C$22</f>
        <v>0</v>
      </c>
      <c r="P22" s="158" cm="1">
        <f t="array" ref="P22">INDEX(LCI!S$2:S$130,MATCH('A1 - Raw Material Supply'!$B$22&amp;'A1 - Raw Material Supply'!$D$22,LCI!$B$2:$B$130&amp;LCI!$D$2:$D$130,0))*$C$22</f>
        <v>0</v>
      </c>
      <c r="Q22" s="158" cm="1">
        <f t="array" ref="Q22">INDEX(LCI!T$2:T$130,MATCH('A1 - Raw Material Supply'!$B$22&amp;'A1 - Raw Material Supply'!$D$22,LCI!$B$2:$B$130&amp;LCI!$D$2:$D$130,0))*$C$22</f>
        <v>0</v>
      </c>
      <c r="R22" s="158" cm="1">
        <f t="array" ref="R22">INDEX(LCI!U$2:U$130,MATCH('A1 - Raw Material Supply'!$B$22&amp;'A1 - Raw Material Supply'!$D$22,LCI!$B$2:$B$130&amp;LCI!$D$2:$D$130,0))*$C$22</f>
        <v>0</v>
      </c>
      <c r="S22" s="158" cm="1">
        <f t="array" ref="S22">INDEX(LCI!V$2:V$130,MATCH('A1 - Raw Material Supply'!$B$22&amp;'A1 - Raw Material Supply'!$D$22,LCI!$B$2:$B$130&amp;LCI!$D$2:$D$130,0))*$C$22</f>
        <v>0</v>
      </c>
      <c r="T22" s="158" cm="1">
        <f t="array" ref="T22">INDEX(LCI!W$2:W$130,MATCH('A1 - Raw Material Supply'!$B$22&amp;'A1 - Raw Material Supply'!$D$22,LCI!$B$2:$B$130&amp;LCI!$D$2:$D$130,0))*$C$22</f>
        <v>0</v>
      </c>
      <c r="U22" s="158" cm="1">
        <f t="array" ref="U22">INDEX(LCI!X$2:X$130,MATCH('A1 - Raw Material Supply'!$B$22&amp;'A1 - Raw Material Supply'!$D$22,LCI!$B$2:$B$130&amp;LCI!$D$2:$D$130,0))*$C$22</f>
        <v>0</v>
      </c>
      <c r="V22" s="158" cm="1">
        <f t="array" ref="V22">INDEX(LCI!Y$2:Y$130,MATCH('A1 - Raw Material Supply'!$B$22&amp;'A1 - Raw Material Supply'!$D$22,LCI!$B$2:$B$130&amp;LCI!$D$2:$D$130,0))*$C$22</f>
        <v>0</v>
      </c>
      <c r="W22" s="158" cm="1">
        <f t="array" ref="W22">INDEX(LCI!Z$2:Z$130,MATCH('A1 - Raw Material Supply'!$B$22&amp;'A1 - Raw Material Supply'!$D$22,LCI!$B$2:$B$130&amp;LCI!$D$2:$D$130,0))*$C$22</f>
        <v>0</v>
      </c>
    </row>
    <row r="23" spans="1:23" x14ac:dyDescent="0.35">
      <c r="A23" s="1" t="s">
        <v>200</v>
      </c>
      <c r="B23" s="158"/>
      <c r="C23" s="158">
        <f>SUM(C4:C22)</f>
        <v>0.69995999999999992</v>
      </c>
      <c r="D23" s="158"/>
      <c r="E23" s="158">
        <f>SUM(E4:E22)</f>
        <v>8.0534712888760032E-2</v>
      </c>
      <c r="F23" s="158">
        <f t="shared" ref="F23:W23" si="0">SUM(F4:F22)</f>
        <v>14.97120941098617</v>
      </c>
      <c r="G23" s="158">
        <f t="shared" si="0"/>
        <v>0.16297154327773888</v>
      </c>
      <c r="H23" s="158">
        <f t="shared" si="0"/>
        <v>14.808843112853497</v>
      </c>
      <c r="I23" s="158">
        <f t="shared" si="0"/>
        <v>7.4831548549377522E-3</v>
      </c>
      <c r="J23" s="158">
        <f t="shared" si="0"/>
        <v>650.18825721666656</v>
      </c>
      <c r="K23" s="158">
        <f t="shared" si="0"/>
        <v>1058.8754990263419</v>
      </c>
      <c r="L23" s="158">
        <f t="shared" si="0"/>
        <v>5.3015648842928654E-4</v>
      </c>
      <c r="M23" s="158">
        <f t="shared" si="0"/>
        <v>2.4586447930468547E-2</v>
      </c>
      <c r="N23" s="158">
        <f t="shared" si="0"/>
        <v>0.29877826339714175</v>
      </c>
      <c r="O23" s="158">
        <f t="shared" si="0"/>
        <v>1.1757070228563087E-8</v>
      </c>
      <c r="P23" s="158">
        <f t="shared" si="0"/>
        <v>3.431290953382395E-7</v>
      </c>
      <c r="Q23" s="158">
        <f t="shared" si="0"/>
        <v>0.44489084391767142</v>
      </c>
      <c r="R23" s="158">
        <f t="shared" si="0"/>
        <v>401.39468881796523</v>
      </c>
      <c r="S23" s="158">
        <f t="shared" si="0"/>
        <v>2.0795783695376033E-4</v>
      </c>
      <c r="T23" s="158">
        <f t="shared" si="0"/>
        <v>4.6319126062617698E-8</v>
      </c>
      <c r="U23" s="158">
        <f t="shared" si="0"/>
        <v>1.3363575705040778E-6</v>
      </c>
      <c r="V23" s="158">
        <f t="shared" si="0"/>
        <v>9.2082658373174656E-2</v>
      </c>
      <c r="W23" s="158">
        <f t="shared" si="0"/>
        <v>4.2633212054643304</v>
      </c>
    </row>
    <row r="26" spans="1:23" ht="23.5" x14ac:dyDescent="0.55000000000000004">
      <c r="A26" s="100" t="s">
        <v>300</v>
      </c>
    </row>
    <row r="27" spans="1:23" ht="116" x14ac:dyDescent="0.35">
      <c r="A27" s="104" t="s">
        <v>276</v>
      </c>
      <c r="B27" s="104" t="s">
        <v>277</v>
      </c>
      <c r="C27" s="103" t="s">
        <v>278</v>
      </c>
      <c r="D27" s="103" t="s">
        <v>57</v>
      </c>
      <c r="E27" s="103" t="s">
        <v>279</v>
      </c>
      <c r="F27" s="103" t="s">
        <v>280</v>
      </c>
      <c r="G27" s="103" t="s">
        <v>281</v>
      </c>
      <c r="H27" s="103" t="s">
        <v>282</v>
      </c>
      <c r="I27" s="103" t="s">
        <v>283</v>
      </c>
      <c r="J27" s="103" t="s">
        <v>284</v>
      </c>
      <c r="K27" s="103" t="s">
        <v>285</v>
      </c>
      <c r="L27" s="103" t="s">
        <v>286</v>
      </c>
      <c r="M27" s="103" t="s">
        <v>287</v>
      </c>
      <c r="N27" s="103" t="s">
        <v>288</v>
      </c>
      <c r="O27" s="103" t="s">
        <v>289</v>
      </c>
      <c r="P27" s="103" t="s">
        <v>290</v>
      </c>
      <c r="Q27" s="103" t="s">
        <v>291</v>
      </c>
      <c r="R27" s="103" t="s">
        <v>292</v>
      </c>
      <c r="S27" s="103" t="s">
        <v>293</v>
      </c>
      <c r="T27" s="103" t="s">
        <v>294</v>
      </c>
      <c r="U27" s="103" t="s">
        <v>295</v>
      </c>
      <c r="V27" s="103" t="s">
        <v>296</v>
      </c>
      <c r="W27" s="103" t="s">
        <v>297</v>
      </c>
    </row>
    <row r="28" spans="1:23" ht="14" customHeight="1" x14ac:dyDescent="0.35">
      <c r="A28" s="6" t="s">
        <v>266</v>
      </c>
      <c r="B28" s="158" t="s">
        <v>301</v>
      </c>
      <c r="C28" s="154">
        <f>Input!B39*Input!E39</f>
        <v>0</v>
      </c>
      <c r="D28" s="154" t="str">
        <f>Input!$D39</f>
        <v>No</v>
      </c>
      <c r="E28" s="154" cm="1">
        <f t="array" ref="E28">_xlfn.IFNA(INDEX(LCI!H$2:H$137,MATCH('A1 - Raw Material Supply'!$B$28&amp;'A1 - Raw Material Supply'!$D$28,LCI!$B$2:$B$137&amp;LCI!$D$2:$D$137,0))*$C28,0)</f>
        <v>0</v>
      </c>
      <c r="F28" s="154" cm="1">
        <f t="array" ref="F28">_xlfn.IFNA(INDEX(LCI!I$2:I$137,MATCH('A1 - Raw Material Supply'!$B$28&amp;'A1 - Raw Material Supply'!$D$28,LCI!$B$2:$B$137&amp;LCI!$D$2:$D$137,0))*$C28,0)</f>
        <v>0</v>
      </c>
      <c r="G28" s="154" cm="1">
        <f t="array" ref="G28">_xlfn.IFNA(INDEX(LCI!J$2:J$137,MATCH('A1 - Raw Material Supply'!$B$28&amp;'A1 - Raw Material Supply'!$D$28,LCI!$B$2:$B$137&amp;LCI!$D$2:$D$137,0))*$C28,0)</f>
        <v>0</v>
      </c>
      <c r="H28" s="154" cm="1">
        <f t="array" ref="H28">_xlfn.IFNA(INDEX(LCI!K$2:K$137,MATCH('A1 - Raw Material Supply'!$B$28&amp;'A1 - Raw Material Supply'!$D$28,LCI!$B$2:$B$137&amp;LCI!$D$2:$D$137,0))*$C28,0)</f>
        <v>0</v>
      </c>
      <c r="I28" s="154" cm="1">
        <f t="array" ref="I28">_xlfn.IFNA(INDEX(LCI!L$2:L$137,MATCH('A1 - Raw Material Supply'!$B$28&amp;'A1 - Raw Material Supply'!$D$28,LCI!$B$2:$B$137&amp;LCI!$D$2:$D$137,0))*$C28,0)</f>
        <v>0</v>
      </c>
      <c r="J28" s="154" cm="1">
        <f t="array" ref="J28">_xlfn.IFNA(INDEX(LCI!M$2:M$137,MATCH('A1 - Raw Material Supply'!$B$28&amp;'A1 - Raw Material Supply'!$D$28,LCI!$B$2:$B$137&amp;LCI!$D$2:$D$137,0))*$C28,0)</f>
        <v>0</v>
      </c>
      <c r="K28" s="154" cm="1">
        <f t="array" ref="K28">_xlfn.IFNA(INDEX(LCI!N$2:N$137,MATCH('A1 - Raw Material Supply'!$B$28&amp;'A1 - Raw Material Supply'!$D$28,LCI!$B$2:$B$137&amp;LCI!$D$2:$D$137,0))*$C28,0)</f>
        <v>0</v>
      </c>
      <c r="L28" s="154" cm="1">
        <f t="array" ref="L28">_xlfn.IFNA(INDEX(LCI!O$2:O$137,MATCH('A1 - Raw Material Supply'!$B$28&amp;'A1 - Raw Material Supply'!$D$28,LCI!$B$2:$B$137&amp;LCI!$D$2:$D$137,0))*$C28,0)</f>
        <v>0</v>
      </c>
      <c r="M28" s="154" cm="1">
        <f t="array" ref="M28">_xlfn.IFNA(INDEX(LCI!P$2:P$137,MATCH('A1 - Raw Material Supply'!$B$28&amp;'A1 - Raw Material Supply'!$D$28,LCI!$B$2:$B$137&amp;LCI!$D$2:$D$137,0))*$C28,0)</f>
        <v>0</v>
      </c>
      <c r="N28" s="154" cm="1">
        <f t="array" ref="N28">_xlfn.IFNA(INDEX(LCI!Q$2:Q$137,MATCH('A1 - Raw Material Supply'!$B$28&amp;'A1 - Raw Material Supply'!$D$28,LCI!$B$2:$B$137&amp;LCI!$D$2:$D$137,0))*$C28,0)</f>
        <v>0</v>
      </c>
      <c r="O28" s="154" cm="1">
        <f t="array" ref="O28">_xlfn.IFNA(INDEX(LCI!R$2:R$137,MATCH('A1 - Raw Material Supply'!$B$28&amp;'A1 - Raw Material Supply'!$D$28,LCI!$B$2:$B$137&amp;LCI!$D$2:$D$137,0))*$C28,0)</f>
        <v>0</v>
      </c>
      <c r="P28" s="154" cm="1">
        <f t="array" ref="P28">_xlfn.IFNA(INDEX(LCI!S$2:S$137,MATCH('A1 - Raw Material Supply'!$B$28&amp;'A1 - Raw Material Supply'!$D$28,LCI!$B$2:$B$137&amp;LCI!$D$2:$D$137,0))*$C28,0)</f>
        <v>0</v>
      </c>
      <c r="Q28" s="154" cm="1">
        <f t="array" ref="Q28">_xlfn.IFNA(INDEX(LCI!T$2:T$137,MATCH('A1 - Raw Material Supply'!$B$28&amp;'A1 - Raw Material Supply'!$D$28,LCI!$B$2:$B$137&amp;LCI!$D$2:$D$137,0))*$C28,0)</f>
        <v>0</v>
      </c>
      <c r="R28" s="154" cm="1">
        <f t="array" ref="R28">_xlfn.IFNA(INDEX(LCI!U$2:U$137,MATCH('A1 - Raw Material Supply'!$B$28&amp;'A1 - Raw Material Supply'!$D$28,LCI!$B$2:$B$137&amp;LCI!$D$2:$D$137,0))*$C28,0)</f>
        <v>0</v>
      </c>
      <c r="S28" s="154" cm="1">
        <f t="array" ref="S28">_xlfn.IFNA(INDEX(LCI!V$2:V$137,MATCH('A1 - Raw Material Supply'!$B$28&amp;'A1 - Raw Material Supply'!$D$28,LCI!$B$2:$B$137&amp;LCI!$D$2:$D$137,0))*$C28,0)</f>
        <v>0</v>
      </c>
      <c r="T28" s="154" cm="1">
        <f t="array" ref="T28">_xlfn.IFNA(INDEX(LCI!W$2:W$137,MATCH('A1 - Raw Material Supply'!$B$28&amp;'A1 - Raw Material Supply'!$D$28,LCI!$B$2:$B$137&amp;LCI!$D$2:$D$137,0))*$C28,0)</f>
        <v>0</v>
      </c>
      <c r="U28" s="154" cm="1">
        <f t="array" ref="U28">_xlfn.IFNA(INDEX(LCI!X$2:X$137,MATCH('A1 - Raw Material Supply'!$B$28&amp;'A1 - Raw Material Supply'!$D$28,LCI!$B$2:$B$137&amp;LCI!$D$2:$D$137,0))*$C28,0)</f>
        <v>0</v>
      </c>
      <c r="V28" s="154" cm="1">
        <f t="array" ref="V28">_xlfn.IFNA(INDEX(LCI!Y$2:Y$137,MATCH('A1 - Raw Material Supply'!$B$28&amp;'A1 - Raw Material Supply'!$D$28,LCI!$B$2:$B$137&amp;LCI!$D$2:$D$137,0))*$C28,0)</f>
        <v>0</v>
      </c>
      <c r="W28" s="154" cm="1">
        <f t="array" ref="W28">_xlfn.IFNA(INDEX(LCI!Z$2:Z$137,MATCH('A1 - Raw Material Supply'!$B$28&amp;'A1 - Raw Material Supply'!$D$28,LCI!$B$2:$B$137&amp;LCI!$D$2:$D$137,0))*$C28,0)</f>
        <v>0</v>
      </c>
    </row>
    <row r="29" spans="1:23" x14ac:dyDescent="0.35">
      <c r="A29" s="395" t="s">
        <v>211</v>
      </c>
      <c r="B29" s="158" t="str">
        <f>Input!A40</f>
        <v>Virgin crushed coarse aggregate 1 (&gt;2 mm)</v>
      </c>
      <c r="C29" s="154"/>
      <c r="D29" s="154"/>
      <c r="E29" s="154"/>
      <c r="F29" s="154"/>
      <c r="G29" s="154"/>
      <c r="H29" s="154"/>
      <c r="I29" s="154"/>
      <c r="J29" s="154"/>
      <c r="K29" s="154"/>
      <c r="L29" s="154"/>
      <c r="M29" s="154"/>
      <c r="N29" s="154"/>
      <c r="O29" s="154"/>
      <c r="P29" s="154"/>
      <c r="Q29" s="154"/>
      <c r="R29" s="154"/>
      <c r="S29" s="154"/>
      <c r="T29" s="154"/>
      <c r="U29" s="154"/>
      <c r="V29" s="154"/>
      <c r="W29" s="154"/>
    </row>
    <row r="30" spans="1:23" x14ac:dyDescent="0.35">
      <c r="A30" s="396"/>
      <c r="B30" s="158" t="str">
        <f>Input!A41</f>
        <v>Virgin crushed coarse aggregate 2 (&gt;2 mm)</v>
      </c>
      <c r="C30" s="154"/>
      <c r="D30" s="154"/>
      <c r="E30" s="154"/>
      <c r="F30" s="154"/>
      <c r="G30" s="154"/>
      <c r="H30" s="154"/>
      <c r="I30" s="154"/>
      <c r="J30" s="154"/>
      <c r="K30" s="154"/>
      <c r="L30" s="154"/>
      <c r="M30" s="154"/>
      <c r="N30" s="154"/>
      <c r="O30" s="154"/>
      <c r="P30" s="154"/>
      <c r="Q30" s="154"/>
      <c r="R30" s="154"/>
      <c r="S30" s="154"/>
      <c r="T30" s="154"/>
      <c r="U30" s="154"/>
      <c r="V30" s="154"/>
      <c r="W30" s="154"/>
    </row>
    <row r="31" spans="1:23" x14ac:dyDescent="0.35">
      <c r="A31" s="396"/>
      <c r="B31" s="158" t="str">
        <f>Input!A42</f>
        <v>Virgin crushed coarse aggregate 3 (&gt;2 mm)</v>
      </c>
      <c r="C31" s="154"/>
      <c r="D31" s="154"/>
      <c r="E31" s="154"/>
      <c r="F31" s="154"/>
      <c r="G31" s="154"/>
      <c r="H31" s="154"/>
      <c r="I31" s="154"/>
      <c r="J31" s="154"/>
      <c r="K31" s="154"/>
      <c r="L31" s="154"/>
      <c r="M31" s="154"/>
      <c r="N31" s="154"/>
      <c r="O31" s="154"/>
      <c r="P31" s="154"/>
      <c r="Q31" s="154"/>
      <c r="R31" s="154"/>
      <c r="S31" s="154"/>
      <c r="T31" s="154"/>
      <c r="U31" s="154"/>
      <c r="V31" s="154"/>
      <c r="W31" s="154"/>
    </row>
    <row r="32" spans="1:23" x14ac:dyDescent="0.35">
      <c r="A32" s="396"/>
      <c r="B32" s="158" t="str">
        <f>Input!A43</f>
        <v>Virgin crushed fine aggregate 1 (≤2 mm)</v>
      </c>
      <c r="C32" s="154"/>
      <c r="D32" s="154"/>
      <c r="E32" s="154"/>
      <c r="F32" s="154"/>
      <c r="G32" s="154"/>
      <c r="H32" s="154"/>
      <c r="I32" s="154"/>
      <c r="J32" s="154"/>
      <c r="K32" s="154"/>
      <c r="L32" s="154"/>
      <c r="M32" s="154"/>
      <c r="N32" s="154"/>
      <c r="O32" s="154"/>
      <c r="P32" s="154"/>
      <c r="Q32" s="154"/>
      <c r="R32" s="154"/>
      <c r="S32" s="154"/>
      <c r="T32" s="154"/>
      <c r="U32" s="154"/>
      <c r="V32" s="154"/>
      <c r="W32" s="154"/>
    </row>
    <row r="33" spans="1:25" x14ac:dyDescent="0.35">
      <c r="A33" s="396"/>
      <c r="B33" s="158" t="str">
        <f>Input!A44</f>
        <v>Virgin crushed fine aggregate 2 (≤2 mm)</v>
      </c>
      <c r="C33" s="154"/>
      <c r="D33" s="154"/>
      <c r="E33" s="154"/>
      <c r="F33" s="154"/>
      <c r="G33" s="154"/>
      <c r="H33" s="154"/>
      <c r="I33" s="154"/>
      <c r="J33" s="154"/>
      <c r="K33" s="154"/>
      <c r="L33" s="154"/>
      <c r="M33" s="154"/>
      <c r="N33" s="154"/>
      <c r="O33" s="154"/>
      <c r="P33" s="154"/>
      <c r="Q33" s="154"/>
      <c r="R33" s="154"/>
      <c r="S33" s="154"/>
      <c r="T33" s="154"/>
      <c r="U33" s="154"/>
      <c r="V33" s="154"/>
      <c r="W33" s="154"/>
    </row>
    <row r="34" spans="1:25" x14ac:dyDescent="0.35">
      <c r="A34" s="396"/>
      <c r="B34" s="158" t="str">
        <f>Input!A45</f>
        <v>Virgin crushed fine aggregate 3 (≤2 mm)</v>
      </c>
      <c r="C34" s="154"/>
      <c r="D34" s="154"/>
      <c r="E34" s="154"/>
      <c r="F34" s="154"/>
      <c r="G34" s="154"/>
      <c r="H34" s="154"/>
      <c r="I34" s="154"/>
      <c r="J34" s="154"/>
      <c r="K34" s="154"/>
      <c r="L34" s="154"/>
      <c r="M34" s="154"/>
      <c r="N34" s="154"/>
      <c r="O34" s="154"/>
      <c r="P34" s="154"/>
      <c r="Q34" s="154"/>
      <c r="R34" s="154"/>
      <c r="S34" s="154"/>
      <c r="T34" s="154"/>
      <c r="U34" s="154"/>
      <c r="V34" s="154"/>
      <c r="W34" s="154"/>
    </row>
    <row r="35" spans="1:25" x14ac:dyDescent="0.35">
      <c r="A35" s="396"/>
      <c r="B35" s="158" t="str">
        <f>Input!A46</f>
        <v>Virgin natural fine aggregate 1 (≤2 mm)</v>
      </c>
      <c r="C35" s="154"/>
      <c r="D35" s="154"/>
      <c r="E35" s="154"/>
      <c r="F35" s="154"/>
      <c r="G35" s="154"/>
      <c r="H35" s="154"/>
      <c r="I35" s="154"/>
      <c r="J35" s="154"/>
      <c r="K35" s="154"/>
      <c r="L35" s="154"/>
      <c r="M35" s="154"/>
      <c r="N35" s="154"/>
      <c r="O35" s="154"/>
      <c r="P35" s="154"/>
      <c r="Q35" s="154"/>
      <c r="R35" s="154"/>
      <c r="S35" s="154"/>
      <c r="T35" s="154"/>
      <c r="U35" s="154"/>
      <c r="V35" s="154"/>
      <c r="W35" s="154"/>
      <c r="Y35" s="24"/>
    </row>
    <row r="36" spans="1:25" x14ac:dyDescent="0.35">
      <c r="A36" s="396"/>
      <c r="B36" s="158" t="str">
        <f>Input!A47</f>
        <v>Virgin natural fine aggregate 2 (≤2 mm)</v>
      </c>
      <c r="C36" s="154"/>
      <c r="D36" s="154"/>
      <c r="E36" s="154"/>
      <c r="F36" s="154"/>
      <c r="G36" s="154"/>
      <c r="H36" s="154"/>
      <c r="I36" s="154"/>
      <c r="J36" s="154"/>
      <c r="K36" s="154"/>
      <c r="L36" s="154"/>
      <c r="M36" s="154"/>
      <c r="N36" s="154"/>
      <c r="O36" s="154"/>
      <c r="P36" s="154"/>
      <c r="Q36" s="154"/>
      <c r="R36" s="154"/>
      <c r="S36" s="154"/>
      <c r="T36" s="154"/>
      <c r="U36" s="154"/>
      <c r="V36" s="154"/>
      <c r="W36" s="154"/>
      <c r="Y36" s="11"/>
    </row>
    <row r="37" spans="1:25" x14ac:dyDescent="0.35">
      <c r="A37" s="397"/>
      <c r="B37" s="158" t="str">
        <f>Input!A48</f>
        <v>Virgin natural fine aggregate 3 (≤2 mm)</v>
      </c>
      <c r="C37" s="154"/>
      <c r="D37" s="154"/>
      <c r="E37" s="154"/>
      <c r="F37" s="154"/>
      <c r="G37" s="154"/>
      <c r="H37" s="154"/>
      <c r="I37" s="154"/>
      <c r="J37" s="154"/>
      <c r="K37" s="154"/>
      <c r="L37" s="154"/>
      <c r="M37" s="154"/>
      <c r="N37" s="154"/>
      <c r="O37" s="154"/>
      <c r="P37" s="154"/>
      <c r="Q37" s="154"/>
      <c r="R37" s="154"/>
      <c r="S37" s="154"/>
      <c r="T37" s="154"/>
      <c r="U37" s="154"/>
      <c r="V37" s="154"/>
      <c r="W37" s="154"/>
      <c r="Y37" s="11"/>
    </row>
    <row r="38" spans="1:25" ht="14" customHeight="1" x14ac:dyDescent="0.35">
      <c r="A38" s="398" t="s">
        <v>212</v>
      </c>
      <c r="B38" s="158" t="str">
        <f>Input!A49</f>
        <v>Filler 1</v>
      </c>
      <c r="C38" s="154"/>
      <c r="D38" s="154"/>
      <c r="E38" s="154"/>
      <c r="F38" s="154"/>
      <c r="G38" s="154"/>
      <c r="H38" s="154"/>
      <c r="I38" s="154"/>
      <c r="J38" s="154"/>
      <c r="K38" s="154"/>
      <c r="L38" s="154"/>
      <c r="M38" s="154"/>
      <c r="N38" s="154"/>
      <c r="O38" s="154"/>
      <c r="P38" s="154"/>
      <c r="Q38" s="154"/>
      <c r="R38" s="154"/>
      <c r="S38" s="154"/>
      <c r="T38" s="154"/>
      <c r="U38" s="154"/>
      <c r="V38" s="154"/>
      <c r="W38" s="154"/>
    </row>
    <row r="39" spans="1:25" ht="28.25" customHeight="1" x14ac:dyDescent="0.35">
      <c r="A39" s="399"/>
      <c r="B39" s="158" t="str">
        <f>Input!A50</f>
        <v>Filler 2</v>
      </c>
      <c r="C39" s="154"/>
      <c r="D39" s="154"/>
      <c r="E39" s="154"/>
      <c r="F39" s="154"/>
      <c r="G39" s="154"/>
      <c r="H39" s="154"/>
      <c r="I39" s="154"/>
      <c r="J39" s="154"/>
      <c r="K39" s="154"/>
      <c r="L39" s="154"/>
      <c r="M39" s="154"/>
      <c r="N39" s="154"/>
      <c r="O39" s="154"/>
      <c r="P39" s="154"/>
      <c r="Q39" s="154"/>
      <c r="R39" s="154"/>
      <c r="S39" s="154"/>
      <c r="T39" s="154"/>
      <c r="U39" s="154"/>
      <c r="V39" s="154"/>
      <c r="W39" s="154"/>
    </row>
    <row r="40" spans="1:25" s="11" customFormat="1" ht="15" customHeight="1" x14ac:dyDescent="0.35">
      <c r="A40" s="400" t="s">
        <v>298</v>
      </c>
      <c r="B40" s="158" t="str">
        <f>Input!A51</f>
        <v>RAP 1</v>
      </c>
      <c r="C40" s="154"/>
      <c r="D40" s="159"/>
      <c r="E40" s="159"/>
      <c r="F40" s="159"/>
      <c r="G40" s="159"/>
      <c r="H40" s="159"/>
      <c r="I40" s="159"/>
      <c r="J40" s="159"/>
      <c r="K40" s="159"/>
      <c r="L40" s="159"/>
      <c r="M40" s="159"/>
      <c r="N40" s="159"/>
      <c r="O40" s="159"/>
      <c r="P40" s="159"/>
      <c r="Q40" s="159"/>
      <c r="R40" s="159"/>
      <c r="S40" s="159"/>
      <c r="T40" s="159"/>
      <c r="U40" s="159"/>
      <c r="V40" s="159"/>
      <c r="W40" s="159"/>
      <c r="Y40"/>
    </row>
    <row r="41" spans="1:25" s="11" customFormat="1" ht="24" customHeight="1" x14ac:dyDescent="0.35">
      <c r="A41" s="400"/>
      <c r="B41" s="158" t="str">
        <f>Input!A52</f>
        <v>RAP 2</v>
      </c>
      <c r="C41" s="154"/>
      <c r="D41" s="159"/>
      <c r="E41" s="159"/>
      <c r="F41" s="159"/>
      <c r="G41" s="159"/>
      <c r="H41" s="159"/>
      <c r="I41" s="159"/>
      <c r="J41" s="159"/>
      <c r="K41" s="159"/>
      <c r="L41" s="159"/>
      <c r="M41" s="159"/>
      <c r="N41" s="159"/>
      <c r="O41" s="159"/>
      <c r="P41" s="159"/>
      <c r="Q41" s="159"/>
      <c r="R41" s="159"/>
      <c r="S41" s="159"/>
      <c r="T41" s="159"/>
      <c r="U41" s="159"/>
      <c r="V41" s="159"/>
      <c r="W41" s="159"/>
      <c r="Y41"/>
    </row>
    <row r="42" spans="1:25" ht="23.5" customHeight="1" x14ac:dyDescent="0.35">
      <c r="A42" s="401" t="s">
        <v>299</v>
      </c>
      <c r="B42" s="158" t="str">
        <f>Input!A53</f>
        <v>Other_waste 1</v>
      </c>
      <c r="C42" s="154"/>
      <c r="D42" s="154"/>
      <c r="E42" s="154"/>
      <c r="F42" s="154"/>
      <c r="G42" s="154"/>
      <c r="H42" s="154"/>
      <c r="I42" s="154"/>
      <c r="J42" s="154"/>
      <c r="K42" s="154"/>
      <c r="L42" s="154"/>
      <c r="M42" s="154"/>
      <c r="N42" s="154"/>
      <c r="O42" s="154"/>
      <c r="P42" s="154"/>
      <c r="Q42" s="154"/>
      <c r="R42" s="154"/>
      <c r="S42" s="154"/>
      <c r="T42" s="154"/>
      <c r="U42" s="154"/>
      <c r="V42" s="154"/>
      <c r="W42" s="154"/>
    </row>
    <row r="43" spans="1:25" x14ac:dyDescent="0.35">
      <c r="A43" s="401"/>
      <c r="B43" s="158" t="str">
        <f>Input!A54</f>
        <v>Other_waste 2</v>
      </c>
      <c r="C43" s="154"/>
      <c r="D43" s="154"/>
      <c r="E43" s="154"/>
      <c r="F43" s="154"/>
      <c r="G43" s="154"/>
      <c r="H43" s="154"/>
      <c r="I43" s="154"/>
      <c r="J43" s="154"/>
      <c r="K43" s="154"/>
      <c r="L43" s="154"/>
      <c r="M43" s="154"/>
      <c r="N43" s="154"/>
      <c r="O43" s="154"/>
      <c r="P43" s="154"/>
      <c r="Q43" s="154"/>
      <c r="R43" s="154"/>
      <c r="S43" s="154"/>
      <c r="T43" s="154"/>
      <c r="U43" s="154"/>
      <c r="V43" s="154"/>
      <c r="W43" s="154"/>
    </row>
    <row r="44" spans="1:25" x14ac:dyDescent="0.35">
      <c r="A44" s="401" t="s">
        <v>261</v>
      </c>
      <c r="B44" s="158" t="str">
        <f>Input!A55</f>
        <v>Additive 1</v>
      </c>
      <c r="C44" s="154"/>
      <c r="D44" s="154"/>
      <c r="E44" s="154"/>
      <c r="F44" s="154"/>
      <c r="G44" s="154"/>
      <c r="H44" s="154"/>
      <c r="I44" s="154"/>
      <c r="J44" s="154"/>
      <c r="K44" s="154"/>
      <c r="L44" s="154"/>
      <c r="M44" s="154"/>
      <c r="N44" s="154"/>
      <c r="O44" s="154"/>
      <c r="P44" s="154"/>
      <c r="Q44" s="154"/>
      <c r="R44" s="154"/>
      <c r="S44" s="154"/>
      <c r="T44" s="154"/>
      <c r="U44" s="154"/>
      <c r="V44" s="154"/>
      <c r="W44" s="154"/>
    </row>
    <row r="45" spans="1:25" x14ac:dyDescent="0.35">
      <c r="A45" s="401"/>
      <c r="B45" s="158" t="str">
        <f>Input!A56</f>
        <v>Additive 2</v>
      </c>
      <c r="C45" s="154"/>
      <c r="D45" s="154"/>
      <c r="E45" s="154"/>
      <c r="F45" s="154"/>
      <c r="G45" s="154"/>
      <c r="H45" s="154"/>
      <c r="I45" s="154"/>
      <c r="J45" s="154"/>
      <c r="K45" s="154"/>
      <c r="L45" s="154"/>
      <c r="M45" s="154"/>
      <c r="N45" s="154"/>
      <c r="O45" s="154"/>
      <c r="P45" s="154"/>
      <c r="Q45" s="154"/>
      <c r="R45" s="154"/>
      <c r="S45" s="154"/>
      <c r="T45" s="154"/>
      <c r="U45" s="154"/>
      <c r="V45" s="154"/>
      <c r="W45" s="154"/>
    </row>
    <row r="46" spans="1:25" x14ac:dyDescent="0.35">
      <c r="A46" s="401"/>
      <c r="B46" s="158" t="str">
        <f>Input!A57</f>
        <v>Additive 3</v>
      </c>
      <c r="C46" s="154"/>
      <c r="D46" s="154"/>
      <c r="E46" s="154"/>
      <c r="F46" s="154"/>
      <c r="G46" s="154"/>
      <c r="H46" s="154"/>
      <c r="I46" s="154"/>
      <c r="J46" s="154"/>
      <c r="K46" s="154"/>
      <c r="L46" s="154"/>
      <c r="M46" s="154"/>
      <c r="N46" s="154"/>
      <c r="O46" s="154"/>
      <c r="P46" s="154"/>
      <c r="Q46" s="154"/>
      <c r="R46" s="154"/>
      <c r="S46" s="154"/>
      <c r="T46" s="154"/>
      <c r="U46" s="154"/>
      <c r="V46" s="154"/>
      <c r="W46" s="154"/>
    </row>
    <row r="47" spans="1:25" x14ac:dyDescent="0.35">
      <c r="A47" s="1" t="s">
        <v>200</v>
      </c>
      <c r="B47" s="154"/>
      <c r="C47" s="154">
        <f>SUM(C28:C46)</f>
        <v>0</v>
      </c>
      <c r="D47" s="154"/>
      <c r="E47" s="154">
        <f t="shared" ref="E47:W47" si="1">SUM(E28:E46)</f>
        <v>0</v>
      </c>
      <c r="F47" s="154">
        <f t="shared" si="1"/>
        <v>0</v>
      </c>
      <c r="G47" s="154">
        <f t="shared" si="1"/>
        <v>0</v>
      </c>
      <c r="H47" s="154">
        <f t="shared" si="1"/>
        <v>0</v>
      </c>
      <c r="I47" s="154">
        <f t="shared" si="1"/>
        <v>0</v>
      </c>
      <c r="J47" s="154">
        <f t="shared" si="1"/>
        <v>0</v>
      </c>
      <c r="K47" s="154">
        <f t="shared" si="1"/>
        <v>0</v>
      </c>
      <c r="L47" s="154">
        <f t="shared" si="1"/>
        <v>0</v>
      </c>
      <c r="M47" s="154">
        <f t="shared" si="1"/>
        <v>0</v>
      </c>
      <c r="N47" s="154">
        <f t="shared" si="1"/>
        <v>0</v>
      </c>
      <c r="O47" s="154">
        <f t="shared" si="1"/>
        <v>0</v>
      </c>
      <c r="P47" s="154">
        <f t="shared" si="1"/>
        <v>0</v>
      </c>
      <c r="Q47" s="154">
        <f t="shared" si="1"/>
        <v>0</v>
      </c>
      <c r="R47" s="154">
        <f t="shared" si="1"/>
        <v>0</v>
      </c>
      <c r="S47" s="154">
        <f t="shared" si="1"/>
        <v>0</v>
      </c>
      <c r="T47" s="154">
        <f t="shared" si="1"/>
        <v>0</v>
      </c>
      <c r="U47" s="154">
        <f t="shared" si="1"/>
        <v>0</v>
      </c>
      <c r="V47" s="154">
        <f t="shared" si="1"/>
        <v>0</v>
      </c>
      <c r="W47" s="154">
        <f t="shared" si="1"/>
        <v>0</v>
      </c>
    </row>
    <row r="50" spans="1:25" ht="23.5" x14ac:dyDescent="0.55000000000000004">
      <c r="A50" s="100" t="s">
        <v>302</v>
      </c>
    </row>
    <row r="51" spans="1:25" x14ac:dyDescent="0.35">
      <c r="A51" t="s">
        <v>303</v>
      </c>
    </row>
    <row r="53" spans="1:25" ht="86.5" customHeight="1" x14ac:dyDescent="0.35">
      <c r="A53" s="384" t="s">
        <v>304</v>
      </c>
      <c r="B53" s="384"/>
      <c r="C53" s="384"/>
      <c r="D53" s="384"/>
      <c r="E53" s="294" t="s">
        <v>279</v>
      </c>
      <c r="F53" s="294" t="s">
        <v>280</v>
      </c>
      <c r="G53" s="294" t="s">
        <v>281</v>
      </c>
      <c r="H53" s="294" t="s">
        <v>282</v>
      </c>
      <c r="I53" s="294" t="s">
        <v>283</v>
      </c>
      <c r="J53" s="294" t="s">
        <v>284</v>
      </c>
      <c r="K53" s="294" t="s">
        <v>285</v>
      </c>
      <c r="L53" s="294" t="s">
        <v>286</v>
      </c>
      <c r="M53" s="294" t="s">
        <v>287</v>
      </c>
      <c r="N53" s="294" t="s">
        <v>288</v>
      </c>
      <c r="O53" s="294" t="s">
        <v>289</v>
      </c>
      <c r="P53" s="294" t="s">
        <v>290</v>
      </c>
      <c r="Q53" s="294" t="s">
        <v>291</v>
      </c>
      <c r="R53" s="294" t="s">
        <v>292</v>
      </c>
      <c r="S53" s="294" t="s">
        <v>293</v>
      </c>
      <c r="T53" s="294" t="s">
        <v>294</v>
      </c>
      <c r="U53" s="294" t="s">
        <v>295</v>
      </c>
      <c r="V53" s="294" t="s">
        <v>296</v>
      </c>
      <c r="W53" s="294" t="s">
        <v>297</v>
      </c>
    </row>
    <row r="54" spans="1:25" x14ac:dyDescent="0.35">
      <c r="A54" s="403" t="s">
        <v>305</v>
      </c>
      <c r="B54" s="403"/>
      <c r="C54" s="403"/>
      <c r="D54" s="403"/>
      <c r="E54" s="154">
        <f>E23+E47</f>
        <v>8.0534712888760032E-2</v>
      </c>
      <c r="F54" s="154">
        <f t="shared" ref="F54:W54" si="2">F23+F47</f>
        <v>14.97120941098617</v>
      </c>
      <c r="G54" s="154">
        <f t="shared" si="2"/>
        <v>0.16297154327773888</v>
      </c>
      <c r="H54" s="154">
        <f t="shared" si="2"/>
        <v>14.808843112853497</v>
      </c>
      <c r="I54" s="154">
        <f t="shared" si="2"/>
        <v>7.4831548549377522E-3</v>
      </c>
      <c r="J54" s="154">
        <f t="shared" si="2"/>
        <v>650.18825721666656</v>
      </c>
      <c r="K54" s="154">
        <f t="shared" si="2"/>
        <v>1058.8754990263419</v>
      </c>
      <c r="L54" s="154">
        <f t="shared" si="2"/>
        <v>5.3015648842928654E-4</v>
      </c>
      <c r="M54" s="154">
        <f t="shared" si="2"/>
        <v>2.4586447930468547E-2</v>
      </c>
      <c r="N54" s="154">
        <f t="shared" si="2"/>
        <v>0.29877826339714175</v>
      </c>
      <c r="O54" s="154">
        <f t="shared" si="2"/>
        <v>1.1757070228563087E-8</v>
      </c>
      <c r="P54" s="154">
        <f t="shared" si="2"/>
        <v>3.431290953382395E-7</v>
      </c>
      <c r="Q54" s="154">
        <f t="shared" si="2"/>
        <v>0.44489084391767142</v>
      </c>
      <c r="R54" s="154">
        <f t="shared" si="2"/>
        <v>401.39468881796523</v>
      </c>
      <c r="S54" s="154">
        <f t="shared" si="2"/>
        <v>2.0795783695376033E-4</v>
      </c>
      <c r="T54" s="154">
        <f t="shared" si="2"/>
        <v>4.6319126062617698E-8</v>
      </c>
      <c r="U54" s="154">
        <f t="shared" si="2"/>
        <v>1.3363575705040778E-6</v>
      </c>
      <c r="V54" s="154">
        <f t="shared" si="2"/>
        <v>9.2082658373174656E-2</v>
      </c>
      <c r="W54" s="154">
        <f t="shared" si="2"/>
        <v>4.2633212054643304</v>
      </c>
    </row>
    <row r="57" spans="1:25" x14ac:dyDescent="0.35">
      <c r="A57" t="s">
        <v>306</v>
      </c>
    </row>
    <row r="59" spans="1:25" x14ac:dyDescent="0.35">
      <c r="E59" s="68"/>
    </row>
    <row r="61" spans="1:25" ht="23.5" x14ac:dyDescent="0.55000000000000004">
      <c r="A61" s="100" t="s">
        <v>307</v>
      </c>
    </row>
    <row r="63" spans="1:25" x14ac:dyDescent="0.35">
      <c r="B63" s="378" t="s">
        <v>221</v>
      </c>
      <c r="C63" s="387"/>
      <c r="D63" s="387"/>
      <c r="E63" s="387"/>
      <c r="F63" s="387"/>
      <c r="G63" s="387"/>
      <c r="H63" s="387"/>
      <c r="I63" s="387"/>
      <c r="J63" s="387"/>
      <c r="K63" s="387"/>
      <c r="L63" s="387" t="s">
        <v>308</v>
      </c>
      <c r="M63" s="387"/>
      <c r="N63" s="379"/>
      <c r="O63" s="104" t="s">
        <v>266</v>
      </c>
      <c r="P63" s="378" t="s">
        <v>213</v>
      </c>
      <c r="Q63" s="387"/>
      <c r="R63" s="379"/>
      <c r="S63" s="378" t="s">
        <v>309</v>
      </c>
      <c r="T63" s="387"/>
      <c r="U63" s="379"/>
      <c r="V63" s="380" t="s">
        <v>215</v>
      </c>
      <c r="W63" s="380"/>
      <c r="X63" s="380"/>
      <c r="Y63" s="380"/>
    </row>
    <row r="64" spans="1:25" ht="43.5" x14ac:dyDescent="0.35">
      <c r="B64" s="103" t="s">
        <v>62</v>
      </c>
      <c r="C64" s="103" t="s">
        <v>65</v>
      </c>
      <c r="D64" s="103" t="s">
        <v>66</v>
      </c>
      <c r="E64" s="103" t="s">
        <v>67</v>
      </c>
      <c r="F64" s="103" t="s">
        <v>71</v>
      </c>
      <c r="G64" s="103" t="s">
        <v>72</v>
      </c>
      <c r="H64" s="103" t="s">
        <v>73</v>
      </c>
      <c r="I64" s="103" t="s">
        <v>75</v>
      </c>
      <c r="J64" s="103" t="s">
        <v>76</v>
      </c>
      <c r="K64" s="103" t="s">
        <v>310</v>
      </c>
      <c r="L64" s="104" t="s">
        <v>311</v>
      </c>
      <c r="M64" s="104" t="s">
        <v>312</v>
      </c>
      <c r="N64" s="104" t="s">
        <v>313</v>
      </c>
      <c r="O64" s="104" t="s">
        <v>200</v>
      </c>
      <c r="P64" s="249" t="s">
        <v>81</v>
      </c>
      <c r="Q64" s="249" t="s">
        <v>83</v>
      </c>
      <c r="R64" s="249" t="s">
        <v>314</v>
      </c>
      <c r="S64" s="104" t="s">
        <v>315</v>
      </c>
      <c r="T64" s="104" t="s">
        <v>316</v>
      </c>
      <c r="U64" s="104" t="s">
        <v>323</v>
      </c>
      <c r="V64" s="104" t="s">
        <v>90</v>
      </c>
      <c r="W64" s="104" t="s">
        <v>93</v>
      </c>
      <c r="X64" s="104" t="s">
        <v>95</v>
      </c>
      <c r="Y64" s="104" t="s">
        <v>317</v>
      </c>
    </row>
    <row r="65" spans="1:25" x14ac:dyDescent="0.35">
      <c r="A65" s="1" t="s">
        <v>318</v>
      </c>
      <c r="B65" s="158">
        <f>INDEX(LCI!H$2:H$130,MATCH('A1 - Raw Material Supply'!$B5,LCI!$D$2:$D$130,0))*$C5</f>
        <v>2.7762888003827727E-3</v>
      </c>
      <c r="C65" s="158">
        <f>INDEX(LCI!H$2:H$130,MATCH('A1 - Raw Material Supply'!$B6,LCI!$D$2:$D$130,0))*$C6</f>
        <v>5.5525776007655453E-3</v>
      </c>
      <c r="D65" s="158">
        <f>INDEX(LCI!H$2:H$130,MATCH('A1 - Raw Material Supply'!$B7,LCI!$D$2:$D$130,0))*$C7</f>
        <v>1.9216273461472918E-2</v>
      </c>
      <c r="E65" s="158">
        <f>INDEX(LCI!H$2:H$130,MATCH('A1 - Raw Material Supply'!$B8,LCI!$D$2:$D$130,0))*$C8</f>
        <v>0</v>
      </c>
      <c r="F65" s="158">
        <f>INDEX(LCI!H$2:H$130,MATCH('A1 - Raw Material Supply'!$B9,LCI!$D$2:$D$130,0))*$C9</f>
        <v>0</v>
      </c>
      <c r="G65" s="158">
        <f>INDEX(LCI!H$2:H$130,MATCH('A1 - Raw Material Supply'!$B10,LCI!$D$2:$D$130,0))*$C10</f>
        <v>0</v>
      </c>
      <c r="H65" s="158">
        <f>INDEX(LCI!H$2:H$130,MATCH('A1 - Raw Material Supply'!$B11,LCI!$D$2:$D$130,0))*$C11</f>
        <v>7.0343064141551023E-3</v>
      </c>
      <c r="I65" s="158">
        <f>INDEX(LCI!H$2:H$130,MATCH('A1 - Raw Material Supply'!$B12,LCI!$D$2:$D$130,0))*$C12</f>
        <v>0</v>
      </c>
      <c r="J65" s="158">
        <f>INDEX(LCI!H$2:H$130,MATCH('A1 - Raw Material Supply'!$B13,LCI!$D$2:$D$130,0))*$C13</f>
        <v>0</v>
      </c>
      <c r="K65" s="154">
        <f>SUM(B65:J65)</f>
        <v>3.4579446276776338E-2</v>
      </c>
      <c r="L65" s="158" cm="1">
        <f t="array" ref="L65">INDEX(LCI!H$2:H$130,MATCH('A1 - Raw Material Supply'!$B$14&amp;'A1 - Raw Material Supply'!$D$14,LCI!$B$2:$B$130&amp;LCI!$D$2:$D$130,0))*$C14</f>
        <v>9.3081697010435698E-4</v>
      </c>
      <c r="M65" s="158" cm="1">
        <f t="array" ref="M65">INDEX(LCI!H$2:H$130,MATCH('A1 - Raw Material Supply'!$B$15&amp;'A1 - Raw Material Supply'!$D$15,LCI!$B$2:$B$130&amp;LCI!$D$2:$D$130,0))*$C15</f>
        <v>1.6923944910988309E-3</v>
      </c>
      <c r="N65" s="154">
        <f>L65+M65</f>
        <v>2.6232114612031879E-3</v>
      </c>
      <c r="O65" s="158" cm="1">
        <f t="array" ref="O65">INDEX(LCI!H$2:H$137,MATCH('A1 - Raw Material Supply'!$B4&amp;'A1 - Raw Material Supply'!$D4,LCI!$B2:$B137&amp;LCI!$D2:$D137,0))*$C4</f>
        <v>3.8115199999999995E-2</v>
      </c>
      <c r="P65" s="159"/>
      <c r="Q65" s="159"/>
      <c r="R65" s="154"/>
      <c r="S65" s="158"/>
      <c r="T65" s="158"/>
      <c r="U65" s="154"/>
      <c r="V65" s="158" cm="1">
        <f t="array" ref="V65">INDEX(LCI!H$2:H$130,MATCH('A1 - Raw Material Supply'!$B$20&amp;'A1 - Raw Material Supply'!$D$20,LCI!$B$2:$B$130&amp;LCI!$D$2:$D$130,0))*$C$20</f>
        <v>5.2168551507805029E-3</v>
      </c>
      <c r="W65" s="158" cm="1">
        <f t="array" ref="W65">INDEX(LCI!H$2:H$130,MATCH('A1 - Raw Material Supply'!$B$21&amp;'A1 - Raw Material Supply'!$D$21,LCI!$B$2:$B$130&amp;LCI!$D$2:$D$130,0))*$C$21</f>
        <v>0</v>
      </c>
      <c r="X65" s="158" cm="1">
        <f t="array" ref="X65">INDEX(LCI!H$2:H$130,MATCH('A1 - Raw Material Supply'!$B$22&amp;'A1 - Raw Material Supply'!$D$22,LCI!$B$2:$B$130&amp;LCI!$D$2:$D$130,0))*$C$22</f>
        <v>0</v>
      </c>
      <c r="Y65" s="154">
        <f>V65+W65+X65</f>
        <v>5.2168551507805029E-3</v>
      </c>
    </row>
    <row r="66" spans="1:25" x14ac:dyDescent="0.35">
      <c r="A66" s="1" t="s">
        <v>280</v>
      </c>
      <c r="B66" s="158">
        <f>INDEX(LCI!I$2:I$130,MATCH('A1 - Raw Material Supply'!$B5,LCI!$D$2:$D$130,0))*$C5</f>
        <v>0.14427457329700158</v>
      </c>
      <c r="C66" s="158">
        <f>INDEX(LCI!I$2:I$130,MATCH('A1 - Raw Material Supply'!$B6,LCI!$D$2:$D$130,0))*$C6</f>
        <v>0.28854914659400316</v>
      </c>
      <c r="D66" s="158">
        <f>INDEX(LCI!I$2:I$130,MATCH('A1 - Raw Material Supply'!$B7,LCI!$D$2:$D$130,0))*$C7</f>
        <v>0.99860636027140315</v>
      </c>
      <c r="E66" s="158">
        <f>INDEX(LCI!I$2:I$130,MATCH('A1 - Raw Material Supply'!$B8,LCI!$D$2:$D$130,0))*$C8</f>
        <v>0</v>
      </c>
      <c r="F66" s="158">
        <f>INDEX(LCI!I$2:I$130,MATCH('A1 - Raw Material Supply'!$B9,LCI!$D$2:$D$130,0))*$C9</f>
        <v>0</v>
      </c>
      <c r="G66" s="158">
        <f>INDEX(LCI!I$2:I$130,MATCH('A1 - Raw Material Supply'!$B10,LCI!$D$2:$D$130,0))*$C10</f>
        <v>0</v>
      </c>
      <c r="H66" s="158">
        <f>INDEX(LCI!I$2:I$130,MATCH('A1 - Raw Material Supply'!$B11,LCI!$D$2:$D$130,0))*$C11</f>
        <v>0.79787171992965111</v>
      </c>
      <c r="I66" s="158">
        <f>INDEX(LCI!I$2:I$130,MATCH('A1 - Raw Material Supply'!$B12,LCI!$D$2:$D$130,0))*$C12</f>
        <v>0</v>
      </c>
      <c r="J66" s="158">
        <f>INDEX(LCI!I$2:I$130,MATCH('A1 - Raw Material Supply'!$B13,LCI!$D$2:$D$130,0))*$C13</f>
        <v>0</v>
      </c>
      <c r="K66" s="154">
        <f t="shared" ref="K66:K83" si="3">SUM(B66:J66)</f>
        <v>2.2293018000920592</v>
      </c>
      <c r="L66" s="158" cm="1">
        <f t="array" ref="L66">INDEX(LCI!I$2:I$130,MATCH('A1 - Raw Material Supply'!$B$14&amp;'A1 - Raw Material Supply'!$D$14,LCI!$B$2:$B$130&amp;LCI!$D$2:$D$130,0))*$C14</f>
        <v>0.12166438176342087</v>
      </c>
      <c r="M66" s="158" cm="1">
        <f t="array" ref="M66">INDEX(LCI!I$2:I$130,MATCH('A1 - Raw Material Supply'!$B$15&amp;'A1 - Raw Material Supply'!$D$15,LCI!$B$2:$B$130&amp;LCI!$D$2:$D$130,0))*$C15</f>
        <v>0.22120796684258343</v>
      </c>
      <c r="N66" s="154">
        <f t="shared" ref="N66:N83" si="4">L66+M66</f>
        <v>0.3428723486060043</v>
      </c>
      <c r="O66" s="158" cm="1">
        <f t="array" ref="O66">INDEX(LCI!I$2:I$137,MATCH('A1 - Raw Material Supply'!$B4&amp;'A1 - Raw Material Supply'!$D4,LCI!$B2:$B137&amp;LCI!$D2:$D137,0))*$C4</f>
        <v>11.7448</v>
      </c>
      <c r="P66" s="159"/>
      <c r="Q66" s="159"/>
      <c r="R66" s="154"/>
      <c r="S66" s="158"/>
      <c r="T66" s="158"/>
      <c r="U66" s="154"/>
      <c r="V66" s="158" cm="1">
        <f t="array" ref="V66">INDEX(LCI!I$2:I$130,MATCH('A1 - Raw Material Supply'!$B$20&amp;'A1 - Raw Material Supply'!$D$20,LCI!$B$2:$B$130&amp;LCI!$D$2:$D$130,0))*$C$20</f>
        <v>0.65423526228811013</v>
      </c>
      <c r="W66" s="158" cm="1">
        <f t="array" ref="W66">INDEX(LCI!I$2:I$130,MATCH('A1 - Raw Material Supply'!$B$21&amp;'A1 - Raw Material Supply'!$D$21,LCI!$B$2:$B$130&amp;LCI!$D$2:$D$130,0))*$C$21</f>
        <v>0</v>
      </c>
      <c r="X66" s="158" cm="1">
        <f t="array" ref="X66">INDEX(LCI!I$2:I$130,MATCH('A1 - Raw Material Supply'!$B$22&amp;'A1 - Raw Material Supply'!$D$22,LCI!$B$2:$B$130&amp;LCI!$D$2:$D$130,0))*$C$22</f>
        <v>0</v>
      </c>
      <c r="Y66" s="154">
        <f t="shared" ref="Y66:Y83" si="5">V66+W66+X66</f>
        <v>0.65423526228811013</v>
      </c>
    </row>
    <row r="67" spans="1:25" x14ac:dyDescent="0.35">
      <c r="A67" s="1" t="s">
        <v>281</v>
      </c>
      <c r="B67" s="158">
        <f>INDEX(LCI!J$2:J$130,MATCH('A1 - Raw Material Supply'!$B5,LCI!$D$2:$D$130,0))*$C5</f>
        <v>4.4470544623162093E-4</v>
      </c>
      <c r="C67" s="158">
        <f>INDEX(LCI!J$2:J$130,MATCH('A1 - Raw Material Supply'!$B6,LCI!$D$2:$D$130,0))*$C6</f>
        <v>8.8941089246324186E-4</v>
      </c>
      <c r="D67" s="158">
        <f>INDEX(LCI!J$2:J$130,MATCH('A1 - Raw Material Supply'!$B7,LCI!$D$2:$D$130,0))*$C7</f>
        <v>3.0780592650933762E-3</v>
      </c>
      <c r="E67" s="158">
        <f>INDEX(LCI!J$2:J$130,MATCH('A1 - Raw Material Supply'!$B8,LCI!$D$2:$D$130,0))*$C8</f>
        <v>0</v>
      </c>
      <c r="F67" s="158">
        <f>INDEX(LCI!J$2:J$130,MATCH('A1 - Raw Material Supply'!$B9,LCI!$D$2:$D$130,0))*$C9</f>
        <v>0</v>
      </c>
      <c r="G67" s="158">
        <f>INDEX(LCI!J$2:J$130,MATCH('A1 - Raw Material Supply'!$B10,LCI!$D$2:$D$130,0))*$C10</f>
        <v>0</v>
      </c>
      <c r="H67" s="158">
        <f>INDEX(LCI!J$2:J$130,MATCH('A1 - Raw Material Supply'!$B11,LCI!$D$2:$D$130,0))*$C11</f>
        <v>-1.9195362653428194E-4</v>
      </c>
      <c r="I67" s="158">
        <f>INDEX(LCI!J$2:J$130,MATCH('A1 - Raw Material Supply'!$B12,LCI!$D$2:$D$130,0))*$C12</f>
        <v>0</v>
      </c>
      <c r="J67" s="158">
        <f>INDEX(LCI!J$2:J$130,MATCH('A1 - Raw Material Supply'!$B13,LCI!$D$2:$D$130,0))*$C13</f>
        <v>0</v>
      </c>
      <c r="K67" s="154">
        <f t="shared" si="3"/>
        <v>4.2202219772539571E-3</v>
      </c>
      <c r="L67" s="158" cm="1">
        <f t="array" ref="L67">INDEX(LCI!J$2:J$130,MATCH('A1 - Raw Material Supply'!$B$14&amp;'A1 - Raw Material Supply'!$D$14,LCI!$B$2:$B$130&amp;LCI!$D$2:$D$130,0))*$C14</f>
        <v>1.8973973943732778E-3</v>
      </c>
      <c r="M67" s="158" cm="1">
        <f t="array" ref="M67">INDEX(LCI!J$2:J$130,MATCH('A1 - Raw Material Supply'!$B$15&amp;'A1 - Raw Material Supply'!$D$15,LCI!$B$2:$B$130&amp;LCI!$D$2:$D$130,0))*$C15</f>
        <v>3.4498134443150508E-3</v>
      </c>
      <c r="N67" s="154">
        <f t="shared" si="4"/>
        <v>5.3472108386883287E-3</v>
      </c>
      <c r="O67" s="158" cm="1">
        <f t="array" ref="O67">INDEX(LCI!J$2:J$137,MATCH('A1 - Raw Material Supply'!$B4&amp;'A1 - Raw Material Supply'!$D4,LCI!$B2:$B137&amp;LCI!$D2:$D137,0))*$C4</f>
        <v>4.6536000000000001E-2</v>
      </c>
      <c r="P67" s="159"/>
      <c r="Q67" s="159"/>
      <c r="R67" s="154"/>
      <c r="S67" s="158"/>
      <c r="T67" s="158"/>
      <c r="U67" s="154"/>
      <c r="V67" s="158" cm="1">
        <f t="array" ref="V67">INDEX(LCI!J$2:J$130,MATCH('A1 - Raw Material Supply'!$B$20&amp;'A1 - Raw Material Supply'!$D$20,LCI!$B$2:$B$130&amp;LCI!$D$2:$D$130,0))*$C$20</f>
        <v>0.1068681104617966</v>
      </c>
      <c r="W67" s="158" cm="1">
        <f t="array" ref="W67">INDEX(LCI!J$2:J$130,MATCH('A1 - Raw Material Supply'!$B$21&amp;'A1 - Raw Material Supply'!$D$21,LCI!$B$2:$B$130&amp;LCI!$D$2:$D$130,0))*$C$21</f>
        <v>0</v>
      </c>
      <c r="X67" s="158" cm="1">
        <f t="array" ref="X67">INDEX(LCI!J$2:J$130,MATCH('A1 - Raw Material Supply'!$B$22&amp;'A1 - Raw Material Supply'!$D$22,LCI!$B$2:$B$130&amp;LCI!$D$2:$D$130,0))*$C$22</f>
        <v>0</v>
      </c>
      <c r="Y67" s="154">
        <f t="shared" si="5"/>
        <v>0.1068681104617966</v>
      </c>
    </row>
    <row r="68" spans="1:25" x14ac:dyDescent="0.35">
      <c r="A68" s="1" t="s">
        <v>282</v>
      </c>
      <c r="B68" s="158">
        <f>INDEX(LCI!K$2:K$130,MATCH('A1 - Raw Material Supply'!$B5,LCI!$D$2:$D$130,0))*$C5</f>
        <v>0.1437824406807699</v>
      </c>
      <c r="C68" s="158">
        <f>INDEX(LCI!K$2:K$130,MATCH('A1 - Raw Material Supply'!$B6,LCI!$D$2:$D$130,0))*$C6</f>
        <v>0.28756488136153979</v>
      </c>
      <c r="D68" s="158">
        <f>INDEX(LCI!K$2:K$130,MATCH('A1 - Raw Material Supply'!$B7,LCI!$D$2:$D$130,0))*$C7</f>
        <v>0.99520003059434847</v>
      </c>
      <c r="E68" s="158">
        <f>INDEX(LCI!K$2:K$130,MATCH('A1 - Raw Material Supply'!$B8,LCI!$D$2:$D$130,0))*$C8</f>
        <v>0</v>
      </c>
      <c r="F68" s="158">
        <f>INDEX(LCI!K$2:K$130,MATCH('A1 - Raw Material Supply'!$B9,LCI!$D$2:$D$130,0))*$C9</f>
        <v>0</v>
      </c>
      <c r="G68" s="158">
        <f>INDEX(LCI!K$2:K$130,MATCH('A1 - Raw Material Supply'!$B10,LCI!$D$2:$D$130,0))*$C10</f>
        <v>0</v>
      </c>
      <c r="H68" s="158">
        <f>INDEX(LCI!K$2:K$130,MATCH('A1 - Raw Material Supply'!$B11,LCI!$D$2:$D$130,0))*$C11</f>
        <v>0.79795387547915309</v>
      </c>
      <c r="I68" s="158">
        <f>INDEX(LCI!K$2:K$130,MATCH('A1 - Raw Material Supply'!$B12,LCI!$D$2:$D$130,0))*$C12</f>
        <v>0</v>
      </c>
      <c r="J68" s="158">
        <f>INDEX(LCI!K$2:K$130,MATCH('A1 - Raw Material Supply'!$B13,LCI!$D$2:$D$130,0))*$C13</f>
        <v>0</v>
      </c>
      <c r="K68" s="154">
        <f t="shared" si="3"/>
        <v>2.2245012281158112</v>
      </c>
      <c r="L68" s="158" cm="1">
        <f t="array" ref="L68">INDEX(LCI!K$2:K$130,MATCH('A1 - Raw Material Supply'!$B$14&amp;'A1 - Raw Material Supply'!$D$14,LCI!$B$2:$B$130&amp;LCI!$D$2:$D$130,0))*$C14</f>
        <v>0.11956136434225269</v>
      </c>
      <c r="M68" s="158" cm="1">
        <f t="array" ref="M68">INDEX(LCI!K$2:K$130,MATCH('A1 - Raw Material Supply'!$B$15&amp;'A1 - Raw Material Supply'!$D$15,LCI!$B$2:$B$130&amp;LCI!$D$2:$D$130,0))*$C15</f>
        <v>0.21738429880409579</v>
      </c>
      <c r="N68" s="154">
        <f t="shared" si="4"/>
        <v>0.3369456631463485</v>
      </c>
      <c r="O68" s="158" cm="1">
        <f t="array" ref="O68">INDEX(LCI!K$2:K$137,MATCH('A1 - Raw Material Supply'!$B4&amp;'A1 - Raw Material Supply'!$D4,LCI!$B2:$B137&amp;LCI!$D2:$D137,0))*$C4</f>
        <v>11.700479999999999</v>
      </c>
      <c r="P68" s="159"/>
      <c r="Q68" s="159"/>
      <c r="R68" s="154"/>
      <c r="S68" s="158"/>
      <c r="T68" s="158"/>
      <c r="U68" s="154"/>
      <c r="V68" s="158" cm="1">
        <f t="array" ref="V68">INDEX(LCI!K$2:K$130,MATCH('A1 - Raw Material Supply'!$B$20&amp;'A1 - Raw Material Supply'!$D$20,LCI!$B$2:$B$130&amp;LCI!$D$2:$D$130,0))*$C$20</f>
        <v>0.5469162215913369</v>
      </c>
      <c r="W68" s="158" cm="1">
        <f t="array" ref="W68">INDEX(LCI!K$2:K$130,MATCH('A1 - Raw Material Supply'!$B$21&amp;'A1 - Raw Material Supply'!$D$21,LCI!$B$2:$B$130&amp;LCI!$D$2:$D$130,0))*$C$21</f>
        <v>0</v>
      </c>
      <c r="X68" s="158" cm="1">
        <f t="array" ref="X68">INDEX(LCI!K$2:K$130,MATCH('A1 - Raw Material Supply'!$B$22&amp;'A1 - Raw Material Supply'!$D$22,LCI!$B$2:$B$130&amp;LCI!$D$2:$D$130,0))*$C$22</f>
        <v>0</v>
      </c>
      <c r="Y68" s="154">
        <f t="shared" si="5"/>
        <v>0.5469162215913369</v>
      </c>
    </row>
    <row r="69" spans="1:25" x14ac:dyDescent="0.35">
      <c r="A69" s="1" t="s">
        <v>283</v>
      </c>
      <c r="B69" s="158">
        <f>INDEX(LCI!L$2:L$130,MATCH('A1 - Raw Material Supply'!$B5,LCI!$D$2:$D$130,0))*$C5</f>
        <v>4.7427170000057053E-5</v>
      </c>
      <c r="C69" s="158">
        <f>INDEX(LCI!L$2:L$130,MATCH('A1 - Raw Material Supply'!$B6,LCI!$D$2:$D$130,0))*$C6</f>
        <v>9.4854340000114106E-5</v>
      </c>
      <c r="D69" s="158">
        <f>INDEX(LCI!L$2:L$130,MATCH('A1 - Raw Material Supply'!$B7,LCI!$D$2:$D$130,0))*$C7</f>
        <v>3.2827041196117923E-4</v>
      </c>
      <c r="E69" s="158">
        <f>INDEX(LCI!L$2:L$130,MATCH('A1 - Raw Material Supply'!$B8,LCI!$D$2:$D$130,0))*$C8</f>
        <v>0</v>
      </c>
      <c r="F69" s="158">
        <f>INDEX(LCI!L$2:L$130,MATCH('A1 - Raw Material Supply'!$B9,LCI!$D$2:$D$130,0))*$C9</f>
        <v>0</v>
      </c>
      <c r="G69" s="158">
        <f>INDEX(LCI!L$2:L$130,MATCH('A1 - Raw Material Supply'!$B10,LCI!$D$2:$D$130,0))*$C10</f>
        <v>0</v>
      </c>
      <c r="H69" s="158">
        <f>INDEX(LCI!L$2:L$130,MATCH('A1 - Raw Material Supply'!$B11,LCI!$D$2:$D$130,0))*$C11</f>
        <v>1.0979807703255282E-4</v>
      </c>
      <c r="I69" s="158">
        <f>INDEX(LCI!L$2:L$130,MATCH('A1 - Raw Material Supply'!$B12,LCI!$D$2:$D$130,0))*$C12</f>
        <v>0</v>
      </c>
      <c r="J69" s="158">
        <f>INDEX(LCI!L$2:L$130,MATCH('A1 - Raw Material Supply'!$B13,LCI!$D$2:$D$130,0))*$C13</f>
        <v>0</v>
      </c>
      <c r="K69" s="154">
        <f t="shared" si="3"/>
        <v>5.8034999899390319E-4</v>
      </c>
      <c r="L69" s="158" cm="1">
        <f t="array" ref="L69">INDEX(LCI!L$2:L$130,MATCH('A1 - Raw Material Supply'!$B$14&amp;'A1 - Raw Material Supply'!$D$14,LCI!$B$2:$B$130&amp;LCI!$D$2:$D$130,0))*$C14</f>
        <v>2.0562002679489535E-4</v>
      </c>
      <c r="M69" s="158" cm="1">
        <f t="array" ref="M69">INDEX(LCI!L$2:L$130,MATCH('A1 - Raw Material Supply'!$B$15&amp;'A1 - Raw Material Supply'!$D$15,LCI!$B$2:$B$130&amp;LCI!$D$2:$D$130,0))*$C15</f>
        <v>3.7385459417253698E-4</v>
      </c>
      <c r="N69" s="154">
        <f t="shared" si="4"/>
        <v>5.7947462096743238E-4</v>
      </c>
      <c r="O69" s="158" cm="1">
        <f t="array" ref="O69">INDEX(LCI!L$2:L$137,MATCH('A1 - Raw Material Supply'!$B4&amp;'A1 - Raw Material Supply'!$D4,LCI!$B2:$B137&amp;LCI!$D2:$D137,0))*$C4</f>
        <v>5.8723999999999998E-3</v>
      </c>
      <c r="P69" s="159"/>
      <c r="Q69" s="159"/>
      <c r="R69" s="154"/>
      <c r="S69" s="158"/>
      <c r="T69" s="158"/>
      <c r="U69" s="154"/>
      <c r="V69" s="158" cm="1">
        <f t="array" ref="V69">INDEX(LCI!L$2:L$130,MATCH('A1 - Raw Material Supply'!$B$20&amp;'A1 - Raw Material Supply'!$D$20,LCI!$B$2:$B$130&amp;LCI!$D$2:$D$130,0))*$C$20</f>
        <v>4.5093023497641831E-4</v>
      </c>
      <c r="W69" s="158" cm="1">
        <f t="array" ref="W69">INDEX(LCI!L$2:L$130,MATCH('A1 - Raw Material Supply'!$B$21&amp;'A1 - Raw Material Supply'!$D$21,LCI!$B$2:$B$130&amp;LCI!$D$2:$D$130,0))*$C$21</f>
        <v>0</v>
      </c>
      <c r="X69" s="158" cm="1">
        <f t="array" ref="X69">INDEX(LCI!L$2:L$130,MATCH('A1 - Raw Material Supply'!$B$22&amp;'A1 - Raw Material Supply'!$D$22,LCI!$B$2:$B$130&amp;LCI!$D$2:$D$130,0))*$C$22</f>
        <v>0</v>
      </c>
      <c r="Y69" s="154">
        <f t="shared" si="5"/>
        <v>4.5093023497641831E-4</v>
      </c>
    </row>
    <row r="70" spans="1:25" x14ac:dyDescent="0.35">
      <c r="A70" s="1" t="s">
        <v>284</v>
      </c>
      <c r="B70" s="158">
        <f>INDEX(LCI!M$2:M$130,MATCH('A1 - Raw Material Supply'!$B5,LCI!$D$2:$D$130,0))*$C5</f>
        <v>1.4255993497652113</v>
      </c>
      <c r="C70" s="158">
        <f>INDEX(LCI!M$2:M$130,MATCH('A1 - Raw Material Supply'!$B6,LCI!$D$2:$D$130,0))*$C6</f>
        <v>2.8511986995304226</v>
      </c>
      <c r="D70" s="158">
        <f>INDEX(LCI!M$2:M$130,MATCH('A1 - Raw Material Supply'!$B7,LCI!$D$2:$D$130,0))*$C7</f>
        <v>9.8673837346494029</v>
      </c>
      <c r="E70" s="158">
        <f>INDEX(LCI!M$2:M$130,MATCH('A1 - Raw Material Supply'!$B8,LCI!$D$2:$D$130,0))*$C8</f>
        <v>0</v>
      </c>
      <c r="F70" s="158">
        <f>INDEX(LCI!M$2:M$130,MATCH('A1 - Raw Material Supply'!$B9,LCI!$D$2:$D$130,0))*$C9</f>
        <v>0</v>
      </c>
      <c r="G70" s="158">
        <f>INDEX(LCI!M$2:M$130,MATCH('A1 - Raw Material Supply'!$B10,LCI!$D$2:$D$130,0))*$C10</f>
        <v>0</v>
      </c>
      <c r="H70" s="158">
        <f>INDEX(LCI!M$2:M$130,MATCH('A1 - Raw Material Supply'!$B11,LCI!$D$2:$D$130,0))*$C11</f>
        <v>0.68141437889121736</v>
      </c>
      <c r="I70" s="158">
        <f>INDEX(LCI!M$2:M$130,MATCH('A1 - Raw Material Supply'!$B12,LCI!$D$2:$D$130,0))*$C12</f>
        <v>0</v>
      </c>
      <c r="J70" s="158">
        <f>INDEX(LCI!M$2:M$130,MATCH('A1 - Raw Material Supply'!$B13,LCI!$D$2:$D$130,0))*$C13</f>
        <v>0</v>
      </c>
      <c r="K70" s="154">
        <f t="shared" si="3"/>
        <v>14.825596162836254</v>
      </c>
      <c r="L70" s="158" cm="1">
        <f t="array" ref="L70">INDEX(LCI!M$2:M$130,MATCH('A1 - Raw Material Supply'!$B$14&amp;'A1 - Raw Material Supply'!$D$14,LCI!$B$2:$B$130&amp;LCI!$D$2:$D$130,0))*$C14</f>
        <v>0.37977548705269193</v>
      </c>
      <c r="M70" s="158" cm="1">
        <f t="array" ref="M70">INDEX(LCI!M$2:M$130,MATCH('A1 - Raw Material Supply'!$B$15&amp;'A1 - Raw Material Supply'!$D$15,LCI!$B$2:$B$130&amp;LCI!$D$2:$D$130,0))*$C15</f>
        <v>0.69050088555034905</v>
      </c>
      <c r="N70" s="154">
        <f t="shared" si="4"/>
        <v>1.0702763726030411</v>
      </c>
      <c r="O70" s="158" cm="1">
        <f t="array" ref="O70">INDEX(LCI!M$2:M$137,MATCH('A1 - Raw Material Supply'!$B4&amp;'A1 - Raw Material Supply'!$D4,LCI!$B2:$B137&amp;LCI!$D2:$D137,0))*$C4</f>
        <v>631.55999999999995</v>
      </c>
      <c r="P70" s="159"/>
      <c r="Q70" s="159"/>
      <c r="R70" s="154"/>
      <c r="S70" s="158"/>
      <c r="T70" s="158"/>
      <c r="U70" s="154"/>
      <c r="V70" s="158" cm="1">
        <f t="array" ref="V70">INDEX(LCI!M$2:M$130,MATCH('A1 - Raw Material Supply'!$B$20&amp;'A1 - Raw Material Supply'!$D$20,LCI!$B$2:$B$130&amp;LCI!$D$2:$D$130,0))*$C$20</f>
        <v>2.7323846812273751</v>
      </c>
      <c r="W70" s="158" cm="1">
        <f t="array" ref="W70">INDEX(LCI!M$2:M$130,MATCH('A1 - Raw Material Supply'!$B$21&amp;'A1 - Raw Material Supply'!$D$21,LCI!$B$2:$B$130&amp;LCI!$D$2:$D$130,0))*$C$21</f>
        <v>0</v>
      </c>
      <c r="X70" s="158" cm="1">
        <f t="array" ref="X70">INDEX(LCI!M$2:M$130,MATCH('A1 - Raw Material Supply'!$B$22&amp;'A1 - Raw Material Supply'!$D$22,LCI!$B$2:$B$130&amp;LCI!$D$2:$D$130,0))*$C$22</f>
        <v>0</v>
      </c>
      <c r="Y70" s="154">
        <f t="shared" si="5"/>
        <v>2.7323846812273751</v>
      </c>
    </row>
    <row r="71" spans="1:25" x14ac:dyDescent="0.35">
      <c r="A71" s="1" t="s">
        <v>285</v>
      </c>
      <c r="B71" s="158">
        <f>INDEX(LCI!N$2:N$130,MATCH('A1 - Raw Material Supply'!$B5,LCI!$D$2:$D$130,0))*$C5</f>
        <v>2.0443338859025153</v>
      </c>
      <c r="C71" s="158">
        <f>INDEX(LCI!N$2:N$130,MATCH('A1 - Raw Material Supply'!$B6,LCI!$D$2:$D$130,0))*$C6</f>
        <v>4.0886677718050306</v>
      </c>
      <c r="D71" s="158">
        <f>INDEX(LCI!N$2:N$130,MATCH('A1 - Raw Material Supply'!$B7,LCI!$D$2:$D$130,0))*$C7</f>
        <v>14.149997288697804</v>
      </c>
      <c r="E71" s="158">
        <f>INDEX(LCI!N$2:N$130,MATCH('A1 - Raw Material Supply'!$B8,LCI!$D$2:$D$130,0))*$C8</f>
        <v>0</v>
      </c>
      <c r="F71" s="158">
        <f>INDEX(LCI!N$2:N$130,MATCH('A1 - Raw Material Supply'!$B9,LCI!$D$2:$D$130,0))*$C9</f>
        <v>0</v>
      </c>
      <c r="G71" s="158">
        <f>INDEX(LCI!N$2:N$130,MATCH('A1 - Raw Material Supply'!$B10,LCI!$D$2:$D$130,0))*$C10</f>
        <v>0</v>
      </c>
      <c r="H71" s="158">
        <f>INDEX(LCI!N$2:N$130,MATCH('A1 - Raw Material Supply'!$B11,LCI!$D$2:$D$130,0))*$C11</f>
        <v>10.370944919540303</v>
      </c>
      <c r="I71" s="158">
        <f>INDEX(LCI!N$2:N$130,MATCH('A1 - Raw Material Supply'!$B12,LCI!$D$2:$D$130,0))*$C12</f>
        <v>0</v>
      </c>
      <c r="J71" s="158">
        <f>INDEX(LCI!N$2:N$130,MATCH('A1 - Raw Material Supply'!$B13,LCI!$D$2:$D$130,0))*$C13</f>
        <v>0</v>
      </c>
      <c r="K71" s="154">
        <f t="shared" si="3"/>
        <v>30.653943865945653</v>
      </c>
      <c r="L71" s="158" cm="1">
        <f t="array" ref="L71">INDEX(LCI!N$2:N$130,MATCH('A1 - Raw Material Supply'!$B$14&amp;'A1 - Raw Material Supply'!$D$14,LCI!$B$2:$B$130&amp;LCI!$D$2:$D$130,0))*$C14</f>
        <v>2.0373321039625885</v>
      </c>
      <c r="M71" s="158" cm="1">
        <f t="array" ref="M71">INDEX(LCI!N$2:N$130,MATCH('A1 - Raw Material Supply'!$B$15&amp;'A1 - Raw Material Supply'!$D$15,LCI!$B$2:$B$130&amp;LCI!$D$2:$D$130,0))*$C15</f>
        <v>3.7042401890228884</v>
      </c>
      <c r="N71" s="154">
        <f t="shared" si="4"/>
        <v>5.7415722929854773</v>
      </c>
      <c r="O71" s="158" cm="1">
        <f t="array" ref="O71">INDEX(LCI!N$2:N$137,MATCH('A1 - Raw Material Supply'!$B4&amp;'A1 - Raw Material Supply'!$D4,LCI!$B2:$B137&amp;LCI!$D2:$D137,0))*$C4</f>
        <v>1014.928</v>
      </c>
      <c r="P71" s="159"/>
      <c r="Q71" s="159"/>
      <c r="R71" s="154"/>
      <c r="S71" s="158"/>
      <c r="T71" s="158"/>
      <c r="U71" s="154"/>
      <c r="V71" s="158" cm="1">
        <f t="array" ref="V71">INDEX(LCI!N$2:N$130,MATCH('A1 - Raw Material Supply'!$B$20&amp;'A1 - Raw Material Supply'!$D$20,LCI!$B$2:$B$130&amp;LCI!$D$2:$D$130,0))*$C$20</f>
        <v>7.5519828674110823</v>
      </c>
      <c r="W71" s="158" cm="1">
        <f t="array" ref="W71">INDEX(LCI!N$2:N$130,MATCH('A1 - Raw Material Supply'!$B$21&amp;'A1 - Raw Material Supply'!$D$21,LCI!$B$2:$B$130&amp;LCI!$D$2:$D$130,0))*$C$21</f>
        <v>0</v>
      </c>
      <c r="X71" s="158" cm="1">
        <f t="array" ref="X71">INDEX(LCI!N$2:N$130,MATCH('A1 - Raw Material Supply'!$B$22&amp;'A1 - Raw Material Supply'!$D$22,LCI!$B$2:$B$130&amp;LCI!$D$2:$D$130,0))*$C$22</f>
        <v>0</v>
      </c>
      <c r="Y71" s="154">
        <f t="shared" si="5"/>
        <v>7.5519828674110823</v>
      </c>
    </row>
    <row r="72" spans="1:25" x14ac:dyDescent="0.35">
      <c r="A72" s="1" t="s">
        <v>286</v>
      </c>
      <c r="B72" s="158">
        <f>INDEX(LCI!O$2:O$130,MATCH('A1 - Raw Material Supply'!$B5,LCI!$D$2:$D$130,0))*$C5</f>
        <v>1.0660465212399542E-5</v>
      </c>
      <c r="C72" s="158">
        <f>INDEX(LCI!O$2:O$130,MATCH('A1 - Raw Material Supply'!$B6,LCI!$D$2:$D$130,0))*$C6</f>
        <v>2.1320930424799085E-5</v>
      </c>
      <c r="D72" s="158">
        <f>INDEX(LCI!O$2:O$130,MATCH('A1 - Raw Material Supply'!$B7,LCI!$D$2:$D$130,0))*$C7</f>
        <v>7.3787141568177228E-5</v>
      </c>
      <c r="E72" s="158">
        <f>INDEX(LCI!O$2:O$130,MATCH('A1 - Raw Material Supply'!$B8,LCI!$D$2:$D$130,0))*$C8</f>
        <v>0</v>
      </c>
      <c r="F72" s="158">
        <f>INDEX(LCI!O$2:O$130,MATCH('A1 - Raw Material Supply'!$B9,LCI!$D$2:$D$130,0))*$C9</f>
        <v>0</v>
      </c>
      <c r="G72" s="158">
        <f>INDEX(LCI!O$2:O$130,MATCH('A1 - Raw Material Supply'!$B10,LCI!$D$2:$D$130,0))*$C10</f>
        <v>0</v>
      </c>
      <c r="H72" s="158">
        <f>INDEX(LCI!O$2:O$130,MATCH('A1 - Raw Material Supply'!$B11,LCI!$D$2:$D$130,0))*$C11</f>
        <v>3.5986534448919457E-5</v>
      </c>
      <c r="I72" s="158">
        <f>INDEX(LCI!O$2:O$130,MATCH('A1 - Raw Material Supply'!$B12,LCI!$D$2:$D$130,0))*$C12</f>
        <v>0</v>
      </c>
      <c r="J72" s="158">
        <f>INDEX(LCI!O$2:O$130,MATCH('A1 - Raw Material Supply'!$B13,LCI!$D$2:$D$130,0))*$C13</f>
        <v>0</v>
      </c>
      <c r="K72" s="154">
        <f t="shared" si="3"/>
        <v>1.4175507165429532E-4</v>
      </c>
      <c r="L72" s="158" cm="1">
        <f t="array" ref="L72">INDEX(LCI!O$2:O$130,MATCH('A1 - Raw Material Supply'!$B$14&amp;'A1 - Raw Material Supply'!$D$14,LCI!$B$2:$B$130&amp;LCI!$D$2:$D$130,0))*$C14</f>
        <v>7.3105915013882289E-5</v>
      </c>
      <c r="M72" s="158" cm="1">
        <f t="array" ref="M72">INDEX(LCI!O$2:O$130,MATCH('A1 - Raw Material Supply'!$B$15&amp;'A1 - Raw Material Supply'!$D$15,LCI!$B$2:$B$130&amp;LCI!$D$2:$D$130,0))*$C15</f>
        <v>1.3291984547978599E-4</v>
      </c>
      <c r="N72" s="154">
        <f t="shared" si="4"/>
        <v>2.0602576049366829E-4</v>
      </c>
      <c r="O72" s="158" cm="1">
        <f t="array" ref="O72">INDEX(LCI!O$2:O$137,MATCH('A1 - Raw Material Supply'!$B4&amp;'A1 - Raw Material Supply'!$D4,LCI!$B2:$B137&amp;LCI!$D2:$D137,0))*$C4</f>
        <v>9.8611999999999997E-6</v>
      </c>
      <c r="P72" s="159"/>
      <c r="Q72" s="159"/>
      <c r="R72" s="154"/>
      <c r="S72" s="158"/>
      <c r="T72" s="158"/>
      <c r="U72" s="154"/>
      <c r="V72" s="158" cm="1">
        <f t="array" ref="V72">INDEX(LCI!O$2:O$130,MATCH('A1 - Raw Material Supply'!$B$20&amp;'A1 - Raw Material Supply'!$D$20,LCI!$B$2:$B$130&amp;LCI!$D$2:$D$130,0))*$C$20</f>
        <v>1.7251445628132297E-4</v>
      </c>
      <c r="W72" s="158" cm="1">
        <f t="array" ref="W72">INDEX(LCI!O$2:O$130,MATCH('A1 - Raw Material Supply'!$B$21&amp;'A1 - Raw Material Supply'!$D$21,LCI!$B$2:$B$130&amp;LCI!$D$2:$D$130,0))*$C$21</f>
        <v>0</v>
      </c>
      <c r="X72" s="158" cm="1">
        <f t="array" ref="X72">INDEX(LCI!O$2:O$130,MATCH('A1 - Raw Material Supply'!$B$22&amp;'A1 - Raw Material Supply'!$D$22,LCI!$B$2:$B$130&amp;LCI!$D$2:$D$130,0))*$C$22</f>
        <v>0</v>
      </c>
      <c r="Y72" s="154">
        <f t="shared" si="5"/>
        <v>1.7251445628132297E-4</v>
      </c>
    </row>
    <row r="73" spans="1:25" x14ac:dyDescent="0.35">
      <c r="A73" s="1" t="s">
        <v>287</v>
      </c>
      <c r="B73" s="158">
        <f>INDEX(LCI!P$2:P$130,MATCH('A1 - Raw Material Supply'!$B5,LCI!$D$2:$D$130,0))*$C5</f>
        <v>9.972599357606375E-4</v>
      </c>
      <c r="C73" s="158">
        <f>INDEX(LCI!P$2:P$130,MATCH('A1 - Raw Material Supply'!$B6,LCI!$D$2:$D$130,0))*$C6</f>
        <v>1.994519871521275E-3</v>
      </c>
      <c r="D73" s="158">
        <f>INDEX(LCI!P$2:P$130,MATCH('A1 - Raw Material Supply'!$B7,LCI!$D$2:$D$130,0))*$C7</f>
        <v>6.9026030847746086E-3</v>
      </c>
      <c r="E73" s="158">
        <f>INDEX(LCI!P$2:P$130,MATCH('A1 - Raw Material Supply'!$B8,LCI!$D$2:$D$130,0))*$C8</f>
        <v>0</v>
      </c>
      <c r="F73" s="158">
        <f>INDEX(LCI!P$2:P$130,MATCH('A1 - Raw Material Supply'!$B9,LCI!$D$2:$D$130,0))*$C9</f>
        <v>0</v>
      </c>
      <c r="G73" s="158">
        <f>INDEX(LCI!P$2:P$130,MATCH('A1 - Raw Material Supply'!$B10,LCI!$D$2:$D$130,0))*$C10</f>
        <v>0</v>
      </c>
      <c r="H73" s="158">
        <f>INDEX(LCI!P$2:P$130,MATCH('A1 - Raw Material Supply'!$B11,LCI!$D$2:$D$130,0))*$C11</f>
        <v>3.2281769672834067E-3</v>
      </c>
      <c r="I73" s="158">
        <f>INDEX(LCI!P$2:P$130,MATCH('A1 - Raw Material Supply'!$B12,LCI!$D$2:$D$130,0))*$C12</f>
        <v>0</v>
      </c>
      <c r="J73" s="158">
        <f>INDEX(LCI!P$2:P$130,MATCH('A1 - Raw Material Supply'!$B13,LCI!$D$2:$D$130,0))*$C13</f>
        <v>0</v>
      </c>
      <c r="K73" s="154">
        <f t="shared" si="3"/>
        <v>1.3122559859339928E-2</v>
      </c>
      <c r="L73" s="158" cm="1">
        <f t="array" ref="L73">INDEX(LCI!P$2:P$130,MATCH('A1 - Raw Material Supply'!$B$14&amp;'A1 - Raw Material Supply'!$D$14,LCI!$B$2:$B$130&amp;LCI!$D$2:$D$130,0))*$C14</f>
        <v>2.1080260603251652E-4</v>
      </c>
      <c r="M73" s="158" cm="1">
        <f t="array" ref="M73">INDEX(LCI!P$2:P$130,MATCH('A1 - Raw Material Supply'!$B$15&amp;'A1 - Raw Material Supply'!$D$15,LCI!$B$2:$B$130&amp;LCI!$D$2:$D$130,0))*$C15</f>
        <v>3.8327746551366642E-4</v>
      </c>
      <c r="N73" s="154">
        <f t="shared" si="4"/>
        <v>5.9408007154618291E-4</v>
      </c>
      <c r="O73" s="158" cm="1">
        <f t="array" ref="O73">INDEX(LCI!P$2:P$137,MATCH('A1 - Raw Material Supply'!$B4&amp;'A1 - Raw Material Supply'!$D4,LCI!$B2:$B137&amp;LCI!$D2:$D137,0))*$C4</f>
        <v>9.8390400000000003E-3</v>
      </c>
      <c r="P73" s="159"/>
      <c r="Q73" s="159"/>
      <c r="R73" s="154"/>
      <c r="S73" s="158"/>
      <c r="T73" s="158"/>
      <c r="U73" s="154"/>
      <c r="V73" s="158" cm="1">
        <f t="array" ref="V73">INDEX(LCI!P$2:P$130,MATCH('A1 - Raw Material Supply'!$B$20&amp;'A1 - Raw Material Supply'!$D$20,LCI!$B$2:$B$130&amp;LCI!$D$2:$D$130,0))*$C$20</f>
        <v>1.0307679995824358E-3</v>
      </c>
      <c r="W73" s="158" cm="1">
        <f t="array" ref="W73">INDEX(LCI!P$2:P$130,MATCH('A1 - Raw Material Supply'!$B$21&amp;'A1 - Raw Material Supply'!$D$21,LCI!$B$2:$B$130&amp;LCI!$D$2:$D$130,0))*$C$21</f>
        <v>0</v>
      </c>
      <c r="X73" s="158" cm="1">
        <f t="array" ref="X73">INDEX(LCI!P$2:P$130,MATCH('A1 - Raw Material Supply'!$B$22&amp;'A1 - Raw Material Supply'!$D$22,LCI!$B$2:$B$130&amp;LCI!$D$2:$D$130,0))*$C$22</f>
        <v>0</v>
      </c>
      <c r="Y73" s="154">
        <f t="shared" si="5"/>
        <v>1.0307679995824358E-3</v>
      </c>
    </row>
    <row r="74" spans="1:25" x14ac:dyDescent="0.35">
      <c r="A74" s="1" t="s">
        <v>288</v>
      </c>
      <c r="B74" s="158">
        <f>INDEX(LCI!Q$2:Q$130,MATCH('A1 - Raw Material Supply'!$B5,LCI!$D$2:$D$130,0))*$C5</f>
        <v>1.390958618979826E-2</v>
      </c>
      <c r="C74" s="158">
        <f>INDEX(LCI!Q$2:Q$130,MATCH('A1 - Raw Material Supply'!$B6,LCI!$D$2:$D$130,0))*$C6</f>
        <v>2.7819172379596521E-2</v>
      </c>
      <c r="D74" s="158">
        <f>INDEX(LCI!Q$2:Q$130,MATCH('A1 - Raw Material Supply'!$B7,LCI!$D$2:$D$130,0))*$C7</f>
        <v>9.6276155392133064E-2</v>
      </c>
      <c r="E74" s="158">
        <f>INDEX(LCI!Q$2:Q$130,MATCH('A1 - Raw Material Supply'!$B8,LCI!$D$2:$D$130,0))*$C8</f>
        <v>0</v>
      </c>
      <c r="F74" s="158">
        <f>INDEX(LCI!Q$2:Q$130,MATCH('A1 - Raw Material Supply'!$B9,LCI!$D$2:$D$130,0))*$C9</f>
        <v>0</v>
      </c>
      <c r="G74" s="158">
        <f>INDEX(LCI!Q$2:Q$130,MATCH('A1 - Raw Material Supply'!$B10,LCI!$D$2:$D$130,0))*$C10</f>
        <v>0</v>
      </c>
      <c r="H74" s="158">
        <f>INDEX(LCI!Q$2:Q$130,MATCH('A1 - Raw Material Supply'!$B11,LCI!$D$2:$D$130,0))*$C11</f>
        <v>3.5455015593932562E-2</v>
      </c>
      <c r="I74" s="158">
        <f>INDEX(LCI!Q$2:Q$130,MATCH('A1 - Raw Material Supply'!$B12,LCI!$D$2:$D$130,0))*$C12</f>
        <v>0</v>
      </c>
      <c r="J74" s="158">
        <f>INDEX(LCI!Q$2:Q$130,MATCH('A1 - Raw Material Supply'!$B13,LCI!$D$2:$D$130,0))*$C13</f>
        <v>0</v>
      </c>
      <c r="K74" s="154">
        <f t="shared" si="3"/>
        <v>0.17345992955546041</v>
      </c>
      <c r="L74" s="158" cm="1">
        <f t="array" ref="L74">INDEX(LCI!Q$2:Q$130,MATCH('A1 - Raw Material Supply'!$B$14&amp;'A1 - Raw Material Supply'!$D$14,LCI!$B$2:$B$130&amp;LCI!$D$2:$D$130,0))*$C14</f>
        <v>2.49859756171603E-3</v>
      </c>
      <c r="M74" s="158" cm="1">
        <f t="array" ref="M74">INDEX(LCI!Q$2:Q$130,MATCH('A1 - Raw Material Supply'!$B$15&amp;'A1 - Raw Material Supply'!$D$15,LCI!$B$2:$B$130&amp;LCI!$D$2:$D$130,0))*$C15</f>
        <v>4.5429046576655092E-3</v>
      </c>
      <c r="N74" s="154">
        <f t="shared" si="4"/>
        <v>7.0415022193815388E-3</v>
      </c>
      <c r="O74" s="158" cm="1">
        <f t="array" ref="O74">INDEX(LCI!Q$2:Q$137,MATCH('A1 - Raw Material Supply'!$B4&amp;'A1 - Raw Material Supply'!$D4,LCI!$B2:$B137&amp;LCI!$D2:$D137,0))*$C4</f>
        <v>0.1076976</v>
      </c>
      <c r="P74" s="159"/>
      <c r="Q74" s="159"/>
      <c r="R74" s="154"/>
      <c r="S74" s="158"/>
      <c r="T74" s="158"/>
      <c r="U74" s="154"/>
      <c r="V74" s="158" cm="1">
        <f t="array" ref="V74">INDEX(LCI!Q$2:Q$130,MATCH('A1 - Raw Material Supply'!$B$20&amp;'A1 - Raw Material Supply'!$D$20,LCI!$B$2:$B$130&amp;LCI!$D$2:$D$130,0))*$C$20</f>
        <v>1.0579231622299769E-2</v>
      </c>
      <c r="W74" s="158" cm="1">
        <f t="array" ref="W74">INDEX(LCI!Q$2:Q$130,MATCH('A1 - Raw Material Supply'!$B$21&amp;'A1 - Raw Material Supply'!$D$21,LCI!$B$2:$B$130&amp;LCI!$D$2:$D$130,0))*$C$21</f>
        <v>0</v>
      </c>
      <c r="X74" s="158" cm="1">
        <f t="array" ref="X74">INDEX(LCI!Q$2:Q$130,MATCH('A1 - Raw Material Supply'!$B$22&amp;'A1 - Raw Material Supply'!$D$22,LCI!$B$2:$B$130&amp;LCI!$D$2:$D$130,0))*$C$22</f>
        <v>0</v>
      </c>
      <c r="Y74" s="154">
        <f t="shared" si="5"/>
        <v>1.0579231622299769E-2</v>
      </c>
    </row>
    <row r="75" spans="1:25" x14ac:dyDescent="0.35">
      <c r="A75" s="1" t="s">
        <v>289</v>
      </c>
      <c r="B75" s="158">
        <f>INDEX(LCI!R$2:R$130,MATCH('A1 - Raw Material Supply'!$B5,LCI!$D$2:$D$130,0))*$C5</f>
        <v>2.6000581287052966E-11</v>
      </c>
      <c r="C75" s="158">
        <f>INDEX(LCI!R$2:R$130,MATCH('A1 - Raw Material Supply'!$B6,LCI!$D$2:$D$130,0))*$C6</f>
        <v>5.2001162574105932E-11</v>
      </c>
      <c r="D75" s="158">
        <f>INDEX(LCI!R$2:R$130,MATCH('A1 - Raw Material Supply'!$B7,LCI!$D$2:$D$130,0))*$C7</f>
        <v>1.7996480773195484E-10</v>
      </c>
      <c r="E75" s="158">
        <f>INDEX(LCI!R$2:R$130,MATCH('A1 - Raw Material Supply'!$B8,LCI!$D$2:$D$130,0))*$C8</f>
        <v>0</v>
      </c>
      <c r="F75" s="158">
        <f>INDEX(LCI!R$2:R$130,MATCH('A1 - Raw Material Supply'!$B9,LCI!$D$2:$D$130,0))*$C9</f>
        <v>0</v>
      </c>
      <c r="G75" s="158">
        <f>INDEX(LCI!R$2:R$130,MATCH('A1 - Raw Material Supply'!$B10,LCI!$D$2:$D$130,0))*$C10</f>
        <v>0</v>
      </c>
      <c r="H75" s="158">
        <f>INDEX(LCI!R$2:R$130,MATCH('A1 - Raw Material Supply'!$B11,LCI!$D$2:$D$130,0))*$C11</f>
        <v>9.3860734157275078E-11</v>
      </c>
      <c r="I75" s="158">
        <f>INDEX(LCI!R$2:R$130,MATCH('A1 - Raw Material Supply'!$B12,LCI!$D$2:$D$130,0))*$C12</f>
        <v>0</v>
      </c>
      <c r="J75" s="158">
        <f>INDEX(LCI!R$2:R$130,MATCH('A1 - Raw Material Supply'!$B13,LCI!$D$2:$D$130,0))*$C13</f>
        <v>0</v>
      </c>
      <c r="K75" s="154">
        <f t="shared" si="3"/>
        <v>3.518272857503888E-10</v>
      </c>
      <c r="L75" s="158" cm="1">
        <f t="array" ref="L75">INDEX(LCI!R$2:R$130,MATCH('A1 - Raw Material Supply'!$B$14&amp;'A1 - Raw Material Supply'!$D$14,LCI!$B$2:$B$130&amp;LCI!$D$2:$D$130,0))*$C14</f>
        <v>2.5071044568388908E-11</v>
      </c>
      <c r="M75" s="158" cm="1">
        <f t="array" ref="M75">INDEX(LCI!R$2:R$130,MATCH('A1 - Raw Material Supply'!$B$15&amp;'A1 - Raw Material Supply'!$D$15,LCI!$B$2:$B$130&amp;LCI!$D$2:$D$130,0))*$C15</f>
        <v>4.5583717397070746E-11</v>
      </c>
      <c r="N75" s="154">
        <f t="shared" si="4"/>
        <v>7.0654761965459657E-11</v>
      </c>
      <c r="O75" s="158" cm="1">
        <f t="array" ref="O75">INDEX(LCI!R$2:R$137,MATCH('A1 - Raw Material Supply'!$B4&amp;'A1 - Raw Material Supply'!$D4,LCI!$B2:$B137&amp;LCI!$D2:$D137,0))*$C4</f>
        <v>1.099136E-8</v>
      </c>
      <c r="P75" s="159"/>
      <c r="Q75" s="159"/>
      <c r="R75" s="154"/>
      <c r="S75" s="158"/>
      <c r="T75" s="158"/>
      <c r="U75" s="154"/>
      <c r="V75" s="158" cm="1">
        <f t="array" ref="V75">INDEX(LCI!R$2:R$130,MATCH('A1 - Raw Material Supply'!$B$20&amp;'A1 - Raw Material Supply'!$D$20,LCI!$B$2:$B$130&amp;LCI!$D$2:$D$130,0))*$C$20</f>
        <v>3.4322818084723971E-10</v>
      </c>
      <c r="W75" s="158" cm="1">
        <f t="array" ref="W75">INDEX(LCI!R$2:R$130,MATCH('A1 - Raw Material Supply'!$B$21&amp;'A1 - Raw Material Supply'!$D$21,LCI!$B$2:$B$130&amp;LCI!$D$2:$D$130,0))*$C$21</f>
        <v>0</v>
      </c>
      <c r="X75" s="158" cm="1">
        <f t="array" ref="X75">INDEX(LCI!R$2:R$130,MATCH('A1 - Raw Material Supply'!$B$22&amp;'A1 - Raw Material Supply'!$D$22,LCI!$B$2:$B$130&amp;LCI!$D$2:$D$130,0))*$C$22</f>
        <v>0</v>
      </c>
      <c r="Y75" s="154">
        <f t="shared" si="5"/>
        <v>3.4322818084723971E-10</v>
      </c>
    </row>
    <row r="76" spans="1:25" x14ac:dyDescent="0.35">
      <c r="A76" s="1" t="s">
        <v>319</v>
      </c>
      <c r="B76" s="158">
        <f>INDEX(LCI!S$2:S$130,MATCH('A1 - Raw Material Supply'!$B5,LCI!$D$2:$D$130,0))*$C5</f>
        <v>6.902076259265248E-10</v>
      </c>
      <c r="C76" s="158">
        <f>INDEX(LCI!S$2:S$130,MATCH('A1 - Raw Material Supply'!$B6,LCI!$D$2:$D$130,0))*$C6</f>
        <v>1.3804152518530496E-9</v>
      </c>
      <c r="D76" s="158">
        <f>INDEX(LCI!S$2:S$130,MATCH('A1 - Raw Material Supply'!$B7,LCI!$D$2:$D$130,0))*$C7</f>
        <v>4.7773194500404562E-9</v>
      </c>
      <c r="E76" s="158">
        <f>INDEX(LCI!S$2:S$130,MATCH('A1 - Raw Material Supply'!$B8,LCI!$D$2:$D$130,0))*$C8</f>
        <v>0</v>
      </c>
      <c r="F76" s="158">
        <f>INDEX(LCI!S$2:S$130,MATCH('A1 - Raw Material Supply'!$B9,LCI!$D$2:$D$130,0))*$C9</f>
        <v>0</v>
      </c>
      <c r="G76" s="158">
        <f>INDEX(LCI!S$2:S$130,MATCH('A1 - Raw Material Supply'!$B10,LCI!$D$2:$D$130,0))*$C10</f>
        <v>0</v>
      </c>
      <c r="H76" s="158">
        <f>INDEX(LCI!S$2:S$130,MATCH('A1 - Raw Material Supply'!$B11,LCI!$D$2:$D$130,0))*$C11</f>
        <v>1.5129116376803103E-9</v>
      </c>
      <c r="I76" s="158">
        <f>INDEX(LCI!S$2:S$130,MATCH('A1 - Raw Material Supply'!$B12,LCI!$D$2:$D$130,0))*$C12</f>
        <v>0</v>
      </c>
      <c r="J76" s="158">
        <f>INDEX(LCI!S$2:S$130,MATCH('A1 - Raw Material Supply'!$B13,LCI!$D$2:$D$130,0))*$C13</f>
        <v>0</v>
      </c>
      <c r="K76" s="154">
        <f t="shared" si="3"/>
        <v>8.3608539655003408E-9</v>
      </c>
      <c r="L76" s="158" cm="1">
        <f t="array" ref="L76">INDEX(LCI!S$2:S$130,MATCH('A1 - Raw Material Supply'!$B$14&amp;'A1 - Raw Material Supply'!$D$14,LCI!$B$2:$B$130&amp;LCI!$D$2:$D$130,0))*$C14</f>
        <v>9.5260510567475159E-10</v>
      </c>
      <c r="M76" s="158" cm="1">
        <f t="array" ref="M76">INDEX(LCI!S$2:S$130,MATCH('A1 - Raw Material Supply'!$B$15&amp;'A1 - Raw Material Supply'!$D$15,LCI!$B$2:$B$130&amp;LCI!$D$2:$D$130,0))*$C15</f>
        <v>1.732009283045003E-9</v>
      </c>
      <c r="N76" s="154">
        <f t="shared" si="4"/>
        <v>2.6846143887197546E-9</v>
      </c>
      <c r="O76" s="158" cm="1">
        <f t="array" ref="O76">INDEX(LCI!S$2:S$137,MATCH('A1 - Raw Material Supply'!$B4&amp;'A1 - Raw Material Supply'!$D4,LCI!$B2:$B137&amp;LCI!$D2:$D137,0))*$C4</f>
        <v>3.1688799999999997E-7</v>
      </c>
      <c r="P76" s="159"/>
      <c r="Q76" s="159"/>
      <c r="R76" s="154"/>
      <c r="S76" s="158"/>
      <c r="T76" s="158"/>
      <c r="U76" s="154"/>
      <c r="V76" s="158" cm="1">
        <f t="array" ref="V76">INDEX(LCI!S$2:S$130,MATCH('A1 - Raw Material Supply'!$B$20&amp;'A1 - Raw Material Supply'!$D$20,LCI!$B$2:$B$130&amp;LCI!$D$2:$D$130,0))*$C$20</f>
        <v>1.519562698401938E-8</v>
      </c>
      <c r="W76" s="158" cm="1">
        <f t="array" ref="W76">INDEX(LCI!S$2:S$130,MATCH('A1 - Raw Material Supply'!$B$21&amp;'A1 - Raw Material Supply'!$D$21,LCI!$B$2:$B$130&amp;LCI!$D$2:$D$130,0))*$C$21</f>
        <v>0</v>
      </c>
      <c r="X76" s="158" cm="1">
        <f t="array" ref="X76">INDEX(LCI!S$2:S$130,MATCH('A1 - Raw Material Supply'!$B$22&amp;'A1 - Raw Material Supply'!$D$22,LCI!$B$2:$B$130&amp;LCI!$D$2:$D$130,0))*$C$22</f>
        <v>0</v>
      </c>
      <c r="Y76" s="154">
        <f t="shared" si="5"/>
        <v>1.519562698401938E-8</v>
      </c>
    </row>
    <row r="77" spans="1:25" x14ac:dyDescent="0.35">
      <c r="A77" s="1" t="s">
        <v>291</v>
      </c>
      <c r="B77" s="158">
        <f>INDEX(LCI!T$2:T$130,MATCH('A1 - Raw Material Supply'!$B5,LCI!$D$2:$D$130,0))*$C5</f>
        <v>5.4541080388755677E-3</v>
      </c>
      <c r="C77" s="158">
        <f>INDEX(LCI!T$2:T$130,MATCH('A1 - Raw Material Supply'!$B6,LCI!$D$2:$D$130,0))*$C6</f>
        <v>1.0908216077751135E-2</v>
      </c>
      <c r="D77" s="158">
        <f>INDEX(LCI!T$2:T$130,MATCH('A1 - Raw Material Supply'!$B7,LCI!$D$2:$D$130,0))*$C7</f>
        <v>3.7750983092609318E-2</v>
      </c>
      <c r="E77" s="158">
        <f>INDEX(LCI!T$2:T$130,MATCH('A1 - Raw Material Supply'!$B8,LCI!$D$2:$D$130,0))*$C8</f>
        <v>0</v>
      </c>
      <c r="F77" s="158">
        <f>INDEX(LCI!T$2:T$130,MATCH('A1 - Raw Material Supply'!$B9,LCI!$D$2:$D$130,0))*$C9</f>
        <v>0</v>
      </c>
      <c r="G77" s="158">
        <f>INDEX(LCI!T$2:T$130,MATCH('A1 - Raw Material Supply'!$B10,LCI!$D$2:$D$130,0))*$C10</f>
        <v>0</v>
      </c>
      <c r="H77" s="158">
        <f>INDEX(LCI!T$2:T$130,MATCH('A1 - Raw Material Supply'!$B11,LCI!$D$2:$D$130,0))*$C11</f>
        <v>6.8171824219277885E-3</v>
      </c>
      <c r="I77" s="158">
        <f>INDEX(LCI!T$2:T$130,MATCH('A1 - Raw Material Supply'!$B12,LCI!$D$2:$D$130,0))*$C12</f>
        <v>0</v>
      </c>
      <c r="J77" s="158">
        <f>INDEX(LCI!T$2:T$130,MATCH('A1 - Raw Material Supply'!$B13,LCI!$D$2:$D$130,0))*$C13</f>
        <v>0</v>
      </c>
      <c r="K77" s="154">
        <f t="shared" si="3"/>
        <v>6.0930489631163806E-2</v>
      </c>
      <c r="L77" s="158" cm="1">
        <f t="array" ref="L77">INDEX(LCI!T$2:T$130,MATCH('A1 - Raw Material Supply'!$B$14&amp;'A1 - Raw Material Supply'!$D$14,LCI!$B$2:$B$130&amp;LCI!$D$2:$D$130,0))*$C14</f>
        <v>3.9110006778906019E-2</v>
      </c>
      <c r="M77" s="158" cm="1">
        <f t="array" ref="M77">INDEX(LCI!T$2:T$130,MATCH('A1 - Raw Material Supply'!$B$15&amp;'A1 - Raw Material Supply'!$D$15,LCI!$B$2:$B$130&amp;LCI!$D$2:$D$130,0))*$C15</f>
        <v>7.1109103234374582E-2</v>
      </c>
      <c r="N77" s="154">
        <f t="shared" si="4"/>
        <v>0.11021911001328061</v>
      </c>
      <c r="O77" s="158" cm="1">
        <f t="array" ref="O77">INDEX(LCI!T$2:T$137,MATCH('A1 - Raw Material Supply'!$B4&amp;'A1 - Raw Material Supply'!$D4,LCI!$B2:$B137&amp;LCI!$D2:$D137,0))*$C4</f>
        <v>0.16730799999999998</v>
      </c>
      <c r="P77" s="159"/>
      <c r="Q77" s="159"/>
      <c r="R77" s="154"/>
      <c r="S77" s="158"/>
      <c r="T77" s="158"/>
      <c r="U77" s="154"/>
      <c r="V77" s="158" cm="1">
        <f t="array" ref="V77">INDEX(LCI!T$2:T$130,MATCH('A1 - Raw Material Supply'!$B$20&amp;'A1 - Raw Material Supply'!$D$20,LCI!$B$2:$B$130&amp;LCI!$D$2:$D$130,0))*$C$20</f>
        <v>0.10643324427322706</v>
      </c>
      <c r="W77" s="158" cm="1">
        <f t="array" ref="W77">INDEX(LCI!T$2:T$130,MATCH('A1 - Raw Material Supply'!$B$21&amp;'A1 - Raw Material Supply'!$D$21,LCI!$B$2:$B$130&amp;LCI!$D$2:$D$130,0))*$C$21</f>
        <v>0</v>
      </c>
      <c r="X77" s="158" cm="1">
        <f t="array" ref="X77">INDEX(LCI!T$2:T$130,MATCH('A1 - Raw Material Supply'!$B$22&amp;'A1 - Raw Material Supply'!$D$22,LCI!$B$2:$B$130&amp;LCI!$D$2:$D$130,0))*$C$22</f>
        <v>0</v>
      </c>
      <c r="Y77" s="154">
        <f t="shared" si="5"/>
        <v>0.10643324427322706</v>
      </c>
    </row>
    <row r="78" spans="1:25" x14ac:dyDescent="0.35">
      <c r="A78" s="1" t="s">
        <v>292</v>
      </c>
      <c r="B78" s="158">
        <f>INDEX(LCI!U$2:U$130,MATCH('A1 - Raw Material Supply'!$B5,LCI!$D$2:$D$130,0))*$C5</f>
        <v>1.6814307822017627</v>
      </c>
      <c r="C78" s="158">
        <f>INDEX(LCI!U$2:U$130,MATCH('A1 - Raw Material Supply'!$B6,LCI!$D$2:$D$130,0))*$C6</f>
        <v>3.3628615644035253</v>
      </c>
      <c r="D78" s="158">
        <f>INDEX(LCI!U$2:U$130,MATCH('A1 - Raw Material Supply'!$B7,LCI!$D$2:$D$130,0))*$C7</f>
        <v>11.638138551318084</v>
      </c>
      <c r="E78" s="158">
        <f>INDEX(LCI!U$2:U$130,MATCH('A1 - Raw Material Supply'!$B8,LCI!$D$2:$D$130,0))*$C8</f>
        <v>0</v>
      </c>
      <c r="F78" s="158">
        <f>INDEX(LCI!U$2:U$130,MATCH('A1 - Raw Material Supply'!$B9,LCI!$D$2:$D$130,0))*$C9</f>
        <v>0</v>
      </c>
      <c r="G78" s="158">
        <f>INDEX(LCI!U$2:U$130,MATCH('A1 - Raw Material Supply'!$B10,LCI!$D$2:$D$130,0))*$C10</f>
        <v>0</v>
      </c>
      <c r="H78" s="158">
        <f>INDEX(LCI!U$2:U$130,MATCH('A1 - Raw Material Supply'!$B11,LCI!$D$2:$D$130,0))*$C11</f>
        <v>374.18983912961073</v>
      </c>
      <c r="I78" s="158">
        <f>INDEX(LCI!U$2:U$130,MATCH('A1 - Raw Material Supply'!$B12,LCI!$D$2:$D$130,0))*$C12</f>
        <v>0</v>
      </c>
      <c r="J78" s="158">
        <f>INDEX(LCI!U$2:U$130,MATCH('A1 - Raw Material Supply'!$B13,LCI!$D$2:$D$130,0))*$C13</f>
        <v>0</v>
      </c>
      <c r="K78" s="154">
        <f t="shared" si="3"/>
        <v>390.87227002753411</v>
      </c>
      <c r="L78" s="158" cm="1">
        <f t="array" ref="L78">INDEX(LCI!U$2:U$130,MATCH('A1 - Raw Material Supply'!$B$14&amp;'A1 - Raw Material Supply'!$D$14,LCI!$B$2:$B$130&amp;LCI!$D$2:$D$130,0))*$C14</f>
        <v>0.6282499716687221</v>
      </c>
      <c r="M78" s="158" cm="1">
        <f t="array" ref="M78">INDEX(LCI!U$2:U$130,MATCH('A1 - Raw Material Supply'!$B$15&amp;'A1 - Raw Material Supply'!$D$15,LCI!$B$2:$B$130&amp;LCI!$D$2:$D$130,0))*$C15</f>
        <v>1.1422726757613131</v>
      </c>
      <c r="N78" s="154">
        <f t="shared" si="4"/>
        <v>1.7705226474300351</v>
      </c>
      <c r="O78" s="158" cm="1">
        <f t="array" ref="O78">INDEX(LCI!U$2:U$137,MATCH('A1 - Raw Material Supply'!$B4&amp;'A1 - Raw Material Supply'!$D4,LCI!$B2:$B137&amp;LCI!$D2:$D137,0))*$C4</f>
        <v>5.8280799999999999</v>
      </c>
      <c r="P78" s="159"/>
      <c r="Q78" s="159"/>
      <c r="R78" s="154"/>
      <c r="S78" s="158"/>
      <c r="T78" s="158"/>
      <c r="U78" s="154"/>
      <c r="V78" s="158" cm="1">
        <f t="array" ref="V78">INDEX(LCI!U$2:U$130,MATCH('A1 - Raw Material Supply'!$B$20&amp;'A1 - Raw Material Supply'!$D$20,LCI!$B$2:$B$130&amp;LCI!$D$2:$D$130,0))*$C$20</f>
        <v>2.9238161430011052</v>
      </c>
      <c r="W78" s="158" cm="1">
        <f t="array" ref="W78">INDEX(LCI!U$2:U$130,MATCH('A1 - Raw Material Supply'!$B$21&amp;'A1 - Raw Material Supply'!$D$21,LCI!$B$2:$B$130&amp;LCI!$D$2:$D$130,0))*$C$21</f>
        <v>0</v>
      </c>
      <c r="X78" s="158" cm="1">
        <f t="array" ref="X78">INDEX(LCI!U$2:U$130,MATCH('A1 - Raw Material Supply'!$B$22&amp;'A1 - Raw Material Supply'!$D$22,LCI!$B$2:$B$130&amp;LCI!$D$2:$D$130,0))*$C$22</f>
        <v>0</v>
      </c>
      <c r="Y78" s="154">
        <f t="shared" si="5"/>
        <v>2.9238161430011052</v>
      </c>
    </row>
    <row r="79" spans="1:25" x14ac:dyDescent="0.35">
      <c r="A79" s="1" t="s">
        <v>293</v>
      </c>
      <c r="B79" s="158">
        <f>INDEX(LCI!V$2:V$130,MATCH('A1 - Raw Material Supply'!$B5,LCI!$D$2:$D$130,0))*$C5</f>
        <v>4.1816560518549485E-7</v>
      </c>
      <c r="C79" s="158">
        <f>INDEX(LCI!V$2:V$130,MATCH('A1 - Raw Material Supply'!$B6,LCI!$D$2:$D$130,0))*$C6</f>
        <v>8.363312103709897E-7</v>
      </c>
      <c r="D79" s="158">
        <f>INDEX(LCI!V$2:V$130,MATCH('A1 - Raw Material Supply'!$B7,LCI!$D$2:$D$130,0))*$C7</f>
        <v>2.8943619339309744E-6</v>
      </c>
      <c r="E79" s="158">
        <f>INDEX(LCI!V$2:V$130,MATCH('A1 - Raw Material Supply'!$B8,LCI!$D$2:$D$130,0))*$C8</f>
        <v>0</v>
      </c>
      <c r="F79" s="158">
        <f>INDEX(LCI!V$2:V$130,MATCH('A1 - Raw Material Supply'!$B9,LCI!$D$2:$D$130,0))*$C9</f>
        <v>0</v>
      </c>
      <c r="G79" s="158">
        <f>INDEX(LCI!V$2:V$130,MATCH('A1 - Raw Material Supply'!$B10,LCI!$D$2:$D$130,0))*$C10</f>
        <v>0</v>
      </c>
      <c r="H79" s="158">
        <f>INDEX(LCI!V$2:V$130,MATCH('A1 - Raw Material Supply'!$B11,LCI!$D$2:$D$130,0))*$C11</f>
        <v>5.1185430018615164E-7</v>
      </c>
      <c r="I79" s="158">
        <f>INDEX(LCI!V$2:V$130,MATCH('A1 - Raw Material Supply'!$B12,LCI!$D$2:$D$130,0))*$C12</f>
        <v>0</v>
      </c>
      <c r="J79" s="158">
        <f>INDEX(LCI!V$2:V$130,MATCH('A1 - Raw Material Supply'!$B13,LCI!$D$2:$D$130,0))*$C13</f>
        <v>0</v>
      </c>
      <c r="K79" s="154">
        <f t="shared" si="3"/>
        <v>4.6607130496736109E-6</v>
      </c>
      <c r="L79" s="158" cm="1">
        <f t="array" ref="L79">INDEX(LCI!V$2:V$130,MATCH('A1 - Raw Material Supply'!$B$14&amp;'A1 - Raw Material Supply'!$D$14,LCI!$B$2:$B$130&amp;LCI!$D$2:$D$130,0))*$C14</f>
        <v>3.5788766674713027E-7</v>
      </c>
      <c r="M79" s="158" cm="1">
        <f t="array" ref="M79">INDEX(LCI!V$2:V$130,MATCH('A1 - Raw Material Supply'!$B$15&amp;'A1 - Raw Material Supply'!$D$15,LCI!$B$2:$B$130&amp;LCI!$D$2:$D$130,0))*$C15</f>
        <v>6.5070484863114593E-7</v>
      </c>
      <c r="N79" s="154">
        <f t="shared" si="4"/>
        <v>1.0085925153782763E-6</v>
      </c>
      <c r="O79" s="158" cm="1">
        <f t="array" ref="O79">INDEX(LCI!V$2:V$137,MATCH('A1 - Raw Material Supply'!$B4&amp;'A1 - Raw Material Supply'!$D4,LCI!$B2:$B137&amp;LCI!$D2:$D137,0))*$C4</f>
        <v>2.2603199999999999E-6</v>
      </c>
      <c r="P79" s="159"/>
      <c r="Q79" s="159"/>
      <c r="R79" s="154"/>
      <c r="S79" s="158"/>
      <c r="T79" s="158"/>
      <c r="U79" s="154"/>
      <c r="V79" s="158" cm="1">
        <f t="array" ref="V79">INDEX(LCI!V$2:V$130,MATCH('A1 - Raw Material Supply'!$B$20&amp;'A1 - Raw Material Supply'!$D$20,LCI!$B$2:$B$130&amp;LCI!$D$2:$D$130,0))*$C$20</f>
        <v>2.0002821138870845E-4</v>
      </c>
      <c r="W79" s="158" cm="1">
        <f t="array" ref="W79">INDEX(LCI!V$2:V$130,MATCH('A1 - Raw Material Supply'!$B$21&amp;'A1 - Raw Material Supply'!$D$21,LCI!$B$2:$B$130&amp;LCI!$D$2:$D$130,0))*$C$21</f>
        <v>0</v>
      </c>
      <c r="X79" s="158" cm="1">
        <f t="array" ref="X79">INDEX(LCI!V$2:V$130,MATCH('A1 - Raw Material Supply'!$B$22&amp;'A1 - Raw Material Supply'!$D$22,LCI!$B$2:$B$130&amp;LCI!$D$2:$D$130,0))*$C$22</f>
        <v>0</v>
      </c>
      <c r="Y79" s="154">
        <f t="shared" si="5"/>
        <v>2.0002821138870845E-4</v>
      </c>
    </row>
    <row r="80" spans="1:25" x14ac:dyDescent="0.35">
      <c r="A80" s="1" t="s">
        <v>294</v>
      </c>
      <c r="B80" s="158">
        <f>INDEX(LCI!W$2:W$130,MATCH('A1 - Raw Material Supply'!$B5,LCI!$D$2:$D$130,0))*$C5</f>
        <v>2.3781486814152874E-9</v>
      </c>
      <c r="C80" s="158">
        <f>INDEX(LCI!W$2:W$130,MATCH('A1 - Raw Material Supply'!$B6,LCI!$D$2:$D$130,0))*$C6</f>
        <v>4.7562973628305749E-9</v>
      </c>
      <c r="D80" s="158">
        <f>INDEX(LCI!W$2:W$130,MATCH('A1 - Raw Material Supply'!$B7,LCI!$D$2:$D$130,0))*$C7</f>
        <v>1.6460519304697971E-8</v>
      </c>
      <c r="E80" s="158">
        <f>INDEX(LCI!W$2:W$130,MATCH('A1 - Raw Material Supply'!$B8,LCI!$D$2:$D$130,0))*$C8</f>
        <v>0</v>
      </c>
      <c r="F80" s="158">
        <f>INDEX(LCI!W$2:W$130,MATCH('A1 - Raw Material Supply'!$B9,LCI!$D$2:$D$130,0))*$C9</f>
        <v>0</v>
      </c>
      <c r="G80" s="158">
        <f>INDEX(LCI!W$2:W$130,MATCH('A1 - Raw Material Supply'!$B10,LCI!$D$2:$D$130,0))*$C10</f>
        <v>0</v>
      </c>
      <c r="H80" s="158">
        <f>INDEX(LCI!W$2:W$130,MATCH('A1 - Raw Material Supply'!$B11,LCI!$D$2:$D$130,0))*$C11</f>
        <v>1.1640990651020557E-8</v>
      </c>
      <c r="I80" s="158">
        <f>INDEX(LCI!W$2:W$130,MATCH('A1 - Raw Material Supply'!$B12,LCI!$D$2:$D$130,0))*$C12</f>
        <v>0</v>
      </c>
      <c r="J80" s="158">
        <f>INDEX(LCI!W$2:W$130,MATCH('A1 - Raw Material Supply'!$B13,LCI!$D$2:$D$130,0))*$C13</f>
        <v>0</v>
      </c>
      <c r="K80" s="154">
        <f t="shared" si="3"/>
        <v>3.5235955999964389E-8</v>
      </c>
      <c r="L80" s="158" cm="1">
        <f t="array" ref="L80">INDEX(LCI!W$2:W$130,MATCH('A1 - Raw Material Supply'!$B$14&amp;'A1 - Raw Material Supply'!$D$14,LCI!$B$2:$B$130&amp;LCI!$D$2:$D$130,0))*$C14</f>
        <v>1.5574157254795618E-9</v>
      </c>
      <c r="M80" s="158" cm="1">
        <f t="array" ref="M80">INDEX(LCI!W$2:W$130,MATCH('A1 - Raw Material Supply'!$B$15&amp;'A1 - Raw Material Supply'!$D$15,LCI!$B$2:$B$130&amp;LCI!$D$2:$D$130,0))*$C15</f>
        <v>2.831664955417385E-9</v>
      </c>
      <c r="N80" s="154">
        <f t="shared" si="4"/>
        <v>4.3890806808969467E-9</v>
      </c>
      <c r="O80" s="158" cm="1">
        <f t="array" ref="O80">INDEX(LCI!W$2:W$137,MATCH('A1 - Raw Material Supply'!$B4&amp;'A1 - Raw Material Supply'!$D4,LCI!$B2:$B137&amp;LCI!$D2:$D137,0))*$C4</f>
        <v>7.3571199999999993E-12</v>
      </c>
      <c r="P80" s="159"/>
      <c r="Q80" s="159"/>
      <c r="R80" s="154"/>
      <c r="S80" s="158"/>
      <c r="T80" s="158"/>
      <c r="U80" s="154"/>
      <c r="V80" s="158" cm="1">
        <f t="array" ref="V80">INDEX(LCI!W$2:W$130,MATCH('A1 - Raw Material Supply'!$B$20&amp;'A1 - Raw Material Supply'!$D$20,LCI!$B$2:$B$130&amp;LCI!$D$2:$D$130,0))*$C$20</f>
        <v>6.6867322617563686E-9</v>
      </c>
      <c r="W80" s="158" cm="1">
        <f t="array" ref="W80">INDEX(LCI!W$2:W$130,MATCH('A1 - Raw Material Supply'!$B$21&amp;'A1 - Raw Material Supply'!$D$21,LCI!$B$2:$B$130&amp;LCI!$D$2:$D$130,0))*$C$21</f>
        <v>0</v>
      </c>
      <c r="X80" s="158" cm="1">
        <f t="array" ref="X80">INDEX(LCI!W$2:W$130,MATCH('A1 - Raw Material Supply'!$B$22&amp;'A1 - Raw Material Supply'!$D$22,LCI!$B$2:$B$130&amp;LCI!$D$2:$D$130,0))*$C$22</f>
        <v>0</v>
      </c>
      <c r="Y80" s="154">
        <f t="shared" si="5"/>
        <v>6.6867322617563686E-9</v>
      </c>
    </row>
    <row r="81" spans="1:25" x14ac:dyDescent="0.35">
      <c r="A81" s="1" t="s">
        <v>295</v>
      </c>
      <c r="B81" s="158">
        <f>INDEX(LCI!X$2:X$130,MATCH('A1 - Raw Material Supply'!$B5,LCI!$D$2:$D$130,0))*$C5</f>
        <v>4.4963622028629042E-8</v>
      </c>
      <c r="C81" s="158">
        <f>INDEX(LCI!X$2:X$130,MATCH('A1 - Raw Material Supply'!$B6,LCI!$D$2:$D$130,0))*$C6</f>
        <v>8.9927244057258084E-8</v>
      </c>
      <c r="D81" s="158">
        <f>INDEX(LCI!X$2:X$130,MATCH('A1 - Raw Material Supply'!$B7,LCI!$D$2:$D$130,0))*$C7</f>
        <v>3.1121879560992262E-7</v>
      </c>
      <c r="E81" s="158">
        <f>INDEX(LCI!X$2:X$130,MATCH('A1 - Raw Material Supply'!$B8,LCI!$D$2:$D$130,0))*$C8</f>
        <v>0</v>
      </c>
      <c r="F81" s="158">
        <f>INDEX(LCI!X$2:X$130,MATCH('A1 - Raw Material Supply'!$B9,LCI!$D$2:$D$130,0))*$C9</f>
        <v>0</v>
      </c>
      <c r="G81" s="158">
        <f>INDEX(LCI!X$2:X$130,MATCH('A1 - Raw Material Supply'!$B10,LCI!$D$2:$D$130,0))*$C10</f>
        <v>0</v>
      </c>
      <c r="H81" s="158">
        <f>INDEX(LCI!X$2:X$130,MATCH('A1 - Raw Material Supply'!$B11,LCI!$D$2:$D$130,0))*$C11</f>
        <v>1.9867763072504735E-7</v>
      </c>
      <c r="I81" s="158">
        <f>INDEX(LCI!X$2:X$130,MATCH('A1 - Raw Material Supply'!$B12,LCI!$D$2:$D$130,0))*$C12</f>
        <v>0</v>
      </c>
      <c r="J81" s="158">
        <f>INDEX(LCI!X$2:X$130,MATCH('A1 - Raw Material Supply'!$B13,LCI!$D$2:$D$130,0))*$C13</f>
        <v>0</v>
      </c>
      <c r="K81" s="154">
        <f t="shared" si="3"/>
        <v>6.4478729242085712E-7</v>
      </c>
      <c r="L81" s="158" cm="1">
        <f t="array" ref="L81">INDEX(LCI!X$2:X$130,MATCH('A1 - Raw Material Supply'!$B$14&amp;'A1 - Raw Material Supply'!$D$14,LCI!$B$2:$B$130&amp;LCI!$D$2:$D$130,0))*$C14</f>
        <v>9.8472396783713966E-9</v>
      </c>
      <c r="M81" s="158" cm="1">
        <f t="array" ref="M81">INDEX(LCI!X$2:X$130,MATCH('A1 - Raw Material Supply'!$B$15&amp;'A1 - Raw Material Supply'!$D$15,LCI!$B$2:$B$130&amp;LCI!$D$2:$D$130,0))*$C15</f>
        <v>1.790407214249345E-8</v>
      </c>
      <c r="N81" s="154">
        <f t="shared" si="4"/>
        <v>2.7751311820864848E-8</v>
      </c>
      <c r="O81" s="158" cm="1">
        <f t="array" ref="O81">INDEX(LCI!X$2:X$137,MATCH('A1 - Raw Material Supply'!$B4&amp;'A1 - Raw Material Supply'!$D4,LCI!$B2:$B137&amp;LCI!$D2:$D137,0))*$C4</f>
        <v>5.9388800000000003E-7</v>
      </c>
      <c r="P81" s="159"/>
      <c r="Q81" s="159"/>
      <c r="R81" s="154"/>
      <c r="S81" s="158"/>
      <c r="T81" s="158"/>
      <c r="U81" s="154"/>
      <c r="V81" s="158" cm="1">
        <f t="array" ref="V81">INDEX(LCI!X$2:X$130,MATCH('A1 - Raw Material Supply'!$B$20&amp;'A1 - Raw Material Supply'!$D$20,LCI!$B$2:$B$130&amp;LCI!$D$2:$D$130,0))*$C$20</f>
        <v>6.9930966262356109E-8</v>
      </c>
      <c r="W81" s="158" cm="1">
        <f t="array" ref="W81">INDEX(LCI!X$2:X$130,MATCH('A1 - Raw Material Supply'!$B$21&amp;'A1 - Raw Material Supply'!$D$21,LCI!$B$2:$B$130&amp;LCI!$D$2:$D$130,0))*$C$21</f>
        <v>0</v>
      </c>
      <c r="X81" s="158" cm="1">
        <f t="array" ref="X81">INDEX(LCI!X$2:X$130,MATCH('A1 - Raw Material Supply'!$B$22&amp;'A1 - Raw Material Supply'!$D$22,LCI!$B$2:$B$130&amp;LCI!$D$2:$D$130,0))*$C$22</f>
        <v>0</v>
      </c>
      <c r="Y81" s="154">
        <f t="shared" si="5"/>
        <v>6.9930966262356109E-8</v>
      </c>
    </row>
    <row r="82" spans="1:25" x14ac:dyDescent="0.35">
      <c r="A82" s="1" t="s">
        <v>296</v>
      </c>
      <c r="B82" s="158">
        <f>INDEX(LCI!Y$2:Y$130,MATCH('A1 - Raw Material Supply'!$B5,LCI!$D$2:$D$130,0))*$C5</f>
        <v>3.1413938742966838E-3</v>
      </c>
      <c r="C82" s="158">
        <f>INDEX(LCI!Y$2:Y$130,MATCH('A1 - Raw Material Supply'!$B6,LCI!$D$2:$D$130,0))*$C6</f>
        <v>6.2827877485933676E-3</v>
      </c>
      <c r="D82" s="158">
        <f>INDEX(LCI!Y$2:Y$130,MATCH('A1 - Raw Material Supply'!$B7,LCI!$D$2:$D$130,0))*$C7</f>
        <v>2.1743373286798616E-2</v>
      </c>
      <c r="E82" s="158">
        <f>INDEX(LCI!Y$2:Y$130,MATCH('A1 - Raw Material Supply'!$B8,LCI!$D$2:$D$130,0))*$C8</f>
        <v>0</v>
      </c>
      <c r="F82" s="158">
        <f>INDEX(LCI!Y$2:Y$130,MATCH('A1 - Raw Material Supply'!$B9,LCI!$D$2:$D$130,0))*$C9</f>
        <v>0</v>
      </c>
      <c r="G82" s="158">
        <f>INDEX(LCI!Y$2:Y$130,MATCH('A1 - Raw Material Supply'!$B10,LCI!$D$2:$D$130,0))*$C10</f>
        <v>0</v>
      </c>
      <c r="H82" s="158">
        <f>INDEX(LCI!Y$2:Y$130,MATCH('A1 - Raw Material Supply'!$B11,LCI!$D$2:$D$130,0))*$C11</f>
        <v>1.057789267704755E-2</v>
      </c>
      <c r="I82" s="158">
        <f>INDEX(LCI!Y$2:Y$130,MATCH('A1 - Raw Material Supply'!$B12,LCI!$D$2:$D$130,0))*$C12</f>
        <v>0</v>
      </c>
      <c r="J82" s="158">
        <f>INDEX(LCI!Y$2:Y$130,MATCH('A1 - Raw Material Supply'!$B13,LCI!$D$2:$D$130,0))*$C13</f>
        <v>0</v>
      </c>
      <c r="K82" s="154">
        <f t="shared" si="3"/>
        <v>4.174544758673622E-2</v>
      </c>
      <c r="L82" s="158" cm="1">
        <f t="array" ref="L82">INDEX(LCI!Y$2:Y$130,MATCH('A1 - Raw Material Supply'!$B$14&amp;'A1 - Raw Material Supply'!$D$14,LCI!$B$2:$B$130&amp;LCI!$D$2:$D$130,0))*$C14</f>
        <v>6.5993967225239786E-4</v>
      </c>
      <c r="M82" s="158" cm="1">
        <f t="array" ref="M82">INDEX(LCI!Y$2:Y$130,MATCH('A1 - Raw Material Supply'!$B$15&amp;'A1 - Raw Material Supply'!$D$15,LCI!$B$2:$B$130&amp;LCI!$D$2:$D$130,0))*$C15</f>
        <v>1.1998903131861781E-3</v>
      </c>
      <c r="N82" s="154">
        <f t="shared" si="4"/>
        <v>1.8598299854385759E-3</v>
      </c>
      <c r="O82" s="158" cm="1">
        <f t="array" ref="O82">INDEX(LCI!Y$2:Y$137,MATCH('A1 - Raw Material Supply'!$B4&amp;'A1 - Raw Material Supply'!$D4,LCI!$B2:$B137&amp;LCI!$D2:$D137,0))*$C4</f>
        <v>4.4984799999999991E-2</v>
      </c>
      <c r="P82" s="159"/>
      <c r="Q82" s="159"/>
      <c r="R82" s="154"/>
      <c r="S82" s="158"/>
      <c r="T82" s="158"/>
      <c r="U82" s="154"/>
      <c r="V82" s="158" cm="1">
        <f t="array" ref="V82">INDEX(LCI!Y$2:Y$130,MATCH('A1 - Raw Material Supply'!$B$20&amp;'A1 - Raw Material Supply'!$D$20,LCI!$B$2:$B$130&amp;LCI!$D$2:$D$130,0))*$C$20</f>
        <v>3.4925808009998527E-3</v>
      </c>
      <c r="W82" s="158" cm="1">
        <f t="array" ref="W82">INDEX(LCI!Y$2:Y$130,MATCH('A1 - Raw Material Supply'!$B$21&amp;'A1 - Raw Material Supply'!$D$21,LCI!$B$2:$B$130&amp;LCI!$D$2:$D$130,0))*$C$21</f>
        <v>0</v>
      </c>
      <c r="X82" s="158" cm="1">
        <f t="array" ref="X82">INDEX(LCI!Y$2:Y$130,MATCH('A1 - Raw Material Supply'!$B$22&amp;'A1 - Raw Material Supply'!$D$22,LCI!$B$2:$B$130&amp;LCI!$D$2:$D$130,0))*$C$22</f>
        <v>0</v>
      </c>
      <c r="Y82" s="154">
        <f t="shared" si="5"/>
        <v>3.4925808009998527E-3</v>
      </c>
    </row>
    <row r="83" spans="1:25" x14ac:dyDescent="0.35">
      <c r="A83" s="1" t="s">
        <v>297</v>
      </c>
      <c r="B83" s="158">
        <f>INDEX(LCI!Z$2:Z$130,MATCH('A1 - Raw Material Supply'!$B5,LCI!$D$2:$D$130,0))*$C5</f>
        <v>0.20530698370635614</v>
      </c>
      <c r="C83" s="158">
        <f>INDEX(LCI!Z$2:Z$130,MATCH('A1 - Raw Material Supply'!$B6,LCI!$D$2:$D$130,0))*$C6</f>
        <v>0.41061396741271228</v>
      </c>
      <c r="D83" s="158">
        <f>INDEX(LCI!Z$2:Z$130,MATCH('A1 - Raw Material Supply'!$B7,LCI!$D$2:$D$130,0))*$C7</f>
        <v>1.4210463774185043</v>
      </c>
      <c r="E83" s="158">
        <f>INDEX(LCI!Z$2:Z$130,MATCH('A1 - Raw Material Supply'!$B8,LCI!$D$2:$D$130,0))*$C8</f>
        <v>0</v>
      </c>
      <c r="F83" s="158">
        <f>INDEX(LCI!Z$2:Z$130,MATCH('A1 - Raw Material Supply'!$B9,LCI!$D$2:$D$130,0))*$C9</f>
        <v>0</v>
      </c>
      <c r="G83" s="158">
        <f>INDEX(LCI!Z$2:Z$130,MATCH('A1 - Raw Material Supply'!$B10,LCI!$D$2:$D$130,0))*$C10</f>
        <v>0</v>
      </c>
      <c r="H83" s="158">
        <f>INDEX(LCI!Z$2:Z$130,MATCH('A1 - Raw Material Supply'!$B11,LCI!$D$2:$D$130,0))*$C11</f>
        <v>1.0207570682362821</v>
      </c>
      <c r="I83" s="158">
        <f>INDEX(LCI!Z$2:Z$130,MATCH('A1 - Raw Material Supply'!$B12,LCI!$D$2:$D$130,0))*$C12</f>
        <v>0</v>
      </c>
      <c r="J83" s="158">
        <f>INDEX(LCI!Z$2:Z$130,MATCH('A1 - Raw Material Supply'!$B13,LCI!$D$2:$D$130,0))*$C13</f>
        <v>0</v>
      </c>
      <c r="K83" s="154">
        <f t="shared" si="3"/>
        <v>3.057724396773855</v>
      </c>
      <c r="L83" s="158" cm="1">
        <f t="array" ref="L83">INDEX(LCI!Z$2:Z$130,MATCH('A1 - Raw Material Supply'!$B$14&amp;'A1 - Raw Material Supply'!$D$14,LCI!$B$2:$B$130&amp;LCI!$D$2:$D$130,0))*$C14</f>
        <v>0.25392572768492161</v>
      </c>
      <c r="M83" s="158" cm="1">
        <f t="array" ref="M83">INDEX(LCI!Z$2:Z$130,MATCH('A1 - Raw Material Supply'!$B$15&amp;'A1 - Raw Material Supply'!$D$15,LCI!$B$2:$B$130&amp;LCI!$D$2:$D$130,0))*$C15</f>
        <v>0.46168314124531201</v>
      </c>
      <c r="N83" s="154">
        <f t="shared" si="4"/>
        <v>0.71560886893023357</v>
      </c>
      <c r="O83" s="158" cm="1">
        <f t="array" ref="O83">INDEX(LCI!Z$2:Z$137,MATCH('A1 - Raw Material Supply'!$B4&amp;'A1 - Raw Material Supply'!$D4,LCI!$B2:$B137&amp;LCI!$D2:$D137,0))*$C4</f>
        <v>0.15977359999999999</v>
      </c>
      <c r="P83" s="159"/>
      <c r="Q83" s="159"/>
      <c r="R83" s="154"/>
      <c r="S83" s="158"/>
      <c r="T83" s="158"/>
      <c r="U83" s="154"/>
      <c r="V83" s="158" cm="1">
        <f t="array" ref="V83">INDEX(LCI!Z$2:Z$130,MATCH('A1 - Raw Material Supply'!$B$20&amp;'A1 - Raw Material Supply'!$D$20,LCI!$B$2:$B$130&amp;LCI!$D$2:$D$130,0))*$C$20</f>
        <v>0.33021433976024206</v>
      </c>
      <c r="W83" s="158" cm="1">
        <f t="array" ref="W83">INDEX(LCI!Z$2:Z$130,MATCH('A1 - Raw Material Supply'!$B$21&amp;'A1 - Raw Material Supply'!$D$21,LCI!$B$2:$B$130&amp;LCI!$D$2:$D$130,0))*$C$21</f>
        <v>0</v>
      </c>
      <c r="X83" s="158" cm="1">
        <f t="array" ref="X83">INDEX(LCI!Z$2:Z$130,MATCH('A1 - Raw Material Supply'!$B$22&amp;'A1 - Raw Material Supply'!$D$22,LCI!$B$2:$B$130&amp;LCI!$D$2:$D$130,0))*$C$22</f>
        <v>0</v>
      </c>
      <c r="Y83" s="154">
        <f t="shared" si="5"/>
        <v>0.33021433976024206</v>
      </c>
    </row>
    <row r="84" spans="1:25" x14ac:dyDescent="0.35">
      <c r="K84">
        <f>+SUM(K65:K83)</f>
        <v>444.19212303070401</v>
      </c>
      <c r="N84">
        <f>+SUM(N65:N83)</f>
        <v>10.106269682160319</v>
      </c>
      <c r="O84">
        <f>+SUM(O65:O83)</f>
        <v>1676.3414996832948</v>
      </c>
      <c r="R84">
        <f>+SUM(R65:R83)</f>
        <v>0</v>
      </c>
      <c r="U84">
        <f>+SUM(U65:U83)</f>
        <v>0</v>
      </c>
      <c r="Y84">
        <f>+SUM(Y65:Y83)</f>
        <v>14.973993870647137</v>
      </c>
    </row>
    <row r="85" spans="1:25" ht="23.5" x14ac:dyDescent="0.55000000000000004">
      <c r="A85" s="100" t="s">
        <v>320</v>
      </c>
    </row>
    <row r="87" spans="1:25" x14ac:dyDescent="0.35">
      <c r="B87" s="378" t="s">
        <v>221</v>
      </c>
      <c r="C87" s="387"/>
      <c r="D87" s="387"/>
      <c r="E87" s="387"/>
      <c r="F87" s="387"/>
      <c r="G87" s="387"/>
      <c r="H87" s="387"/>
      <c r="I87" s="387"/>
      <c r="J87" s="387"/>
      <c r="K87" s="387"/>
      <c r="L87" s="387" t="s">
        <v>308</v>
      </c>
      <c r="M87" s="387"/>
      <c r="N87" s="379"/>
      <c r="O87" s="104" t="s">
        <v>266</v>
      </c>
      <c r="P87" s="378" t="s">
        <v>213</v>
      </c>
      <c r="Q87" s="387"/>
      <c r="R87" s="379"/>
      <c r="S87" s="378" t="s">
        <v>309</v>
      </c>
      <c r="T87" s="387"/>
      <c r="U87" s="379"/>
      <c r="V87" s="380" t="s">
        <v>215</v>
      </c>
      <c r="W87" s="380"/>
      <c r="X87" s="380"/>
      <c r="Y87" s="380"/>
    </row>
    <row r="88" spans="1:25" ht="43.5" x14ac:dyDescent="0.35">
      <c r="B88" s="103" t="s">
        <v>62</v>
      </c>
      <c r="C88" s="103" t="s">
        <v>65</v>
      </c>
      <c r="D88" s="103" t="s">
        <v>66</v>
      </c>
      <c r="E88" s="103" t="s">
        <v>67</v>
      </c>
      <c r="F88" s="103" t="s">
        <v>71</v>
      </c>
      <c r="G88" s="103" t="s">
        <v>72</v>
      </c>
      <c r="H88" s="103" t="s">
        <v>73</v>
      </c>
      <c r="I88" s="103" t="s">
        <v>75</v>
      </c>
      <c r="J88" s="103" t="s">
        <v>76</v>
      </c>
      <c r="K88" s="103" t="s">
        <v>310</v>
      </c>
      <c r="L88" s="104" t="s">
        <v>311</v>
      </c>
      <c r="M88" s="104" t="s">
        <v>312</v>
      </c>
      <c r="N88" s="104" t="s">
        <v>313</v>
      </c>
      <c r="O88" s="104" t="s">
        <v>200</v>
      </c>
      <c r="P88" s="249" t="s">
        <v>81</v>
      </c>
      <c r="Q88" s="249" t="s">
        <v>83</v>
      </c>
      <c r="R88" s="249" t="s">
        <v>314</v>
      </c>
      <c r="S88" s="104" t="s">
        <v>315</v>
      </c>
      <c r="T88" s="104" t="s">
        <v>316</v>
      </c>
      <c r="U88" s="104" t="s">
        <v>323</v>
      </c>
      <c r="V88" s="104" t="s">
        <v>90</v>
      </c>
      <c r="W88" s="104" t="s">
        <v>93</v>
      </c>
      <c r="X88" s="104" t="s">
        <v>95</v>
      </c>
      <c r="Y88" s="104" t="s">
        <v>317</v>
      </c>
    </row>
    <row r="89" spans="1:25" x14ac:dyDescent="0.35">
      <c r="A89" s="1" t="s">
        <v>318</v>
      </c>
      <c r="B89" s="154"/>
      <c r="C89" s="154"/>
      <c r="D89" s="154"/>
      <c r="E89" s="154"/>
      <c r="F89" s="154"/>
      <c r="G89" s="154"/>
      <c r="H89" s="154"/>
      <c r="I89" s="154"/>
      <c r="J89" s="154"/>
      <c r="K89" s="154"/>
      <c r="L89" s="154"/>
      <c r="M89" s="158"/>
      <c r="N89" s="154"/>
      <c r="O89" s="154" cm="1">
        <f t="array" ref="O89">_xlfn.IFNA(INDEX(LCI!H$2:H$137,MATCH('A1 - Raw Material Supply'!$B$28&amp;'A1 - Raw Material Supply'!$D$28,LCI!$B$2:$B$137&amp;LCI!$D$2:$D$137,0))*$C28,0)</f>
        <v>0</v>
      </c>
      <c r="P89" s="154"/>
      <c r="Q89" s="154"/>
      <c r="R89" s="154"/>
      <c r="S89" s="154"/>
      <c r="T89" s="154"/>
      <c r="U89" s="154"/>
      <c r="V89" s="154"/>
      <c r="W89" s="154"/>
      <c r="X89" s="154"/>
      <c r="Y89" s="154"/>
    </row>
    <row r="90" spans="1:25" x14ac:dyDescent="0.35">
      <c r="A90" s="1" t="s">
        <v>280</v>
      </c>
      <c r="B90" s="154"/>
      <c r="C90" s="154"/>
      <c r="D90" s="154"/>
      <c r="E90" s="154"/>
      <c r="F90" s="154"/>
      <c r="G90" s="154"/>
      <c r="H90" s="154"/>
      <c r="I90" s="154"/>
      <c r="J90" s="154"/>
      <c r="K90" s="154"/>
      <c r="L90" s="154"/>
      <c r="M90" s="158"/>
      <c r="N90" s="154"/>
      <c r="O90" s="154" cm="1">
        <f t="array" ref="O90">_xlfn.IFNA(INDEX(LCI!I$2:I$137,MATCH('A1 - Raw Material Supply'!$B$28&amp;'A1 - Raw Material Supply'!$D$28,LCI!$B$2:$B$137&amp;LCI!$D$2:$D$137,0))*$C28,0)</f>
        <v>0</v>
      </c>
      <c r="P90" s="154"/>
      <c r="Q90" s="154"/>
      <c r="R90" s="154"/>
      <c r="S90" s="154"/>
      <c r="T90" s="154"/>
      <c r="U90" s="154"/>
      <c r="V90" s="154"/>
      <c r="W90" s="154"/>
      <c r="X90" s="154"/>
      <c r="Y90" s="154"/>
    </row>
    <row r="91" spans="1:25" x14ac:dyDescent="0.35">
      <c r="A91" s="1" t="s">
        <v>281</v>
      </c>
      <c r="B91" s="154"/>
      <c r="C91" s="154"/>
      <c r="D91" s="154"/>
      <c r="E91" s="154"/>
      <c r="F91" s="154"/>
      <c r="G91" s="154"/>
      <c r="H91" s="154"/>
      <c r="I91" s="154"/>
      <c r="J91" s="154"/>
      <c r="K91" s="154"/>
      <c r="L91" s="154"/>
      <c r="M91" s="158"/>
      <c r="N91" s="154"/>
      <c r="O91" s="154" cm="1">
        <f t="array" ref="O91">_xlfn.IFNA(INDEX(LCI!J$2:J$137,MATCH('A1 - Raw Material Supply'!$B$28&amp;'A1 - Raw Material Supply'!$D$28,LCI!$B$2:$B$137&amp;LCI!$D$2:$D$137,0))*$C28,0)</f>
        <v>0</v>
      </c>
      <c r="P91" s="154"/>
      <c r="Q91" s="154"/>
      <c r="R91" s="154"/>
      <c r="S91" s="154"/>
      <c r="T91" s="154"/>
      <c r="U91" s="154"/>
      <c r="V91" s="154"/>
      <c r="W91" s="154"/>
      <c r="X91" s="154"/>
      <c r="Y91" s="154"/>
    </row>
    <row r="92" spans="1:25" x14ac:dyDescent="0.35">
      <c r="A92" s="1" t="s">
        <v>282</v>
      </c>
      <c r="B92" s="154"/>
      <c r="C92" s="154"/>
      <c r="D92" s="154"/>
      <c r="E92" s="154"/>
      <c r="F92" s="154"/>
      <c r="G92" s="154"/>
      <c r="H92" s="154"/>
      <c r="I92" s="154"/>
      <c r="J92" s="154"/>
      <c r="K92" s="154"/>
      <c r="L92" s="154"/>
      <c r="M92" s="158"/>
      <c r="N92" s="154"/>
      <c r="O92" s="154" cm="1">
        <f t="array" ref="O92">_xlfn.IFNA(INDEX(LCI!K$2:K$137,MATCH('A1 - Raw Material Supply'!$B$28&amp;'A1 - Raw Material Supply'!$D$28,LCI!$B$2:$B$137&amp;LCI!$D$2:$D$137,0))*$C28,0)</f>
        <v>0</v>
      </c>
      <c r="P92" s="154"/>
      <c r="Q92" s="154"/>
      <c r="R92" s="154"/>
      <c r="S92" s="154"/>
      <c r="T92" s="154"/>
      <c r="U92" s="154"/>
      <c r="V92" s="154"/>
      <c r="W92" s="154"/>
      <c r="X92" s="154"/>
      <c r="Y92" s="154"/>
    </row>
    <row r="93" spans="1:25" x14ac:dyDescent="0.35">
      <c r="A93" s="1" t="s">
        <v>283</v>
      </c>
      <c r="B93" s="154"/>
      <c r="C93" s="154"/>
      <c r="D93" s="154"/>
      <c r="E93" s="154"/>
      <c r="F93" s="154"/>
      <c r="G93" s="154"/>
      <c r="H93" s="154"/>
      <c r="I93" s="154"/>
      <c r="J93" s="154"/>
      <c r="K93" s="154"/>
      <c r="L93" s="154"/>
      <c r="M93" s="158"/>
      <c r="N93" s="154"/>
      <c r="O93" s="154" cm="1">
        <f t="array" ref="O93">_xlfn.IFNA(INDEX(LCI!L$2:L$137,MATCH('A1 - Raw Material Supply'!$B$28&amp;'A1 - Raw Material Supply'!$D$28,LCI!$B$2:$B$137&amp;LCI!$D$2:$D$137,0))*$C28,0)</f>
        <v>0</v>
      </c>
      <c r="P93" s="154"/>
      <c r="Q93" s="154"/>
      <c r="R93" s="154"/>
      <c r="S93" s="154"/>
      <c r="T93" s="154"/>
      <c r="U93" s="154"/>
      <c r="V93" s="154"/>
      <c r="W93" s="154"/>
      <c r="X93" s="154"/>
      <c r="Y93" s="154"/>
    </row>
    <row r="94" spans="1:25" x14ac:dyDescent="0.35">
      <c r="A94" s="1" t="s">
        <v>284</v>
      </c>
      <c r="B94" s="154"/>
      <c r="C94" s="154"/>
      <c r="D94" s="154"/>
      <c r="E94" s="154"/>
      <c r="F94" s="154"/>
      <c r="G94" s="154"/>
      <c r="H94" s="154"/>
      <c r="I94" s="154"/>
      <c r="J94" s="154"/>
      <c r="K94" s="154"/>
      <c r="L94" s="154"/>
      <c r="M94" s="158"/>
      <c r="N94" s="154"/>
      <c r="O94" s="154" cm="1">
        <f t="array" ref="O94">_xlfn.IFNA(INDEX(LCI!M$2:M$137,MATCH('A1 - Raw Material Supply'!$B$28&amp;'A1 - Raw Material Supply'!$D$28,LCI!$B$2:$B$137&amp;LCI!$D$2:$D$137,0))*$C28,0)</f>
        <v>0</v>
      </c>
      <c r="P94" s="154"/>
      <c r="Q94" s="154"/>
      <c r="R94" s="154"/>
      <c r="S94" s="154"/>
      <c r="T94" s="154"/>
      <c r="U94" s="154"/>
      <c r="V94" s="154"/>
      <c r="W94" s="154"/>
      <c r="X94" s="154"/>
      <c r="Y94" s="154"/>
    </row>
    <row r="95" spans="1:25" x14ac:dyDescent="0.35">
      <c r="A95" s="1" t="s">
        <v>285</v>
      </c>
      <c r="B95" s="154"/>
      <c r="C95" s="154"/>
      <c r="D95" s="154"/>
      <c r="E95" s="154"/>
      <c r="F95" s="154"/>
      <c r="G95" s="154"/>
      <c r="H95" s="154"/>
      <c r="I95" s="154"/>
      <c r="J95" s="154"/>
      <c r="K95" s="154"/>
      <c r="L95" s="154"/>
      <c r="M95" s="158"/>
      <c r="N95" s="154"/>
      <c r="O95" s="154" cm="1">
        <f t="array" ref="O95">_xlfn.IFNA(INDEX(LCI!N$2:N$137,MATCH('A1 - Raw Material Supply'!$B$28&amp;'A1 - Raw Material Supply'!$D$28,LCI!$B$2:$B$137&amp;LCI!$D$2:$D$137,0))*$C28,0)</f>
        <v>0</v>
      </c>
      <c r="P95" s="154"/>
      <c r="Q95" s="154"/>
      <c r="R95" s="154"/>
      <c r="S95" s="154"/>
      <c r="T95" s="154"/>
      <c r="U95" s="154"/>
      <c r="V95" s="154"/>
      <c r="W95" s="154"/>
      <c r="X95" s="154"/>
      <c r="Y95" s="154"/>
    </row>
    <row r="96" spans="1:25" x14ac:dyDescent="0.35">
      <c r="A96" s="1" t="s">
        <v>286</v>
      </c>
      <c r="B96" s="154"/>
      <c r="C96" s="154"/>
      <c r="D96" s="154"/>
      <c r="E96" s="154"/>
      <c r="F96" s="154"/>
      <c r="G96" s="154"/>
      <c r="H96" s="154"/>
      <c r="I96" s="154"/>
      <c r="J96" s="154"/>
      <c r="K96" s="154"/>
      <c r="L96" s="154"/>
      <c r="M96" s="158"/>
      <c r="N96" s="154"/>
      <c r="O96" s="154" cm="1">
        <f t="array" ref="O96">_xlfn.IFNA(INDEX(LCI!O$2:O$137,MATCH('A1 - Raw Material Supply'!$B$28&amp;'A1 - Raw Material Supply'!$D$28,LCI!$B$2:$B$137&amp;LCI!$D$2:$D$137,0))*$C28,0)</f>
        <v>0</v>
      </c>
      <c r="P96" s="154"/>
      <c r="Q96" s="154"/>
      <c r="R96" s="154"/>
      <c r="S96" s="154"/>
      <c r="T96" s="154"/>
      <c r="U96" s="154"/>
      <c r="V96" s="154"/>
      <c r="W96" s="154"/>
      <c r="X96" s="154"/>
      <c r="Y96" s="154"/>
    </row>
    <row r="97" spans="1:26" x14ac:dyDescent="0.35">
      <c r="A97" s="1" t="s">
        <v>287</v>
      </c>
      <c r="B97" s="154"/>
      <c r="C97" s="154"/>
      <c r="D97" s="154"/>
      <c r="E97" s="154"/>
      <c r="F97" s="154"/>
      <c r="G97" s="154"/>
      <c r="H97" s="154"/>
      <c r="I97" s="154"/>
      <c r="J97" s="154"/>
      <c r="K97" s="154"/>
      <c r="L97" s="154"/>
      <c r="M97" s="158"/>
      <c r="N97" s="154"/>
      <c r="O97" s="154" cm="1">
        <f t="array" ref="O97">_xlfn.IFNA(INDEX(LCI!P$2:P$137,MATCH('A1 - Raw Material Supply'!$B$28&amp;'A1 - Raw Material Supply'!$D$28,LCI!$B$2:$B$137&amp;LCI!$D$2:$D$137,0))*$C28,0)</f>
        <v>0</v>
      </c>
      <c r="P97" s="154"/>
      <c r="Q97" s="154"/>
      <c r="R97" s="154"/>
      <c r="S97" s="154"/>
      <c r="T97" s="154"/>
      <c r="U97" s="154"/>
      <c r="V97" s="154"/>
      <c r="W97" s="154"/>
      <c r="X97" s="154"/>
      <c r="Y97" s="154"/>
    </row>
    <row r="98" spans="1:26" x14ac:dyDescent="0.35">
      <c r="A98" s="1" t="s">
        <v>288</v>
      </c>
      <c r="B98" s="154"/>
      <c r="C98" s="154"/>
      <c r="D98" s="154"/>
      <c r="E98" s="154"/>
      <c r="F98" s="154"/>
      <c r="G98" s="154"/>
      <c r="H98" s="154"/>
      <c r="I98" s="154"/>
      <c r="J98" s="154"/>
      <c r="K98" s="154"/>
      <c r="L98" s="154"/>
      <c r="M98" s="158"/>
      <c r="N98" s="154"/>
      <c r="O98" s="154" cm="1">
        <f t="array" ref="O98">_xlfn.IFNA(INDEX(LCI!Q$2:Q$137,MATCH('A1 - Raw Material Supply'!$B$28&amp;'A1 - Raw Material Supply'!$D$28,LCI!$B$2:$B$137&amp;LCI!$D$2:$D$137,0))*$C28,0)</f>
        <v>0</v>
      </c>
      <c r="P98" s="154"/>
      <c r="Q98" s="154"/>
      <c r="R98" s="154"/>
      <c r="S98" s="154"/>
      <c r="T98" s="154"/>
      <c r="U98" s="154"/>
      <c r="V98" s="154"/>
      <c r="W98" s="154"/>
      <c r="X98" s="154"/>
      <c r="Y98" s="154"/>
    </row>
    <row r="99" spans="1:26" x14ac:dyDescent="0.35">
      <c r="A99" s="1" t="s">
        <v>289</v>
      </c>
      <c r="B99" s="154"/>
      <c r="C99" s="154"/>
      <c r="D99" s="154"/>
      <c r="E99" s="154"/>
      <c r="F99" s="154"/>
      <c r="G99" s="154"/>
      <c r="H99" s="154"/>
      <c r="I99" s="154"/>
      <c r="J99" s="154"/>
      <c r="K99" s="154"/>
      <c r="L99" s="154"/>
      <c r="M99" s="158"/>
      <c r="N99" s="154"/>
      <c r="O99" s="154" cm="1">
        <f t="array" ref="O99">_xlfn.IFNA(INDEX(LCI!R$2:R$137,MATCH('A1 - Raw Material Supply'!$B$28&amp;'A1 - Raw Material Supply'!$D$28,LCI!$B$2:$B$137&amp;LCI!$D$2:$D$137,0))*$C28,0)</f>
        <v>0</v>
      </c>
      <c r="P99" s="154"/>
      <c r="Q99" s="154"/>
      <c r="R99" s="154"/>
      <c r="S99" s="154"/>
      <c r="T99" s="154"/>
      <c r="U99" s="154"/>
      <c r="V99" s="154"/>
      <c r="W99" s="154"/>
      <c r="X99" s="154"/>
      <c r="Y99" s="154"/>
    </row>
    <row r="100" spans="1:26" x14ac:dyDescent="0.35">
      <c r="A100" s="1" t="s">
        <v>319</v>
      </c>
      <c r="B100" s="154"/>
      <c r="C100" s="154"/>
      <c r="D100" s="154"/>
      <c r="E100" s="154"/>
      <c r="F100" s="154"/>
      <c r="G100" s="154"/>
      <c r="H100" s="154"/>
      <c r="I100" s="154"/>
      <c r="J100" s="154"/>
      <c r="K100" s="154"/>
      <c r="L100" s="154"/>
      <c r="M100" s="158"/>
      <c r="N100" s="154"/>
      <c r="O100" s="154" cm="1">
        <f t="array" ref="O100">_xlfn.IFNA(INDEX(LCI!S$2:S$137,MATCH('A1 - Raw Material Supply'!$B$28&amp;'A1 - Raw Material Supply'!$D$28,LCI!$B$2:$B$137&amp;LCI!$D$2:$D$137,0))*$C28,0)</f>
        <v>0</v>
      </c>
      <c r="P100" s="154"/>
      <c r="Q100" s="154"/>
      <c r="R100" s="154"/>
      <c r="S100" s="154"/>
      <c r="T100" s="154"/>
      <c r="U100" s="154"/>
      <c r="V100" s="154"/>
      <c r="W100" s="154"/>
      <c r="X100" s="154"/>
      <c r="Y100" s="154"/>
    </row>
    <row r="101" spans="1:26" x14ac:dyDescent="0.35">
      <c r="A101" s="1" t="s">
        <v>291</v>
      </c>
      <c r="B101" s="154"/>
      <c r="C101" s="154"/>
      <c r="D101" s="154"/>
      <c r="E101" s="154"/>
      <c r="F101" s="154"/>
      <c r="G101" s="154"/>
      <c r="H101" s="154"/>
      <c r="I101" s="154"/>
      <c r="J101" s="154"/>
      <c r="K101" s="154"/>
      <c r="L101" s="154"/>
      <c r="M101" s="158"/>
      <c r="N101" s="154"/>
      <c r="O101" s="154" cm="1">
        <f t="array" ref="O101">_xlfn.IFNA(INDEX(LCI!T$2:T$137,MATCH('A1 - Raw Material Supply'!$B$28&amp;'A1 - Raw Material Supply'!$D$28,LCI!$B$2:$B$137&amp;LCI!$D$2:$D$137,0))*$C28,0)</f>
        <v>0</v>
      </c>
      <c r="P101" s="154"/>
      <c r="Q101" s="154"/>
      <c r="R101" s="154"/>
      <c r="S101" s="154"/>
      <c r="T101" s="154"/>
      <c r="U101" s="154"/>
      <c r="V101" s="154"/>
      <c r="W101" s="154"/>
      <c r="X101" s="154"/>
      <c r="Y101" s="154"/>
    </row>
    <row r="102" spans="1:26" x14ac:dyDescent="0.35">
      <c r="A102" s="1" t="s">
        <v>292</v>
      </c>
      <c r="B102" s="154"/>
      <c r="C102" s="154"/>
      <c r="D102" s="154"/>
      <c r="E102" s="154"/>
      <c r="F102" s="154"/>
      <c r="G102" s="154"/>
      <c r="H102" s="154"/>
      <c r="I102" s="154"/>
      <c r="J102" s="154"/>
      <c r="K102" s="154"/>
      <c r="L102" s="154"/>
      <c r="M102" s="158"/>
      <c r="N102" s="154"/>
      <c r="O102" s="154" cm="1">
        <f t="array" ref="O102">_xlfn.IFNA(INDEX(LCI!U$2:U$137,MATCH('A1 - Raw Material Supply'!$B$28&amp;'A1 - Raw Material Supply'!$D$28,LCI!$B$2:$B$137&amp;LCI!$D$2:$D$137,0))*$C28,0)</f>
        <v>0</v>
      </c>
      <c r="P102" s="154"/>
      <c r="Q102" s="154"/>
      <c r="R102" s="154"/>
      <c r="S102" s="154"/>
      <c r="T102" s="154"/>
      <c r="U102" s="154"/>
      <c r="V102" s="154"/>
      <c r="W102" s="154"/>
      <c r="X102" s="154"/>
      <c r="Y102" s="154"/>
    </row>
    <row r="103" spans="1:26" x14ac:dyDescent="0.35">
      <c r="A103" s="1" t="s">
        <v>293</v>
      </c>
      <c r="B103" s="154"/>
      <c r="C103" s="154"/>
      <c r="D103" s="154"/>
      <c r="E103" s="154"/>
      <c r="F103" s="154"/>
      <c r="G103" s="154"/>
      <c r="H103" s="154"/>
      <c r="I103" s="154"/>
      <c r="J103" s="154"/>
      <c r="K103" s="154"/>
      <c r="L103" s="154"/>
      <c r="M103" s="158"/>
      <c r="N103" s="154"/>
      <c r="O103" s="154" cm="1">
        <f t="array" ref="O103">_xlfn.IFNA(INDEX(LCI!V$2:V$137,MATCH('A1 - Raw Material Supply'!$B$28&amp;'A1 - Raw Material Supply'!$D$28,LCI!$B$2:$B$137&amp;LCI!$D$2:$D$137,0))*$C28,0)</f>
        <v>0</v>
      </c>
      <c r="P103" s="154"/>
      <c r="Q103" s="154"/>
      <c r="R103" s="154"/>
      <c r="S103" s="154"/>
      <c r="T103" s="154"/>
      <c r="U103" s="154"/>
      <c r="V103" s="154"/>
      <c r="W103" s="154"/>
      <c r="X103" s="154"/>
      <c r="Y103" s="154"/>
    </row>
    <row r="104" spans="1:26" x14ac:dyDescent="0.35">
      <c r="A104" s="1" t="s">
        <v>294</v>
      </c>
      <c r="B104" s="154"/>
      <c r="C104" s="154"/>
      <c r="D104" s="154"/>
      <c r="E104" s="154"/>
      <c r="F104" s="154"/>
      <c r="G104" s="154"/>
      <c r="H104" s="154"/>
      <c r="I104" s="154"/>
      <c r="J104" s="154"/>
      <c r="K104" s="154"/>
      <c r="L104" s="154"/>
      <c r="M104" s="158"/>
      <c r="N104" s="154"/>
      <c r="O104" s="154" cm="1">
        <f t="array" ref="O104">_xlfn.IFNA(INDEX(LCI!W$2:W$137,MATCH('A1 - Raw Material Supply'!$B$28&amp;'A1 - Raw Material Supply'!$D$28,LCI!$B$2:$B$137&amp;LCI!$D$2:$D$137,0))*$C28,0)</f>
        <v>0</v>
      </c>
      <c r="P104" s="154"/>
      <c r="Q104" s="154"/>
      <c r="R104" s="154"/>
      <c r="S104" s="154"/>
      <c r="T104" s="154"/>
      <c r="U104" s="154"/>
      <c r="V104" s="154"/>
      <c r="W104" s="154"/>
      <c r="X104" s="154"/>
      <c r="Y104" s="154"/>
    </row>
    <row r="105" spans="1:26" x14ac:dyDescent="0.35">
      <c r="A105" s="1" t="s">
        <v>295</v>
      </c>
      <c r="B105" s="154"/>
      <c r="C105" s="154"/>
      <c r="D105" s="154"/>
      <c r="E105" s="154"/>
      <c r="F105" s="154"/>
      <c r="G105" s="154"/>
      <c r="H105" s="154"/>
      <c r="I105" s="154"/>
      <c r="J105" s="154"/>
      <c r="K105" s="154"/>
      <c r="L105" s="154"/>
      <c r="M105" s="158"/>
      <c r="N105" s="154"/>
      <c r="O105" s="154" cm="1">
        <f t="array" ref="O105">_xlfn.IFNA(INDEX(LCI!X$2:X$137,MATCH('A1 - Raw Material Supply'!$B$28&amp;'A1 - Raw Material Supply'!$D$28,LCI!$B$2:$B$137&amp;LCI!$D$2:$D$137,0))*$C28,0)</f>
        <v>0</v>
      </c>
      <c r="P105" s="154"/>
      <c r="Q105" s="154"/>
      <c r="R105" s="154"/>
      <c r="S105" s="154"/>
      <c r="T105" s="154"/>
      <c r="U105" s="154"/>
      <c r="V105" s="154"/>
      <c r="W105" s="154"/>
      <c r="X105" s="154"/>
      <c r="Y105" s="154"/>
    </row>
    <row r="106" spans="1:26" x14ac:dyDescent="0.35">
      <c r="A106" s="1" t="s">
        <v>296</v>
      </c>
      <c r="B106" s="154"/>
      <c r="C106" s="154"/>
      <c r="D106" s="154"/>
      <c r="E106" s="154"/>
      <c r="F106" s="154"/>
      <c r="G106" s="154"/>
      <c r="H106" s="154"/>
      <c r="I106" s="154"/>
      <c r="J106" s="154"/>
      <c r="K106" s="154"/>
      <c r="L106" s="154"/>
      <c r="M106" s="158"/>
      <c r="N106" s="154"/>
      <c r="O106" s="154" cm="1">
        <f t="array" ref="O106">_xlfn.IFNA(INDEX(LCI!Y$2:Y$137,MATCH('A1 - Raw Material Supply'!$B$28&amp;'A1 - Raw Material Supply'!$D$28,LCI!$B$2:$B$137&amp;LCI!$D$2:$D$137,0))*$C28,0)</f>
        <v>0</v>
      </c>
      <c r="P106" s="154"/>
      <c r="Q106" s="154"/>
      <c r="R106" s="154"/>
      <c r="S106" s="154"/>
      <c r="T106" s="154"/>
      <c r="U106" s="154"/>
      <c r="V106" s="154"/>
      <c r="W106" s="154"/>
      <c r="X106" s="154"/>
      <c r="Y106" s="154"/>
    </row>
    <row r="107" spans="1:26" x14ac:dyDescent="0.35">
      <c r="A107" s="1" t="s">
        <v>297</v>
      </c>
      <c r="B107" s="154"/>
      <c r="C107" s="154"/>
      <c r="D107" s="154"/>
      <c r="E107" s="154"/>
      <c r="F107" s="154"/>
      <c r="G107" s="154"/>
      <c r="H107" s="154"/>
      <c r="I107" s="154"/>
      <c r="J107" s="154"/>
      <c r="K107" s="154"/>
      <c r="L107" s="154"/>
      <c r="M107" s="158"/>
      <c r="N107" s="154"/>
      <c r="O107" s="154" cm="1">
        <f t="array" ref="O107">_xlfn.IFNA(INDEX(LCI!Z$2:Z$137,MATCH('A1 - Raw Material Supply'!$B$28&amp;'A1 - Raw Material Supply'!$D$28,LCI!$B$2:$B$137&amp;LCI!$D$2:$D$137,0))*$C28,0)</f>
        <v>0</v>
      </c>
      <c r="P107" s="154"/>
      <c r="Q107" s="154"/>
      <c r="R107" s="154"/>
      <c r="S107" s="154"/>
      <c r="T107" s="154"/>
      <c r="U107" s="154"/>
      <c r="V107" s="154"/>
      <c r="W107" s="154"/>
      <c r="X107" s="154"/>
      <c r="Y107" s="154"/>
    </row>
    <row r="110" spans="1:26" ht="23.5" x14ac:dyDescent="0.55000000000000004">
      <c r="A110" s="100" t="s">
        <v>321</v>
      </c>
    </row>
    <row r="112" spans="1:26" x14ac:dyDescent="0.35">
      <c r="B112" s="378" t="s">
        <v>221</v>
      </c>
      <c r="C112" s="387"/>
      <c r="D112" s="387"/>
      <c r="E112" s="387"/>
      <c r="F112" s="387"/>
      <c r="G112" s="387"/>
      <c r="H112" s="387"/>
      <c r="I112" s="387"/>
      <c r="J112" s="387"/>
      <c r="K112" s="387"/>
      <c r="L112" s="387" t="s">
        <v>308</v>
      </c>
      <c r="M112" s="387"/>
      <c r="N112" s="379"/>
      <c r="O112" s="104" t="s">
        <v>266</v>
      </c>
      <c r="P112" s="378" t="s">
        <v>213</v>
      </c>
      <c r="Q112" s="387"/>
      <c r="R112" s="379"/>
      <c r="S112" s="378" t="s">
        <v>309</v>
      </c>
      <c r="T112" s="387"/>
      <c r="U112" s="379"/>
      <c r="V112" s="380" t="s">
        <v>215</v>
      </c>
      <c r="W112" s="380"/>
      <c r="X112" s="380"/>
      <c r="Y112" s="380"/>
      <c r="Z112" s="402" t="s">
        <v>322</v>
      </c>
    </row>
    <row r="113" spans="1:26" ht="43.5" x14ac:dyDescent="0.35">
      <c r="B113" s="103" t="s">
        <v>62</v>
      </c>
      <c r="C113" s="103" t="s">
        <v>65</v>
      </c>
      <c r="D113" s="103" t="s">
        <v>66</v>
      </c>
      <c r="E113" s="103" t="s">
        <v>67</v>
      </c>
      <c r="F113" s="103" t="s">
        <v>71</v>
      </c>
      <c r="G113" s="103" t="s">
        <v>72</v>
      </c>
      <c r="H113" s="103" t="s">
        <v>73</v>
      </c>
      <c r="I113" s="103" t="s">
        <v>75</v>
      </c>
      <c r="J113" s="103" t="s">
        <v>76</v>
      </c>
      <c r="K113" s="103" t="s">
        <v>310</v>
      </c>
      <c r="L113" s="104" t="s">
        <v>311</v>
      </c>
      <c r="M113" s="104" t="s">
        <v>312</v>
      </c>
      <c r="N113" s="104" t="s">
        <v>313</v>
      </c>
      <c r="O113" s="104" t="s">
        <v>200</v>
      </c>
      <c r="P113" s="249" t="s">
        <v>81</v>
      </c>
      <c r="Q113" s="249" t="s">
        <v>83</v>
      </c>
      <c r="R113" s="249" t="s">
        <v>314</v>
      </c>
      <c r="S113" s="104" t="s">
        <v>315</v>
      </c>
      <c r="T113" s="104" t="s">
        <v>316</v>
      </c>
      <c r="U113" s="104" t="s">
        <v>323</v>
      </c>
      <c r="V113" s="104" t="s">
        <v>90</v>
      </c>
      <c r="W113" s="104" t="s">
        <v>93</v>
      </c>
      <c r="X113" s="104" t="s">
        <v>95</v>
      </c>
      <c r="Y113" s="104" t="s">
        <v>317</v>
      </c>
      <c r="Z113" s="402"/>
    </row>
    <row r="114" spans="1:26" x14ac:dyDescent="0.35">
      <c r="A114" s="1" t="s">
        <v>318</v>
      </c>
      <c r="B114" s="154">
        <f>B65+B89</f>
        <v>2.7762888003827727E-3</v>
      </c>
      <c r="C114" s="154">
        <f t="shared" ref="C114:L114" si="6">C65+C89</f>
        <v>5.5525776007655453E-3</v>
      </c>
      <c r="D114" s="154">
        <f t="shared" si="6"/>
        <v>1.9216273461472918E-2</v>
      </c>
      <c r="E114" s="154">
        <f t="shared" si="6"/>
        <v>0</v>
      </c>
      <c r="F114" s="154">
        <f t="shared" si="6"/>
        <v>0</v>
      </c>
      <c r="G114" s="154">
        <f t="shared" si="6"/>
        <v>0</v>
      </c>
      <c r="H114" s="154">
        <f t="shared" si="6"/>
        <v>7.0343064141551023E-3</v>
      </c>
      <c r="I114" s="154">
        <f t="shared" si="6"/>
        <v>0</v>
      </c>
      <c r="J114" s="154">
        <f t="shared" si="6"/>
        <v>0</v>
      </c>
      <c r="K114" s="251">
        <f t="shared" si="6"/>
        <v>3.4579446276776338E-2</v>
      </c>
      <c r="L114" s="154">
        <f t="shared" si="6"/>
        <v>9.3081697010435698E-4</v>
      </c>
      <c r="M114" s="154">
        <f t="shared" ref="M114:Y114" si="7">M65+M89</f>
        <v>1.6923944910988309E-3</v>
      </c>
      <c r="N114" s="251">
        <f t="shared" si="7"/>
        <v>2.6232114612031879E-3</v>
      </c>
      <c r="O114" s="251">
        <f t="shared" si="7"/>
        <v>3.8115199999999995E-2</v>
      </c>
      <c r="P114" s="154"/>
      <c r="Q114" s="154"/>
      <c r="R114" s="251"/>
      <c r="S114" s="154"/>
      <c r="T114" s="154"/>
      <c r="U114" s="251"/>
      <c r="V114" s="154">
        <f t="shared" si="7"/>
        <v>5.2168551507805029E-3</v>
      </c>
      <c r="W114" s="154">
        <f t="shared" si="7"/>
        <v>0</v>
      </c>
      <c r="X114" s="154">
        <f t="shared" si="7"/>
        <v>0</v>
      </c>
      <c r="Y114" s="251">
        <f t="shared" si="7"/>
        <v>5.2168551507805029E-3</v>
      </c>
      <c r="Z114" s="251">
        <f>K114+N114+O114+Y114</f>
        <v>8.0534712888760032E-2</v>
      </c>
    </row>
    <row r="115" spans="1:26" x14ac:dyDescent="0.35">
      <c r="A115" s="1" t="s">
        <v>280</v>
      </c>
      <c r="B115" s="154">
        <f t="shared" ref="B115:K132" si="8">B66+B90</f>
        <v>0.14427457329700158</v>
      </c>
      <c r="C115" s="154">
        <f t="shared" si="8"/>
        <v>0.28854914659400316</v>
      </c>
      <c r="D115" s="154">
        <f t="shared" si="8"/>
        <v>0.99860636027140315</v>
      </c>
      <c r="E115" s="154">
        <f t="shared" si="8"/>
        <v>0</v>
      </c>
      <c r="F115" s="154">
        <f t="shared" si="8"/>
        <v>0</v>
      </c>
      <c r="G115" s="154">
        <f t="shared" si="8"/>
        <v>0</v>
      </c>
      <c r="H115" s="154">
        <f t="shared" si="8"/>
        <v>0.79787171992965111</v>
      </c>
      <c r="I115" s="154">
        <f t="shared" si="8"/>
        <v>0</v>
      </c>
      <c r="J115" s="154">
        <f t="shared" si="8"/>
        <v>0</v>
      </c>
      <c r="K115" s="251">
        <f t="shared" si="8"/>
        <v>2.2293018000920592</v>
      </c>
      <c r="L115" s="154">
        <f t="shared" ref="L115:Y115" si="9">L66+L90</f>
        <v>0.12166438176342087</v>
      </c>
      <c r="M115" s="154">
        <f t="shared" si="9"/>
        <v>0.22120796684258343</v>
      </c>
      <c r="N115" s="251">
        <f t="shared" si="9"/>
        <v>0.3428723486060043</v>
      </c>
      <c r="O115" s="251">
        <f t="shared" si="9"/>
        <v>11.7448</v>
      </c>
      <c r="P115" s="154"/>
      <c r="Q115" s="154"/>
      <c r="R115" s="251"/>
      <c r="S115" s="154"/>
      <c r="T115" s="154"/>
      <c r="U115" s="251"/>
      <c r="V115" s="154">
        <f t="shared" si="9"/>
        <v>0.65423526228811013</v>
      </c>
      <c r="W115" s="154">
        <f t="shared" si="9"/>
        <v>0</v>
      </c>
      <c r="X115" s="154">
        <f t="shared" si="9"/>
        <v>0</v>
      </c>
      <c r="Y115" s="251">
        <f t="shared" si="9"/>
        <v>0.65423526228811013</v>
      </c>
      <c r="Z115" s="251">
        <f t="shared" ref="Z115:Z132" si="10">K115+N115+O115+Y115</f>
        <v>14.971209410986173</v>
      </c>
    </row>
    <row r="116" spans="1:26" x14ac:dyDescent="0.35">
      <c r="A116" s="1" t="s">
        <v>281</v>
      </c>
      <c r="B116" s="154">
        <f t="shared" si="8"/>
        <v>4.4470544623162093E-4</v>
      </c>
      <c r="C116" s="154">
        <f t="shared" si="8"/>
        <v>8.8941089246324186E-4</v>
      </c>
      <c r="D116" s="154">
        <f t="shared" si="8"/>
        <v>3.0780592650933762E-3</v>
      </c>
      <c r="E116" s="154">
        <f t="shared" si="8"/>
        <v>0</v>
      </c>
      <c r="F116" s="154">
        <f t="shared" si="8"/>
        <v>0</v>
      </c>
      <c r="G116" s="154">
        <f t="shared" si="8"/>
        <v>0</v>
      </c>
      <c r="H116" s="154">
        <f t="shared" si="8"/>
        <v>-1.9195362653428194E-4</v>
      </c>
      <c r="I116" s="154">
        <f t="shared" si="8"/>
        <v>0</v>
      </c>
      <c r="J116" s="154">
        <f t="shared" si="8"/>
        <v>0</v>
      </c>
      <c r="K116" s="251">
        <f t="shared" si="8"/>
        <v>4.2202219772539571E-3</v>
      </c>
      <c r="L116" s="154">
        <f t="shared" ref="L116:Y116" si="11">L67+L91</f>
        <v>1.8973973943732778E-3</v>
      </c>
      <c r="M116" s="154">
        <f t="shared" si="11"/>
        <v>3.4498134443150508E-3</v>
      </c>
      <c r="N116" s="251">
        <f t="shared" si="11"/>
        <v>5.3472108386883287E-3</v>
      </c>
      <c r="O116" s="251">
        <f t="shared" si="11"/>
        <v>4.6536000000000001E-2</v>
      </c>
      <c r="P116" s="154"/>
      <c r="Q116" s="154"/>
      <c r="R116" s="251"/>
      <c r="S116" s="154"/>
      <c r="T116" s="154"/>
      <c r="U116" s="251"/>
      <c r="V116" s="154">
        <f t="shared" si="11"/>
        <v>0.1068681104617966</v>
      </c>
      <c r="W116" s="154">
        <f t="shared" si="11"/>
        <v>0</v>
      </c>
      <c r="X116" s="154">
        <f t="shared" si="11"/>
        <v>0</v>
      </c>
      <c r="Y116" s="251">
        <f t="shared" si="11"/>
        <v>0.1068681104617966</v>
      </c>
      <c r="Z116" s="251">
        <f t="shared" si="10"/>
        <v>0.16297154327773888</v>
      </c>
    </row>
    <row r="117" spans="1:26" x14ac:dyDescent="0.35">
      <c r="A117" s="1" t="s">
        <v>282</v>
      </c>
      <c r="B117" s="154">
        <f t="shared" si="8"/>
        <v>0.1437824406807699</v>
      </c>
      <c r="C117" s="154">
        <f t="shared" si="8"/>
        <v>0.28756488136153979</v>
      </c>
      <c r="D117" s="154">
        <f t="shared" si="8"/>
        <v>0.99520003059434847</v>
      </c>
      <c r="E117" s="154">
        <f t="shared" si="8"/>
        <v>0</v>
      </c>
      <c r="F117" s="154">
        <f t="shared" si="8"/>
        <v>0</v>
      </c>
      <c r="G117" s="154">
        <f t="shared" si="8"/>
        <v>0</v>
      </c>
      <c r="H117" s="154">
        <f t="shared" si="8"/>
        <v>0.79795387547915309</v>
      </c>
      <c r="I117" s="154">
        <f t="shared" si="8"/>
        <v>0</v>
      </c>
      <c r="J117" s="154">
        <f t="shared" si="8"/>
        <v>0</v>
      </c>
      <c r="K117" s="251">
        <f t="shared" si="8"/>
        <v>2.2245012281158112</v>
      </c>
      <c r="L117" s="154">
        <f t="shared" ref="L117:Y117" si="12">L68+L92</f>
        <v>0.11956136434225269</v>
      </c>
      <c r="M117" s="154">
        <f t="shared" si="12"/>
        <v>0.21738429880409579</v>
      </c>
      <c r="N117" s="251">
        <f t="shared" si="12"/>
        <v>0.3369456631463485</v>
      </c>
      <c r="O117" s="251">
        <f t="shared" si="12"/>
        <v>11.700479999999999</v>
      </c>
      <c r="P117" s="154"/>
      <c r="Q117" s="154"/>
      <c r="R117" s="251"/>
      <c r="S117" s="154"/>
      <c r="T117" s="154"/>
      <c r="U117" s="251"/>
      <c r="V117" s="154">
        <f t="shared" si="12"/>
        <v>0.5469162215913369</v>
      </c>
      <c r="W117" s="154">
        <f t="shared" si="12"/>
        <v>0</v>
      </c>
      <c r="X117" s="154">
        <f t="shared" si="12"/>
        <v>0</v>
      </c>
      <c r="Y117" s="251">
        <f t="shared" si="12"/>
        <v>0.5469162215913369</v>
      </c>
      <c r="Z117" s="251">
        <f t="shared" si="10"/>
        <v>14.808843112853495</v>
      </c>
    </row>
    <row r="118" spans="1:26" x14ac:dyDescent="0.35">
      <c r="A118" s="1" t="s">
        <v>283</v>
      </c>
      <c r="B118" s="154">
        <f t="shared" si="8"/>
        <v>4.7427170000057053E-5</v>
      </c>
      <c r="C118" s="154">
        <f t="shared" si="8"/>
        <v>9.4854340000114106E-5</v>
      </c>
      <c r="D118" s="154">
        <f t="shared" si="8"/>
        <v>3.2827041196117923E-4</v>
      </c>
      <c r="E118" s="154">
        <f t="shared" si="8"/>
        <v>0</v>
      </c>
      <c r="F118" s="154">
        <f t="shared" si="8"/>
        <v>0</v>
      </c>
      <c r="G118" s="154">
        <f t="shared" si="8"/>
        <v>0</v>
      </c>
      <c r="H118" s="154">
        <f t="shared" si="8"/>
        <v>1.0979807703255282E-4</v>
      </c>
      <c r="I118" s="154">
        <f t="shared" si="8"/>
        <v>0</v>
      </c>
      <c r="J118" s="154">
        <f t="shared" si="8"/>
        <v>0</v>
      </c>
      <c r="K118" s="251">
        <f t="shared" si="8"/>
        <v>5.8034999899390319E-4</v>
      </c>
      <c r="L118" s="154">
        <f t="shared" ref="L118:Y118" si="13">L69+L93</f>
        <v>2.0562002679489535E-4</v>
      </c>
      <c r="M118" s="154">
        <f t="shared" si="13"/>
        <v>3.7385459417253698E-4</v>
      </c>
      <c r="N118" s="251">
        <f t="shared" si="13"/>
        <v>5.7947462096743238E-4</v>
      </c>
      <c r="O118" s="251">
        <f t="shared" si="13"/>
        <v>5.8723999999999998E-3</v>
      </c>
      <c r="P118" s="154"/>
      <c r="Q118" s="154"/>
      <c r="R118" s="251"/>
      <c r="S118" s="154"/>
      <c r="T118" s="154"/>
      <c r="U118" s="251"/>
      <c r="V118" s="154">
        <f t="shared" si="13"/>
        <v>4.5093023497641831E-4</v>
      </c>
      <c r="W118" s="154">
        <f t="shared" si="13"/>
        <v>0</v>
      </c>
      <c r="X118" s="154">
        <f t="shared" si="13"/>
        <v>0</v>
      </c>
      <c r="Y118" s="251">
        <f t="shared" si="13"/>
        <v>4.5093023497641831E-4</v>
      </c>
      <c r="Z118" s="251">
        <f t="shared" si="10"/>
        <v>7.4831548549377539E-3</v>
      </c>
    </row>
    <row r="119" spans="1:26" x14ac:dyDescent="0.35">
      <c r="A119" s="1" t="s">
        <v>284</v>
      </c>
      <c r="B119" s="154">
        <f t="shared" si="8"/>
        <v>1.4255993497652113</v>
      </c>
      <c r="C119" s="154">
        <f t="shared" si="8"/>
        <v>2.8511986995304226</v>
      </c>
      <c r="D119" s="154">
        <f t="shared" si="8"/>
        <v>9.8673837346494029</v>
      </c>
      <c r="E119" s="154">
        <f t="shared" si="8"/>
        <v>0</v>
      </c>
      <c r="F119" s="154">
        <f t="shared" si="8"/>
        <v>0</v>
      </c>
      <c r="G119" s="154">
        <f t="shared" si="8"/>
        <v>0</v>
      </c>
      <c r="H119" s="154">
        <f t="shared" si="8"/>
        <v>0.68141437889121736</v>
      </c>
      <c r="I119" s="154">
        <f t="shared" si="8"/>
        <v>0</v>
      </c>
      <c r="J119" s="154">
        <f t="shared" si="8"/>
        <v>0</v>
      </c>
      <c r="K119" s="251">
        <f t="shared" si="8"/>
        <v>14.825596162836254</v>
      </c>
      <c r="L119" s="154">
        <f t="shared" ref="L119:Y119" si="14">L70+L94</f>
        <v>0.37977548705269193</v>
      </c>
      <c r="M119" s="154">
        <f t="shared" si="14"/>
        <v>0.69050088555034905</v>
      </c>
      <c r="N119" s="251">
        <f t="shared" si="14"/>
        <v>1.0702763726030411</v>
      </c>
      <c r="O119" s="251">
        <f t="shared" si="14"/>
        <v>631.55999999999995</v>
      </c>
      <c r="P119" s="154"/>
      <c r="Q119" s="154"/>
      <c r="R119" s="251"/>
      <c r="S119" s="154"/>
      <c r="T119" s="154"/>
      <c r="U119" s="251"/>
      <c r="V119" s="154">
        <f t="shared" si="14"/>
        <v>2.7323846812273751</v>
      </c>
      <c r="W119" s="154">
        <f t="shared" si="14"/>
        <v>0</v>
      </c>
      <c r="X119" s="154">
        <f t="shared" si="14"/>
        <v>0</v>
      </c>
      <c r="Y119" s="251">
        <f t="shared" si="14"/>
        <v>2.7323846812273751</v>
      </c>
      <c r="Z119" s="251">
        <f t="shared" si="10"/>
        <v>650.18825721666656</v>
      </c>
    </row>
    <row r="120" spans="1:26" x14ac:dyDescent="0.35">
      <c r="A120" s="1" t="s">
        <v>285</v>
      </c>
      <c r="B120" s="154">
        <f t="shared" si="8"/>
        <v>2.0443338859025153</v>
      </c>
      <c r="C120" s="154">
        <f t="shared" si="8"/>
        <v>4.0886677718050306</v>
      </c>
      <c r="D120" s="154">
        <f t="shared" si="8"/>
        <v>14.149997288697804</v>
      </c>
      <c r="E120" s="154">
        <f t="shared" si="8"/>
        <v>0</v>
      </c>
      <c r="F120" s="154">
        <f t="shared" si="8"/>
        <v>0</v>
      </c>
      <c r="G120" s="154">
        <f t="shared" si="8"/>
        <v>0</v>
      </c>
      <c r="H120" s="154">
        <f t="shared" si="8"/>
        <v>10.370944919540303</v>
      </c>
      <c r="I120" s="154">
        <f t="shared" si="8"/>
        <v>0</v>
      </c>
      <c r="J120" s="154">
        <f t="shared" si="8"/>
        <v>0</v>
      </c>
      <c r="K120" s="251">
        <f t="shared" si="8"/>
        <v>30.653943865945653</v>
      </c>
      <c r="L120" s="154">
        <f t="shared" ref="L120:Y120" si="15">L71+L95</f>
        <v>2.0373321039625885</v>
      </c>
      <c r="M120" s="154">
        <f t="shared" si="15"/>
        <v>3.7042401890228884</v>
      </c>
      <c r="N120" s="251">
        <f t="shared" si="15"/>
        <v>5.7415722929854773</v>
      </c>
      <c r="O120" s="251">
        <f t="shared" si="15"/>
        <v>1014.928</v>
      </c>
      <c r="P120" s="154"/>
      <c r="Q120" s="154"/>
      <c r="R120" s="251"/>
      <c r="S120" s="154"/>
      <c r="T120" s="154"/>
      <c r="U120" s="251"/>
      <c r="V120" s="154">
        <f t="shared" si="15"/>
        <v>7.5519828674110823</v>
      </c>
      <c r="W120" s="154">
        <f t="shared" si="15"/>
        <v>0</v>
      </c>
      <c r="X120" s="154">
        <f t="shared" si="15"/>
        <v>0</v>
      </c>
      <c r="Y120" s="251">
        <f t="shared" si="15"/>
        <v>7.5519828674110823</v>
      </c>
      <c r="Z120" s="251">
        <f t="shared" si="10"/>
        <v>1058.8754990263421</v>
      </c>
    </row>
    <row r="121" spans="1:26" x14ac:dyDescent="0.35">
      <c r="A121" s="1" t="s">
        <v>286</v>
      </c>
      <c r="B121" s="154">
        <f t="shared" si="8"/>
        <v>1.0660465212399542E-5</v>
      </c>
      <c r="C121" s="154">
        <f t="shared" si="8"/>
        <v>2.1320930424799085E-5</v>
      </c>
      <c r="D121" s="154">
        <f t="shared" si="8"/>
        <v>7.3787141568177228E-5</v>
      </c>
      <c r="E121" s="154">
        <f t="shared" si="8"/>
        <v>0</v>
      </c>
      <c r="F121" s="154">
        <f t="shared" si="8"/>
        <v>0</v>
      </c>
      <c r="G121" s="154">
        <f t="shared" si="8"/>
        <v>0</v>
      </c>
      <c r="H121" s="154">
        <f t="shared" si="8"/>
        <v>3.5986534448919457E-5</v>
      </c>
      <c r="I121" s="154">
        <f t="shared" si="8"/>
        <v>0</v>
      </c>
      <c r="J121" s="154">
        <f t="shared" si="8"/>
        <v>0</v>
      </c>
      <c r="K121" s="251">
        <f t="shared" si="8"/>
        <v>1.4175507165429532E-4</v>
      </c>
      <c r="L121" s="154">
        <f t="shared" ref="L121:Y121" si="16">L72+L96</f>
        <v>7.3105915013882289E-5</v>
      </c>
      <c r="M121" s="154">
        <f t="shared" si="16"/>
        <v>1.3291984547978599E-4</v>
      </c>
      <c r="N121" s="251">
        <f t="shared" si="16"/>
        <v>2.0602576049366829E-4</v>
      </c>
      <c r="O121" s="251">
        <f t="shared" si="16"/>
        <v>9.8611999999999997E-6</v>
      </c>
      <c r="P121" s="154"/>
      <c r="Q121" s="154"/>
      <c r="R121" s="251"/>
      <c r="S121" s="154"/>
      <c r="T121" s="154"/>
      <c r="U121" s="251"/>
      <c r="V121" s="154">
        <f t="shared" si="16"/>
        <v>1.7251445628132297E-4</v>
      </c>
      <c r="W121" s="154">
        <f t="shared" si="16"/>
        <v>0</v>
      </c>
      <c r="X121" s="154">
        <f t="shared" si="16"/>
        <v>0</v>
      </c>
      <c r="Y121" s="251">
        <f t="shared" si="16"/>
        <v>1.7251445628132297E-4</v>
      </c>
      <c r="Z121" s="251">
        <f t="shared" si="10"/>
        <v>5.3015648842928654E-4</v>
      </c>
    </row>
    <row r="122" spans="1:26" x14ac:dyDescent="0.35">
      <c r="A122" s="1" t="s">
        <v>287</v>
      </c>
      <c r="B122" s="154">
        <f t="shared" si="8"/>
        <v>9.972599357606375E-4</v>
      </c>
      <c r="C122" s="154">
        <f t="shared" si="8"/>
        <v>1.994519871521275E-3</v>
      </c>
      <c r="D122" s="154">
        <f t="shared" si="8"/>
        <v>6.9026030847746086E-3</v>
      </c>
      <c r="E122" s="154">
        <f t="shared" si="8"/>
        <v>0</v>
      </c>
      <c r="F122" s="154">
        <f t="shared" si="8"/>
        <v>0</v>
      </c>
      <c r="G122" s="154">
        <f t="shared" si="8"/>
        <v>0</v>
      </c>
      <c r="H122" s="154">
        <f t="shared" si="8"/>
        <v>3.2281769672834067E-3</v>
      </c>
      <c r="I122" s="154">
        <f t="shared" si="8"/>
        <v>0</v>
      </c>
      <c r="J122" s="154">
        <f t="shared" si="8"/>
        <v>0</v>
      </c>
      <c r="K122" s="251">
        <f t="shared" si="8"/>
        <v>1.3122559859339928E-2</v>
      </c>
      <c r="L122" s="154">
        <f t="shared" ref="L122:Y122" si="17">L73+L97</f>
        <v>2.1080260603251652E-4</v>
      </c>
      <c r="M122" s="154">
        <f t="shared" si="17"/>
        <v>3.8327746551366642E-4</v>
      </c>
      <c r="N122" s="251">
        <f t="shared" si="17"/>
        <v>5.9408007154618291E-4</v>
      </c>
      <c r="O122" s="251">
        <f t="shared" si="17"/>
        <v>9.8390400000000003E-3</v>
      </c>
      <c r="P122" s="154"/>
      <c r="Q122" s="154"/>
      <c r="R122" s="251"/>
      <c r="S122" s="154"/>
      <c r="T122" s="154"/>
      <c r="U122" s="251"/>
      <c r="V122" s="154">
        <f t="shared" si="17"/>
        <v>1.0307679995824358E-3</v>
      </c>
      <c r="W122" s="154">
        <f t="shared" si="17"/>
        <v>0</v>
      </c>
      <c r="X122" s="154">
        <f t="shared" si="17"/>
        <v>0</v>
      </c>
      <c r="Y122" s="251">
        <f t="shared" si="17"/>
        <v>1.0307679995824358E-3</v>
      </c>
      <c r="Z122" s="251">
        <f t="shared" si="10"/>
        <v>2.4586447930468547E-2</v>
      </c>
    </row>
    <row r="123" spans="1:26" x14ac:dyDescent="0.35">
      <c r="A123" s="1" t="s">
        <v>288</v>
      </c>
      <c r="B123" s="154">
        <f t="shared" si="8"/>
        <v>1.390958618979826E-2</v>
      </c>
      <c r="C123" s="154">
        <f t="shared" si="8"/>
        <v>2.7819172379596521E-2</v>
      </c>
      <c r="D123" s="154">
        <f t="shared" si="8"/>
        <v>9.6276155392133064E-2</v>
      </c>
      <c r="E123" s="154">
        <f t="shared" si="8"/>
        <v>0</v>
      </c>
      <c r="F123" s="154">
        <f t="shared" si="8"/>
        <v>0</v>
      </c>
      <c r="G123" s="154">
        <f t="shared" si="8"/>
        <v>0</v>
      </c>
      <c r="H123" s="154">
        <f t="shared" si="8"/>
        <v>3.5455015593932562E-2</v>
      </c>
      <c r="I123" s="154">
        <f t="shared" si="8"/>
        <v>0</v>
      </c>
      <c r="J123" s="154">
        <f t="shared" si="8"/>
        <v>0</v>
      </c>
      <c r="K123" s="251">
        <f t="shared" si="8"/>
        <v>0.17345992955546041</v>
      </c>
      <c r="L123" s="154">
        <f t="shared" ref="L123:Y123" si="18">L74+L98</f>
        <v>2.49859756171603E-3</v>
      </c>
      <c r="M123" s="154">
        <f t="shared" si="18"/>
        <v>4.5429046576655092E-3</v>
      </c>
      <c r="N123" s="251">
        <f t="shared" si="18"/>
        <v>7.0415022193815388E-3</v>
      </c>
      <c r="O123" s="251">
        <f t="shared" si="18"/>
        <v>0.1076976</v>
      </c>
      <c r="P123" s="154"/>
      <c r="Q123" s="154"/>
      <c r="R123" s="251"/>
      <c r="S123" s="154"/>
      <c r="T123" s="154"/>
      <c r="U123" s="251"/>
      <c r="V123" s="154">
        <f t="shared" si="18"/>
        <v>1.0579231622299769E-2</v>
      </c>
      <c r="W123" s="154">
        <f t="shared" si="18"/>
        <v>0</v>
      </c>
      <c r="X123" s="154">
        <f t="shared" si="18"/>
        <v>0</v>
      </c>
      <c r="Y123" s="251">
        <f t="shared" si="18"/>
        <v>1.0579231622299769E-2</v>
      </c>
      <c r="Z123" s="251">
        <f t="shared" si="10"/>
        <v>0.29877826339714175</v>
      </c>
    </row>
    <row r="124" spans="1:26" x14ac:dyDescent="0.35">
      <c r="A124" s="1" t="s">
        <v>289</v>
      </c>
      <c r="B124" s="154">
        <f t="shared" si="8"/>
        <v>2.6000581287052966E-11</v>
      </c>
      <c r="C124" s="154">
        <f t="shared" si="8"/>
        <v>5.2001162574105932E-11</v>
      </c>
      <c r="D124" s="154">
        <f t="shared" si="8"/>
        <v>1.7996480773195484E-10</v>
      </c>
      <c r="E124" s="154">
        <f t="shared" si="8"/>
        <v>0</v>
      </c>
      <c r="F124" s="154">
        <f t="shared" si="8"/>
        <v>0</v>
      </c>
      <c r="G124" s="154">
        <f t="shared" si="8"/>
        <v>0</v>
      </c>
      <c r="H124" s="154">
        <f t="shared" si="8"/>
        <v>9.3860734157275078E-11</v>
      </c>
      <c r="I124" s="154">
        <f t="shared" si="8"/>
        <v>0</v>
      </c>
      <c r="J124" s="154">
        <f t="shared" si="8"/>
        <v>0</v>
      </c>
      <c r="K124" s="251">
        <f t="shared" si="8"/>
        <v>3.518272857503888E-10</v>
      </c>
      <c r="L124" s="154">
        <f t="shared" ref="L124:Y124" si="19">L75+L99</f>
        <v>2.5071044568388908E-11</v>
      </c>
      <c r="M124" s="154">
        <f t="shared" si="19"/>
        <v>4.5583717397070746E-11</v>
      </c>
      <c r="N124" s="251">
        <f t="shared" si="19"/>
        <v>7.0654761965459657E-11</v>
      </c>
      <c r="O124" s="251">
        <f t="shared" si="19"/>
        <v>1.099136E-8</v>
      </c>
      <c r="P124" s="154"/>
      <c r="Q124" s="154"/>
      <c r="R124" s="251"/>
      <c r="S124" s="154"/>
      <c r="T124" s="154"/>
      <c r="U124" s="251"/>
      <c r="V124" s="154">
        <f t="shared" si="19"/>
        <v>3.4322818084723971E-10</v>
      </c>
      <c r="W124" s="154">
        <f t="shared" si="19"/>
        <v>0</v>
      </c>
      <c r="X124" s="154">
        <f t="shared" si="19"/>
        <v>0</v>
      </c>
      <c r="Y124" s="251">
        <f t="shared" si="19"/>
        <v>3.4322818084723971E-10</v>
      </c>
      <c r="Z124" s="251">
        <f t="shared" si="10"/>
        <v>1.1757070228563089E-8</v>
      </c>
    </row>
    <row r="125" spans="1:26" x14ac:dyDescent="0.35">
      <c r="A125" s="1" t="s">
        <v>319</v>
      </c>
      <c r="B125" s="154">
        <f t="shared" si="8"/>
        <v>6.902076259265248E-10</v>
      </c>
      <c r="C125" s="154">
        <f t="shared" si="8"/>
        <v>1.3804152518530496E-9</v>
      </c>
      <c r="D125" s="154">
        <f t="shared" si="8"/>
        <v>4.7773194500404562E-9</v>
      </c>
      <c r="E125" s="154">
        <f t="shared" si="8"/>
        <v>0</v>
      </c>
      <c r="F125" s="154">
        <f t="shared" si="8"/>
        <v>0</v>
      </c>
      <c r="G125" s="154">
        <f t="shared" si="8"/>
        <v>0</v>
      </c>
      <c r="H125" s="154">
        <f t="shared" si="8"/>
        <v>1.5129116376803103E-9</v>
      </c>
      <c r="I125" s="154">
        <f t="shared" si="8"/>
        <v>0</v>
      </c>
      <c r="J125" s="154">
        <f t="shared" si="8"/>
        <v>0</v>
      </c>
      <c r="K125" s="251">
        <f t="shared" si="8"/>
        <v>8.3608539655003408E-9</v>
      </c>
      <c r="L125" s="154">
        <f t="shared" ref="L125:Y125" si="20">L76+L100</f>
        <v>9.5260510567475159E-10</v>
      </c>
      <c r="M125" s="154">
        <f t="shared" si="20"/>
        <v>1.732009283045003E-9</v>
      </c>
      <c r="N125" s="251">
        <f t="shared" si="20"/>
        <v>2.6846143887197546E-9</v>
      </c>
      <c r="O125" s="251">
        <f t="shared" si="20"/>
        <v>3.1688799999999997E-7</v>
      </c>
      <c r="P125" s="154"/>
      <c r="Q125" s="154"/>
      <c r="R125" s="251"/>
      <c r="S125" s="154"/>
      <c r="T125" s="154"/>
      <c r="U125" s="251"/>
      <c r="V125" s="154">
        <f t="shared" si="20"/>
        <v>1.519562698401938E-8</v>
      </c>
      <c r="W125" s="154">
        <f t="shared" si="20"/>
        <v>0</v>
      </c>
      <c r="X125" s="154">
        <f t="shared" si="20"/>
        <v>0</v>
      </c>
      <c r="Y125" s="251">
        <f t="shared" si="20"/>
        <v>1.519562698401938E-8</v>
      </c>
      <c r="Z125" s="251">
        <f t="shared" si="10"/>
        <v>3.4312909533823945E-7</v>
      </c>
    </row>
    <row r="126" spans="1:26" x14ac:dyDescent="0.35">
      <c r="A126" s="1" t="s">
        <v>291</v>
      </c>
      <c r="B126" s="154">
        <f t="shared" si="8"/>
        <v>5.4541080388755677E-3</v>
      </c>
      <c r="C126" s="154">
        <f t="shared" si="8"/>
        <v>1.0908216077751135E-2</v>
      </c>
      <c r="D126" s="154">
        <f t="shared" si="8"/>
        <v>3.7750983092609318E-2</v>
      </c>
      <c r="E126" s="154">
        <f t="shared" si="8"/>
        <v>0</v>
      </c>
      <c r="F126" s="154">
        <f t="shared" si="8"/>
        <v>0</v>
      </c>
      <c r="G126" s="154">
        <f t="shared" si="8"/>
        <v>0</v>
      </c>
      <c r="H126" s="154">
        <f t="shared" si="8"/>
        <v>6.8171824219277885E-3</v>
      </c>
      <c r="I126" s="154">
        <f t="shared" si="8"/>
        <v>0</v>
      </c>
      <c r="J126" s="154">
        <f t="shared" si="8"/>
        <v>0</v>
      </c>
      <c r="K126" s="251">
        <f t="shared" si="8"/>
        <v>6.0930489631163806E-2</v>
      </c>
      <c r="L126" s="154">
        <f t="shared" ref="L126:Y126" si="21">L77+L101</f>
        <v>3.9110006778906019E-2</v>
      </c>
      <c r="M126" s="154">
        <f t="shared" si="21"/>
        <v>7.1109103234374582E-2</v>
      </c>
      <c r="N126" s="251">
        <f t="shared" si="21"/>
        <v>0.11021911001328061</v>
      </c>
      <c r="O126" s="251">
        <f t="shared" si="21"/>
        <v>0.16730799999999998</v>
      </c>
      <c r="P126" s="154"/>
      <c r="Q126" s="154"/>
      <c r="R126" s="251"/>
      <c r="S126" s="154"/>
      <c r="T126" s="154"/>
      <c r="U126" s="251"/>
      <c r="V126" s="154">
        <f t="shared" si="21"/>
        <v>0.10643324427322706</v>
      </c>
      <c r="W126" s="154">
        <f t="shared" si="21"/>
        <v>0</v>
      </c>
      <c r="X126" s="154">
        <f t="shared" si="21"/>
        <v>0</v>
      </c>
      <c r="Y126" s="251">
        <f t="shared" si="21"/>
        <v>0.10643324427322706</v>
      </c>
      <c r="Z126" s="251">
        <f t="shared" si="10"/>
        <v>0.44489084391767153</v>
      </c>
    </row>
    <row r="127" spans="1:26" x14ac:dyDescent="0.35">
      <c r="A127" s="1" t="s">
        <v>292</v>
      </c>
      <c r="B127" s="154">
        <f t="shared" si="8"/>
        <v>1.6814307822017627</v>
      </c>
      <c r="C127" s="154">
        <f t="shared" si="8"/>
        <v>3.3628615644035253</v>
      </c>
      <c r="D127" s="154">
        <f t="shared" si="8"/>
        <v>11.638138551318084</v>
      </c>
      <c r="E127" s="154">
        <f t="shared" si="8"/>
        <v>0</v>
      </c>
      <c r="F127" s="154">
        <f t="shared" si="8"/>
        <v>0</v>
      </c>
      <c r="G127" s="154">
        <f t="shared" si="8"/>
        <v>0</v>
      </c>
      <c r="H127" s="154">
        <f t="shared" si="8"/>
        <v>374.18983912961073</v>
      </c>
      <c r="I127" s="154">
        <f t="shared" si="8"/>
        <v>0</v>
      </c>
      <c r="J127" s="154">
        <f t="shared" si="8"/>
        <v>0</v>
      </c>
      <c r="K127" s="251">
        <f t="shared" si="8"/>
        <v>390.87227002753411</v>
      </c>
      <c r="L127" s="154">
        <f t="shared" ref="L127:Y127" si="22">L78+L102</f>
        <v>0.6282499716687221</v>
      </c>
      <c r="M127" s="154">
        <f t="shared" si="22"/>
        <v>1.1422726757613131</v>
      </c>
      <c r="N127" s="251">
        <f t="shared" si="22"/>
        <v>1.7705226474300351</v>
      </c>
      <c r="O127" s="251">
        <f t="shared" si="22"/>
        <v>5.8280799999999999</v>
      </c>
      <c r="P127" s="154"/>
      <c r="Q127" s="154"/>
      <c r="R127" s="251"/>
      <c r="S127" s="154"/>
      <c r="T127" s="154"/>
      <c r="U127" s="251"/>
      <c r="V127" s="154">
        <f t="shared" si="22"/>
        <v>2.9238161430011052</v>
      </c>
      <c r="W127" s="154">
        <f t="shared" si="22"/>
        <v>0</v>
      </c>
      <c r="X127" s="154">
        <f t="shared" si="22"/>
        <v>0</v>
      </c>
      <c r="Y127" s="251">
        <f t="shared" si="22"/>
        <v>2.9238161430011052</v>
      </c>
      <c r="Z127" s="251">
        <f t="shared" si="10"/>
        <v>401.39468881796523</v>
      </c>
    </row>
    <row r="128" spans="1:26" x14ac:dyDescent="0.35">
      <c r="A128" s="1" t="s">
        <v>293</v>
      </c>
      <c r="B128" s="154">
        <f t="shared" si="8"/>
        <v>4.1816560518549485E-7</v>
      </c>
      <c r="C128" s="154">
        <f t="shared" si="8"/>
        <v>8.363312103709897E-7</v>
      </c>
      <c r="D128" s="154">
        <f t="shared" si="8"/>
        <v>2.8943619339309744E-6</v>
      </c>
      <c r="E128" s="154">
        <f t="shared" si="8"/>
        <v>0</v>
      </c>
      <c r="F128" s="154">
        <f t="shared" si="8"/>
        <v>0</v>
      </c>
      <c r="G128" s="154">
        <f t="shared" si="8"/>
        <v>0</v>
      </c>
      <c r="H128" s="154">
        <f t="shared" si="8"/>
        <v>5.1185430018615164E-7</v>
      </c>
      <c r="I128" s="154">
        <f t="shared" si="8"/>
        <v>0</v>
      </c>
      <c r="J128" s="154">
        <f t="shared" si="8"/>
        <v>0</v>
      </c>
      <c r="K128" s="251">
        <f t="shared" si="8"/>
        <v>4.6607130496736109E-6</v>
      </c>
      <c r="L128" s="154">
        <f t="shared" ref="L128:Y128" si="23">L79+L103</f>
        <v>3.5788766674713027E-7</v>
      </c>
      <c r="M128" s="154">
        <f t="shared" si="23"/>
        <v>6.5070484863114593E-7</v>
      </c>
      <c r="N128" s="251">
        <f t="shared" si="23"/>
        <v>1.0085925153782763E-6</v>
      </c>
      <c r="O128" s="251">
        <f t="shared" si="23"/>
        <v>2.2603199999999999E-6</v>
      </c>
      <c r="P128" s="154"/>
      <c r="Q128" s="154"/>
      <c r="R128" s="251"/>
      <c r="S128" s="154"/>
      <c r="T128" s="154"/>
      <c r="U128" s="251"/>
      <c r="V128" s="154">
        <f t="shared" si="23"/>
        <v>2.0002821138870845E-4</v>
      </c>
      <c r="W128" s="154">
        <f t="shared" si="23"/>
        <v>0</v>
      </c>
      <c r="X128" s="154">
        <f t="shared" si="23"/>
        <v>0</v>
      </c>
      <c r="Y128" s="251">
        <f t="shared" si="23"/>
        <v>2.0002821138870845E-4</v>
      </c>
      <c r="Z128" s="251">
        <f t="shared" si="10"/>
        <v>2.0795783695376033E-4</v>
      </c>
    </row>
    <row r="129" spans="1:26" x14ac:dyDescent="0.35">
      <c r="A129" s="1" t="s">
        <v>294</v>
      </c>
      <c r="B129" s="154">
        <f t="shared" si="8"/>
        <v>2.3781486814152874E-9</v>
      </c>
      <c r="C129" s="154">
        <f t="shared" si="8"/>
        <v>4.7562973628305749E-9</v>
      </c>
      <c r="D129" s="154">
        <f t="shared" si="8"/>
        <v>1.6460519304697971E-8</v>
      </c>
      <c r="E129" s="154">
        <f t="shared" si="8"/>
        <v>0</v>
      </c>
      <c r="F129" s="154">
        <f t="shared" si="8"/>
        <v>0</v>
      </c>
      <c r="G129" s="154">
        <f t="shared" si="8"/>
        <v>0</v>
      </c>
      <c r="H129" s="154">
        <f t="shared" si="8"/>
        <v>1.1640990651020557E-8</v>
      </c>
      <c r="I129" s="154">
        <f t="shared" si="8"/>
        <v>0</v>
      </c>
      <c r="J129" s="154">
        <f t="shared" si="8"/>
        <v>0</v>
      </c>
      <c r="K129" s="251">
        <f t="shared" si="8"/>
        <v>3.5235955999964389E-8</v>
      </c>
      <c r="L129" s="154">
        <f t="shared" ref="L129:Y129" si="24">L80+L104</f>
        <v>1.5574157254795618E-9</v>
      </c>
      <c r="M129" s="154">
        <f t="shared" si="24"/>
        <v>2.831664955417385E-9</v>
      </c>
      <c r="N129" s="251">
        <f t="shared" si="24"/>
        <v>4.3890806808969467E-9</v>
      </c>
      <c r="O129" s="251">
        <f t="shared" si="24"/>
        <v>7.3571199999999993E-12</v>
      </c>
      <c r="P129" s="154"/>
      <c r="Q129" s="154"/>
      <c r="R129" s="251"/>
      <c r="S129" s="154"/>
      <c r="T129" s="154"/>
      <c r="U129" s="251"/>
      <c r="V129" s="154">
        <f t="shared" si="24"/>
        <v>6.6867322617563686E-9</v>
      </c>
      <c r="W129" s="154">
        <f t="shared" si="24"/>
        <v>0</v>
      </c>
      <c r="X129" s="154">
        <f t="shared" si="24"/>
        <v>0</v>
      </c>
      <c r="Y129" s="251">
        <f t="shared" si="24"/>
        <v>6.6867322617563686E-9</v>
      </c>
      <c r="Z129" s="251">
        <f t="shared" si="10"/>
        <v>4.6319126062617698E-8</v>
      </c>
    </row>
    <row r="130" spans="1:26" x14ac:dyDescent="0.35">
      <c r="A130" s="1" t="s">
        <v>295</v>
      </c>
      <c r="B130" s="154">
        <f t="shared" si="8"/>
        <v>4.4963622028629042E-8</v>
      </c>
      <c r="C130" s="154">
        <f t="shared" si="8"/>
        <v>8.9927244057258084E-8</v>
      </c>
      <c r="D130" s="154">
        <f t="shared" si="8"/>
        <v>3.1121879560992262E-7</v>
      </c>
      <c r="E130" s="154">
        <f t="shared" si="8"/>
        <v>0</v>
      </c>
      <c r="F130" s="154">
        <f t="shared" si="8"/>
        <v>0</v>
      </c>
      <c r="G130" s="154">
        <f t="shared" si="8"/>
        <v>0</v>
      </c>
      <c r="H130" s="154">
        <f t="shared" si="8"/>
        <v>1.9867763072504735E-7</v>
      </c>
      <c r="I130" s="154">
        <f t="shared" si="8"/>
        <v>0</v>
      </c>
      <c r="J130" s="154">
        <f t="shared" si="8"/>
        <v>0</v>
      </c>
      <c r="K130" s="251">
        <f t="shared" si="8"/>
        <v>6.4478729242085712E-7</v>
      </c>
      <c r="L130" s="154">
        <f t="shared" ref="L130:Y130" si="25">L81+L105</f>
        <v>9.8472396783713966E-9</v>
      </c>
      <c r="M130" s="154">
        <f t="shared" si="25"/>
        <v>1.790407214249345E-8</v>
      </c>
      <c r="N130" s="251">
        <f t="shared" si="25"/>
        <v>2.7751311820864848E-8</v>
      </c>
      <c r="O130" s="251">
        <f t="shared" si="25"/>
        <v>5.9388800000000003E-7</v>
      </c>
      <c r="P130" s="154"/>
      <c r="Q130" s="154"/>
      <c r="R130" s="251"/>
      <c r="S130" s="154"/>
      <c r="T130" s="154"/>
      <c r="U130" s="251"/>
      <c r="V130" s="154">
        <f t="shared" si="25"/>
        <v>6.9930966262356109E-8</v>
      </c>
      <c r="W130" s="154">
        <f t="shared" si="25"/>
        <v>0</v>
      </c>
      <c r="X130" s="154">
        <f t="shared" si="25"/>
        <v>0</v>
      </c>
      <c r="Y130" s="251">
        <f t="shared" si="25"/>
        <v>6.9930966262356109E-8</v>
      </c>
      <c r="Z130" s="251">
        <f t="shared" si="10"/>
        <v>1.3363575705040781E-6</v>
      </c>
    </row>
    <row r="131" spans="1:26" x14ac:dyDescent="0.35">
      <c r="A131" s="1" t="s">
        <v>296</v>
      </c>
      <c r="B131" s="154">
        <f t="shared" si="8"/>
        <v>3.1413938742966838E-3</v>
      </c>
      <c r="C131" s="154">
        <f t="shared" si="8"/>
        <v>6.2827877485933676E-3</v>
      </c>
      <c r="D131" s="154">
        <f t="shared" si="8"/>
        <v>2.1743373286798616E-2</v>
      </c>
      <c r="E131" s="154">
        <f t="shared" si="8"/>
        <v>0</v>
      </c>
      <c r="F131" s="154">
        <f t="shared" si="8"/>
        <v>0</v>
      </c>
      <c r="G131" s="154">
        <f t="shared" si="8"/>
        <v>0</v>
      </c>
      <c r="H131" s="154">
        <f t="shared" si="8"/>
        <v>1.057789267704755E-2</v>
      </c>
      <c r="I131" s="154">
        <f t="shared" si="8"/>
        <v>0</v>
      </c>
      <c r="J131" s="154">
        <f t="shared" si="8"/>
        <v>0</v>
      </c>
      <c r="K131" s="251">
        <f t="shared" si="8"/>
        <v>4.174544758673622E-2</v>
      </c>
      <c r="L131" s="154">
        <f t="shared" ref="L131:Y131" si="26">L82+L106</f>
        <v>6.5993967225239786E-4</v>
      </c>
      <c r="M131" s="154">
        <f t="shared" si="26"/>
        <v>1.1998903131861781E-3</v>
      </c>
      <c r="N131" s="251">
        <f t="shared" si="26"/>
        <v>1.8598299854385759E-3</v>
      </c>
      <c r="O131" s="251">
        <f t="shared" si="26"/>
        <v>4.4984799999999991E-2</v>
      </c>
      <c r="P131" s="154"/>
      <c r="Q131" s="154"/>
      <c r="R131" s="251"/>
      <c r="S131" s="154"/>
      <c r="T131" s="154"/>
      <c r="U131" s="251"/>
      <c r="V131" s="154">
        <f t="shared" si="26"/>
        <v>3.4925808009998527E-3</v>
      </c>
      <c r="W131" s="154">
        <f t="shared" si="26"/>
        <v>0</v>
      </c>
      <c r="X131" s="154">
        <f t="shared" si="26"/>
        <v>0</v>
      </c>
      <c r="Y131" s="251">
        <f t="shared" si="26"/>
        <v>3.4925808009998527E-3</v>
      </c>
      <c r="Z131" s="251">
        <f t="shared" si="10"/>
        <v>9.2082658373174656E-2</v>
      </c>
    </row>
    <row r="132" spans="1:26" x14ac:dyDescent="0.35">
      <c r="A132" s="1" t="s">
        <v>297</v>
      </c>
      <c r="B132" s="154">
        <f t="shared" si="8"/>
        <v>0.20530698370635614</v>
      </c>
      <c r="C132" s="154">
        <f t="shared" si="8"/>
        <v>0.41061396741271228</v>
      </c>
      <c r="D132" s="154">
        <f t="shared" si="8"/>
        <v>1.4210463774185043</v>
      </c>
      <c r="E132" s="154">
        <f t="shared" si="8"/>
        <v>0</v>
      </c>
      <c r="F132" s="154">
        <f t="shared" si="8"/>
        <v>0</v>
      </c>
      <c r="G132" s="154">
        <f t="shared" si="8"/>
        <v>0</v>
      </c>
      <c r="H132" s="154">
        <f t="shared" si="8"/>
        <v>1.0207570682362821</v>
      </c>
      <c r="I132" s="154">
        <f t="shared" si="8"/>
        <v>0</v>
      </c>
      <c r="J132" s="154">
        <f t="shared" si="8"/>
        <v>0</v>
      </c>
      <c r="K132" s="251">
        <f t="shared" si="8"/>
        <v>3.057724396773855</v>
      </c>
      <c r="L132" s="154">
        <f t="shared" ref="L132:Y132" si="27">L83+L107</f>
        <v>0.25392572768492161</v>
      </c>
      <c r="M132" s="154">
        <f t="shared" si="27"/>
        <v>0.46168314124531201</v>
      </c>
      <c r="N132" s="251">
        <f t="shared" si="27"/>
        <v>0.71560886893023357</v>
      </c>
      <c r="O132" s="251">
        <f t="shared" si="27"/>
        <v>0.15977359999999999</v>
      </c>
      <c r="P132" s="154"/>
      <c r="Q132" s="154"/>
      <c r="R132" s="251"/>
      <c r="S132" s="154"/>
      <c r="T132" s="154"/>
      <c r="U132" s="251"/>
      <c r="V132" s="154">
        <f t="shared" si="27"/>
        <v>0.33021433976024206</v>
      </c>
      <c r="W132" s="154">
        <f t="shared" si="27"/>
        <v>0</v>
      </c>
      <c r="X132" s="154">
        <f t="shared" si="27"/>
        <v>0</v>
      </c>
      <c r="Y132" s="251">
        <f t="shared" si="27"/>
        <v>0.33021433976024206</v>
      </c>
      <c r="Z132" s="251">
        <f t="shared" si="10"/>
        <v>4.2633212054643304</v>
      </c>
    </row>
    <row r="133" spans="1:26" x14ac:dyDescent="0.35">
      <c r="K133">
        <f>+SUM(K114:K132)</f>
        <v>444.19212303070401</v>
      </c>
      <c r="N133">
        <f>+SUM(N114:N132)</f>
        <v>10.106269682160319</v>
      </c>
      <c r="O133">
        <f>+SUM(O114:O132)</f>
        <v>1676.3414996832948</v>
      </c>
      <c r="R133">
        <f>+SUM(R114:R132)</f>
        <v>0</v>
      </c>
      <c r="U133">
        <f>+SUM(U114:U132)</f>
        <v>0</v>
      </c>
      <c r="Y133">
        <f>+SUM(Y114:Y132)</f>
        <v>14.973993870647137</v>
      </c>
      <c r="Z133">
        <f>+SUM(Z114:Z132)</f>
        <v>2145.6138862668063</v>
      </c>
    </row>
    <row r="136" spans="1:26" x14ac:dyDescent="0.35">
      <c r="B136" s="205" t="s">
        <v>324</v>
      </c>
      <c r="C136" s="205" t="s">
        <v>325</v>
      </c>
      <c r="D136" s="205" t="s">
        <v>200</v>
      </c>
    </row>
    <row r="137" spans="1:26" x14ac:dyDescent="0.35">
      <c r="A137" s="95" t="s">
        <v>326</v>
      </c>
      <c r="B137" s="1">
        <f>+SUM(E4:W22)</f>
        <v>2145.6138862668063</v>
      </c>
      <c r="C137" s="1">
        <f>+SUM(E28:W46)</f>
        <v>0</v>
      </c>
      <c r="D137" s="1">
        <f>+SUM(E54:W54)</f>
        <v>2145.6138862668058</v>
      </c>
    </row>
    <row r="138" spans="1:26" x14ac:dyDescent="0.35">
      <c r="A138" s="95" t="s">
        <v>327</v>
      </c>
      <c r="B138" s="1">
        <f>+SUM(B65:J83,L65:M83,O65:O83,P65:Q83,S65:T83,V65:X83)</f>
        <v>2145.6138862668054</v>
      </c>
      <c r="C138" s="1">
        <f>+SUM(B89:J107,L89:M107,O89:O107,P89:Q107,S89:T107,V89:X107)</f>
        <v>0</v>
      </c>
      <c r="D138" s="1">
        <f>+SUM(B114:G132,H114:J132,L114:M132,O114:O132,P114:Q132,S114:T132,V114:X132)</f>
        <v>2145.6138862668054</v>
      </c>
    </row>
    <row r="139" spans="1:26" x14ac:dyDescent="0.35">
      <c r="A139" s="148" t="s">
        <v>58</v>
      </c>
      <c r="B139" s="204">
        <f>B138-B137</f>
        <v>0</v>
      </c>
      <c r="C139" s="204">
        <f t="shared" ref="C139:D139" si="28">+C138-C137</f>
        <v>0</v>
      </c>
      <c r="D139" s="204">
        <f t="shared" si="28"/>
        <v>0</v>
      </c>
    </row>
  </sheetData>
  <mergeCells count="28">
    <mergeCell ref="Z112:Z113"/>
    <mergeCell ref="V112:Y112"/>
    <mergeCell ref="A40:A41"/>
    <mergeCell ref="A42:A43"/>
    <mergeCell ref="B87:K87"/>
    <mergeCell ref="P87:R87"/>
    <mergeCell ref="S87:U87"/>
    <mergeCell ref="L112:N112"/>
    <mergeCell ref="P63:R63"/>
    <mergeCell ref="A44:A46"/>
    <mergeCell ref="A54:D54"/>
    <mergeCell ref="A53:D53"/>
    <mergeCell ref="B112:K112"/>
    <mergeCell ref="P112:R112"/>
    <mergeCell ref="V63:Y63"/>
    <mergeCell ref="S63:U63"/>
    <mergeCell ref="V87:Y87"/>
    <mergeCell ref="A5:A13"/>
    <mergeCell ref="A16:A17"/>
    <mergeCell ref="A18:A19"/>
    <mergeCell ref="A20:A22"/>
    <mergeCell ref="A14:A15"/>
    <mergeCell ref="S112:U112"/>
    <mergeCell ref="B63:K63"/>
    <mergeCell ref="L63:N63"/>
    <mergeCell ref="L87:N87"/>
    <mergeCell ref="A29:A37"/>
    <mergeCell ref="A38:A39"/>
  </mergeCells>
  <phoneticPr fontId="5"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F5C65-D34F-4414-BF50-457118523BD0}">
  <sheetPr codeName="Sheet7"/>
  <dimension ref="A1:Z356"/>
  <sheetViews>
    <sheetView showGridLines="0" topLeftCell="A102" zoomScale="62" zoomScaleNormal="62" workbookViewId="0">
      <selection activeCell="B147" sqref="B147"/>
    </sheetView>
  </sheetViews>
  <sheetFormatPr defaultRowHeight="14.5" x14ac:dyDescent="0.35"/>
  <cols>
    <col min="1" max="1" width="96.81640625" customWidth="1"/>
    <col min="2" max="2" width="76.1796875" style="29" customWidth="1"/>
    <col min="3" max="3" width="78.1796875" customWidth="1"/>
    <col min="4" max="4" width="47" customWidth="1"/>
    <col min="5" max="5" width="25.54296875" customWidth="1"/>
    <col min="6" max="6" width="38" customWidth="1"/>
    <col min="7" max="8" width="27.1796875" customWidth="1"/>
    <col min="9" max="9" width="28.81640625" customWidth="1"/>
    <col min="10" max="10" width="33.1796875" customWidth="1"/>
    <col min="11" max="11" width="28" customWidth="1"/>
    <col min="12" max="12" width="22.81640625" customWidth="1"/>
    <col min="13" max="13" width="21.1796875" customWidth="1"/>
    <col min="14" max="14" width="21.81640625" customWidth="1"/>
    <col min="15" max="15" width="24" customWidth="1"/>
    <col min="16" max="16" width="28.81640625" customWidth="1"/>
    <col min="17" max="17" width="27.81640625" customWidth="1"/>
    <col min="18" max="18" width="26.81640625" customWidth="1"/>
    <col min="19" max="19" width="23.1796875" customWidth="1"/>
    <col min="20" max="20" width="25.453125" customWidth="1"/>
    <col min="21" max="21" width="27" customWidth="1"/>
    <col min="22" max="22" width="23.81640625" customWidth="1"/>
    <col min="23" max="23" width="24.1796875" customWidth="1"/>
    <col min="24" max="24" width="25.1796875" customWidth="1"/>
    <col min="25" max="25" width="29.81640625" customWidth="1"/>
    <col min="26" max="26" width="20.1796875" customWidth="1"/>
  </cols>
  <sheetData>
    <row r="1" spans="1:3" ht="23.5" x14ac:dyDescent="0.55000000000000004">
      <c r="A1" s="100" t="s">
        <v>977</v>
      </c>
    </row>
    <row r="2" spans="1:3" ht="38.5" customHeight="1" x14ac:dyDescent="0.35">
      <c r="A2" s="335" t="s">
        <v>1003</v>
      </c>
    </row>
    <row r="3" spans="1:3" ht="17.5" customHeight="1" x14ac:dyDescent="0.55000000000000004">
      <c r="A3" s="100"/>
    </row>
    <row r="4" spans="1:3" ht="17.5" customHeight="1" x14ac:dyDescent="0.55000000000000004">
      <c r="A4" s="228" t="s">
        <v>978</v>
      </c>
      <c r="B4" s="110"/>
    </row>
    <row r="5" spans="1:3" ht="17.5" customHeight="1" x14ac:dyDescent="0.55000000000000004">
      <c r="A5" s="228"/>
      <c r="B5" s="110"/>
    </row>
    <row r="6" spans="1:3" ht="17.5" customHeight="1" x14ac:dyDescent="0.35">
      <c r="A6" s="306" t="s">
        <v>355</v>
      </c>
      <c r="B6" s="306" t="s">
        <v>32</v>
      </c>
      <c r="C6" s="306" t="s">
        <v>33</v>
      </c>
    </row>
    <row r="7" spans="1:3" ht="17.5" customHeight="1" x14ac:dyDescent="0.35">
      <c r="A7" s="1" t="s">
        <v>356</v>
      </c>
      <c r="B7" s="96" t="s">
        <v>357</v>
      </c>
      <c r="C7" s="96" t="s">
        <v>36</v>
      </c>
    </row>
    <row r="8" spans="1:3" ht="17.5" customHeight="1" x14ac:dyDescent="0.35">
      <c r="A8" s="1" t="s">
        <v>358</v>
      </c>
      <c r="B8" s="96" t="s">
        <v>359</v>
      </c>
      <c r="C8" s="96" t="s">
        <v>36</v>
      </c>
    </row>
    <row r="9" spans="1:3" ht="17.5" customHeight="1" x14ac:dyDescent="0.35">
      <c r="A9" s="1" t="s">
        <v>360</v>
      </c>
      <c r="B9" s="96" t="s">
        <v>361</v>
      </c>
      <c r="C9" s="96" t="s">
        <v>36</v>
      </c>
    </row>
    <row r="10" spans="1:3" ht="17.5" customHeight="1" x14ac:dyDescent="0.35">
      <c r="A10" s="1" t="s">
        <v>362</v>
      </c>
      <c r="B10" s="96" t="s">
        <v>363</v>
      </c>
      <c r="C10" s="96" t="s">
        <v>36</v>
      </c>
    </row>
    <row r="11" spans="1:3" ht="17.5" customHeight="1" x14ac:dyDescent="0.35">
      <c r="B11"/>
    </row>
    <row r="12" spans="1:3" ht="17.5" customHeight="1" x14ac:dyDescent="0.35">
      <c r="A12" t="s">
        <v>364</v>
      </c>
      <c r="B12"/>
    </row>
    <row r="13" spans="1:3" ht="17.5" customHeight="1" x14ac:dyDescent="0.35">
      <c r="A13" s="62" t="s">
        <v>365</v>
      </c>
      <c r="B13" s="62" t="s">
        <v>32</v>
      </c>
      <c r="C13" s="62" t="s">
        <v>33</v>
      </c>
    </row>
    <row r="14" spans="1:3" ht="17.5" customHeight="1" x14ac:dyDescent="0.35">
      <c r="A14" s="1" t="s">
        <v>366</v>
      </c>
      <c r="B14" s="96" t="s">
        <v>367</v>
      </c>
      <c r="C14" s="96" t="s">
        <v>36</v>
      </c>
    </row>
    <row r="15" spans="1:3" ht="17.5" customHeight="1" x14ac:dyDescent="0.35">
      <c r="A15" s="1" t="s">
        <v>358</v>
      </c>
      <c r="B15" s="96" t="s">
        <v>368</v>
      </c>
      <c r="C15" s="96" t="s">
        <v>36</v>
      </c>
    </row>
    <row r="16" spans="1:3" ht="17.5" customHeight="1" x14ac:dyDescent="0.35">
      <c r="A16" s="1" t="s">
        <v>360</v>
      </c>
      <c r="B16" s="96" t="s">
        <v>369</v>
      </c>
      <c r="C16" s="96" t="s">
        <v>36</v>
      </c>
    </row>
    <row r="17" spans="1:4" ht="17.5" customHeight="1" x14ac:dyDescent="0.35">
      <c r="A17" s="1" t="s">
        <v>362</v>
      </c>
      <c r="B17" s="96" t="s">
        <v>370</v>
      </c>
      <c r="C17" s="96" t="s">
        <v>36</v>
      </c>
    </row>
    <row r="18" spans="1:4" ht="17.5" customHeight="1" x14ac:dyDescent="0.55000000000000004">
      <c r="A18" s="100"/>
    </row>
    <row r="19" spans="1:4" ht="15" customHeight="1" x14ac:dyDescent="0.55000000000000004">
      <c r="A19" s="100"/>
    </row>
    <row r="20" spans="1:4" ht="15" customHeight="1" x14ac:dyDescent="0.35">
      <c r="A20" s="1" t="s">
        <v>371</v>
      </c>
      <c r="B20" s="90">
        <v>0.51</v>
      </c>
      <c r="C20" s="2" t="s">
        <v>372</v>
      </c>
      <c r="D20" s="1"/>
    </row>
    <row r="21" spans="1:4" ht="15.65" customHeight="1" x14ac:dyDescent="0.55000000000000004">
      <c r="A21" s="100"/>
    </row>
    <row r="22" spans="1:4" ht="23.5" x14ac:dyDescent="0.55000000000000004">
      <c r="A22" s="100"/>
    </row>
    <row r="23" spans="1:4" ht="13.25" customHeight="1" x14ac:dyDescent="0.5">
      <c r="A23" s="76"/>
    </row>
    <row r="24" spans="1:4" ht="13.25" customHeight="1" x14ac:dyDescent="0.35">
      <c r="A24" s="47"/>
      <c r="B24" s="47"/>
      <c r="C24" s="11"/>
    </row>
    <row r="25" spans="1:4" ht="7.25" customHeight="1" x14ac:dyDescent="0.5">
      <c r="A25" s="76"/>
    </row>
    <row r="26" spans="1:4" ht="21.65" customHeight="1" x14ac:dyDescent="0.55000000000000004">
      <c r="A26" s="100" t="s">
        <v>992</v>
      </c>
    </row>
    <row r="27" spans="1:4" ht="13.25" customHeight="1" x14ac:dyDescent="0.45">
      <c r="A27" s="74" t="s">
        <v>993</v>
      </c>
    </row>
    <row r="28" spans="1:4" ht="13.25" customHeight="1" x14ac:dyDescent="0.4">
      <c r="A28" s="81"/>
    </row>
    <row r="29" spans="1:4" ht="13.25" customHeight="1" x14ac:dyDescent="0.35">
      <c r="A29" s="62" t="s">
        <v>374</v>
      </c>
      <c r="B29" s="304" t="s">
        <v>375</v>
      </c>
      <c r="C29" s="295" t="s">
        <v>330</v>
      </c>
      <c r="D29" s="62" t="s">
        <v>331</v>
      </c>
    </row>
    <row r="30" spans="1:4" x14ac:dyDescent="0.35">
      <c r="A30" s="2" t="s">
        <v>376</v>
      </c>
      <c r="B30" s="90" t="s">
        <v>377</v>
      </c>
      <c r="C30" s="224" t="s">
        <v>378</v>
      </c>
      <c r="D30" s="30" t="s">
        <v>379</v>
      </c>
    </row>
    <row r="31" spans="1:4" x14ac:dyDescent="0.35">
      <c r="A31" s="2" t="s">
        <v>380</v>
      </c>
      <c r="B31" s="90">
        <v>1</v>
      </c>
      <c r="C31" s="33"/>
      <c r="D31" s="1"/>
    </row>
    <row r="32" spans="1:4" x14ac:dyDescent="0.35">
      <c r="A32" s="2" t="s">
        <v>411</v>
      </c>
      <c r="B32" s="90">
        <v>263.2</v>
      </c>
      <c r="C32" s="224" t="s">
        <v>378</v>
      </c>
      <c r="D32" s="30" t="s">
        <v>379</v>
      </c>
    </row>
    <row r="33" spans="1:4" ht="29" x14ac:dyDescent="0.35">
      <c r="A33" s="2" t="s">
        <v>381</v>
      </c>
      <c r="B33" s="90">
        <v>0.51</v>
      </c>
      <c r="C33" s="53" t="s">
        <v>382</v>
      </c>
      <c r="D33" s="1"/>
    </row>
    <row r="34" spans="1:4" ht="43.5" x14ac:dyDescent="0.35">
      <c r="A34" s="1" t="s">
        <v>383</v>
      </c>
      <c r="B34" s="90">
        <v>0.25</v>
      </c>
      <c r="C34" s="39" t="s">
        <v>384</v>
      </c>
      <c r="D34" s="214" t="s">
        <v>385</v>
      </c>
    </row>
    <row r="35" spans="1:4" x14ac:dyDescent="0.35">
      <c r="A35" s="2" t="s">
        <v>386</v>
      </c>
      <c r="B35" s="90">
        <v>2.2000000000000002</v>
      </c>
      <c r="C35" s="1" t="s">
        <v>387</v>
      </c>
      <c r="D35" s="30" t="s">
        <v>388</v>
      </c>
    </row>
    <row r="36" spans="1:4" x14ac:dyDescent="0.35">
      <c r="A36" s="2" t="s">
        <v>389</v>
      </c>
      <c r="B36" s="90">
        <v>0.45</v>
      </c>
      <c r="C36" s="1" t="s">
        <v>390</v>
      </c>
      <c r="D36" s="1"/>
    </row>
    <row r="37" spans="1:4" x14ac:dyDescent="0.35">
      <c r="A37" s="2" t="s">
        <v>391</v>
      </c>
      <c r="B37" s="152">
        <f>60/$B$36</f>
        <v>133.33333333333334</v>
      </c>
      <c r="C37" s="1"/>
      <c r="D37" s="1"/>
    </row>
    <row r="38" spans="1:4" x14ac:dyDescent="0.35">
      <c r="A38" s="2" t="s">
        <v>392</v>
      </c>
      <c r="B38" s="90">
        <v>5.4</v>
      </c>
      <c r="C38" s="224" t="s">
        <v>378</v>
      </c>
      <c r="D38" s="30" t="s">
        <v>379</v>
      </c>
    </row>
    <row r="39" spans="1:4" x14ac:dyDescent="0.35">
      <c r="A39" s="2" t="s">
        <v>393</v>
      </c>
      <c r="B39" s="152">
        <f>$B$35*$B$37*$B$38</f>
        <v>1584.0000000000002</v>
      </c>
      <c r="C39" s="8"/>
      <c r="D39" s="1"/>
    </row>
    <row r="40" spans="1:4" x14ac:dyDescent="0.35">
      <c r="A40" s="2" t="s">
        <v>394</v>
      </c>
      <c r="B40" s="152">
        <f>(Input!$B$51+Input!$B$52)/'C3'' - Secondary Raw Material '!$B$39</f>
        <v>1.8939393939393937E-4</v>
      </c>
      <c r="C40" s="13" t="s">
        <v>395</v>
      </c>
      <c r="D40" s="1"/>
    </row>
    <row r="41" spans="1:4" x14ac:dyDescent="0.35">
      <c r="A41" s="1" t="s">
        <v>396</v>
      </c>
      <c r="B41" s="152">
        <f>$B$32*$B$33*$B$34</f>
        <v>33.558</v>
      </c>
      <c r="C41" s="13" t="s">
        <v>397</v>
      </c>
      <c r="D41" s="1" t="s">
        <v>398</v>
      </c>
    </row>
    <row r="42" spans="1:4" ht="19.25" customHeight="1" x14ac:dyDescent="0.5">
      <c r="A42" s="76"/>
    </row>
    <row r="43" spans="1:4" ht="13.25" customHeight="1" x14ac:dyDescent="0.45">
      <c r="A43" s="116" t="s">
        <v>994</v>
      </c>
      <c r="B43" s="116"/>
      <c r="C43" s="116"/>
    </row>
    <row r="44" spans="1:4" ht="13.25" customHeight="1" x14ac:dyDescent="0.45">
      <c r="A44" s="75"/>
      <c r="B44" s="75"/>
      <c r="C44" s="75"/>
    </row>
    <row r="45" spans="1:4" ht="13.25" customHeight="1" x14ac:dyDescent="0.35">
      <c r="A45" s="62" t="s">
        <v>374</v>
      </c>
      <c r="B45" s="304" t="s">
        <v>375</v>
      </c>
      <c r="C45" s="295" t="s">
        <v>330</v>
      </c>
      <c r="D45" s="62" t="s">
        <v>331</v>
      </c>
    </row>
    <row r="46" spans="1:4" ht="13.25" customHeight="1" x14ac:dyDescent="0.35">
      <c r="A46" s="1" t="s">
        <v>381</v>
      </c>
      <c r="B46" s="90">
        <v>0.51</v>
      </c>
      <c r="C46" s="1" t="s">
        <v>382</v>
      </c>
      <c r="D46" s="1"/>
    </row>
    <row r="47" spans="1:4" ht="13.25" customHeight="1" x14ac:dyDescent="0.35">
      <c r="A47" s="1" t="s">
        <v>406</v>
      </c>
      <c r="B47" s="90" t="s">
        <v>407</v>
      </c>
      <c r="C47" s="46" t="s">
        <v>407</v>
      </c>
      <c r="D47" s="30" t="s">
        <v>408</v>
      </c>
    </row>
    <row r="48" spans="1:4" ht="13.25" customHeight="1" x14ac:dyDescent="0.35">
      <c r="A48" s="1" t="s">
        <v>409</v>
      </c>
      <c r="B48" s="90">
        <v>1</v>
      </c>
      <c r="C48" s="1"/>
      <c r="D48" s="1"/>
    </row>
    <row r="49" spans="1:4" ht="13.25" customHeight="1" x14ac:dyDescent="0.35">
      <c r="A49" s="1" t="s">
        <v>410</v>
      </c>
      <c r="B49" s="90">
        <v>400</v>
      </c>
      <c r="C49" s="1"/>
      <c r="D49" s="1"/>
    </row>
    <row r="50" spans="1:4" ht="13.25" customHeight="1" x14ac:dyDescent="0.35">
      <c r="A50" s="1" t="s">
        <v>411</v>
      </c>
      <c r="B50" s="90">
        <v>200</v>
      </c>
      <c r="C50" s="39" t="s">
        <v>384</v>
      </c>
      <c r="D50" s="214" t="s">
        <v>385</v>
      </c>
    </row>
    <row r="51" spans="1:4" ht="13.25" customHeight="1" x14ac:dyDescent="0.35">
      <c r="A51" s="1" t="s">
        <v>383</v>
      </c>
      <c r="B51" s="90">
        <v>0.25</v>
      </c>
      <c r="C51" s="221" t="s">
        <v>384</v>
      </c>
      <c r="D51" s="1"/>
    </row>
    <row r="52" spans="1:4" ht="13.25" customHeight="1" x14ac:dyDescent="0.35">
      <c r="A52" s="1" t="s">
        <v>412</v>
      </c>
      <c r="B52" s="152">
        <f>Input!$B$51+Input!$B$52</f>
        <v>0.3</v>
      </c>
      <c r="C52" s="1"/>
      <c r="D52" s="1"/>
    </row>
    <row r="53" spans="1:4" ht="13.25" customHeight="1" x14ac:dyDescent="0.35">
      <c r="A53" s="1" t="s">
        <v>413</v>
      </c>
      <c r="B53" s="152">
        <f>$B$52/$B$49</f>
        <v>7.5000000000000002E-4</v>
      </c>
      <c r="C53" s="1" t="s">
        <v>414</v>
      </c>
      <c r="D53" s="1"/>
    </row>
    <row r="54" spans="1:4" ht="13.25" customHeight="1" x14ac:dyDescent="0.35">
      <c r="A54" s="2" t="s">
        <v>396</v>
      </c>
      <c r="B54" s="152">
        <f>$B$50*$B$51*$B$46</f>
        <v>25.5</v>
      </c>
      <c r="C54" s="1" t="s">
        <v>397</v>
      </c>
      <c r="D54" s="1" t="s">
        <v>398</v>
      </c>
    </row>
    <row r="55" spans="1:4" ht="13.25" customHeight="1" x14ac:dyDescent="0.35"/>
    <row r="56" spans="1:4" ht="13.25" customHeight="1" x14ac:dyDescent="0.45">
      <c r="A56" s="116" t="s">
        <v>995</v>
      </c>
      <c r="B56" s="116"/>
      <c r="C56" s="116"/>
    </row>
    <row r="57" spans="1:4" ht="18.5" x14ac:dyDescent="0.45">
      <c r="A57" s="74"/>
    </row>
    <row r="58" spans="1:4" ht="12.65" customHeight="1" x14ac:dyDescent="0.35">
      <c r="A58" s="62" t="s">
        <v>374</v>
      </c>
      <c r="B58" s="304" t="s">
        <v>375</v>
      </c>
      <c r="C58" s="305" t="s">
        <v>330</v>
      </c>
      <c r="D58" s="62" t="s">
        <v>331</v>
      </c>
    </row>
    <row r="59" spans="1:4" x14ac:dyDescent="0.35">
      <c r="A59" s="1" t="s">
        <v>381</v>
      </c>
      <c r="B59" s="90">
        <v>0.51</v>
      </c>
      <c r="C59" s="141" t="s">
        <v>382</v>
      </c>
      <c r="D59" s="1"/>
    </row>
    <row r="60" spans="1:4" x14ac:dyDescent="0.35">
      <c r="A60" s="1" t="s">
        <v>415</v>
      </c>
      <c r="B60" s="90" t="s">
        <v>416</v>
      </c>
      <c r="C60" s="199" t="s">
        <v>416</v>
      </c>
      <c r="D60" s="30" t="s">
        <v>417</v>
      </c>
    </row>
    <row r="61" spans="1:4" x14ac:dyDescent="0.35">
      <c r="A61" s="1" t="s">
        <v>418</v>
      </c>
      <c r="B61" s="90">
        <v>1</v>
      </c>
      <c r="C61" s="141"/>
      <c r="D61" s="1"/>
    </row>
    <row r="62" spans="1:4" ht="43.5" x14ac:dyDescent="0.35">
      <c r="A62" s="1" t="s">
        <v>383</v>
      </c>
      <c r="B62" s="90">
        <v>0.25</v>
      </c>
      <c r="C62" s="220" t="s">
        <v>384</v>
      </c>
      <c r="D62" s="214" t="s">
        <v>385</v>
      </c>
    </row>
    <row r="63" spans="1:4" x14ac:dyDescent="0.35">
      <c r="A63" s="1" t="s">
        <v>410</v>
      </c>
      <c r="B63" s="90">
        <v>500</v>
      </c>
      <c r="C63" s="141"/>
      <c r="D63" s="1"/>
    </row>
    <row r="64" spans="1:4" x14ac:dyDescent="0.35">
      <c r="A64" s="1" t="s">
        <v>411</v>
      </c>
      <c r="B64" s="113">
        <v>55</v>
      </c>
      <c r="C64" s="141"/>
      <c r="D64" s="1"/>
    </row>
    <row r="65" spans="1:4" x14ac:dyDescent="0.35">
      <c r="A65" s="1" t="s">
        <v>412</v>
      </c>
      <c r="B65" s="152">
        <f>Input!$B$51+Input!$B$52</f>
        <v>0.3</v>
      </c>
      <c r="C65" s="141"/>
      <c r="D65" s="1"/>
    </row>
    <row r="66" spans="1:4" ht="29" x14ac:dyDescent="0.35">
      <c r="A66" s="6" t="s">
        <v>419</v>
      </c>
      <c r="B66" s="152">
        <f>$B$65/$B$49</f>
        <v>7.5000000000000002E-4</v>
      </c>
      <c r="C66" s="218" t="s">
        <v>420</v>
      </c>
      <c r="D66" s="1"/>
    </row>
    <row r="67" spans="1:4" x14ac:dyDescent="0.35">
      <c r="A67" s="6" t="s">
        <v>396</v>
      </c>
      <c r="B67" s="152">
        <f>$B$64*$B$62*$B$59</f>
        <v>7.0125000000000002</v>
      </c>
      <c r="C67" s="141" t="s">
        <v>397</v>
      </c>
      <c r="D67" s="1" t="s">
        <v>398</v>
      </c>
    </row>
    <row r="68" spans="1:4" x14ac:dyDescent="0.35">
      <c r="A68" s="55"/>
      <c r="C68" s="28"/>
    </row>
    <row r="69" spans="1:4" ht="18.5" x14ac:dyDescent="0.45">
      <c r="A69" s="116" t="s">
        <v>996</v>
      </c>
      <c r="B69" s="116"/>
      <c r="C69" s="116"/>
    </row>
    <row r="70" spans="1:4" ht="18.5" x14ac:dyDescent="0.45">
      <c r="A70" s="74"/>
    </row>
    <row r="71" spans="1:4" x14ac:dyDescent="0.35">
      <c r="A71" s="62" t="s">
        <v>374</v>
      </c>
      <c r="B71" s="304" t="s">
        <v>375</v>
      </c>
      <c r="C71" s="305" t="s">
        <v>330</v>
      </c>
      <c r="D71" s="62" t="s">
        <v>331</v>
      </c>
    </row>
    <row r="72" spans="1:4" x14ac:dyDescent="0.35">
      <c r="A72" s="1" t="s">
        <v>421</v>
      </c>
      <c r="B72" s="90" t="s">
        <v>422</v>
      </c>
      <c r="C72" s="141" t="s">
        <v>422</v>
      </c>
      <c r="D72" s="30" t="s">
        <v>423</v>
      </c>
    </row>
    <row r="73" spans="1:4" x14ac:dyDescent="0.35">
      <c r="A73" s="1" t="s">
        <v>424</v>
      </c>
      <c r="B73" s="90">
        <v>1</v>
      </c>
      <c r="C73" s="141"/>
      <c r="D73" s="1"/>
    </row>
    <row r="74" spans="1:4" x14ac:dyDescent="0.35">
      <c r="A74" s="1" t="s">
        <v>411</v>
      </c>
      <c r="B74" s="90">
        <v>99</v>
      </c>
      <c r="C74" s="141"/>
      <c r="D74" s="1"/>
    </row>
    <row r="75" spans="1:4" ht="29" x14ac:dyDescent="0.35">
      <c r="A75" s="2" t="s">
        <v>381</v>
      </c>
      <c r="B75" s="90">
        <v>0.51</v>
      </c>
      <c r="C75" s="218" t="s">
        <v>382</v>
      </c>
      <c r="D75" s="1"/>
    </row>
    <row r="76" spans="1:4" x14ac:dyDescent="0.35">
      <c r="A76" s="1" t="s">
        <v>410</v>
      </c>
      <c r="B76" s="90">
        <v>500</v>
      </c>
      <c r="C76" s="141"/>
      <c r="D76" s="1"/>
    </row>
    <row r="77" spans="1:4" ht="43.5" x14ac:dyDescent="0.35">
      <c r="A77" s="1" t="s">
        <v>383</v>
      </c>
      <c r="B77" s="90">
        <v>0.25</v>
      </c>
      <c r="C77" s="222" t="s">
        <v>384</v>
      </c>
      <c r="D77" s="1"/>
    </row>
    <row r="78" spans="1:4" x14ac:dyDescent="0.35">
      <c r="A78" s="1" t="s">
        <v>412</v>
      </c>
      <c r="B78" s="152">
        <f>Input!$B$51+Input!$B$52</f>
        <v>0.3</v>
      </c>
      <c r="C78" s="141"/>
      <c r="D78" s="1"/>
    </row>
    <row r="79" spans="1:4" ht="29" x14ac:dyDescent="0.35">
      <c r="A79" s="2" t="s">
        <v>413</v>
      </c>
      <c r="B79" s="152">
        <f>$B$78/$B$49</f>
        <v>7.5000000000000002E-4</v>
      </c>
      <c r="C79" s="218" t="s">
        <v>420</v>
      </c>
      <c r="D79" s="1"/>
    </row>
    <row r="80" spans="1:4" x14ac:dyDescent="0.35">
      <c r="A80" s="2" t="s">
        <v>396</v>
      </c>
      <c r="B80" s="152">
        <f>$B$74*$B$77*$B$75</f>
        <v>12.6225</v>
      </c>
      <c r="C80" s="141" t="s">
        <v>397</v>
      </c>
      <c r="D80" s="1" t="s">
        <v>398</v>
      </c>
    </row>
    <row r="83" spans="1:4" ht="23.5" x14ac:dyDescent="0.55000000000000004">
      <c r="A83" s="100" t="s">
        <v>997</v>
      </c>
    </row>
    <row r="84" spans="1:4" ht="18.5" x14ac:dyDescent="0.45">
      <c r="A84" s="334" t="s">
        <v>998</v>
      </c>
      <c r="B84" s="47"/>
      <c r="C84" s="11"/>
    </row>
    <row r="85" spans="1:4" x14ac:dyDescent="0.35">
      <c r="A85" s="62" t="s">
        <v>374</v>
      </c>
      <c r="B85" s="304" t="s">
        <v>375</v>
      </c>
      <c r="C85" s="295" t="s">
        <v>330</v>
      </c>
      <c r="D85" s="62" t="s">
        <v>331</v>
      </c>
    </row>
    <row r="86" spans="1:4" x14ac:dyDescent="0.35">
      <c r="A86" s="2" t="s">
        <v>376</v>
      </c>
      <c r="B86" s="90" t="s">
        <v>377</v>
      </c>
      <c r="C86" s="202" t="s">
        <v>378</v>
      </c>
      <c r="D86" s="30" t="s">
        <v>379</v>
      </c>
    </row>
    <row r="87" spans="1:4" x14ac:dyDescent="0.35">
      <c r="A87" s="2" t="s">
        <v>380</v>
      </c>
      <c r="B87" s="90">
        <v>1</v>
      </c>
      <c r="C87" s="33"/>
      <c r="D87" s="1"/>
    </row>
    <row r="88" spans="1:4" x14ac:dyDescent="0.35">
      <c r="A88" s="2" t="s">
        <v>411</v>
      </c>
      <c r="B88" s="90">
        <v>263.2</v>
      </c>
      <c r="C88" s="202" t="s">
        <v>378</v>
      </c>
      <c r="D88" s="30" t="s">
        <v>379</v>
      </c>
    </row>
    <row r="89" spans="1:4" x14ac:dyDescent="0.35">
      <c r="A89" s="2" t="s">
        <v>381</v>
      </c>
      <c r="B89" s="90">
        <v>0.51</v>
      </c>
      <c r="C89" s="141" t="s">
        <v>382</v>
      </c>
      <c r="D89" s="1"/>
    </row>
    <row r="90" spans="1:4" ht="43.5" x14ac:dyDescent="0.35">
      <c r="A90" s="1" t="s">
        <v>383</v>
      </c>
      <c r="B90" s="90">
        <v>0.25</v>
      </c>
      <c r="C90" s="39" t="s">
        <v>384</v>
      </c>
      <c r="D90" s="214" t="s">
        <v>385</v>
      </c>
    </row>
    <row r="91" spans="1:4" x14ac:dyDescent="0.35">
      <c r="A91" s="2" t="s">
        <v>399</v>
      </c>
      <c r="B91" s="90">
        <v>2.2999999999999998</v>
      </c>
      <c r="C91" t="s">
        <v>400</v>
      </c>
      <c r="D91" s="30" t="s">
        <v>401</v>
      </c>
    </row>
    <row r="92" spans="1:4" x14ac:dyDescent="0.35">
      <c r="A92" s="2" t="s">
        <v>389</v>
      </c>
      <c r="B92" s="90">
        <v>0.45</v>
      </c>
      <c r="C92" s="141" t="s">
        <v>390</v>
      </c>
      <c r="D92" s="1"/>
    </row>
    <row r="93" spans="1:4" x14ac:dyDescent="0.35">
      <c r="A93" s="2" t="s">
        <v>391</v>
      </c>
      <c r="B93" s="152">
        <f>60/$B$36</f>
        <v>133.33333333333334</v>
      </c>
      <c r="C93" s="1"/>
      <c r="D93" s="1"/>
    </row>
    <row r="94" spans="1:4" x14ac:dyDescent="0.35">
      <c r="A94" s="2" t="s">
        <v>392</v>
      </c>
      <c r="B94" s="90">
        <v>5.4</v>
      </c>
      <c r="C94" s="202" t="s">
        <v>378</v>
      </c>
      <c r="D94" s="30" t="s">
        <v>379</v>
      </c>
    </row>
    <row r="95" spans="1:4" x14ac:dyDescent="0.35">
      <c r="A95" s="2" t="s">
        <v>393</v>
      </c>
      <c r="B95" s="152">
        <f>$B$35*$B$37*$B$38</f>
        <v>1584.0000000000002</v>
      </c>
      <c r="C95" s="8"/>
      <c r="D95" s="1"/>
    </row>
    <row r="96" spans="1:4" x14ac:dyDescent="0.35">
      <c r="A96" s="2" t="s">
        <v>402</v>
      </c>
      <c r="B96" s="152">
        <f>IF(Input!$C$53="Recycled_concrete_aggregate",Input!$B$53,0)/B95</f>
        <v>0</v>
      </c>
      <c r="C96" s="13" t="s">
        <v>403</v>
      </c>
      <c r="D96" s="1"/>
    </row>
    <row r="97" spans="1:4" x14ac:dyDescent="0.35">
      <c r="A97" s="2" t="s">
        <v>404</v>
      </c>
      <c r="B97" s="152">
        <f>IF(Input!$C$54="Recycled_concrete_aggregate",Input!$B$54,0)/B95</f>
        <v>0</v>
      </c>
      <c r="C97" s="8"/>
      <c r="D97" s="1"/>
    </row>
    <row r="98" spans="1:4" x14ac:dyDescent="0.35">
      <c r="A98" s="2" t="s">
        <v>405</v>
      </c>
      <c r="B98" s="152">
        <f>$B$96+$B$97</f>
        <v>0</v>
      </c>
      <c r="C98" s="8"/>
      <c r="D98" s="1"/>
    </row>
    <row r="99" spans="1:4" x14ac:dyDescent="0.35">
      <c r="A99" s="2" t="s">
        <v>396</v>
      </c>
      <c r="B99" s="2">
        <f>$B$88*$B$89*$B$90</f>
        <v>33.558</v>
      </c>
      <c r="C99" s="1" t="s">
        <v>397</v>
      </c>
      <c r="D99" s="1" t="s">
        <v>398</v>
      </c>
    </row>
    <row r="101" spans="1:4" ht="18.5" x14ac:dyDescent="0.45">
      <c r="A101" s="116" t="s">
        <v>999</v>
      </c>
      <c r="B101" s="116"/>
      <c r="C101" s="116"/>
    </row>
    <row r="102" spans="1:4" x14ac:dyDescent="0.35">
      <c r="A102" s="27"/>
      <c r="B102" s="27"/>
      <c r="C102" s="27"/>
    </row>
    <row r="103" spans="1:4" x14ac:dyDescent="0.35">
      <c r="A103" s="62" t="s">
        <v>374</v>
      </c>
      <c r="B103" s="304" t="s">
        <v>375</v>
      </c>
      <c r="C103" s="295" t="s">
        <v>330</v>
      </c>
      <c r="D103" s="62" t="s">
        <v>331</v>
      </c>
    </row>
    <row r="104" spans="1:4" x14ac:dyDescent="0.35">
      <c r="A104" s="48" t="s">
        <v>425</v>
      </c>
      <c r="B104" s="48"/>
      <c r="C104" s="48"/>
      <c r="D104" s="1"/>
    </row>
    <row r="105" spans="1:4" ht="29" x14ac:dyDescent="0.35">
      <c r="A105" s="89" t="s">
        <v>381</v>
      </c>
      <c r="B105" s="90">
        <v>0.51</v>
      </c>
      <c r="C105" s="53" t="s">
        <v>382</v>
      </c>
      <c r="D105" s="1"/>
    </row>
    <row r="106" spans="1:4" ht="29" x14ac:dyDescent="0.35">
      <c r="A106" s="1" t="s">
        <v>406</v>
      </c>
      <c r="B106" s="90" t="s">
        <v>407</v>
      </c>
      <c r="C106" s="46" t="s">
        <v>407</v>
      </c>
      <c r="D106" s="123" t="s">
        <v>408</v>
      </c>
    </row>
    <row r="107" spans="1:4" x14ac:dyDescent="0.35">
      <c r="A107" s="1" t="s">
        <v>409</v>
      </c>
      <c r="B107" s="90">
        <v>1</v>
      </c>
      <c r="C107" s="1"/>
      <c r="D107" s="1"/>
    </row>
    <row r="108" spans="1:4" x14ac:dyDescent="0.35">
      <c r="A108" s="1" t="s">
        <v>410</v>
      </c>
      <c r="B108" s="90">
        <v>400</v>
      </c>
      <c r="C108" s="1"/>
      <c r="D108" s="1"/>
    </row>
    <row r="109" spans="1:4" x14ac:dyDescent="0.35">
      <c r="A109" s="1" t="s">
        <v>411</v>
      </c>
      <c r="B109" s="90">
        <v>200</v>
      </c>
      <c r="C109" s="1"/>
      <c r="D109" s="1"/>
    </row>
    <row r="110" spans="1:4" ht="43.5" x14ac:dyDescent="0.35">
      <c r="A110" s="1" t="s">
        <v>383</v>
      </c>
      <c r="B110" s="90">
        <v>0.25</v>
      </c>
      <c r="C110" s="39" t="s">
        <v>384</v>
      </c>
      <c r="D110" s="1"/>
    </row>
    <row r="111" spans="1:4" x14ac:dyDescent="0.35">
      <c r="A111" s="1" t="s">
        <v>426</v>
      </c>
      <c r="B111" s="152">
        <f>IF(Input!$C$53="Recycled_concrete_aggregate",Input!$B$53,0)</f>
        <v>0</v>
      </c>
      <c r="C111" s="1"/>
      <c r="D111" s="1"/>
    </row>
    <row r="112" spans="1:4" x14ac:dyDescent="0.35">
      <c r="A112" s="1" t="s">
        <v>427</v>
      </c>
      <c r="B112" s="152">
        <f>IF(Input!$C$54="Recycled_concrete_aggregate",Input!$B$54,0)</f>
        <v>0</v>
      </c>
      <c r="C112" s="1"/>
      <c r="D112" s="1"/>
    </row>
    <row r="113" spans="1:4" ht="29" x14ac:dyDescent="0.35">
      <c r="A113" s="1" t="s">
        <v>428</v>
      </c>
      <c r="B113" s="152">
        <f>IF(Input!$C$53="Recycled_concrete_aggregate",($B$111/$B$108),0)</f>
        <v>0</v>
      </c>
      <c r="C113" s="53" t="s">
        <v>429</v>
      </c>
      <c r="D113" s="1"/>
    </row>
    <row r="114" spans="1:4" x14ac:dyDescent="0.35">
      <c r="A114" s="9" t="s">
        <v>430</v>
      </c>
      <c r="B114" s="90">
        <f>IF(Input!$C$54="Recycled_concrete_aggregate",$B$112/$B$108,0)</f>
        <v>0</v>
      </c>
      <c r="C114" s="1"/>
      <c r="D114" s="1"/>
    </row>
    <row r="115" spans="1:4" x14ac:dyDescent="0.35">
      <c r="A115" s="1" t="s">
        <v>431</v>
      </c>
      <c r="B115" s="90">
        <f>B113+B114</f>
        <v>0</v>
      </c>
      <c r="C115" s="1"/>
      <c r="D115" s="1"/>
    </row>
    <row r="116" spans="1:4" x14ac:dyDescent="0.35">
      <c r="A116" s="2" t="s">
        <v>396</v>
      </c>
      <c r="B116" s="90">
        <f>$B$109*$B$105*$B$110</f>
        <v>25.5</v>
      </c>
      <c r="C116" s="1" t="s">
        <v>397</v>
      </c>
      <c r="D116" s="1" t="s">
        <v>398</v>
      </c>
    </row>
    <row r="118" spans="1:4" ht="18.5" x14ac:dyDescent="0.45">
      <c r="A118" s="116" t="s">
        <v>1000</v>
      </c>
      <c r="B118" s="116"/>
      <c r="C118" s="116"/>
    </row>
    <row r="119" spans="1:4" x14ac:dyDescent="0.35">
      <c r="A119" s="32"/>
    </row>
    <row r="120" spans="1:4" x14ac:dyDescent="0.35">
      <c r="A120" s="62" t="s">
        <v>374</v>
      </c>
      <c r="B120" s="304" t="s">
        <v>375</v>
      </c>
      <c r="C120" s="295" t="s">
        <v>330</v>
      </c>
      <c r="D120" s="62" t="s">
        <v>331</v>
      </c>
    </row>
    <row r="121" spans="1:4" x14ac:dyDescent="0.35">
      <c r="A121" s="48" t="s">
        <v>432</v>
      </c>
      <c r="B121" s="48"/>
      <c r="C121" s="48"/>
      <c r="D121" s="1"/>
    </row>
    <row r="122" spans="1:4" ht="29" x14ac:dyDescent="0.35">
      <c r="A122" s="1" t="s">
        <v>381</v>
      </c>
      <c r="B122" s="90">
        <v>0.51</v>
      </c>
      <c r="C122" s="53" t="s">
        <v>382</v>
      </c>
      <c r="D122" s="1"/>
    </row>
    <row r="123" spans="1:4" ht="29" x14ac:dyDescent="0.35">
      <c r="A123" s="1" t="s">
        <v>415</v>
      </c>
      <c r="B123" s="90" t="s">
        <v>416</v>
      </c>
      <c r="C123" s="219" t="s">
        <v>416</v>
      </c>
      <c r="D123" s="123" t="s">
        <v>417</v>
      </c>
    </row>
    <row r="124" spans="1:4" x14ac:dyDescent="0.35">
      <c r="A124" s="1" t="s">
        <v>433</v>
      </c>
      <c r="B124" s="90">
        <v>1</v>
      </c>
      <c r="C124" s="1"/>
      <c r="D124" s="1"/>
    </row>
    <row r="125" spans="1:4" x14ac:dyDescent="0.35">
      <c r="A125" s="1" t="s">
        <v>410</v>
      </c>
      <c r="B125" s="90">
        <v>500</v>
      </c>
      <c r="C125" s="1"/>
      <c r="D125" s="1"/>
    </row>
    <row r="126" spans="1:4" x14ac:dyDescent="0.35">
      <c r="A126" s="1" t="s">
        <v>411</v>
      </c>
      <c r="B126" s="90">
        <v>55</v>
      </c>
      <c r="C126" s="1"/>
      <c r="D126" s="1"/>
    </row>
    <row r="127" spans="1:4" ht="43.5" x14ac:dyDescent="0.35">
      <c r="A127" s="1" t="s">
        <v>383</v>
      </c>
      <c r="B127" s="90">
        <v>0.25</v>
      </c>
      <c r="C127" s="53" t="s">
        <v>384</v>
      </c>
      <c r="D127" s="1"/>
    </row>
    <row r="128" spans="1:4" x14ac:dyDescent="0.35">
      <c r="A128" s="1" t="s">
        <v>426</v>
      </c>
      <c r="B128" s="152">
        <f>IF(Input!$C$53="Recycled_concrete_aggregate",Input!$B$53,0)</f>
        <v>0</v>
      </c>
      <c r="C128" s="1"/>
      <c r="D128" s="1"/>
    </row>
    <row r="129" spans="1:4" x14ac:dyDescent="0.35">
      <c r="A129" s="1" t="s">
        <v>427</v>
      </c>
      <c r="B129" s="152">
        <f>IF(Input!$C$54="Recycled_concrete_aggregate",Input!$B$54,0)</f>
        <v>0</v>
      </c>
      <c r="C129" s="1"/>
      <c r="D129" s="1"/>
    </row>
    <row r="130" spans="1:4" ht="29" x14ac:dyDescent="0.35">
      <c r="A130" s="6" t="s">
        <v>434</v>
      </c>
      <c r="B130" s="152">
        <f>($B$128)/$B$108</f>
        <v>0</v>
      </c>
      <c r="C130" s="53" t="s">
        <v>420</v>
      </c>
      <c r="D130" s="1"/>
    </row>
    <row r="131" spans="1:4" x14ac:dyDescent="0.35">
      <c r="A131" s="6" t="s">
        <v>435</v>
      </c>
      <c r="B131" s="152">
        <f>$B$129/$B$108</f>
        <v>0</v>
      </c>
      <c r="C131" s="53"/>
      <c r="D131" s="1"/>
    </row>
    <row r="132" spans="1:4" x14ac:dyDescent="0.35">
      <c r="A132" s="6" t="s">
        <v>431</v>
      </c>
      <c r="B132" s="152">
        <f>B130+B131</f>
        <v>0</v>
      </c>
      <c r="C132" s="53"/>
      <c r="D132" s="1"/>
    </row>
    <row r="133" spans="1:4" x14ac:dyDescent="0.35">
      <c r="A133" s="6" t="s">
        <v>396</v>
      </c>
      <c r="B133" s="152">
        <f>$B$126*$B$122*$B$127</f>
        <v>7.0125000000000002</v>
      </c>
      <c r="C133" s="1" t="s">
        <v>397</v>
      </c>
      <c r="D133" s="1" t="s">
        <v>436</v>
      </c>
    </row>
    <row r="134" spans="1:4" x14ac:dyDescent="0.35">
      <c r="A134" s="55"/>
      <c r="C134" s="28"/>
    </row>
    <row r="135" spans="1:4" ht="18.5" x14ac:dyDescent="0.45">
      <c r="A135" s="116" t="s">
        <v>1001</v>
      </c>
      <c r="B135" s="116"/>
      <c r="C135" s="116"/>
    </row>
    <row r="137" spans="1:4" x14ac:dyDescent="0.35">
      <c r="A137" s="62" t="s">
        <v>374</v>
      </c>
      <c r="B137" s="304" t="s">
        <v>375</v>
      </c>
      <c r="C137" s="295" t="s">
        <v>330</v>
      </c>
      <c r="D137" s="62" t="s">
        <v>331</v>
      </c>
    </row>
    <row r="138" spans="1:4" x14ac:dyDescent="0.35">
      <c r="A138" s="1" t="s">
        <v>437</v>
      </c>
      <c r="B138" s="2"/>
      <c r="C138" s="1"/>
      <c r="D138" s="1"/>
    </row>
    <row r="139" spans="1:4" x14ac:dyDescent="0.35">
      <c r="A139" s="1" t="s">
        <v>421</v>
      </c>
      <c r="B139" s="90" t="s">
        <v>422</v>
      </c>
      <c r="C139" s="1" t="s">
        <v>422</v>
      </c>
      <c r="D139" s="30" t="s">
        <v>423</v>
      </c>
    </row>
    <row r="140" spans="1:4" x14ac:dyDescent="0.35">
      <c r="A140" s="1" t="s">
        <v>424</v>
      </c>
      <c r="B140" s="90">
        <v>1</v>
      </c>
      <c r="C140" s="1"/>
      <c r="D140" s="1"/>
    </row>
    <row r="141" spans="1:4" x14ac:dyDescent="0.35">
      <c r="A141" s="2" t="s">
        <v>411</v>
      </c>
      <c r="B141" s="90">
        <v>99</v>
      </c>
      <c r="C141" s="1"/>
      <c r="D141" s="1"/>
    </row>
    <row r="142" spans="1:4" ht="29" x14ac:dyDescent="0.35">
      <c r="A142" s="2" t="s">
        <v>381</v>
      </c>
      <c r="B142" s="90">
        <v>0.51</v>
      </c>
      <c r="C142" s="53" t="s">
        <v>382</v>
      </c>
      <c r="D142" s="1"/>
    </row>
    <row r="143" spans="1:4" ht="43.5" x14ac:dyDescent="0.35">
      <c r="A143" s="1" t="s">
        <v>383</v>
      </c>
      <c r="B143" s="90">
        <v>0.25</v>
      </c>
      <c r="C143" s="53" t="s">
        <v>384</v>
      </c>
      <c r="D143" s="1"/>
    </row>
    <row r="144" spans="1:4" x14ac:dyDescent="0.35">
      <c r="A144" s="1" t="s">
        <v>410</v>
      </c>
      <c r="B144" s="90">
        <v>500</v>
      </c>
      <c r="C144" s="1"/>
      <c r="D144" s="1"/>
    </row>
    <row r="145" spans="1:4" x14ac:dyDescent="0.35">
      <c r="A145" s="1" t="s">
        <v>426</v>
      </c>
      <c r="B145" s="152">
        <f>IF(Input!$C$53="Recycled_concrete_aggregate",Input!$B$53,0)</f>
        <v>0</v>
      </c>
      <c r="C145" s="1"/>
      <c r="D145" s="1"/>
    </row>
    <row r="146" spans="1:4" x14ac:dyDescent="0.35">
      <c r="A146" s="1" t="s">
        <v>427</v>
      </c>
      <c r="B146" s="152">
        <f>IF(Input!$C$54="Recycled_concrete_aggregate",Input!$B$54,0)</f>
        <v>0</v>
      </c>
      <c r="C146" s="1"/>
      <c r="D146" s="1"/>
    </row>
    <row r="147" spans="1:4" ht="29" x14ac:dyDescent="0.35">
      <c r="A147" s="6" t="s">
        <v>428</v>
      </c>
      <c r="B147" s="152">
        <f>($B$145)/$B$108</f>
        <v>0</v>
      </c>
      <c r="C147" s="53" t="s">
        <v>420</v>
      </c>
      <c r="D147" s="1"/>
    </row>
    <row r="148" spans="1:4" x14ac:dyDescent="0.35">
      <c r="A148" s="6" t="s">
        <v>430</v>
      </c>
      <c r="B148" s="152">
        <f>$B$146/$B$108</f>
        <v>0</v>
      </c>
      <c r="C148" s="1"/>
      <c r="D148" s="1"/>
    </row>
    <row r="149" spans="1:4" x14ac:dyDescent="0.35">
      <c r="A149" s="1" t="s">
        <v>438</v>
      </c>
      <c r="B149" s="152">
        <f>B147+B148</f>
        <v>0</v>
      </c>
      <c r="C149" s="1"/>
      <c r="D149" s="1"/>
    </row>
    <row r="150" spans="1:4" x14ac:dyDescent="0.35">
      <c r="A150" s="6" t="s">
        <v>396</v>
      </c>
      <c r="B150" s="152">
        <f>$B$141*$B$142*$B$143</f>
        <v>12.6225</v>
      </c>
      <c r="C150" s="1" t="s">
        <v>397</v>
      </c>
      <c r="D150" s="1" t="s">
        <v>398</v>
      </c>
    </row>
    <row r="153" spans="1:4" ht="21" x14ac:dyDescent="0.5">
      <c r="A153" s="99" t="s">
        <v>439</v>
      </c>
    </row>
    <row r="154" spans="1:4" ht="18.5" x14ac:dyDescent="0.45">
      <c r="A154" s="77"/>
    </row>
    <row r="155" spans="1:4" x14ac:dyDescent="0.35">
      <c r="A155" t="s">
        <v>440</v>
      </c>
    </row>
    <row r="157" spans="1:4" x14ac:dyDescent="0.35">
      <c r="A157" s="306" t="s">
        <v>441</v>
      </c>
      <c r="B157" s="302" t="s">
        <v>442</v>
      </c>
      <c r="C157" s="102" t="s">
        <v>443</v>
      </c>
      <c r="D157" s="62" t="s">
        <v>396</v>
      </c>
    </row>
    <row r="158" spans="1:4" x14ac:dyDescent="0.35">
      <c r="A158" s="1" t="s">
        <v>444</v>
      </c>
      <c r="B158" s="152">
        <v>0</v>
      </c>
      <c r="C158" s="152">
        <v>0</v>
      </c>
      <c r="D158" s="154">
        <v>0</v>
      </c>
    </row>
    <row r="159" spans="1:4" x14ac:dyDescent="0.35">
      <c r="A159" s="1" t="s">
        <v>357</v>
      </c>
      <c r="B159" s="152">
        <f>$B$53</f>
        <v>7.5000000000000002E-4</v>
      </c>
      <c r="C159" s="152">
        <f>$B$50</f>
        <v>200</v>
      </c>
      <c r="D159" s="154">
        <f>$B$54</f>
        <v>25.5</v>
      </c>
    </row>
    <row r="160" spans="1:4" x14ac:dyDescent="0.35">
      <c r="A160" s="1" t="s">
        <v>445</v>
      </c>
      <c r="B160" s="152">
        <v>0</v>
      </c>
      <c r="C160" s="152">
        <v>0</v>
      </c>
      <c r="D160" s="154">
        <v>0</v>
      </c>
    </row>
    <row r="161" spans="1:4" x14ac:dyDescent="0.35">
      <c r="A161" s="1" t="s">
        <v>367</v>
      </c>
      <c r="B161" s="152">
        <f>$B$115</f>
        <v>0</v>
      </c>
      <c r="C161" s="152">
        <f>$B$109</f>
        <v>200</v>
      </c>
      <c r="D161" s="154">
        <f>$B$116</f>
        <v>25.5</v>
      </c>
    </row>
    <row r="162" spans="1:4" x14ac:dyDescent="0.35">
      <c r="A162" s="1" t="s">
        <v>446</v>
      </c>
      <c r="B162" s="152">
        <v>0</v>
      </c>
      <c r="C162" s="152">
        <v>0</v>
      </c>
      <c r="D162" s="154">
        <v>0</v>
      </c>
    </row>
    <row r="163" spans="1:4" x14ac:dyDescent="0.35">
      <c r="A163" s="1" t="s">
        <v>361</v>
      </c>
      <c r="B163" s="152">
        <f>$B$66</f>
        <v>7.5000000000000002E-4</v>
      </c>
      <c r="C163" s="152">
        <f>$B$64</f>
        <v>55</v>
      </c>
      <c r="D163" s="154">
        <f>$B$67</f>
        <v>7.0125000000000002</v>
      </c>
    </row>
    <row r="164" spans="1:4" x14ac:dyDescent="0.35">
      <c r="A164" s="1" t="s">
        <v>447</v>
      </c>
      <c r="B164" s="152">
        <v>0</v>
      </c>
      <c r="C164" s="152">
        <v>0</v>
      </c>
      <c r="D164" s="154">
        <v>0</v>
      </c>
    </row>
    <row r="165" spans="1:4" x14ac:dyDescent="0.35">
      <c r="A165" s="1" t="s">
        <v>369</v>
      </c>
      <c r="B165" s="152">
        <f>$B$132</f>
        <v>0</v>
      </c>
      <c r="C165" s="152">
        <f>$B$126</f>
        <v>55</v>
      </c>
      <c r="D165" s="154">
        <f>$B$133</f>
        <v>7.0125000000000002</v>
      </c>
    </row>
    <row r="166" spans="1:4" x14ac:dyDescent="0.35">
      <c r="A166" s="1" t="s">
        <v>448</v>
      </c>
      <c r="B166" s="152">
        <v>0</v>
      </c>
      <c r="C166" s="152">
        <v>0</v>
      </c>
      <c r="D166" s="154">
        <v>0</v>
      </c>
    </row>
    <row r="167" spans="1:4" x14ac:dyDescent="0.35">
      <c r="A167" s="1" t="s">
        <v>363</v>
      </c>
      <c r="B167" s="152">
        <f>$B$79</f>
        <v>7.5000000000000002E-4</v>
      </c>
      <c r="C167" s="152">
        <f>$B$74</f>
        <v>99</v>
      </c>
      <c r="D167" s="154">
        <f>B80</f>
        <v>12.6225</v>
      </c>
    </row>
    <row r="168" spans="1:4" x14ac:dyDescent="0.35">
      <c r="A168" s="1" t="s">
        <v>449</v>
      </c>
      <c r="B168" s="152">
        <v>0</v>
      </c>
      <c r="C168" s="152">
        <v>0</v>
      </c>
      <c r="D168" s="154">
        <v>0</v>
      </c>
    </row>
    <row r="169" spans="1:4" x14ac:dyDescent="0.35">
      <c r="A169" s="1" t="s">
        <v>370</v>
      </c>
      <c r="B169" s="152">
        <f>$B$149</f>
        <v>0</v>
      </c>
      <c r="C169" s="152">
        <f>$B$141</f>
        <v>99</v>
      </c>
      <c r="D169" s="154">
        <f>B150</f>
        <v>12.6225</v>
      </c>
    </row>
    <row r="170" spans="1:4" x14ac:dyDescent="0.35">
      <c r="A170" s="1" t="s">
        <v>450</v>
      </c>
      <c r="B170" s="152">
        <v>0</v>
      </c>
      <c r="C170" s="152">
        <f>$B$32</f>
        <v>263.2</v>
      </c>
      <c r="D170" s="154">
        <v>0</v>
      </c>
    </row>
    <row r="171" spans="1:4" x14ac:dyDescent="0.35">
      <c r="A171" s="1" t="s">
        <v>359</v>
      </c>
      <c r="B171" s="152">
        <f>$B$40</f>
        <v>1.8939393939393937E-4</v>
      </c>
      <c r="C171" s="152">
        <f>$B$32</f>
        <v>263.2</v>
      </c>
      <c r="D171" s="154">
        <f>$B$41</f>
        <v>33.558</v>
      </c>
    </row>
    <row r="172" spans="1:4" x14ac:dyDescent="0.35">
      <c r="A172" s="1" t="s">
        <v>368</v>
      </c>
      <c r="B172" s="152">
        <f>$B$98</f>
        <v>0</v>
      </c>
      <c r="C172" s="152">
        <f>$B$88</f>
        <v>263.2</v>
      </c>
      <c r="D172" s="154">
        <f>$B$99</f>
        <v>33.558</v>
      </c>
    </row>
    <row r="175" spans="1:4" ht="23.5" x14ac:dyDescent="0.55000000000000004">
      <c r="A175" s="100" t="s">
        <v>1002</v>
      </c>
    </row>
    <row r="176" spans="1:4" ht="23.5" x14ac:dyDescent="0.55000000000000004">
      <c r="A176" s="100"/>
    </row>
    <row r="177" spans="1:26" ht="72" customHeight="1" x14ac:dyDescent="0.35">
      <c r="A177" s="302" t="s">
        <v>451</v>
      </c>
      <c r="B177" s="300" t="s">
        <v>452</v>
      </c>
      <c r="C177" s="302" t="s">
        <v>453</v>
      </c>
      <c r="D177" s="302" t="s">
        <v>454</v>
      </c>
      <c r="E177" s="302" t="s">
        <v>442</v>
      </c>
      <c r="F177" s="103" t="s">
        <v>443</v>
      </c>
      <c r="G177" s="104" t="s">
        <v>396</v>
      </c>
      <c r="H177" s="103" t="s">
        <v>279</v>
      </c>
      <c r="I177" s="103" t="s">
        <v>280</v>
      </c>
      <c r="J177" s="103" t="s">
        <v>281</v>
      </c>
      <c r="K177" s="103" t="s">
        <v>282</v>
      </c>
      <c r="L177" s="103" t="s">
        <v>283</v>
      </c>
      <c r="M177" s="103" t="s">
        <v>284</v>
      </c>
      <c r="N177" s="103" t="s">
        <v>285</v>
      </c>
      <c r="O177" s="103" t="s">
        <v>286</v>
      </c>
      <c r="P177" s="103" t="s">
        <v>287</v>
      </c>
      <c r="Q177" s="103" t="s">
        <v>288</v>
      </c>
      <c r="R177" s="103" t="s">
        <v>289</v>
      </c>
      <c r="S177" s="103" t="s">
        <v>290</v>
      </c>
      <c r="T177" s="103" t="s">
        <v>291</v>
      </c>
      <c r="U177" s="103" t="s">
        <v>292</v>
      </c>
      <c r="V177" s="103" t="s">
        <v>293</v>
      </c>
      <c r="W177" s="103" t="s">
        <v>294</v>
      </c>
      <c r="X177" s="103" t="s">
        <v>295</v>
      </c>
      <c r="Y177" s="103" t="s">
        <v>296</v>
      </c>
      <c r="Z177" s="103" t="s">
        <v>297</v>
      </c>
    </row>
    <row r="178" spans="1:26" ht="25.5" customHeight="1" x14ac:dyDescent="0.35">
      <c r="A178" s="52" t="s">
        <v>455</v>
      </c>
      <c r="B178" s="54"/>
      <c r="C178" s="37"/>
      <c r="D178" s="37"/>
      <c r="E178" s="25"/>
      <c r="F178" s="25"/>
      <c r="G178" s="25"/>
      <c r="H178" s="37"/>
      <c r="I178" s="25"/>
      <c r="J178" s="25"/>
      <c r="K178" s="25"/>
      <c r="L178" s="25"/>
      <c r="M178" s="25"/>
      <c r="N178" s="25"/>
      <c r="O178" s="25"/>
      <c r="P178" s="25"/>
      <c r="Q178" s="25"/>
      <c r="R178" s="25"/>
      <c r="S178" s="25"/>
      <c r="T178" s="25"/>
      <c r="U178" s="25"/>
      <c r="V178" s="25"/>
      <c r="W178" s="25"/>
      <c r="X178" s="25"/>
      <c r="Y178" s="25"/>
      <c r="Z178" s="25"/>
    </row>
    <row r="179" spans="1:26" x14ac:dyDescent="0.35">
      <c r="A179" s="1" t="s">
        <v>456</v>
      </c>
      <c r="B179" s="152" t="str">
        <f>$B$7</f>
        <v>Mobile_jaw_crusher_400tph_RAP</v>
      </c>
      <c r="C179" s="188">
        <f>$B$48</f>
        <v>1</v>
      </c>
      <c r="D179" s="154" t="str">
        <f>'C3'' - Secondary Raw Material '!$C$7</f>
        <v>Diesel</v>
      </c>
      <c r="E179" s="154">
        <f>INDEX($B$158:$B$172,MATCH($B$179,$A$158:$A$172,0))</f>
        <v>7.5000000000000002E-4</v>
      </c>
      <c r="F179" s="154">
        <f>INDEX($C$158:$C$172,MATCH($B$179,$A$158:$A$172,0))</f>
        <v>200</v>
      </c>
      <c r="G179" s="174">
        <f>INDEX($D$158:$D$172,MATCH($B$179,$A$158:$A$172,0))</f>
        <v>25.5</v>
      </c>
      <c r="H179" s="154" cm="1">
        <f t="array" ref="H179">INDEX(LCI!H$2:H$137,MATCH($A$178&amp;$D179,LCI!$B$2:$B$137&amp;LCI!$D$2:$D$137,0))*IF(OR($D179="Electric", $D179="Electric_green"), ($F179*$E179)*$B$20, $G179*$E179)*$C179</f>
        <v>1.0143031694447656E-4</v>
      </c>
      <c r="I179" s="154" cm="1">
        <f t="array" ref="I179">INDEX(LCI!I$2:I$137,MATCH($A$178&amp;$D179,LCI!$B$2:$B$137&amp;LCI!$D$2:$D$137,0))*IF(OR($D179="Electric", $D179="Electric_green"), ($F179*$E179)*$B$20, $G179*$E179)*$C179</f>
        <v>7.9336200727524814E-2</v>
      </c>
      <c r="J179" s="154" cm="1">
        <f t="array" ref="J179">INDEX(LCI!J$2:J$137,MATCH($A$178&amp;$D179,LCI!$B$2:$B$137&amp;LCI!$D$2:$D$137,0))*IF(OR($D179="Electric", $D179="Electric_green"), ($F179*$E179)*$B$20, $G179*$E179)*$C179</f>
        <v>1.6396780340949864E-5</v>
      </c>
      <c r="K179" s="154" cm="1">
        <f t="array" ref="K179">INDEX(LCI!K$2:K$137,MATCH($A$178&amp;$D179,LCI!$B$2:$B$137&amp;LCI!$D$2:$D$137,0))*IF(OR($D179="Electric", $D179="Electric_green"), ($F179*$E179)*$B$20, $G179*$E179)*$C179</f>
        <v>7.9316295493120831E-2</v>
      </c>
      <c r="L179" s="154" cm="1">
        <f t="array" ref="L179">INDEX(LCI!L$2:L$137,MATCH($A$178&amp;$D179,LCI!$B$2:$B$137&amp;LCI!$D$2:$D$137,0))*IF(OR($D179="Electric", $D179="Electric_green"), ($F179*$E179)*$B$20, $G179*$E179)*$C179</f>
        <v>3.5084540630337219E-6</v>
      </c>
      <c r="M179" s="154" cm="1">
        <f t="array" ref="M179">INDEX(LCI!M$2:M$137,MATCH($A$178&amp;$D179,LCI!$B$2:$B$137&amp;LCI!$D$2:$D$137,0))*IF(OR($D179="Electric", $D179="Electric_green"), ($F179*$E179)*$B$20, $G179*$E179)*$C179</f>
        <v>3.5053163219078795E-2</v>
      </c>
      <c r="N179" s="154" cm="1">
        <f t="array" ref="N179">INDEX(LCI!N$2:N$137,MATCH($A$178&amp;$D179,LCI!$B$2:$B$137&amp;LCI!$D$2:$D$137,0))*IF(OR($D179="Electric", $D179="Electric_green"), ($F179*$E179)*$B$20, $G179*$E179)*$C179</f>
        <v>1.0537968216722122</v>
      </c>
      <c r="O179" s="154" cm="1">
        <f t="array" ref="O179">INDEX(LCI!O$2:O$137,MATCH($A$178&amp;$D179,LCI!$B$2:$B$137&amp;LCI!$D$2:$D$137,0))*IF(OR($D179="Electric", $D179="Electric_green"), ($F179*$E179)*$B$20, $G179*$E179)*$C179</f>
        <v>8.3869087090684462E-7</v>
      </c>
      <c r="P179" s="154" cm="1">
        <f t="array" ref="P179">INDEX(LCI!P$2:P$137,MATCH($A$178&amp;$D179,LCI!$B$2:$B$137&amp;LCI!$D$2:$D$137,0))*IF(OR($D179="Electric", $D179="Electric_green"), ($F179*$E179)*$B$20, $G179*$E179)*$C179</f>
        <v>2.2936699291128569E-5</v>
      </c>
      <c r="Q179" s="154" cm="1">
        <f t="array" ref="Q179">INDEX(LCI!Q$2:Q$137,MATCH($A$178&amp;$D179,LCI!$B$2:$B$137&amp;LCI!$D$2:$D$137,0))*IF(OR($D179="Electric", $D179="Electric_green"), ($F179*$E179)*$B$20, $G179*$E179)*$C179</f>
        <v>2.493501848823738E-4</v>
      </c>
      <c r="R179" s="154" cm="1">
        <f t="array" ref="R179">INDEX(LCI!R$2:R$137,MATCH($A$178&amp;$D179,LCI!$B$2:$B$137&amp;LCI!$D$2:$D$137,0))*IF(OR($D179="Electric", $D179="Electric_green"), ($F179*$E179)*$B$20, $G179*$E179)*$C179</f>
        <v>4.848277723549407E-12</v>
      </c>
      <c r="S179" s="154" cm="1">
        <f t="array" ref="S179">INDEX(LCI!S$2:S$137,MATCH($A$178&amp;$D179,LCI!$B$2:$B$137&amp;LCI!$D$2:$D$137,0))*IF(OR($D179="Electric", $D179="Electric_green"), ($F179*$E179)*$B$20, $G179*$E179)*$C179</f>
        <v>1.2922638778242711E-10</v>
      </c>
      <c r="T179" s="154" cm="1">
        <f t="array" ref="T179">INDEX(LCI!T$2:T$137,MATCH($A$178&amp;$D179,LCI!$B$2:$B$137&amp;LCI!$D$2:$D$137,0))*IF(OR($D179="Electric", $D179="Electric_green"), ($F179*$E179)*$B$20, $G179*$E179)*$C179</f>
        <v>3.1641123142374812E-4</v>
      </c>
      <c r="U179" s="154" cm="1">
        <f t="array" ref="U179">INDEX(LCI!U$2:U$137,MATCH($A$178&amp;$D179,LCI!$B$2:$B$137&amp;LCI!$D$2:$D$137,0))*IF(OR($D179="Electric", $D179="Electric_green"), ($F179*$E179)*$B$20, $G179*$E179)*$C179</f>
        <v>5.4180361432501725E-2</v>
      </c>
      <c r="V179" s="154" cm="1">
        <f t="array" ref="V179">INDEX(LCI!V$2:V$137,MATCH($A$178&amp;$D179,LCI!$B$2:$B$137&amp;LCI!$D$2:$D$137,0))*IF(OR($D179="Electric", $D179="Electric_green"), ($F179*$E179)*$B$20, $G179*$E179)*$C179</f>
        <v>1.2371044695688872E-8</v>
      </c>
      <c r="W179" s="154" cm="1">
        <f t="array" ref="W179">INDEX(LCI!W$2:W$137,MATCH($A$178&amp;$D179,LCI!$B$2:$B$137&amp;LCI!$D$2:$D$137,0))*IF(OR($D179="Electric", $D179="Electric_green"), ($F179*$E179)*$B$20, $G179*$E179)*$C179</f>
        <v>1.7878109434942962E-9</v>
      </c>
      <c r="X179" s="154" cm="1">
        <f t="array" ref="X179">INDEX(LCI!X$2:X$137,MATCH($A$178&amp;$D179,LCI!$B$2:$B$137&amp;LCI!$D$2:$D$137,0))*IF(OR($D179="Electric", $D179="Electric_green"), ($F179*$E179)*$B$20, $G179*$E179)*$C179</f>
        <v>7.8140286615358748E-10</v>
      </c>
      <c r="Y179" s="154" cm="1">
        <f t="array" ref="Y179">INDEX(LCI!Y$2:Y$137,MATCH($A$178&amp;$D179,LCI!$B$2:$B$137&amp;LCI!$D$2:$D$137,0))*IF(OR($D179="Electric", $D179="Electric_green"), ($F179*$E179)*$B$20, $G179*$E179)*$C179</f>
        <v>1.9541589991000182E-4</v>
      </c>
      <c r="Z179" s="154" cm="1">
        <f t="array" ref="Z179">INDEX(LCI!Z$2:Z$137,MATCH($A$178&amp;$D179,LCI!$B$2:$B$137&amp;LCI!$D$2:$D$137,0))*IF(OR($D179="Electric", $D179="Electric_green"), ($F179*$E179)*$B$20, $G179*$E179)*$C179</f>
        <v>1.4262342206873197E-3</v>
      </c>
    </row>
    <row r="180" spans="1:26" s="11" customFormat="1" x14ac:dyDescent="0.35">
      <c r="A180" s="13" t="s">
        <v>457</v>
      </c>
      <c r="B180" s="160" t="str">
        <f>'C3'' - Secondary Raw Material '!$B$8</f>
        <v>Wheel_loader_338tph_Komatsu_WA500_RAP</v>
      </c>
      <c r="C180" s="189">
        <f>$B$31</f>
        <v>1</v>
      </c>
      <c r="D180" s="154" t="str">
        <f>'C3'' - Secondary Raw Material '!$C$8</f>
        <v>Diesel</v>
      </c>
      <c r="E180" s="154">
        <f>INDEX($B$158:$B$172,MATCH($B$180,$A$158:$A$172,0))</f>
        <v>1.8939393939393937E-4</v>
      </c>
      <c r="F180" s="154">
        <f>INDEX($C$158:$C$172,MATCH($B$180,$A$158:$A$172,0))</f>
        <v>263.2</v>
      </c>
      <c r="G180" s="174">
        <f>INDEX($D$158:$D$172,MATCH($B$180,$A$158:$A$172,0))</f>
        <v>33.558</v>
      </c>
      <c r="H180" s="154" cm="1">
        <f t="array" ref="H180">INDEX(LCI!H$2:H$137,MATCH($A$178&amp;$D180,LCI!$B$2:$B$137&amp;LCI!$D$2:$D$137,0))*IF(OR($D180="Electric", $D180="Electric_green"), ($F180*$E180)*$B$20, $G180*$E180)*$C180</f>
        <v>3.370765078255837E-5</v>
      </c>
      <c r="I180" s="154" cm="1">
        <f t="array" ref="I180">INDEX(LCI!I$2:I$137,MATCH($A$178&amp;$D180,LCI!$B$2:$B$137&amp;LCI!$D$2:$D$137,0))*IF(OR($D180="Electric", $D180="Electric_green"), ($F180*$E180)*$B$20, $G180*$E180)*$C180</f>
        <v>2.6365262666015819E-2</v>
      </c>
      <c r="J180" s="154" cm="1">
        <f t="array" ref="J180">INDEX(LCI!J$2:J$137,MATCH($A$178&amp;$D180,LCI!$B$2:$B$137&amp;LCI!$D$2:$D$137,0))*IF(OR($D180="Electric", $D180="Electric_green"), ($F180*$E180)*$B$20, $G180*$E180)*$C180</f>
        <v>5.4490310425984902E-6</v>
      </c>
      <c r="K180" s="154" cm="1">
        <f t="array" ref="K180">INDEX(LCI!K$2:K$137,MATCH($A$178&amp;$D180,LCI!$B$2:$B$137&amp;LCI!$D$2:$D$137,0))*IF(OR($D180="Electric", $D180="Electric_green"), ($F180*$E180)*$B$20, $G180*$E180)*$C180</f>
        <v>2.6358647694178537E-2</v>
      </c>
      <c r="L180" s="154" cm="1">
        <f t="array" ref="L180">INDEX(LCI!L$2:L$137,MATCH($A$178&amp;$D180,LCI!$B$2:$B$137&amp;LCI!$D$2:$D$137,0))*IF(OR($D180="Electric", $D180="Electric_green"), ($F180*$E180)*$B$20, $G180*$E180)*$C180</f>
        <v>1.165940794684944E-6</v>
      </c>
      <c r="M180" s="154" cm="1">
        <f t="array" ref="M180">INDEX(LCI!M$2:M$137,MATCH($A$178&amp;$D180,LCI!$B$2:$B$137&amp;LCI!$D$2:$D$137,0))*IF(OR($D180="Electric", $D180="Electric_green"), ($F180*$E180)*$B$20, $G180*$E180)*$C180</f>
        <v>1.1648980504118105E-2</v>
      </c>
      <c r="N180" s="154" cm="1">
        <f t="array" ref="N180">INDEX(LCI!N$2:N$137,MATCH($A$178&amp;$D180,LCI!$B$2:$B$137&amp;LCI!$D$2:$D$137,0))*IF(OR($D180="Electric", $D180="Electric_green"), ($F180*$E180)*$B$20, $G180*$E180)*$C180</f>
        <v>0.35020116599005841</v>
      </c>
      <c r="O180" s="154" cm="1">
        <f t="array" ref="O180">INDEX(LCI!O$2:O$137,MATCH($A$178&amp;$D180,LCI!$B$2:$B$137&amp;LCI!$D$2:$D$137,0))*IF(OR($D180="Electric", $D180="Electric_green"), ($F180*$E180)*$B$20, $G180*$E180)*$C180</f>
        <v>2.7871646113974934E-7</v>
      </c>
      <c r="P180" s="154" cm="1">
        <f t="array" ref="P180">INDEX(LCI!P$2:P$137,MATCH($A$178&amp;$D180,LCI!$B$2:$B$137&amp;LCI!$D$2:$D$137,0))*IF(OR($D180="Electric", $D180="Electric_green"), ($F180*$E180)*$B$20, $G180*$E180)*$C180</f>
        <v>7.6223980472538374E-6</v>
      </c>
      <c r="Q180" s="154" cm="1">
        <f t="array" ref="Q180">INDEX(LCI!Q$2:Q$137,MATCH($A$178&amp;$D180,LCI!$B$2:$B$137&amp;LCI!$D$2:$D$137,0))*IF(OR($D180="Electric", $D180="Electric_green"), ($F180*$E180)*$B$20, $G180*$E180)*$C180</f>
        <v>8.2864859420506032E-5</v>
      </c>
      <c r="R180" s="154" cm="1">
        <f t="array" ref="R180">INDEX(LCI!R$2:R$137,MATCH($A$178&amp;$D180,LCI!$B$2:$B$137&amp;LCI!$D$2:$D$137,0))*IF(OR($D180="Electric", $D180="Electric_green"), ($F180*$E180)*$B$20, $G180*$E180)*$C180</f>
        <v>1.6111953242906613E-12</v>
      </c>
      <c r="S180" s="154" cm="1">
        <f t="array" ref="S180">INDEX(LCI!S$2:S$137,MATCH($A$178&amp;$D180,LCI!$B$2:$B$137&amp;LCI!$D$2:$D$137,0))*IF(OR($D180="Electric", $D180="Electric_green"), ($F180*$E180)*$B$20, $G180*$E180)*$C180</f>
        <v>4.2944930889311633E-11</v>
      </c>
      <c r="T180" s="154" cm="1">
        <f t="array" ref="T180">INDEX(LCI!T$2:T$137,MATCH($A$178&amp;$D180,LCI!$B$2:$B$137&amp;LCI!$D$2:$D$137,0))*IF(OR($D180="Electric", $D180="Electric_green"), ($F180*$E180)*$B$20, $G180*$E180)*$C180</f>
        <v>1.0515080317011426E-4</v>
      </c>
      <c r="U180" s="154" cm="1">
        <f t="array" ref="U180">INDEX(LCI!U$2:U$137,MATCH($A$178&amp;$D180,LCI!$B$2:$B$137&amp;LCI!$D$2:$D$137,0))*IF(OR($D180="Electric", $D180="Electric_green"), ($F180*$E180)*$B$20, $G180*$E180)*$C180</f>
        <v>1.8005392839689965E-2</v>
      </c>
      <c r="V180" s="154" cm="1">
        <f t="array" ref="V180">INDEX(LCI!V$2:V$137,MATCH($A$178&amp;$D180,LCI!$B$2:$B$137&amp;LCI!$D$2:$D$137,0))*IF(OR($D180="Electric", $D180="Electric_green"), ($F180*$E180)*$B$20, $G180*$E180)*$C180</f>
        <v>4.1111855604865036E-9</v>
      </c>
      <c r="W180" s="154" cm="1">
        <f t="array" ref="W180">INDEX(LCI!W$2:W$137,MATCH($A$178&amp;$D180,LCI!$B$2:$B$137&amp;LCI!$D$2:$D$137,0))*IF(OR($D180="Electric", $D180="Electric_green"), ($F180*$E180)*$B$20, $G180*$E180)*$C180</f>
        <v>5.9413111152487218E-10</v>
      </c>
      <c r="X180" s="154" cm="1">
        <f t="array" ref="X180">INDEX(LCI!X$2:X$137,MATCH($A$178&amp;$D180,LCI!$B$2:$B$137&amp;LCI!$D$2:$D$137,0))*IF(OR($D180="Electric", $D180="Electric_green"), ($F180*$E180)*$B$20, $G180*$E180)*$C180</f>
        <v>2.5967832622679825E-10</v>
      </c>
      <c r="Y180" s="154" cm="1">
        <f t="array" ref="Y180">INDEX(LCI!Y$2:Y$137,MATCH($A$178&amp;$D180,LCI!$B$2:$B$137&amp;LCI!$D$2:$D$137,0))*IF(OR($D180="Electric", $D180="Electric_green"), ($F180*$E180)*$B$20, $G180*$E180)*$C180</f>
        <v>6.4941243505445043E-5</v>
      </c>
      <c r="Z180" s="154" cm="1">
        <f t="array" ref="Z180">INDEX(LCI!Z$2:Z$137,MATCH($A$178&amp;$D180,LCI!$B$2:$B$137&amp;LCI!$D$2:$D$137,0))*IF(OR($D180="Electric", $D180="Electric_green"), ($F180*$E180)*$B$20, $G180*$E180)*$C180</f>
        <v>4.7397076626881635E-4</v>
      </c>
    </row>
    <row r="181" spans="1:26" x14ac:dyDescent="0.35">
      <c r="A181" s="1" t="s">
        <v>458</v>
      </c>
      <c r="B181" s="152" t="str">
        <f>'C3'' - Secondary Raw Material '!$B$9</f>
        <v>Tracked_stacker_500tph_RAP</v>
      </c>
      <c r="C181" s="188">
        <f>$B$31</f>
        <v>1</v>
      </c>
      <c r="D181" s="154" t="str">
        <f>'C3'' - Secondary Raw Material '!$C$9</f>
        <v>Diesel</v>
      </c>
      <c r="E181" s="154">
        <f>INDEX($B$158:$B$172,MATCH($B$181,$A$158:$A$172,0))</f>
        <v>7.5000000000000002E-4</v>
      </c>
      <c r="F181" s="154">
        <f>INDEX($C$158:$C$172,MATCH($B$181,$A$158:$A$172,0))</f>
        <v>55</v>
      </c>
      <c r="G181" s="174">
        <f>INDEX($D$158:$D$172,MATCH($B$181,$A$158:$A$172,0))</f>
        <v>7.0125000000000002</v>
      </c>
      <c r="H181" s="154" cm="1">
        <f t="array" ref="H181">INDEX(LCI!H$2:H$137,MATCH($A$178&amp;$D181,LCI!$B$2:$B$137&amp;LCI!$D$2:$D$137,0))*IF(OR($D181="Electric", $D181="Electric_green"), ($F181*$E181)*$B$20, $G181*$E181)*$C181</f>
        <v>2.7893337159731058E-5</v>
      </c>
      <c r="I181" s="154" cm="1">
        <f t="array" ref="I181">INDEX(LCI!I$2:I$137,MATCH($A$178&amp;$D181,LCI!$B$2:$B$137&amp;LCI!$D$2:$D$137,0))*IF(OR($D181="Electric", $D181="Electric_green"), ($F181*$E181)*$B$20, $G181*$E181)*$C181</f>
        <v>2.1817455200069325E-2</v>
      </c>
      <c r="J181" s="154" cm="1">
        <f t="array" ref="J181">INDEX(LCI!J$2:J$137,MATCH($A$178&amp;$D181,LCI!$B$2:$B$137&amp;LCI!$D$2:$D$137,0))*IF(OR($D181="Electric", $D181="Electric_green"), ($F181*$E181)*$B$20, $G181*$E181)*$C181</f>
        <v>4.5091145937612129E-6</v>
      </c>
      <c r="K181" s="154" cm="1">
        <f t="array" ref="K181">INDEX(LCI!K$2:K$137,MATCH($A$178&amp;$D181,LCI!$B$2:$B$137&amp;LCI!$D$2:$D$137,0))*IF(OR($D181="Electric", $D181="Electric_green"), ($F181*$E181)*$B$20, $G181*$E181)*$C181</f>
        <v>2.1811981260608227E-2</v>
      </c>
      <c r="L181" s="154" cm="1">
        <f t="array" ref="L181">INDEX(LCI!L$2:L$137,MATCH($A$178&amp;$D181,LCI!$B$2:$B$137&amp;LCI!$D$2:$D$137,0))*IF(OR($D181="Electric", $D181="Electric_green"), ($F181*$E181)*$B$20, $G181*$E181)*$C181</f>
        <v>9.6482486733427367E-7</v>
      </c>
      <c r="M181" s="154" cm="1">
        <f t="array" ref="M181">INDEX(LCI!M$2:M$137,MATCH($A$178&amp;$D181,LCI!$B$2:$B$137&amp;LCI!$D$2:$D$137,0))*IF(OR($D181="Electric", $D181="Electric_green"), ($F181*$E181)*$B$20, $G181*$E181)*$C181</f>
        <v>9.6396198852466697E-3</v>
      </c>
      <c r="N181" s="154" cm="1">
        <f t="array" ref="N181">INDEX(LCI!N$2:N$137,MATCH($A$178&amp;$D181,LCI!$B$2:$B$137&amp;LCI!$D$2:$D$137,0))*IF(OR($D181="Electric", $D181="Electric_green"), ($F181*$E181)*$B$20, $G181*$E181)*$C181</f>
        <v>0.28979412595985837</v>
      </c>
      <c r="O181" s="154" cm="1">
        <f t="array" ref="O181">INDEX(LCI!O$2:O$137,MATCH($A$178&amp;$D181,LCI!$B$2:$B$137&amp;LCI!$D$2:$D$137,0))*IF(OR($D181="Electric", $D181="Electric_green"), ($F181*$E181)*$B$20, $G181*$E181)*$C181</f>
        <v>2.3063998949938227E-7</v>
      </c>
      <c r="P181" s="154" cm="1">
        <f t="array" ref="P181">INDEX(LCI!P$2:P$137,MATCH($A$178&amp;$D181,LCI!$B$2:$B$137&amp;LCI!$D$2:$D$137,0))*IF(OR($D181="Electric", $D181="Electric_green"), ($F181*$E181)*$B$20, $G181*$E181)*$C181</f>
        <v>6.3075923050603569E-6</v>
      </c>
      <c r="Q181" s="154" cm="1">
        <f t="array" ref="Q181">INDEX(LCI!Q$2:Q$137,MATCH($A$178&amp;$D181,LCI!$B$2:$B$137&amp;LCI!$D$2:$D$137,0))*IF(OR($D181="Electric", $D181="Electric_green"), ($F181*$E181)*$B$20, $G181*$E181)*$C181</f>
        <v>6.8571300842652796E-5</v>
      </c>
      <c r="R181" s="154" cm="1">
        <f t="array" ref="R181">INDEX(LCI!R$2:R$137,MATCH($A$178&amp;$D181,LCI!$B$2:$B$137&amp;LCI!$D$2:$D$137,0))*IF(OR($D181="Electric", $D181="Electric_green"), ($F181*$E181)*$B$20, $G181*$E181)*$C181</f>
        <v>1.333276373976087E-12</v>
      </c>
      <c r="S181" s="154" cm="1">
        <f t="array" ref="S181">INDEX(LCI!S$2:S$137,MATCH($A$178&amp;$D181,LCI!$B$2:$B$137&amp;LCI!$D$2:$D$137,0))*IF(OR($D181="Electric", $D181="Electric_green"), ($F181*$E181)*$B$20, $G181*$E181)*$C181</f>
        <v>3.5537256640167458E-11</v>
      </c>
      <c r="T181" s="154" cm="1">
        <f t="array" ref="T181">INDEX(LCI!T$2:T$137,MATCH($A$178&amp;$D181,LCI!$B$2:$B$137&amp;LCI!$D$2:$D$137,0))*IF(OR($D181="Electric", $D181="Electric_green"), ($F181*$E181)*$B$20, $G181*$E181)*$C181</f>
        <v>8.7013088641530736E-5</v>
      </c>
      <c r="U181" s="154" cm="1">
        <f t="array" ref="U181">INDEX(LCI!U$2:U$137,MATCH($A$178&amp;$D181,LCI!$B$2:$B$137&amp;LCI!$D$2:$D$137,0))*IF(OR($D181="Electric", $D181="Electric_green"), ($F181*$E181)*$B$20, $G181*$E181)*$C181</f>
        <v>1.4899599393937975E-2</v>
      </c>
      <c r="V181" s="154" cm="1">
        <f t="array" ref="V181">INDEX(LCI!V$2:V$137,MATCH($A$178&amp;$D181,LCI!$B$2:$B$137&amp;LCI!$D$2:$D$137,0))*IF(OR($D181="Electric", $D181="Electric_green"), ($F181*$E181)*$B$20, $G181*$E181)*$C181</f>
        <v>3.4020372913144401E-9</v>
      </c>
      <c r="W181" s="154" cm="1">
        <f t="array" ref="W181">INDEX(LCI!W$2:W$137,MATCH($A$178&amp;$D181,LCI!$B$2:$B$137&amp;LCI!$D$2:$D$137,0))*IF(OR($D181="Electric", $D181="Electric_green"), ($F181*$E181)*$B$20, $G181*$E181)*$C181</f>
        <v>4.9164800946093144E-10</v>
      </c>
      <c r="X181" s="154" cm="1">
        <f t="array" ref="X181">INDEX(LCI!X$2:X$137,MATCH($A$178&amp;$D181,LCI!$B$2:$B$137&amp;LCI!$D$2:$D$137,0))*IF(OR($D181="Electric", $D181="Electric_green"), ($F181*$E181)*$B$20, $G181*$E181)*$C181</f>
        <v>2.1488578819223659E-10</v>
      </c>
      <c r="Y181" s="154" cm="1">
        <f t="array" ref="Y181">INDEX(LCI!Y$2:Y$137,MATCH($A$178&amp;$D181,LCI!$B$2:$B$137&amp;LCI!$D$2:$D$137,0))*IF(OR($D181="Electric", $D181="Electric_green"), ($F181*$E181)*$B$20, $G181*$E181)*$C181</f>
        <v>5.3739372475250501E-5</v>
      </c>
      <c r="Z181" s="154" cm="1">
        <f t="array" ref="Z181">INDEX(LCI!Z$2:Z$137,MATCH($A$178&amp;$D181,LCI!$B$2:$B$137&amp;LCI!$D$2:$D$137,0))*IF(OR($D181="Electric", $D181="Electric_green"), ($F181*$E181)*$B$20, $G181*$E181)*$C181</f>
        <v>3.9221441068901296E-4</v>
      </c>
    </row>
    <row r="182" spans="1:26" x14ac:dyDescent="0.35">
      <c r="A182" s="1" t="s">
        <v>362</v>
      </c>
      <c r="B182" s="152" t="str">
        <f>'C3'' - Secondary Raw Material '!$B$10</f>
        <v>Mobile_screener_500tph_RAP</v>
      </c>
      <c r="C182" s="188">
        <f>$B$73</f>
        <v>1</v>
      </c>
      <c r="D182" s="154" t="str">
        <f>'C3'' - Secondary Raw Material '!$C$10</f>
        <v>Diesel</v>
      </c>
      <c r="E182" s="154">
        <f>INDEX($B$158:$B$172,MATCH($B$182,$A$158:$A$172,0))</f>
        <v>7.5000000000000002E-4</v>
      </c>
      <c r="F182" s="154">
        <f>INDEX($C$158:$C$172,MATCH($B$182,$A$158:$A$172,0))</f>
        <v>99</v>
      </c>
      <c r="G182" s="174">
        <f>INDEX($D$158:$D$172,MATCH($B$182,$A$158:$A$172,0))</f>
        <v>12.6225</v>
      </c>
      <c r="H182" s="154" cm="1">
        <f t="array" ref="H182">INDEX(LCI!H$2:H$137,MATCH($A$178&amp;$D182,LCI!$B$2:$B$137&amp;LCI!$D$2:$D$137,0))*IF(OR($D182="Electric", $D182="Electric_green"), ($F182*$E182)*$B$20, $G182*$E182)*$C182</f>
        <v>5.0208006887515905E-5</v>
      </c>
      <c r="I182" s="154" cm="1">
        <f t="array" ref="I182">INDEX(LCI!I$2:I$137,MATCH($A$178&amp;$D182,LCI!$B$2:$B$137&amp;LCI!$D$2:$D$137,0))*IF(OR($D182="Electric", $D182="Electric_green"), ($F182*$E182)*$B$20, $G182*$E182)*$C182</f>
        <v>3.9271419360124786E-2</v>
      </c>
      <c r="J182" s="154" cm="1">
        <f t="array" ref="J182">INDEX(LCI!J$2:J$137,MATCH($A$178&amp;$D182,LCI!$B$2:$B$137&amp;LCI!$D$2:$D$137,0))*IF(OR($D182="Electric", $D182="Electric_green"), ($F182*$E182)*$B$20, $G182*$E182)*$C182</f>
        <v>8.1164062687701852E-6</v>
      </c>
      <c r="K182" s="154" cm="1">
        <f t="array" ref="K182">INDEX(LCI!K$2:K$137,MATCH($A$178&amp;$D182,LCI!$B$2:$B$137&amp;LCI!$D$2:$D$137,0))*IF(OR($D182="Electric", $D182="Electric_green"), ($F182*$E182)*$B$20, $G182*$E182)*$C182</f>
        <v>3.9261566269094814E-2</v>
      </c>
      <c r="L182" s="154" cm="1">
        <f t="array" ref="L182">INDEX(LCI!L$2:L$137,MATCH($A$178&amp;$D182,LCI!$B$2:$B$137&amp;LCI!$D$2:$D$137,0))*IF(OR($D182="Electric", $D182="Electric_green"), ($F182*$E182)*$B$20, $G182*$E182)*$C182</f>
        <v>1.7366847612016926E-6</v>
      </c>
      <c r="M182" s="154" cm="1">
        <f t="array" ref="M182">INDEX(LCI!M$2:M$137,MATCH($A$178&amp;$D182,LCI!$B$2:$B$137&amp;LCI!$D$2:$D$137,0))*IF(OR($D182="Electric", $D182="Electric_green"), ($F182*$E182)*$B$20, $G182*$E182)*$C182</f>
        <v>1.7351315793444008E-2</v>
      </c>
      <c r="N182" s="154" cm="1">
        <f t="array" ref="N182">INDEX(LCI!N$2:N$137,MATCH($A$178&amp;$D182,LCI!$B$2:$B$137&amp;LCI!$D$2:$D$137,0))*IF(OR($D182="Electric", $D182="Electric_green"), ($F182*$E182)*$B$20, $G182*$E182)*$C182</f>
        <v>0.52162942672774515</v>
      </c>
      <c r="O182" s="154" cm="1">
        <f t="array" ref="O182">INDEX(LCI!O$2:O$137,MATCH($A$178&amp;$D182,LCI!$B$2:$B$137&amp;LCI!$D$2:$D$137,0))*IF(OR($D182="Electric", $D182="Electric_green"), ($F182*$E182)*$B$20, $G182*$E182)*$C182</f>
        <v>4.1515198109888813E-7</v>
      </c>
      <c r="P182" s="154" cm="1">
        <f t="array" ref="P182">INDEX(LCI!P$2:P$137,MATCH($A$178&amp;$D182,LCI!$B$2:$B$137&amp;LCI!$D$2:$D$137,0))*IF(OR($D182="Electric", $D182="Electric_green"), ($F182*$E182)*$B$20, $G182*$E182)*$C182</f>
        <v>1.1353666149108644E-5</v>
      </c>
      <c r="Q182" s="154" cm="1">
        <f t="array" ref="Q182">INDEX(LCI!Q$2:Q$137,MATCH($A$178&amp;$D182,LCI!$B$2:$B$137&amp;LCI!$D$2:$D$137,0))*IF(OR($D182="Electric", $D182="Electric_green"), ($F182*$E182)*$B$20, $G182*$E182)*$C182</f>
        <v>1.2342834151677504E-4</v>
      </c>
      <c r="R182" s="154" cm="1">
        <f t="array" ref="R182">INDEX(LCI!R$2:R$137,MATCH($A$178&amp;$D182,LCI!$B$2:$B$137&amp;LCI!$D$2:$D$137,0))*IF(OR($D182="Electric", $D182="Electric_green"), ($F182*$E182)*$B$20, $G182*$E182)*$C182</f>
        <v>2.3998974731569568E-12</v>
      </c>
      <c r="S182" s="154" cm="1">
        <f t="array" ref="S182">INDEX(LCI!S$2:S$137,MATCH($A$178&amp;$D182,LCI!$B$2:$B$137&amp;LCI!$D$2:$D$137,0))*IF(OR($D182="Electric", $D182="Electric_green"), ($F182*$E182)*$B$20, $G182*$E182)*$C182</f>
        <v>6.3967061952301428E-11</v>
      </c>
      <c r="T182" s="154" cm="1">
        <f t="array" ref="T182">INDEX(LCI!T$2:T$137,MATCH($A$178&amp;$D182,LCI!$B$2:$B$137&amp;LCI!$D$2:$D$137,0))*IF(OR($D182="Electric", $D182="Electric_green"), ($F182*$E182)*$B$20, $G182*$E182)*$C182</f>
        <v>1.5662355955475534E-4</v>
      </c>
      <c r="U182" s="154" cm="1">
        <f t="array" ref="U182">INDEX(LCI!U$2:U$137,MATCH($A$178&amp;$D182,LCI!$B$2:$B$137&amp;LCI!$D$2:$D$137,0))*IF(OR($D182="Electric", $D182="Electric_green"), ($F182*$E182)*$B$20, $G182*$E182)*$C182</f>
        <v>2.6819278909088359E-2</v>
      </c>
      <c r="V182" s="154" cm="1">
        <f t="array" ref="V182">INDEX(LCI!V$2:V$137,MATCH($A$178&amp;$D182,LCI!$B$2:$B$137&amp;LCI!$D$2:$D$137,0))*IF(OR($D182="Electric", $D182="Electric_green"), ($F182*$E182)*$B$20, $G182*$E182)*$C182</f>
        <v>6.1236671243659927E-9</v>
      </c>
      <c r="W182" s="154" cm="1">
        <f t="array" ref="W182">INDEX(LCI!W$2:W$137,MATCH($A$178&amp;$D182,LCI!$B$2:$B$137&amp;LCI!$D$2:$D$137,0))*IF(OR($D182="Electric", $D182="Electric_green"), ($F182*$E182)*$B$20, $G182*$E182)*$C182</f>
        <v>8.849664170296768E-10</v>
      </c>
      <c r="X182" s="154" cm="1">
        <f t="array" ref="X182">INDEX(LCI!X$2:X$137,MATCH($A$178&amp;$D182,LCI!$B$2:$B$137&amp;LCI!$D$2:$D$137,0))*IF(OR($D182="Electric", $D182="Electric_green"), ($F182*$E182)*$B$20, $G182*$E182)*$C182</f>
        <v>3.8679441874602589E-10</v>
      </c>
      <c r="Y182" s="154" cm="1">
        <f t="array" ref="Y182">INDEX(LCI!Y$2:Y$137,MATCH($A$178&amp;$D182,LCI!$B$2:$B$137&amp;LCI!$D$2:$D$137,0))*IF(OR($D182="Electric", $D182="Electric_green"), ($F182*$E182)*$B$20, $G182*$E182)*$C182</f>
        <v>9.6730870455450914E-5</v>
      </c>
      <c r="Z182" s="154" cm="1">
        <f t="array" ref="Z182">INDEX(LCI!Z$2:Z$137,MATCH($A$178&amp;$D182,LCI!$B$2:$B$137&amp;LCI!$D$2:$D$137,0))*IF(OR($D182="Electric", $D182="Electric_green"), ($F182*$E182)*$B$20, $G182*$E182)*$C182</f>
        <v>7.0598593924022337E-4</v>
      </c>
    </row>
    <row r="183" spans="1:26" x14ac:dyDescent="0.35">
      <c r="A183" s="1" t="s">
        <v>200</v>
      </c>
      <c r="B183" s="1"/>
      <c r="C183" s="1"/>
      <c r="D183" s="1"/>
      <c r="E183" s="1"/>
      <c r="F183" s="1"/>
      <c r="G183" s="1"/>
      <c r="H183" s="1">
        <f t="shared" ref="H183:Z183" si="0">SUM(H179:H182)</f>
        <v>2.132393117742819E-4</v>
      </c>
      <c r="I183" s="1">
        <f t="shared" si="0"/>
        <v>0.16679033795373477</v>
      </c>
      <c r="J183" s="1">
        <f t="shared" si="0"/>
        <v>3.4471332246079752E-5</v>
      </c>
      <c r="K183" s="1">
        <f t="shared" si="0"/>
        <v>0.16674849071700243</v>
      </c>
      <c r="L183" s="1">
        <f t="shared" si="0"/>
        <v>7.375904486254632E-6</v>
      </c>
      <c r="M183" s="1">
        <f t="shared" si="0"/>
        <v>7.3693079401887573E-2</v>
      </c>
      <c r="N183" s="1">
        <f t="shared" si="0"/>
        <v>2.2154215403498743</v>
      </c>
      <c r="O183" s="1">
        <f t="shared" si="0"/>
        <v>1.7631993026448645E-6</v>
      </c>
      <c r="P183" s="1">
        <f t="shared" si="0"/>
        <v>4.8220355792551409E-5</v>
      </c>
      <c r="Q183" s="1">
        <f t="shared" si="0"/>
        <v>5.2421468666230769E-4</v>
      </c>
      <c r="R183" s="1">
        <f t="shared" si="0"/>
        <v>1.0192646894973112E-11</v>
      </c>
      <c r="S183" s="1">
        <f t="shared" si="0"/>
        <v>2.7167563726420761E-10</v>
      </c>
      <c r="T183" s="1">
        <f t="shared" si="0"/>
        <v>6.6519868279014841E-4</v>
      </c>
      <c r="U183" s="1">
        <f t="shared" si="0"/>
        <v>0.11390463257521803</v>
      </c>
      <c r="V183" s="1">
        <f t="shared" si="0"/>
        <v>2.6007934671855809E-8</v>
      </c>
      <c r="W183" s="1">
        <f t="shared" si="0"/>
        <v>3.7585564815097762E-9</v>
      </c>
      <c r="X183" s="1">
        <f t="shared" si="0"/>
        <v>1.6427613993186483E-9</v>
      </c>
      <c r="Y183" s="1">
        <f t="shared" si="0"/>
        <v>4.1082738634614822E-4</v>
      </c>
      <c r="Z183" s="1">
        <f t="shared" si="0"/>
        <v>2.9984053368853725E-3</v>
      </c>
    </row>
    <row r="184" spans="1:26" x14ac:dyDescent="0.35">
      <c r="A184" s="3"/>
      <c r="B184" s="47"/>
      <c r="C184" s="3"/>
      <c r="D184" s="3"/>
      <c r="E184" s="3"/>
      <c r="F184" s="3"/>
      <c r="G184" s="3"/>
      <c r="H184" s="3"/>
      <c r="I184" s="3"/>
      <c r="J184" s="3"/>
      <c r="K184" s="3"/>
      <c r="L184" s="3"/>
      <c r="M184" s="3"/>
      <c r="N184" s="3"/>
      <c r="O184" s="3"/>
      <c r="P184" s="3"/>
      <c r="Q184" s="3"/>
      <c r="R184" s="3"/>
      <c r="S184" s="3"/>
      <c r="T184" s="3"/>
      <c r="U184" s="3"/>
      <c r="V184" s="3"/>
      <c r="W184" s="3"/>
      <c r="X184" s="3"/>
      <c r="Y184" s="3"/>
      <c r="Z184" s="3"/>
    </row>
    <row r="186" spans="1:26" x14ac:dyDescent="0.35">
      <c r="A186" s="47" t="s">
        <v>459</v>
      </c>
    </row>
    <row r="187" spans="1:26" x14ac:dyDescent="0.35">
      <c r="A187" s="1" t="s">
        <v>366</v>
      </c>
      <c r="B187" s="152" t="str">
        <f>'C3'' - Secondary Raw Material '!$B$14</f>
        <v>Mobile_jaw_crusher_400tph_RCA</v>
      </c>
      <c r="C187" s="188">
        <f>$B$107</f>
        <v>1</v>
      </c>
      <c r="D187" s="154" t="str">
        <f>'C3'' - Secondary Raw Material '!$C$14</f>
        <v>Diesel</v>
      </c>
      <c r="E187" s="154">
        <f>INDEX($B$158:$B$172,MATCH($B$187,$A$158:$A$172,0))</f>
        <v>0</v>
      </c>
      <c r="F187" s="154">
        <f>INDEX($C$158:$C$172,MATCH($B$187,$A$158:$A$172,0))</f>
        <v>200</v>
      </c>
      <c r="G187" s="174">
        <f>INDEX($D$158:$D$172,MATCH($B$187,$A$158:$A$172,0))</f>
        <v>25.5</v>
      </c>
      <c r="H187" s="154" cm="1">
        <f t="array" ref="H187">INDEX(LCI!H$2:H$137,MATCH($A$186&amp;$D187,LCI!$B$2:$B$137&amp;LCI!$D$2:$D$137,0))*IF(OR($D187="Electric", $D187="Electric_green"), ($F187*$E187)*$B$20, $G187*$E187)*$C187</f>
        <v>0</v>
      </c>
      <c r="I187" s="154" cm="1">
        <f t="array" ref="I187">INDEX(LCI!I$2:I$137,MATCH($A$186&amp;$D187,LCI!$B$2:$B$137&amp;LCI!$D$2:$D$137,0))*IF(OR($D187="Electric", $D187="Electric_green"), ($F187*$E187)*$B$20, $G187*$E187)*$C187</f>
        <v>0</v>
      </c>
      <c r="J187" s="154" cm="1">
        <f t="array" ref="J187">INDEX(LCI!J$2:J$137,MATCH($A$186&amp;$D187,LCI!$B$2:$B$137&amp;LCI!$D$2:$D$137,0))*IF(OR($D187="Electric", $D187="Electric_green"), ($F187*$E187)*$B$20, $G187*$E187)*$C187</f>
        <v>0</v>
      </c>
      <c r="K187" s="154" cm="1">
        <f t="array" ref="K187">INDEX(LCI!K$2:K$137,MATCH($A$186&amp;$D187,LCI!$B$2:$B$137&amp;LCI!$D$2:$D$137,0))*IF(OR($D187="Electric", $D187="Electric_green"), ($F187*$E187)*$B$20, $G187*$E187)*$C187</f>
        <v>0</v>
      </c>
      <c r="L187" s="154" cm="1">
        <f t="array" ref="L187">INDEX(LCI!L$2:L$137,MATCH($A$186&amp;$D187,LCI!$B$2:$B$137&amp;LCI!$D$2:$D$137,0))*IF(OR($D187="Electric", $D187="Electric_green"), ($F187*$E187)*$B$20, $G187*$E187)*$C187</f>
        <v>0</v>
      </c>
      <c r="M187" s="154" cm="1">
        <f t="array" ref="M187">INDEX(LCI!M$2:M$137,MATCH($A$186&amp;$D187,LCI!$B$2:$B$137&amp;LCI!$D$2:$D$137,0))*IF(OR($D187="Electric", $D187="Electric_green"), ($F187*$E187)*$B$20, $G187*$E187)*$C187</f>
        <v>0</v>
      </c>
      <c r="N187" s="154" cm="1">
        <f t="array" ref="N187">INDEX(LCI!N$2:N$137,MATCH($A$186&amp;$D187,LCI!$B$2:$B$137&amp;LCI!$D$2:$D$137,0))*IF(OR($D187="Electric", $D187="Electric_green"), ($F187*$E187)*$B$20, $G187*$E187)*$C187</f>
        <v>0</v>
      </c>
      <c r="O187" s="154" cm="1">
        <f t="array" ref="O187">INDEX(LCI!O$2:O$137,MATCH($A$186&amp;$D187,LCI!$B$2:$B$137&amp;LCI!$D$2:$D$137,0))*IF(OR($D187="Electric", $D187="Electric_green"), ($F187*$E187)*$B$20, $G187*$E187)*$C187</f>
        <v>0</v>
      </c>
      <c r="P187" s="154" cm="1">
        <f t="array" ref="P187">INDEX(LCI!P$2:P$137,MATCH($A$186&amp;$D187,LCI!$B$2:$B$137&amp;LCI!$D$2:$D$137,0))*IF(OR($D187="Electric", $D187="Electric_green"), ($F187*$E187)*$B$20, $G187*$E187)*$C187</f>
        <v>0</v>
      </c>
      <c r="Q187" s="154" cm="1">
        <f t="array" ref="Q187">INDEX(LCI!Q$2:Q$137,MATCH($A$186&amp;$D187,LCI!$B$2:$B$137&amp;LCI!$D$2:$D$137,0))*IF(OR($D187="Electric", $D187="Electric_green"), ($F187*$E187)*$B$20, $G187*$E187)*$C187</f>
        <v>0</v>
      </c>
      <c r="R187" s="154" cm="1">
        <f t="array" ref="R187">INDEX(LCI!R$2:R$137,MATCH($A$186&amp;$D187,LCI!$B$2:$B$137&amp;LCI!$D$2:$D$137,0))*IF(OR($D187="Electric", $D187="Electric_green"), ($F187*$E187)*$B$20, $G187*$E187)*$C187</f>
        <v>0</v>
      </c>
      <c r="S187" s="154" cm="1">
        <f t="array" ref="S187">INDEX(LCI!S$2:S$137,MATCH($A$186&amp;$D187,LCI!$B$2:$B$137&amp;LCI!$D$2:$D$137,0))*IF(OR($D187="Electric", $D187="Electric_green"), ($F187*$E187)*$B$20, $G187*$E187)*$C187</f>
        <v>0</v>
      </c>
      <c r="T187" s="154" cm="1">
        <f t="array" ref="T187">INDEX(LCI!T$2:T$137,MATCH($A$186&amp;$D187,LCI!$B$2:$B$137&amp;LCI!$D$2:$D$137,0))*IF(OR($D187="Electric", $D187="Electric_green"), ($F187*$E187)*$B$20, $G187*$E187)*$C187</f>
        <v>0</v>
      </c>
      <c r="U187" s="154" cm="1">
        <f t="array" ref="U187">INDEX(LCI!U$2:U$137,MATCH($A$186&amp;$D187,LCI!$B$2:$B$137&amp;LCI!$D$2:$D$137,0))*IF(OR($D187="Electric", $D187="Electric_green"), ($F187*$E187)*$B$20, $G187*$E187)*$C187</f>
        <v>0</v>
      </c>
      <c r="V187" s="154" cm="1">
        <f t="array" ref="V187">INDEX(LCI!V$2:V$137,MATCH($A$186&amp;$D187,LCI!$B$2:$B$137&amp;LCI!$D$2:$D$137,0))*IF(OR($D187="Electric", $D187="Electric_green"), ($F187*$E187)*$B$20, $G187*$E187)*$C187</f>
        <v>0</v>
      </c>
      <c r="W187" s="154" cm="1">
        <f t="array" ref="W187">INDEX(LCI!W$2:W$137,MATCH($A$186&amp;$D187,LCI!$B$2:$B$137&amp;LCI!$D$2:$D$137,0))*IF(OR($D187="Electric", $D187="Electric_green"), ($F187*$E187)*$B$20, $G187*$E187)*$C187</f>
        <v>0</v>
      </c>
      <c r="X187" s="154" cm="1">
        <f t="array" ref="X187">INDEX(LCI!X$2:X$137,MATCH($A$186&amp;$D187,LCI!$B$2:$B$137&amp;LCI!$D$2:$D$137,0))*IF(OR($D187="Electric", $D187="Electric_green"), ($F187*$E187)*$B$20, $G187*$E187)*$C187</f>
        <v>0</v>
      </c>
      <c r="Y187" s="154" cm="1">
        <f t="array" ref="Y187">INDEX(LCI!Y$2:Y$137,MATCH($A$186&amp;$D187,LCI!$B$2:$B$137&amp;LCI!$D$2:$D$137,0))*IF(OR($D187="Electric", $D187="Electric_green"), ($F187*$E187)*$B$20, $G187*$E187)*$C187</f>
        <v>0</v>
      </c>
      <c r="Z187" s="154" cm="1">
        <f t="array" ref="Z187">INDEX(LCI!Z$2:Z$137,MATCH($A$186&amp;$D187,LCI!$B$2:$B$137&amp;LCI!$D$2:$D$137,0))*IF(OR($D187="Electric", $D187="Electric_green"), ($F187*$E187)*$B$20, $G187*$E187)*$C187</f>
        <v>0</v>
      </c>
    </row>
    <row r="188" spans="1:26" s="11" customFormat="1" x14ac:dyDescent="0.35">
      <c r="A188" s="13" t="s">
        <v>358</v>
      </c>
      <c r="B188" s="160" t="str">
        <f>'C3'' - Secondary Raw Material '!$B$15</f>
        <v>Wheel_loader_338tph_Komatsu_WA500_RCA</v>
      </c>
      <c r="C188" s="189">
        <f>$B$31</f>
        <v>1</v>
      </c>
      <c r="D188" s="154" t="str">
        <f>'C3'' - Secondary Raw Material '!$C$15</f>
        <v>Diesel</v>
      </c>
      <c r="E188" s="154">
        <f>INDEX($B$158:$B$172,MATCH($B$188,$A$158:$A$172,0))</f>
        <v>0</v>
      </c>
      <c r="F188" s="154">
        <f>INDEX($C$158:$C$172,MATCH($B$188,$A$158:$A$172,0))</f>
        <v>263.2</v>
      </c>
      <c r="G188" s="174">
        <f>$D$172</f>
        <v>33.558</v>
      </c>
      <c r="H188" s="154" cm="1">
        <f t="array" ref="H188">INDEX(LCI!H$2:H$137,MATCH($A$186&amp;$D188,LCI!$B$2:$B$137&amp;LCI!$D$2:$D$137,0))*IF(OR($D188="Electric", $D188="Electric_green"), ($F188*$E188)*$B$20, $G188*$E188)*$C188</f>
        <v>0</v>
      </c>
      <c r="I188" s="154" cm="1">
        <f t="array" ref="I188">INDEX(LCI!I$2:I$137,MATCH($A$186&amp;$D188,LCI!$B$2:$B$137&amp;LCI!$D$2:$D$137,0))*IF(OR($D188="Electric", $D188="Electric_green"), ($F188*$E188)*$B$20, $G188*$E188)*$C188</f>
        <v>0</v>
      </c>
      <c r="J188" s="154" cm="1">
        <f t="array" ref="J188">INDEX(LCI!J$2:J$137,MATCH($A$186&amp;$D188,LCI!$B$2:$B$137&amp;LCI!$D$2:$D$137,0))*IF(OR($D188="Electric", $D188="Electric_green"), ($F188*$E188)*$B$20, $G188*$E188)*$C188</f>
        <v>0</v>
      </c>
      <c r="K188" s="154" cm="1">
        <f t="array" ref="K188">INDEX(LCI!K$2:K$137,MATCH($A$186&amp;$D188,LCI!$B$2:$B$137&amp;LCI!$D$2:$D$137,0))*IF(OR($D188="Electric", $D188="Electric_green"), ($F188*$E188)*$B$20, $G188*$E188)*$C188</f>
        <v>0</v>
      </c>
      <c r="L188" s="154" cm="1">
        <f t="array" ref="L188">INDEX(LCI!L$2:L$137,MATCH($A$186&amp;$D188,LCI!$B$2:$B$137&amp;LCI!$D$2:$D$137,0))*IF(OR($D188="Electric", $D188="Electric_green"), ($F188*$E188)*$B$20, $G188*$E188)*$C188</f>
        <v>0</v>
      </c>
      <c r="M188" s="154" cm="1">
        <f t="array" ref="M188">INDEX(LCI!M$2:M$137,MATCH($A$186&amp;$D188,LCI!$B$2:$B$137&amp;LCI!$D$2:$D$137,0))*IF(OR($D188="Electric", $D188="Electric_green"), ($F188*$E188)*$B$20, $G188*$E188)*$C188</f>
        <v>0</v>
      </c>
      <c r="N188" s="154" cm="1">
        <f t="array" ref="N188">INDEX(LCI!N$2:N$137,MATCH($A$186&amp;$D188,LCI!$B$2:$B$137&amp;LCI!$D$2:$D$137,0))*IF(OR($D188="Electric", $D188="Electric_green"), ($F188*$E188)*$B$20, $G188*$E188)*$C188</f>
        <v>0</v>
      </c>
      <c r="O188" s="154" cm="1">
        <f t="array" ref="O188">INDEX(LCI!O$2:O$137,MATCH($A$186&amp;$D188,LCI!$B$2:$B$137&amp;LCI!$D$2:$D$137,0))*IF(OR($D188="Electric", $D188="Electric_green"), ($F188*$E188)*$B$20, $G188*$E188)*$C188</f>
        <v>0</v>
      </c>
      <c r="P188" s="154" cm="1">
        <f t="array" ref="P188">INDEX(LCI!P$2:P$137,MATCH($A$186&amp;$D188,LCI!$B$2:$B$137&amp;LCI!$D$2:$D$137,0))*IF(OR($D188="Electric", $D188="Electric_green"), ($F188*$E188)*$B$20, $G188*$E188)*$C188</f>
        <v>0</v>
      </c>
      <c r="Q188" s="154" cm="1">
        <f t="array" ref="Q188">INDEX(LCI!Q$2:Q$137,MATCH($A$186&amp;$D188,LCI!$B$2:$B$137&amp;LCI!$D$2:$D$137,0))*IF(OR($D188="Electric", $D188="Electric_green"), ($F188*$E188)*$B$20, $G188*$E188)*$C188</f>
        <v>0</v>
      </c>
      <c r="R188" s="154" cm="1">
        <f t="array" ref="R188">INDEX(LCI!R$2:R$137,MATCH($A$186&amp;$D188,LCI!$B$2:$B$137&amp;LCI!$D$2:$D$137,0))*IF(OR($D188="Electric", $D188="Electric_green"), ($F188*$E188)*$B$20, $G188*$E188)*$C188</f>
        <v>0</v>
      </c>
      <c r="S188" s="154" cm="1">
        <f t="array" ref="S188">INDEX(LCI!S$2:S$137,MATCH($A$186&amp;$D188,LCI!$B$2:$B$137&amp;LCI!$D$2:$D$137,0))*IF(OR($D188="Electric", $D188="Electric_green"), ($F188*$E188)*$B$20, $G188*$E188)*$C188</f>
        <v>0</v>
      </c>
      <c r="T188" s="154" cm="1">
        <f t="array" ref="T188">INDEX(LCI!T$2:T$137,MATCH($A$186&amp;$D188,LCI!$B$2:$B$137&amp;LCI!$D$2:$D$137,0))*IF(OR($D188="Electric", $D188="Electric_green"), ($F188*$E188)*$B$20, $G188*$E188)*$C188</f>
        <v>0</v>
      </c>
      <c r="U188" s="154" cm="1">
        <f t="array" ref="U188">INDEX(LCI!U$2:U$137,MATCH($A$186&amp;$D188,LCI!$B$2:$B$137&amp;LCI!$D$2:$D$137,0))*IF(OR($D188="Electric", $D188="Electric_green"), ($F188*$E188)*$B$20, $G188*$E188)*$C188</f>
        <v>0</v>
      </c>
      <c r="V188" s="154" cm="1">
        <f t="array" ref="V188">INDEX(LCI!V$2:V$137,MATCH($A$186&amp;$D188,LCI!$B$2:$B$137&amp;LCI!$D$2:$D$137,0))*IF(OR($D188="Electric", $D188="Electric_green"), ($F188*$E188)*$B$20, $G188*$E188)*$C188</f>
        <v>0</v>
      </c>
      <c r="W188" s="154" cm="1">
        <f t="array" ref="W188">INDEX(LCI!W$2:W$137,MATCH($A$186&amp;$D188,LCI!$B$2:$B$137&amp;LCI!$D$2:$D$137,0))*IF(OR($D188="Electric", $D188="Electric_green"), ($F188*$E188)*$B$20, $G188*$E188)*$C188</f>
        <v>0</v>
      </c>
      <c r="X188" s="154" cm="1">
        <f t="array" ref="X188">INDEX(LCI!X$2:X$137,MATCH($A$186&amp;$D188,LCI!$B$2:$B$137&amp;LCI!$D$2:$D$137,0))*IF(OR($D188="Electric", $D188="Electric_green"), ($F188*$E188)*$B$20, $G188*$E188)*$C188</f>
        <v>0</v>
      </c>
      <c r="Y188" s="154" cm="1">
        <f t="array" ref="Y188">INDEX(LCI!Y$2:Y$137,MATCH($A$186&amp;$D188,LCI!$B$2:$B$137&amp;LCI!$D$2:$D$137,0))*IF(OR($D188="Electric", $D188="Electric_green"), ($F188*$E188)*$B$20, $G188*$E188)*$C188</f>
        <v>0</v>
      </c>
      <c r="Z188" s="154" cm="1">
        <f t="array" ref="Z188">INDEX(LCI!Z$2:Z$137,MATCH($A$186&amp;$D188,LCI!$B$2:$B$137&amp;LCI!$D$2:$D$137,0))*IF(OR($D188="Electric", $D188="Electric_green"), ($F188*$E188)*$B$20, $G188*$E188)*$C188</f>
        <v>0</v>
      </c>
    </row>
    <row r="189" spans="1:26" x14ac:dyDescent="0.35">
      <c r="A189" s="1" t="s">
        <v>360</v>
      </c>
      <c r="B189" s="152" t="str">
        <f>'C3'' - Secondary Raw Material '!$B$16</f>
        <v>Tracked_stacker_500tph_RCA</v>
      </c>
      <c r="C189" s="188">
        <f>$B$124</f>
        <v>1</v>
      </c>
      <c r="D189" s="154" t="str">
        <f>'C3'' - Secondary Raw Material '!$C$16</f>
        <v>Diesel</v>
      </c>
      <c r="E189" s="154">
        <f>INDEX($B$158:$B$172,MATCH($B$189,$A$158:$A$172,0))</f>
        <v>0</v>
      </c>
      <c r="F189" s="154">
        <f>INDEX($C$158:$C$172,MATCH($B$189,$A$158:$A$172,0))</f>
        <v>55</v>
      </c>
      <c r="G189" s="174">
        <f>INDEX($D$158:$D$172,MATCH($B$189,$A$158:$A$172,0))</f>
        <v>7.0125000000000002</v>
      </c>
      <c r="H189" s="154" cm="1">
        <f t="array" ref="H189">INDEX(LCI!H$2:H$137,MATCH($A$186&amp;$D189,LCI!$B$2:$B$137&amp;LCI!$D$2:$D$137,0))*IF(OR($D189="Electric", $D189="Electric_green"), ($F189*$E189)*$B$20, $G189*$E189)*$C189</f>
        <v>0</v>
      </c>
      <c r="I189" s="154" cm="1">
        <f t="array" ref="I189">INDEX(LCI!I$2:I$137,MATCH($A$186&amp;$D189,LCI!$B$2:$B$137&amp;LCI!$D$2:$D$137,0))*IF(OR($D189="Electric", $D189="Electric_green"), ($F189*$E189)*$B$20, $G189*$E189)*$C189</f>
        <v>0</v>
      </c>
      <c r="J189" s="154" cm="1">
        <f t="array" ref="J189">INDEX(LCI!J$2:J$137,MATCH($A$186&amp;$D189,LCI!$B$2:$B$137&amp;LCI!$D$2:$D$137,0))*IF(OR($D189="Electric", $D189="Electric_green"), ($F189*$E189)*$B$20, $G189*$E189)*$C189</f>
        <v>0</v>
      </c>
      <c r="K189" s="154" cm="1">
        <f t="array" ref="K189">INDEX(LCI!K$2:K$137,MATCH($A$186&amp;$D189,LCI!$B$2:$B$137&amp;LCI!$D$2:$D$137,0))*IF(OR($D189="Electric", $D189="Electric_green"), ($F189*$E189)*$B$20, $G189*$E189)*$C189</f>
        <v>0</v>
      </c>
      <c r="L189" s="154" cm="1">
        <f t="array" ref="L189">INDEX(LCI!L$2:L$137,MATCH($A$186&amp;$D189,LCI!$B$2:$B$137&amp;LCI!$D$2:$D$137,0))*IF(OR($D189="Electric", $D189="Electric_green"), ($F189*$E189)*$B$20, $G189*$E189)*$C189</f>
        <v>0</v>
      </c>
      <c r="M189" s="154" cm="1">
        <f t="array" ref="M189">INDEX(LCI!M$2:M$137,MATCH($A$186&amp;$D189,LCI!$B$2:$B$137&amp;LCI!$D$2:$D$137,0))*IF(OR($D189="Electric", $D189="Electric_green"), ($F189*$E189)*$B$20, $G189*$E189)*$C189</f>
        <v>0</v>
      </c>
      <c r="N189" s="154" cm="1">
        <f t="array" ref="N189">INDEX(LCI!N$2:N$137,MATCH($A$186&amp;$D189,LCI!$B$2:$B$137&amp;LCI!$D$2:$D$137,0))*IF(OR($D189="Electric", $D189="Electric_green"), ($F189*$E189)*$B$20, $G189*$E189)*$C189</f>
        <v>0</v>
      </c>
      <c r="O189" s="154" cm="1">
        <f t="array" ref="O189">INDEX(LCI!O$2:O$137,MATCH($A$186&amp;$D189,LCI!$B$2:$B$137&amp;LCI!$D$2:$D$137,0))*IF(OR($D189="Electric", $D189="Electric_green"), ($F189*$E189)*$B$20, $G189*$E189)*$C189</f>
        <v>0</v>
      </c>
      <c r="P189" s="154" cm="1">
        <f t="array" ref="P189">INDEX(LCI!P$2:P$137,MATCH($A$186&amp;$D189,LCI!$B$2:$B$137&amp;LCI!$D$2:$D$137,0))*IF(OR($D189="Electric", $D189="Electric_green"), ($F189*$E189)*$B$20, $G189*$E189)*$C189</f>
        <v>0</v>
      </c>
      <c r="Q189" s="154" cm="1">
        <f t="array" ref="Q189">INDEX(LCI!Q$2:Q$137,MATCH($A$186&amp;$D189,LCI!$B$2:$B$137&amp;LCI!$D$2:$D$137,0))*IF(OR($D189="Electric", $D189="Electric_green"), ($F189*$E189)*$B$20, $G189*$E189)*$C189</f>
        <v>0</v>
      </c>
      <c r="R189" s="154" cm="1">
        <f t="array" ref="R189">INDEX(LCI!R$2:R$137,MATCH($A$186&amp;$D189,LCI!$B$2:$B$137&amp;LCI!$D$2:$D$137,0))*IF(OR($D189="Electric", $D189="Electric_green"), ($F189*$E189)*$B$20, $G189*$E189)*$C189</f>
        <v>0</v>
      </c>
      <c r="S189" s="154" cm="1">
        <f t="array" ref="S189">INDEX(LCI!S$2:S$137,MATCH($A$186&amp;$D189,LCI!$B$2:$B$137&amp;LCI!$D$2:$D$137,0))*IF(OR($D189="Electric", $D189="Electric_green"), ($F189*$E189)*$B$20, $G189*$E189)*$C189</f>
        <v>0</v>
      </c>
      <c r="T189" s="154" cm="1">
        <f t="array" ref="T189">INDEX(LCI!T$2:T$137,MATCH($A$186&amp;$D189,LCI!$B$2:$B$137&amp;LCI!$D$2:$D$137,0))*IF(OR($D189="Electric", $D189="Electric_green"), ($F189*$E189)*$B$20, $G189*$E189)*$C189</f>
        <v>0</v>
      </c>
      <c r="U189" s="154" cm="1">
        <f t="array" ref="U189">INDEX(LCI!U$2:U$137,MATCH($A$186&amp;$D189,LCI!$B$2:$B$137&amp;LCI!$D$2:$D$137,0))*IF(OR($D189="Electric", $D189="Electric_green"), ($F189*$E189)*$B$20, $G189*$E189)*$C189</f>
        <v>0</v>
      </c>
      <c r="V189" s="154" cm="1">
        <f t="array" ref="V189">INDEX(LCI!V$2:V$137,MATCH($A$186&amp;$D189,LCI!$B$2:$B$137&amp;LCI!$D$2:$D$137,0))*IF(OR($D189="Electric", $D189="Electric_green"), ($F189*$E189)*$B$20, $G189*$E189)*$C189</f>
        <v>0</v>
      </c>
      <c r="W189" s="154" cm="1">
        <f t="array" ref="W189">INDEX(LCI!W$2:W$137,MATCH($A$186&amp;$D189,LCI!$B$2:$B$137&amp;LCI!$D$2:$D$137,0))*IF(OR($D189="Electric", $D189="Electric_green"), ($F189*$E189)*$B$20, $G189*$E189)*$C189</f>
        <v>0</v>
      </c>
      <c r="X189" s="154" cm="1">
        <f t="array" ref="X189">INDEX(LCI!X$2:X$137,MATCH($A$186&amp;$D189,LCI!$B$2:$B$137&amp;LCI!$D$2:$D$137,0))*IF(OR($D189="Electric", $D189="Electric_green"), ($F189*$E189)*$B$20, $G189*$E189)*$C189</f>
        <v>0</v>
      </c>
      <c r="Y189" s="154" cm="1">
        <f t="array" ref="Y189">INDEX(LCI!Y$2:Y$137,MATCH($A$186&amp;$D189,LCI!$B$2:$B$137&amp;LCI!$D$2:$D$137,0))*IF(OR($D189="Electric", $D189="Electric_green"), ($F189*$E189)*$B$20, $G189*$E189)*$C189</f>
        <v>0</v>
      </c>
      <c r="Z189" s="154" cm="1">
        <f t="array" ref="Z189">INDEX(LCI!Z$2:Z$137,MATCH($A$186&amp;$D189,LCI!$B$2:$B$137&amp;LCI!$D$2:$D$137,0))*IF(OR($D189="Electric", $D189="Electric_green"), ($F189*$E189)*$B$20, $G189*$E189)*$C189</f>
        <v>0</v>
      </c>
    </row>
    <row r="190" spans="1:26" x14ac:dyDescent="0.35">
      <c r="A190" s="1" t="s">
        <v>362</v>
      </c>
      <c r="B190" s="152" t="str">
        <f>'C3'' - Secondary Raw Material '!$B$17</f>
        <v>Mobile_screener_500tph_RCA</v>
      </c>
      <c r="C190" s="188">
        <f>$B$140</f>
        <v>1</v>
      </c>
      <c r="D190" s="154" t="str">
        <f>'C3'' - Secondary Raw Material '!$C$17</f>
        <v>Diesel</v>
      </c>
      <c r="E190" s="154">
        <f>INDEX($B$158:$B$172,MATCH($B$190,$A$158:$A$172,0))</f>
        <v>0</v>
      </c>
      <c r="F190" s="154">
        <f>INDEX($C$158:$C$172,MATCH($B$190,$A$158:$A$172,0))</f>
        <v>99</v>
      </c>
      <c r="G190" s="174">
        <f>INDEX($D$158:$D$172,MATCH($B$190,$A$158:$A$172,0))</f>
        <v>12.6225</v>
      </c>
      <c r="H190" s="154" cm="1">
        <f t="array" ref="H190">INDEX(LCI!H$2:H$137,MATCH($A$186&amp;$D190,LCI!$B$2:$B$137&amp;LCI!$D$2:$D$137,0))*IF(OR($D190="Electric", $D190="Electric_green"), ($F190*$E190)*$B$20, $G190*$E190)*$C190</f>
        <v>0</v>
      </c>
      <c r="I190" s="154" cm="1">
        <f t="array" ref="I190">INDEX(LCI!I$2:I$137,MATCH($A$186&amp;$D190,LCI!$B$2:$B$137&amp;LCI!$D$2:$D$137,0))*IF(OR($D190="Electric", $D190="Electric_green"), ($F190*$E190)*$B$20, $G190*$E190)*$C190</f>
        <v>0</v>
      </c>
      <c r="J190" s="154" cm="1">
        <f t="array" ref="J190">INDEX(LCI!J$2:J$137,MATCH($A$186&amp;$D190,LCI!$B$2:$B$137&amp;LCI!$D$2:$D$137,0))*IF(OR($D190="Electric", $D190="Electric_green"), ($F190*$E190)*$B$20, $G190*$E190)*$C190</f>
        <v>0</v>
      </c>
      <c r="K190" s="154" cm="1">
        <f t="array" ref="K190">INDEX(LCI!K$2:K$137,MATCH($A$186&amp;$D190,LCI!$B$2:$B$137&amp;LCI!$D$2:$D$137,0))*IF(OR($D190="Electric", $D190="Electric_green"), ($F190*$E190)*$B$20, $G190*$E190)*$C190</f>
        <v>0</v>
      </c>
      <c r="L190" s="154" cm="1">
        <f t="array" ref="L190">INDEX(LCI!L$2:L$137,MATCH($A$186&amp;$D190,LCI!$B$2:$B$137&amp;LCI!$D$2:$D$137,0))*IF(OR($D190="Electric", $D190="Electric_green"), ($F190*$E190)*$B$20, $G190*$E190)*$C190</f>
        <v>0</v>
      </c>
      <c r="M190" s="154" cm="1">
        <f t="array" ref="M190">INDEX(LCI!M$2:M$137,MATCH($A$186&amp;$D190,LCI!$B$2:$B$137&amp;LCI!$D$2:$D$137,0))*IF(OR($D190="Electric", $D190="Electric_green"), ($F190*$E190)*$B$20, $G190*$E190)*$C190</f>
        <v>0</v>
      </c>
      <c r="N190" s="154" cm="1">
        <f t="array" ref="N190">INDEX(LCI!N$2:N$137,MATCH($A$186&amp;$D190,LCI!$B$2:$B$137&amp;LCI!$D$2:$D$137,0))*IF(OR($D190="Electric", $D190="Electric_green"), ($F190*$E190)*$B$20, $G190*$E190)*$C190</f>
        <v>0</v>
      </c>
      <c r="O190" s="154" cm="1">
        <f t="array" ref="O190">INDEX(LCI!O$2:O$137,MATCH($A$186&amp;$D190,LCI!$B$2:$B$137&amp;LCI!$D$2:$D$137,0))*IF(OR($D190="Electric", $D190="Electric_green"), ($F190*$E190)*$B$20, $G190*$E190)*$C190</f>
        <v>0</v>
      </c>
      <c r="P190" s="154" cm="1">
        <f t="array" ref="P190">INDEX(LCI!P$2:P$137,MATCH($A$186&amp;$D190,LCI!$B$2:$B$137&amp;LCI!$D$2:$D$137,0))*IF(OR($D190="Electric", $D190="Electric_green"), ($F190*$E190)*$B$20, $G190*$E190)*$C190</f>
        <v>0</v>
      </c>
      <c r="Q190" s="154" cm="1">
        <f t="array" ref="Q190">INDEX(LCI!Q$2:Q$137,MATCH($A$186&amp;$D190,LCI!$B$2:$B$137&amp;LCI!$D$2:$D$137,0))*IF(OR($D190="Electric", $D190="Electric_green"), ($F190*$E190)*$B$20, $G190*$E190)*$C190</f>
        <v>0</v>
      </c>
      <c r="R190" s="154" cm="1">
        <f t="array" ref="R190">INDEX(LCI!R$2:R$137,MATCH($A$186&amp;$D190,LCI!$B$2:$B$137&amp;LCI!$D$2:$D$137,0))*IF(OR($D190="Electric", $D190="Electric_green"), ($F190*$E190)*$B$20, $G190*$E190)*$C190</f>
        <v>0</v>
      </c>
      <c r="S190" s="154" cm="1">
        <f t="array" ref="S190">INDEX(LCI!S$2:S$137,MATCH($A$186&amp;$D190,LCI!$B$2:$B$137&amp;LCI!$D$2:$D$137,0))*IF(OR($D190="Electric", $D190="Electric_green"), ($F190*$E190)*$B$20, $G190*$E190)*$C190</f>
        <v>0</v>
      </c>
      <c r="T190" s="154" cm="1">
        <f t="array" ref="T190">INDEX(LCI!T$2:T$137,MATCH($A$186&amp;$D190,LCI!$B$2:$B$137&amp;LCI!$D$2:$D$137,0))*IF(OR($D190="Electric", $D190="Electric_green"), ($F190*$E190)*$B$20, $G190*$E190)*$C190</f>
        <v>0</v>
      </c>
      <c r="U190" s="154" cm="1">
        <f t="array" ref="U190">INDEX(LCI!U$2:U$137,MATCH($A$186&amp;$D190,LCI!$B$2:$B$137&amp;LCI!$D$2:$D$137,0))*IF(OR($D190="Electric", $D190="Electric_green"), ($F190*$E190)*$B$20, $G190*$E190)*$C190</f>
        <v>0</v>
      </c>
      <c r="V190" s="154" cm="1">
        <f t="array" ref="V190">INDEX(LCI!V$2:V$137,MATCH($A$186&amp;$D190,LCI!$B$2:$B$137&amp;LCI!$D$2:$D$137,0))*IF(OR($D190="Electric", $D190="Electric_green"), ($F190*$E190)*$B$20, $G190*$E190)*$C190</f>
        <v>0</v>
      </c>
      <c r="W190" s="154" cm="1">
        <f t="array" ref="W190">INDEX(LCI!W$2:W$137,MATCH($A$186&amp;$D190,LCI!$B$2:$B$137&amp;LCI!$D$2:$D$137,0))*IF(OR($D190="Electric", $D190="Electric_green"), ($F190*$E190)*$B$20, $G190*$E190)*$C190</f>
        <v>0</v>
      </c>
      <c r="X190" s="154" cm="1">
        <f t="array" ref="X190">INDEX(LCI!X$2:X$137,MATCH($A$186&amp;$D190,LCI!$B$2:$B$137&amp;LCI!$D$2:$D$137,0))*IF(OR($D190="Electric", $D190="Electric_green"), ($F190*$E190)*$B$20, $G190*$E190)*$C190</f>
        <v>0</v>
      </c>
      <c r="Y190" s="154" cm="1">
        <f t="array" ref="Y190">INDEX(LCI!Y$2:Y$137,MATCH($A$186&amp;$D190,LCI!$B$2:$B$137&amp;LCI!$D$2:$D$137,0))*IF(OR($D190="Electric", $D190="Electric_green"), ($F190*$E190)*$B$20, $G190*$E190)*$C190</f>
        <v>0</v>
      </c>
      <c r="Z190" s="154" cm="1">
        <f t="array" ref="Z190">INDEX(LCI!Z$2:Z$137,MATCH($A$186&amp;$D190,LCI!$B$2:$B$137&amp;LCI!$D$2:$D$137,0))*IF(OR($D190="Electric", $D190="Electric_green"), ($F190*$E190)*$B$20, $G190*$E190)*$C190</f>
        <v>0</v>
      </c>
    </row>
    <row r="191" spans="1:26" x14ac:dyDescent="0.35">
      <c r="A191" s="1" t="s">
        <v>200</v>
      </c>
      <c r="B191" s="1"/>
      <c r="C191" s="1"/>
      <c r="D191" s="1"/>
      <c r="E191" s="1"/>
      <c r="F191" s="1"/>
      <c r="G191" s="1"/>
      <c r="H191" s="1">
        <f t="shared" ref="H191:Z191" si="1">SUM(H187:H190)</f>
        <v>0</v>
      </c>
      <c r="I191" s="1">
        <f t="shared" si="1"/>
        <v>0</v>
      </c>
      <c r="J191" s="1">
        <f t="shared" si="1"/>
        <v>0</v>
      </c>
      <c r="K191" s="1">
        <f t="shared" si="1"/>
        <v>0</v>
      </c>
      <c r="L191" s="1">
        <f t="shared" si="1"/>
        <v>0</v>
      </c>
      <c r="M191" s="1">
        <f t="shared" si="1"/>
        <v>0</v>
      </c>
      <c r="N191" s="1">
        <f t="shared" si="1"/>
        <v>0</v>
      </c>
      <c r="O191" s="1">
        <f t="shared" si="1"/>
        <v>0</v>
      </c>
      <c r="P191" s="1">
        <f t="shared" si="1"/>
        <v>0</v>
      </c>
      <c r="Q191" s="1">
        <f t="shared" si="1"/>
        <v>0</v>
      </c>
      <c r="R191" s="1">
        <f t="shared" si="1"/>
        <v>0</v>
      </c>
      <c r="S191" s="1">
        <f t="shared" si="1"/>
        <v>0</v>
      </c>
      <c r="T191" s="1">
        <f t="shared" si="1"/>
        <v>0</v>
      </c>
      <c r="U191" s="1">
        <f t="shared" si="1"/>
        <v>0</v>
      </c>
      <c r="V191" s="1">
        <f t="shared" si="1"/>
        <v>0</v>
      </c>
      <c r="W191" s="1">
        <f t="shared" si="1"/>
        <v>0</v>
      </c>
      <c r="X191" s="1">
        <f t="shared" si="1"/>
        <v>0</v>
      </c>
      <c r="Y191" s="1">
        <f t="shared" si="1"/>
        <v>0</v>
      </c>
      <c r="Z191" s="1">
        <f t="shared" si="1"/>
        <v>0</v>
      </c>
    </row>
    <row r="194" spans="1:14" ht="23.5" x14ac:dyDescent="0.55000000000000004">
      <c r="A194" s="228" t="s">
        <v>979</v>
      </c>
      <c r="B194"/>
      <c r="L194" s="3"/>
      <c r="M194" s="3"/>
      <c r="N194" s="3"/>
    </row>
    <row r="195" spans="1:14" x14ac:dyDescent="0.35">
      <c r="B195"/>
      <c r="L195" s="3"/>
      <c r="M195" s="3"/>
      <c r="N195" s="3"/>
    </row>
    <row r="196" spans="1:14" ht="16" x14ac:dyDescent="0.4">
      <c r="A196" s="81" t="s">
        <v>460</v>
      </c>
      <c r="B196" s="47"/>
      <c r="C196" s="29"/>
      <c r="L196" s="3"/>
      <c r="M196" s="3"/>
      <c r="N196" s="3"/>
    </row>
    <row r="197" spans="1:14" x14ac:dyDescent="0.35">
      <c r="A197" s="1" t="s">
        <v>461</v>
      </c>
      <c r="B197" s="22" t="s">
        <v>462</v>
      </c>
      <c r="C197" s="2" t="s">
        <v>462</v>
      </c>
      <c r="D197" s="1" t="s">
        <v>463</v>
      </c>
      <c r="L197" s="3"/>
      <c r="M197" s="3"/>
      <c r="N197" s="3"/>
    </row>
    <row r="198" spans="1:14" x14ac:dyDescent="0.35">
      <c r="A198" s="1" t="s">
        <v>464</v>
      </c>
      <c r="B198" s="119">
        <v>0.51</v>
      </c>
      <c r="C198" s="2"/>
      <c r="D198" s="1"/>
      <c r="L198" s="3"/>
      <c r="M198" s="3"/>
      <c r="N198" s="3"/>
    </row>
    <row r="199" spans="1:14" x14ac:dyDescent="0.35">
      <c r="A199" s="1" t="s">
        <v>411</v>
      </c>
      <c r="B199" s="119">
        <v>18.5</v>
      </c>
      <c r="C199" s="2"/>
      <c r="D199" s="1"/>
      <c r="L199" s="3"/>
      <c r="M199" s="3"/>
      <c r="N199" s="3"/>
    </row>
    <row r="200" spans="1:14" x14ac:dyDescent="0.35">
      <c r="A200" s="1" t="s">
        <v>383</v>
      </c>
      <c r="B200" s="119">
        <v>0.25</v>
      </c>
      <c r="C200" s="2"/>
      <c r="D200" s="1"/>
      <c r="L200" s="3"/>
      <c r="M200" s="3"/>
      <c r="N200" s="3"/>
    </row>
    <row r="201" spans="1:14" x14ac:dyDescent="0.35">
      <c r="A201" s="1" t="s">
        <v>392</v>
      </c>
      <c r="B201" s="119">
        <v>0.66</v>
      </c>
      <c r="C201" s="2"/>
      <c r="D201" s="1"/>
      <c r="L201" s="3"/>
      <c r="M201" s="3"/>
      <c r="N201" s="3"/>
    </row>
    <row r="202" spans="1:14" ht="43.5" x14ac:dyDescent="0.35">
      <c r="A202" s="143" t="s">
        <v>465</v>
      </c>
      <c r="B202" s="119">
        <v>0.37</v>
      </c>
      <c r="C202" s="144" t="s">
        <v>466</v>
      </c>
      <c r="D202" s="1"/>
      <c r="L202" s="3"/>
      <c r="M202" s="3"/>
      <c r="N202" s="3"/>
    </row>
    <row r="203" spans="1:14" x14ac:dyDescent="0.35">
      <c r="A203" s="69" t="s">
        <v>467</v>
      </c>
      <c r="B203" s="207">
        <v>0.75</v>
      </c>
      <c r="C203" s="2"/>
      <c r="D203" s="1"/>
      <c r="L203" s="3"/>
      <c r="M203" s="3"/>
      <c r="N203" s="3"/>
    </row>
    <row r="204" spans="1:14" x14ac:dyDescent="0.35">
      <c r="A204" s="69" t="s">
        <v>468</v>
      </c>
      <c r="B204" s="145">
        <v>23</v>
      </c>
      <c r="C204" s="2"/>
      <c r="D204" s="1"/>
      <c r="L204" s="3"/>
      <c r="M204" s="3"/>
      <c r="N204" s="3"/>
    </row>
    <row r="205" spans="1:14" x14ac:dyDescent="0.35">
      <c r="A205" s="69" t="s">
        <v>469</v>
      </c>
      <c r="B205" s="206">
        <f>3600/$B$204</f>
        <v>156.52173913043478</v>
      </c>
      <c r="C205" s="2"/>
      <c r="D205" s="1"/>
      <c r="L205" s="3"/>
      <c r="M205" s="3"/>
      <c r="N205" s="3"/>
    </row>
    <row r="206" spans="1:14" x14ac:dyDescent="0.35">
      <c r="A206" s="1" t="s">
        <v>470</v>
      </c>
      <c r="B206" s="208">
        <v>0.75</v>
      </c>
      <c r="C206" s="2"/>
      <c r="D206" s="1"/>
      <c r="L206" s="3"/>
      <c r="M206" s="3"/>
      <c r="N206" s="3"/>
    </row>
    <row r="207" spans="1:14" x14ac:dyDescent="0.35">
      <c r="A207" s="1" t="s">
        <v>471</v>
      </c>
      <c r="B207" s="197">
        <f>$B$202*$B$201*$B$203*$B$205*$B$206</f>
        <v>21.500217391304346</v>
      </c>
      <c r="C207" s="1" t="s">
        <v>472</v>
      </c>
      <c r="D207" s="1"/>
      <c r="L207" s="3"/>
      <c r="M207" s="3"/>
      <c r="N207" s="3"/>
    </row>
    <row r="208" spans="1:14" x14ac:dyDescent="0.35">
      <c r="A208" s="1" t="s">
        <v>396</v>
      </c>
      <c r="B208" s="154">
        <f>$B$199*$B$198*$B$200</f>
        <v>2.3587500000000001</v>
      </c>
      <c r="C208" s="39" t="s">
        <v>397</v>
      </c>
      <c r="D208" s="1"/>
      <c r="L208" s="3"/>
      <c r="M208" s="3"/>
      <c r="N208" s="3"/>
    </row>
    <row r="209" spans="1:14" x14ac:dyDescent="0.35">
      <c r="B209" s="95"/>
      <c r="L209" s="3"/>
      <c r="M209" s="3"/>
      <c r="N209" s="3"/>
    </row>
    <row r="210" spans="1:14" x14ac:dyDescent="0.35">
      <c r="B210"/>
      <c r="C210" s="95"/>
      <c r="L210" s="3"/>
      <c r="M210" s="3"/>
      <c r="N210" s="3"/>
    </row>
    <row r="211" spans="1:14" ht="16" x14ac:dyDescent="0.4">
      <c r="A211" s="81" t="s">
        <v>473</v>
      </c>
      <c r="B211"/>
      <c r="L211" s="3"/>
      <c r="M211" s="3"/>
      <c r="N211" s="3"/>
    </row>
    <row r="212" spans="1:14" x14ac:dyDescent="0.35">
      <c r="A212" s="1" t="s">
        <v>474</v>
      </c>
      <c r="B212" s="96">
        <v>3.5</v>
      </c>
      <c r="C212" s="1"/>
      <c r="D212" s="1"/>
      <c r="L212" s="3"/>
      <c r="M212" s="3"/>
      <c r="N212" s="3"/>
    </row>
    <row r="213" spans="1:14" ht="43.5" x14ac:dyDescent="0.35">
      <c r="A213" s="1" t="s">
        <v>475</v>
      </c>
      <c r="B213" s="119" t="s">
        <v>476</v>
      </c>
      <c r="C213" s="1" t="s">
        <v>477</v>
      </c>
      <c r="D213" s="53" t="s">
        <v>478</v>
      </c>
      <c r="L213" s="3"/>
      <c r="M213" s="3"/>
      <c r="N213" s="3"/>
    </row>
    <row r="214" spans="1:14" ht="43.5" x14ac:dyDescent="0.35">
      <c r="A214" s="1" t="s">
        <v>383</v>
      </c>
      <c r="B214" s="96">
        <v>0.25</v>
      </c>
      <c r="C214" s="53" t="s">
        <v>384</v>
      </c>
      <c r="D214" s="123" t="s">
        <v>479</v>
      </c>
      <c r="L214" s="3"/>
      <c r="M214" s="3"/>
      <c r="N214" s="3"/>
    </row>
    <row r="215" spans="1:14" ht="29" x14ac:dyDescent="0.35">
      <c r="A215" s="1" t="s">
        <v>464</v>
      </c>
      <c r="B215" s="96">
        <v>0.51</v>
      </c>
      <c r="C215" s="53" t="s">
        <v>382</v>
      </c>
      <c r="D215" s="1"/>
      <c r="L215" s="3"/>
      <c r="M215" s="3"/>
      <c r="N215" s="3"/>
    </row>
    <row r="216" spans="1:14" x14ac:dyDescent="0.35">
      <c r="A216" s="1" t="s">
        <v>411</v>
      </c>
      <c r="B216" s="96">
        <v>42</v>
      </c>
      <c r="C216" s="1"/>
      <c r="D216" s="1"/>
      <c r="L216" s="3"/>
      <c r="M216" s="3"/>
      <c r="N216" s="3"/>
    </row>
    <row r="217" spans="1:14" x14ac:dyDescent="0.35">
      <c r="A217" s="1" t="s">
        <v>470</v>
      </c>
      <c r="B217" s="313">
        <v>0.83</v>
      </c>
      <c r="C217" s="1"/>
      <c r="D217" s="1"/>
      <c r="L217" s="3"/>
      <c r="M217" s="3"/>
      <c r="N217" s="3"/>
    </row>
    <row r="218" spans="1:14" x14ac:dyDescent="0.35">
      <c r="A218" s="1" t="s">
        <v>480</v>
      </c>
      <c r="B218" s="129">
        <v>3</v>
      </c>
      <c r="C218" s="1" t="s">
        <v>481</v>
      </c>
      <c r="D218" s="1"/>
      <c r="L218" s="3"/>
      <c r="M218" s="3"/>
      <c r="N218" s="3"/>
    </row>
    <row r="219" spans="1:14" x14ac:dyDescent="0.35">
      <c r="A219" s="1" t="s">
        <v>469</v>
      </c>
      <c r="B219" s="314">
        <f>60/$B$218</f>
        <v>20</v>
      </c>
      <c r="C219" s="1"/>
      <c r="D219" s="1"/>
      <c r="L219" s="3"/>
      <c r="M219" s="3"/>
      <c r="N219" s="3"/>
    </row>
    <row r="220" spans="1:14" x14ac:dyDescent="0.35">
      <c r="A220" s="1" t="s">
        <v>471</v>
      </c>
      <c r="B220" s="154">
        <f>B212*B219*B217</f>
        <v>58.099999999999994</v>
      </c>
      <c r="C220" s="2" t="s">
        <v>482</v>
      </c>
      <c r="D220" s="1"/>
      <c r="L220" s="3"/>
      <c r="M220" s="3"/>
      <c r="N220" s="3"/>
    </row>
    <row r="221" spans="1:14" x14ac:dyDescent="0.35">
      <c r="A221" s="1" t="s">
        <v>396</v>
      </c>
      <c r="B221" s="154">
        <f>$B$216*$B$215*$B$214</f>
        <v>5.3550000000000004</v>
      </c>
      <c r="C221" s="39" t="s">
        <v>397</v>
      </c>
      <c r="D221" s="1"/>
      <c r="L221" s="3"/>
      <c r="M221" s="3"/>
      <c r="N221" s="3"/>
    </row>
    <row r="222" spans="1:14" x14ac:dyDescent="0.35">
      <c r="B222"/>
      <c r="C222" s="85"/>
      <c r="L222" s="3"/>
      <c r="M222" s="3"/>
      <c r="N222" s="3"/>
    </row>
    <row r="223" spans="1:14" x14ac:dyDescent="0.35">
      <c r="A223" s="1" t="s">
        <v>371</v>
      </c>
      <c r="B223" s="96">
        <v>0.51</v>
      </c>
      <c r="C223" s="39" t="s">
        <v>372</v>
      </c>
      <c r="L223" s="3"/>
      <c r="M223" s="3"/>
      <c r="N223" s="3"/>
    </row>
    <row r="224" spans="1:14" x14ac:dyDescent="0.35">
      <c r="B224"/>
      <c r="L224" s="3"/>
      <c r="M224" s="3"/>
      <c r="N224" s="3"/>
    </row>
    <row r="225" spans="1:14" ht="18.5" x14ac:dyDescent="0.45">
      <c r="A225" s="116" t="s">
        <v>483</v>
      </c>
      <c r="B225"/>
      <c r="N225" s="142"/>
    </row>
    <row r="226" spans="1:14" x14ac:dyDescent="0.35">
      <c r="A226" s="62" t="s">
        <v>484</v>
      </c>
      <c r="B226" s="62" t="s">
        <v>485</v>
      </c>
      <c r="C226" s="62" t="s">
        <v>486</v>
      </c>
      <c r="D226" s="62" t="s">
        <v>33</v>
      </c>
      <c r="E226" s="62" t="s">
        <v>487</v>
      </c>
      <c r="F226" s="62" t="s">
        <v>1004</v>
      </c>
    </row>
    <row r="227" spans="1:14" x14ac:dyDescent="0.35">
      <c r="A227" s="1" t="s">
        <v>488</v>
      </c>
      <c r="B227" s="1" t="s">
        <v>69</v>
      </c>
      <c r="C227" s="96">
        <v>1</v>
      </c>
      <c r="D227" s="96" t="s">
        <v>489</v>
      </c>
      <c r="E227" s="96">
        <v>50</v>
      </c>
      <c r="F227" s="96">
        <v>1.25</v>
      </c>
    </row>
    <row r="228" spans="1:14" x14ac:dyDescent="0.35">
      <c r="B228"/>
    </row>
    <row r="229" spans="1:14" ht="18.5" x14ac:dyDescent="0.45">
      <c r="A229" s="74" t="s">
        <v>490</v>
      </c>
      <c r="B229"/>
    </row>
    <row r="230" spans="1:14" x14ac:dyDescent="0.35">
      <c r="A230" s="294" t="s">
        <v>491</v>
      </c>
      <c r="B230" s="294" t="s">
        <v>330</v>
      </c>
      <c r="C230" s="294" t="s">
        <v>486</v>
      </c>
      <c r="D230" s="294" t="s">
        <v>33</v>
      </c>
      <c r="E230" s="294" t="s">
        <v>411</v>
      </c>
      <c r="F230" s="294" t="s">
        <v>492</v>
      </c>
      <c r="G230" s="294" t="s">
        <v>493</v>
      </c>
    </row>
    <row r="231" spans="1:14" x14ac:dyDescent="0.35">
      <c r="A231" s="1" t="s">
        <v>494</v>
      </c>
      <c r="B231" s="1" t="s">
        <v>495</v>
      </c>
      <c r="C231" s="96">
        <v>1</v>
      </c>
      <c r="D231" s="96" t="s">
        <v>25</v>
      </c>
      <c r="E231" s="96">
        <v>55.93</v>
      </c>
      <c r="F231" s="96">
        <v>0.33300000000000002</v>
      </c>
      <c r="G231" s="154">
        <f>$E$231*$F$231</f>
        <v>18.624690000000001</v>
      </c>
    </row>
    <row r="232" spans="1:14" x14ac:dyDescent="0.35">
      <c r="A232" s="1" t="s">
        <v>496</v>
      </c>
      <c r="B232" s="1" t="s">
        <v>495</v>
      </c>
      <c r="C232" s="96">
        <v>1</v>
      </c>
      <c r="D232" s="96" t="s">
        <v>25</v>
      </c>
      <c r="E232" s="96">
        <v>3.73</v>
      </c>
      <c r="F232" s="96">
        <v>0.33300000000000002</v>
      </c>
      <c r="G232" s="154">
        <f>$E$232*$F$232</f>
        <v>1.2420900000000001</v>
      </c>
    </row>
    <row r="233" spans="1:14" x14ac:dyDescent="0.35">
      <c r="A233" s="1" t="s">
        <v>497</v>
      </c>
      <c r="B233" s="1" t="s">
        <v>495</v>
      </c>
      <c r="C233" s="96">
        <v>4</v>
      </c>
      <c r="D233" s="96" t="s">
        <v>25</v>
      </c>
      <c r="E233" s="96">
        <v>1.49</v>
      </c>
      <c r="F233" s="96">
        <v>0.33</v>
      </c>
      <c r="G233" s="154">
        <f>$E$233*$F$233</f>
        <v>0.49170000000000003</v>
      </c>
    </row>
    <row r="234" spans="1:14" x14ac:dyDescent="0.35">
      <c r="A234" s="3"/>
      <c r="B234" s="3"/>
      <c r="C234" s="3"/>
      <c r="D234" s="3"/>
      <c r="E234" s="3"/>
      <c r="F234" s="3"/>
    </row>
    <row r="235" spans="1:14" ht="18.5" x14ac:dyDescent="0.45">
      <c r="A235" s="74" t="s">
        <v>498</v>
      </c>
      <c r="B235"/>
    </row>
    <row r="236" spans="1:14" x14ac:dyDescent="0.35">
      <c r="A236" s="294" t="s">
        <v>491</v>
      </c>
      <c r="B236" s="294" t="s">
        <v>330</v>
      </c>
      <c r="C236" s="294" t="s">
        <v>486</v>
      </c>
      <c r="D236" s="294" t="s">
        <v>33</v>
      </c>
      <c r="E236" s="294" t="s">
        <v>411</v>
      </c>
      <c r="F236" s="294" t="s">
        <v>492</v>
      </c>
      <c r="G236" s="294" t="s">
        <v>493</v>
      </c>
    </row>
    <row r="237" spans="1:14" x14ac:dyDescent="0.35">
      <c r="A237" s="1" t="s">
        <v>499</v>
      </c>
      <c r="B237" s="1" t="s">
        <v>500</v>
      </c>
      <c r="C237" s="96">
        <v>1</v>
      </c>
      <c r="D237" s="96" t="s">
        <v>25</v>
      </c>
      <c r="E237" s="96">
        <v>250</v>
      </c>
      <c r="F237" s="96">
        <v>0.25</v>
      </c>
      <c r="G237" s="154">
        <f>$E$237*$F$237</f>
        <v>62.5</v>
      </c>
    </row>
    <row r="238" spans="1:14" x14ac:dyDescent="0.35">
      <c r="A238" s="1" t="s">
        <v>497</v>
      </c>
      <c r="B238" s="1" t="s">
        <v>495</v>
      </c>
      <c r="C238" s="96">
        <v>2</v>
      </c>
      <c r="D238" s="96" t="s">
        <v>25</v>
      </c>
      <c r="E238" s="96">
        <v>1.49</v>
      </c>
      <c r="F238" s="96">
        <v>0.25</v>
      </c>
      <c r="G238" s="154">
        <f>E238*F238</f>
        <v>0.3725</v>
      </c>
    </row>
    <row r="239" spans="1:14" x14ac:dyDescent="0.35">
      <c r="B239"/>
    </row>
    <row r="240" spans="1:14" x14ac:dyDescent="0.35">
      <c r="A240" s="62" t="s">
        <v>491</v>
      </c>
      <c r="B240" s="62" t="s">
        <v>330</v>
      </c>
      <c r="C240" s="62" t="s">
        <v>486</v>
      </c>
      <c r="D240" s="62" t="s">
        <v>33</v>
      </c>
      <c r="E240" s="62" t="s">
        <v>411</v>
      </c>
      <c r="F240" s="62" t="s">
        <v>492</v>
      </c>
      <c r="G240" s="62" t="s">
        <v>396</v>
      </c>
    </row>
    <row r="241" spans="1:7" x14ac:dyDescent="0.35">
      <c r="A241" s="1" t="s">
        <v>501</v>
      </c>
      <c r="B241" s="1" t="s">
        <v>108</v>
      </c>
      <c r="C241" s="96">
        <v>1</v>
      </c>
      <c r="D241" s="96" t="s">
        <v>36</v>
      </c>
      <c r="E241" s="96">
        <v>160</v>
      </c>
      <c r="F241" s="96">
        <v>0.25</v>
      </c>
      <c r="G241" s="154">
        <f>$B$208</f>
        <v>2.3587500000000001</v>
      </c>
    </row>
    <row r="242" spans="1:7" x14ac:dyDescent="0.35">
      <c r="B242"/>
    </row>
    <row r="243" spans="1:7" ht="18.5" x14ac:dyDescent="0.45">
      <c r="A243" s="74" t="s">
        <v>502</v>
      </c>
      <c r="B243"/>
    </row>
    <row r="244" spans="1:7" x14ac:dyDescent="0.35">
      <c r="A244" s="294" t="s">
        <v>491</v>
      </c>
      <c r="B244" s="294" t="s">
        <v>330</v>
      </c>
      <c r="C244" s="294" t="s">
        <v>486</v>
      </c>
      <c r="D244" s="294" t="s">
        <v>33</v>
      </c>
      <c r="E244" s="294" t="s">
        <v>411</v>
      </c>
      <c r="F244" s="294" t="s">
        <v>492</v>
      </c>
      <c r="G244" s="294" t="s">
        <v>493</v>
      </c>
    </row>
    <row r="245" spans="1:7" x14ac:dyDescent="0.35">
      <c r="A245" s="1" t="s">
        <v>503</v>
      </c>
      <c r="B245" s="1" t="s">
        <v>504</v>
      </c>
      <c r="C245" s="96">
        <v>1</v>
      </c>
      <c r="D245" s="96" t="s">
        <v>25</v>
      </c>
      <c r="E245" s="96">
        <v>160</v>
      </c>
      <c r="F245" s="96">
        <v>0.25</v>
      </c>
      <c r="G245" s="154">
        <f>$E$245*$F$245</f>
        <v>40</v>
      </c>
    </row>
    <row r="246" spans="1:7" x14ac:dyDescent="0.35">
      <c r="A246" s="1" t="s">
        <v>505</v>
      </c>
      <c r="B246" s="1" t="s">
        <v>495</v>
      </c>
      <c r="C246" s="96">
        <v>1</v>
      </c>
      <c r="D246" s="96" t="s">
        <v>25</v>
      </c>
      <c r="E246" s="96">
        <v>1.49</v>
      </c>
      <c r="F246" s="96">
        <v>0.25</v>
      </c>
      <c r="G246" s="154">
        <f>$E$246*$F$246</f>
        <v>0.3725</v>
      </c>
    </row>
    <row r="247" spans="1:7" x14ac:dyDescent="0.35">
      <c r="B247"/>
    </row>
    <row r="248" spans="1:7" ht="18.5" x14ac:dyDescent="0.45">
      <c r="A248" s="74" t="s">
        <v>506</v>
      </c>
      <c r="B248"/>
    </row>
    <row r="249" spans="1:7" x14ac:dyDescent="0.35">
      <c r="A249" s="294" t="s">
        <v>491</v>
      </c>
      <c r="B249" s="294" t="s">
        <v>330</v>
      </c>
      <c r="C249" s="294" t="s">
        <v>486</v>
      </c>
      <c r="D249" s="294" t="s">
        <v>33</v>
      </c>
      <c r="E249" s="294" t="s">
        <v>411</v>
      </c>
      <c r="F249" s="294" t="s">
        <v>492</v>
      </c>
      <c r="G249" s="294" t="s">
        <v>493</v>
      </c>
    </row>
    <row r="250" spans="1:7" x14ac:dyDescent="0.35">
      <c r="A250" s="1" t="s">
        <v>507</v>
      </c>
      <c r="B250" s="1" t="s">
        <v>508</v>
      </c>
      <c r="C250" s="96">
        <v>1</v>
      </c>
      <c r="D250" s="96" t="s">
        <v>25</v>
      </c>
      <c r="E250" s="96">
        <v>250</v>
      </c>
      <c r="F250" s="96">
        <v>2</v>
      </c>
      <c r="G250" s="154">
        <f>$E$250*$F$250</f>
        <v>500</v>
      </c>
    </row>
    <row r="251" spans="1:7" x14ac:dyDescent="0.35">
      <c r="A251" s="1" t="s">
        <v>505</v>
      </c>
      <c r="B251" s="1" t="s">
        <v>495</v>
      </c>
      <c r="C251" s="96">
        <v>1</v>
      </c>
      <c r="D251" s="96" t="s">
        <v>25</v>
      </c>
      <c r="E251" s="96">
        <v>1.49</v>
      </c>
      <c r="F251" s="96">
        <v>2</v>
      </c>
      <c r="G251" s="154">
        <f>$E$251*$F$251</f>
        <v>2.98</v>
      </c>
    </row>
    <row r="252" spans="1:7" x14ac:dyDescent="0.35">
      <c r="A252" s="1" t="s">
        <v>509</v>
      </c>
      <c r="B252" s="1"/>
      <c r="C252" s="96">
        <v>1</v>
      </c>
      <c r="D252" s="96" t="s">
        <v>25</v>
      </c>
      <c r="E252" s="96">
        <v>37</v>
      </c>
      <c r="F252" s="96">
        <v>2</v>
      </c>
      <c r="G252" s="154">
        <f>$E$252*$F$252</f>
        <v>74</v>
      </c>
    </row>
    <row r="253" spans="1:7" x14ac:dyDescent="0.35">
      <c r="A253" s="1" t="s">
        <v>510</v>
      </c>
      <c r="B253" s="1" t="s">
        <v>511</v>
      </c>
      <c r="C253" s="96">
        <v>1</v>
      </c>
      <c r="D253" s="96" t="s">
        <v>25</v>
      </c>
      <c r="E253" s="96">
        <v>3.73</v>
      </c>
      <c r="F253" s="96">
        <v>2</v>
      </c>
      <c r="G253" s="154">
        <f>$E$253*$F$253</f>
        <v>7.46</v>
      </c>
    </row>
    <row r="254" spans="1:7" x14ac:dyDescent="0.35">
      <c r="B254"/>
    </row>
    <row r="255" spans="1:7" x14ac:dyDescent="0.35">
      <c r="A255" s="62" t="s">
        <v>491</v>
      </c>
      <c r="B255" s="62" t="s">
        <v>330</v>
      </c>
      <c r="C255" s="62" t="s">
        <v>486</v>
      </c>
      <c r="D255" s="294" t="s">
        <v>33</v>
      </c>
      <c r="E255" s="294" t="s">
        <v>411</v>
      </c>
      <c r="F255" s="294" t="s">
        <v>492</v>
      </c>
      <c r="G255" s="62" t="s">
        <v>396</v>
      </c>
    </row>
    <row r="256" spans="1:7" x14ac:dyDescent="0.35">
      <c r="A256" s="1" t="s">
        <v>512</v>
      </c>
      <c r="B256" s="1"/>
      <c r="C256" s="96">
        <v>1</v>
      </c>
      <c r="D256" s="96" t="s">
        <v>36</v>
      </c>
      <c r="E256" s="96"/>
      <c r="F256" s="96">
        <v>2</v>
      </c>
      <c r="G256" s="154">
        <f>$B$221</f>
        <v>5.3550000000000004</v>
      </c>
    </row>
    <row r="257" spans="1:26" x14ac:dyDescent="0.35">
      <c r="B257"/>
    </row>
    <row r="258" spans="1:26" x14ac:dyDescent="0.35">
      <c r="B258"/>
    </row>
    <row r="259" spans="1:26" x14ac:dyDescent="0.35">
      <c r="B259"/>
    </row>
    <row r="260" spans="1:26" ht="18.5" x14ac:dyDescent="0.45">
      <c r="A260" s="116" t="s">
        <v>513</v>
      </c>
      <c r="B260"/>
    </row>
    <row r="261" spans="1:26" x14ac:dyDescent="0.35">
      <c r="B261"/>
    </row>
    <row r="262" spans="1:26" ht="72.5" x14ac:dyDescent="0.35">
      <c r="A262" s="302" t="s">
        <v>451</v>
      </c>
      <c r="B262" s="300" t="s">
        <v>452</v>
      </c>
      <c r="C262" s="302" t="s">
        <v>453</v>
      </c>
      <c r="D262" s="302" t="s">
        <v>514</v>
      </c>
      <c r="E262" s="302" t="s">
        <v>454</v>
      </c>
      <c r="F262" s="302" t="s">
        <v>515</v>
      </c>
      <c r="G262" s="302" t="s">
        <v>516</v>
      </c>
      <c r="H262" s="103" t="s">
        <v>279</v>
      </c>
      <c r="I262" s="103" t="s">
        <v>280</v>
      </c>
      <c r="J262" s="103" t="s">
        <v>281</v>
      </c>
      <c r="K262" s="103" t="s">
        <v>282</v>
      </c>
      <c r="L262" s="103" t="s">
        <v>283</v>
      </c>
      <c r="M262" s="103" t="s">
        <v>284</v>
      </c>
      <c r="N262" s="103" t="s">
        <v>285</v>
      </c>
      <c r="O262" s="103" t="s">
        <v>286</v>
      </c>
      <c r="P262" s="103" t="s">
        <v>287</v>
      </c>
      <c r="Q262" s="103" t="s">
        <v>288</v>
      </c>
      <c r="R262" s="103" t="s">
        <v>289</v>
      </c>
      <c r="S262" s="103" t="s">
        <v>290</v>
      </c>
      <c r="T262" s="103" t="s">
        <v>291</v>
      </c>
      <c r="U262" s="103" t="s">
        <v>292</v>
      </c>
      <c r="V262" s="103" t="s">
        <v>293</v>
      </c>
      <c r="W262" s="103" t="s">
        <v>294</v>
      </c>
      <c r="X262" s="103" t="s">
        <v>295</v>
      </c>
      <c r="Y262" s="103" t="s">
        <v>296</v>
      </c>
      <c r="Z262" s="103" t="s">
        <v>297</v>
      </c>
    </row>
    <row r="263" spans="1:26" x14ac:dyDescent="0.35">
      <c r="A263" s="1" t="s">
        <v>517</v>
      </c>
      <c r="B263" s="1" t="str">
        <f>$A$227</f>
        <v>Transportation</v>
      </c>
      <c r="C263" s="154">
        <f>$C$227</f>
        <v>1</v>
      </c>
      <c r="D263" s="154" t="str">
        <f>$B$227</f>
        <v>Truck</v>
      </c>
      <c r="E263" s="154" t="str">
        <f>$D$227</f>
        <v>Diesel_Euro6</v>
      </c>
      <c r="F263" s="152">
        <f>$E$227</f>
        <v>50</v>
      </c>
      <c r="G263" s="154" t="s">
        <v>518</v>
      </c>
      <c r="H263" s="154" cm="1">
        <f t="array" ref="H263">INDEX(LCI!H$2:H$137,MATCH('C3'' - Secondary Raw Material '!$D$263&amp;'C3'' - Secondary Raw Material '!$E$263,LCI!$B$2:$B$137&amp;LCI!$D$2:$D$137,0))*$F$227*$F$263</f>
        <v>1.4795125000000001E-2</v>
      </c>
      <c r="I263" s="154" cm="1">
        <f t="array" ref="I263">INDEX(LCI!I$2:I$137,MATCH('C3'' - Secondary Raw Material '!$D$263&amp;'C3'' - Secondary Raw Material '!$E$263,LCI!$B$2:$B$137&amp;LCI!$D$2:$D$137,0))*$F$227*$F$263</f>
        <v>9.9215536874999994</v>
      </c>
      <c r="J263" s="154" cm="1">
        <f t="array" ref="J263">INDEX(LCI!J$2:J$137,MATCH('C3'' - Secondary Raw Material '!$D$263&amp;'C3'' - Secondary Raw Material '!$E$263,LCI!$B$2:$B$137&amp;LCI!$D$2:$D$137,0))*$F$227*$F$263</f>
        <v>4.63689375E-3</v>
      </c>
      <c r="K263" s="154" cm="1">
        <f t="array" ref="K263">INDEX(LCI!K$2:K$137,MATCH('C3'' - Secondary Raw Material '!$D$263&amp;'C3'' - Secondary Raw Material '!$E$263,LCI!$B$2:$B$137&amp;LCI!$D$2:$D$137,0))*$F$227*$F$263</f>
        <v>9.9161276249999997</v>
      </c>
      <c r="L263" s="154" cm="1">
        <f t="array" ref="L263">INDEX(LCI!L$2:L$137,MATCH('C3'' - Secondary Raw Material '!$D$263&amp;'C3'' - Secondary Raw Material '!$E$263,LCI!$B$2:$B$137&amp;LCI!$D$2:$D$137,0))*$F$227*$F$263</f>
        <v>7.8915625000000004E-4</v>
      </c>
      <c r="M263" s="154" cm="1">
        <f t="array" ref="M263">INDEX(LCI!M$2:M$137,MATCH('C3'' - Secondary Raw Material '!$D$263&amp;'C3'' - Secondary Raw Material '!$E$263,LCI!$B$2:$B$137&amp;LCI!$D$2:$D$137,0))*$F$227*$F$263</f>
        <v>8.5214968125000006</v>
      </c>
      <c r="N263" s="154" cm="1">
        <f t="array" ref="N263">INDEX(LCI!N$2:N$137,MATCH('C3'' - Secondary Raw Material '!$D$263&amp;'C3'' - Secondary Raw Material '!$E$263,LCI!$B$2:$B$137&amp;LCI!$D$2:$D$137,0))*$F$227*$F$263</f>
        <v>133.53379749999999</v>
      </c>
      <c r="O263" s="154" cm="1">
        <f t="array" ref="O263">INDEX(LCI!O$2:O$137,MATCH('C3'' - Secondary Raw Material '!$D$263&amp;'C3'' - Secondary Raw Material '!$E$263,LCI!$B$2:$B$137&amp;LCI!$D$2:$D$137,0))*$F$227*$F$263</f>
        <v>2.3141812499999999E-4</v>
      </c>
      <c r="P263" s="154" cm="1">
        <f t="array" ref="P263">INDEX(LCI!P$2:P$137,MATCH('C3'' - Secondary Raw Material '!$D$263&amp;'C3'' - Secondary Raw Material '!$E$263,LCI!$B$2:$B$137&amp;LCI!$D$2:$D$137,0))*$F$227*$F$263</f>
        <v>3.2248249999999997E-3</v>
      </c>
      <c r="Q263" s="154" cm="1">
        <f t="array" ref="Q263">INDEX(LCI!Q$2:Q$137,MATCH('C3'' - Secondary Raw Material '!$D$263&amp;'C3'' - Secondary Raw Material '!$E$263,LCI!$B$2:$B$137&amp;LCI!$D$2:$D$137,0))*$F$227*$F$263</f>
        <v>3.4905812500000001E-2</v>
      </c>
      <c r="R263" s="154" cm="1">
        <f t="array" ref="R263">INDEX(LCI!R$2:R$137,MATCH('C3'' - Secondary Raw Material '!$D$263&amp;'C3'' - Secondary Raw Material '!$E$263,LCI!$B$2:$B$137&amp;LCI!$D$2:$D$137,0))*$F$227*$F$263</f>
        <v>8.7935624999999989E-10</v>
      </c>
      <c r="S263" s="154" cm="1">
        <f t="array" ref="S263">INDEX(LCI!S$2:S$137,MATCH('C3'' - Secondary Raw Material '!$D$263&amp;'C3'' - Secondary Raw Material '!$E$263,LCI!$B$2:$B$137&amp;LCI!$D$2:$D$137,0))*$F$227*$F$263</f>
        <v>7.1548749999999994E-8</v>
      </c>
      <c r="T263" s="154" cm="1">
        <f t="array" ref="T263">INDEX(LCI!T$2:T$137,MATCH('C3'' - Secondary Raw Material '!$D$263&amp;'C3'' - Secondary Raw Material '!$E$263,LCI!$B$2:$B$137&amp;LCI!$D$2:$D$137,0))*$F$227*$F$263</f>
        <v>6.0550375000000004E-2</v>
      </c>
      <c r="U263" s="154" cm="1">
        <f t="array" ref="U263">INDEX(LCI!U$2:U$137,MATCH('C3'' - Secondary Raw Material '!$D$263&amp;'C3'' - Secondary Raw Material '!$E$263,LCI!$B$2:$B$137&amp;LCI!$D$2:$D$137,0))*$F$227*$F$263</f>
        <v>8.4229071250000018</v>
      </c>
      <c r="V263" s="154" cm="1">
        <f t="array" ref="V263">INDEX(LCI!V$2:V$137,MATCH('C3'' - Secondary Raw Material '!$D$263&amp;'C3'' - Secondary Raw Material '!$E$263,LCI!$B$2:$B$137&amp;LCI!$D$2:$D$137,0))*$F$227*$F$263</f>
        <v>1.0946062499999999E-5</v>
      </c>
      <c r="W263" s="154" cm="1">
        <f t="array" ref="W263">INDEX(LCI!W$2:W$137,MATCH('C3'' - Secondary Raw Material '!$D$263&amp;'C3'' - Secondary Raw Material '!$E$263,LCI!$B$2:$B$137&amp;LCI!$D$2:$D$137,0))*$F$227*$F$263</f>
        <v>2.2061375000000001E-7</v>
      </c>
      <c r="X263" s="154" cm="1">
        <f t="array" ref="X263">INDEX(LCI!X$2:X$137,MATCH('C3'' - Secondary Raw Material '!$D$263&amp;'C3'' - Secondary Raw Material '!$E$263,LCI!$B$2:$B$137&amp;LCI!$D$2:$D$137,0))*$F$227*$F$263</f>
        <v>6.1497312499999996E-7</v>
      </c>
      <c r="Y263" s="154" cm="1">
        <f t="array" ref="Y263">INDEX(LCI!Y$2:Y$137,MATCH('C3'' - Secondary Raw Material '!$D$263&amp;'C3'' - Secondary Raw Material '!$E$263,LCI!$B$2:$B$137&amp;LCI!$D$2:$D$137,0))*$F$227*$F$263</f>
        <v>2.5794749999999998E-2</v>
      </c>
      <c r="Z263" s="154" cm="1">
        <f t="array" ref="Z263">INDEX(LCI!Z$2:Z$137,MATCH('C3'' - Secondary Raw Material '!$D$263&amp;'C3'' - Secondary Raw Material '!$E$263,LCI!$B$2:$B$137&amp;LCI!$D$2:$D$137,0))*$F$227*$F$263</f>
        <v>0.30413681250000002</v>
      </c>
    </row>
    <row r="264" spans="1:26" x14ac:dyDescent="0.35">
      <c r="B264"/>
      <c r="F264" s="29"/>
    </row>
    <row r="265" spans="1:26" x14ac:dyDescent="0.35">
      <c r="B265"/>
      <c r="F265" s="29"/>
    </row>
    <row r="266" spans="1:26" ht="72.5" x14ac:dyDescent="0.35">
      <c r="A266" s="302" t="s">
        <v>451</v>
      </c>
      <c r="B266" s="300" t="s">
        <v>452</v>
      </c>
      <c r="C266" s="302" t="s">
        <v>453</v>
      </c>
      <c r="D266" s="302" t="s">
        <v>411</v>
      </c>
      <c r="E266" s="302" t="s">
        <v>454</v>
      </c>
      <c r="F266" s="302" t="s">
        <v>516</v>
      </c>
      <c r="G266" s="103" t="s">
        <v>279</v>
      </c>
      <c r="H266" s="103" t="s">
        <v>280</v>
      </c>
      <c r="I266" s="103" t="s">
        <v>281</v>
      </c>
      <c r="J266" s="103" t="s">
        <v>282</v>
      </c>
      <c r="K266" s="103" t="s">
        <v>283</v>
      </c>
      <c r="L266" s="103" t="s">
        <v>284</v>
      </c>
      <c r="M266" s="103" t="s">
        <v>285</v>
      </c>
      <c r="N266" s="103" t="s">
        <v>286</v>
      </c>
      <c r="O266" s="103" t="s">
        <v>287</v>
      </c>
      <c r="P266" s="103" t="s">
        <v>288</v>
      </c>
      <c r="Q266" s="103" t="s">
        <v>289</v>
      </c>
      <c r="R266" s="103" t="s">
        <v>290</v>
      </c>
      <c r="S266" s="103" t="s">
        <v>291</v>
      </c>
      <c r="T266" s="103" t="s">
        <v>292</v>
      </c>
      <c r="U266" s="103" t="s">
        <v>293</v>
      </c>
      <c r="V266" s="103" t="s">
        <v>294</v>
      </c>
      <c r="W266" s="103" t="s">
        <v>295</v>
      </c>
      <c r="X266" s="103" t="s">
        <v>296</v>
      </c>
      <c r="Y266" s="103" t="s">
        <v>297</v>
      </c>
    </row>
    <row r="267" spans="1:26" x14ac:dyDescent="0.35">
      <c r="A267" s="401" t="s">
        <v>519</v>
      </c>
      <c r="B267" s="1" t="s">
        <v>494</v>
      </c>
      <c r="C267" s="154">
        <f>$C$231</f>
        <v>1</v>
      </c>
      <c r="D267" s="154">
        <f>$F$231</f>
        <v>0.33300000000000002</v>
      </c>
      <c r="E267" s="154" t="str">
        <f>$D$231</f>
        <v>Electricity</v>
      </c>
      <c r="F267" s="154">
        <f>$G$231</f>
        <v>18.624690000000001</v>
      </c>
      <c r="G267" s="154" cm="1">
        <f t="array" ref="G267">INDEX(LCI!H$2:H$137,MATCH('C3'' - Secondary Raw Material '!$A$260&amp;'C3'' - Secondary Raw Material '!$E$267,LCI!$B$2:$B$130&amp;LCI!$D$2:$D$130,0))*$F267*$C267*$B$223</f>
        <v>6.1662464787627389E-3</v>
      </c>
      <c r="H267" s="154" cm="1">
        <f t="array" ref="H267">INDEX(LCI!I$2:I$137,MATCH('C3'' - Secondary Raw Material '!$A$260&amp;'C3'' - Secondary Raw Material '!$E$267,LCI!$B$2:$B$130&amp;LCI!$D$2:$D$130,0))*$F267*$C267*$B$223</f>
        <v>1.7306251238843842</v>
      </c>
      <c r="I267" s="154" cm="1">
        <f t="array" ref="I267">INDEX(LCI!J$2:J$137,MATCH('C3'' - Secondary Raw Material '!$A$260&amp;'C3'' - Secondary Raw Material '!$E$267,LCI!$B$2:$B$130&amp;LCI!$D$2:$D$130,0))*$F267*$C267*$B$223</f>
        <v>3.6179492673239728E-2</v>
      </c>
      <c r="J267" s="154" cm="1">
        <f t="array" ref="J267">INDEX(LCI!K$2:K$137,MATCH('C3'' - Secondary Raw Material '!$A$260&amp;'C3'' - Secondary Raw Material '!$E$267,LCI!$B$2:$B$130&amp;LCI!$D$2:$D$130,0))*$F267*$C267*$B$223</f>
        <v>1.6901898499240675</v>
      </c>
      <c r="K267" s="154" cm="1">
        <f t="array" ref="K267">INDEX(LCI!L$2:L$137,MATCH('C3'' - Secondary Raw Material '!$A$260&amp;'C3'' - Secondary Raw Material '!$E$267,LCI!$B$2:$B$130&amp;LCI!$D$2:$D$130,0))*$F267*$C267*$B$223</f>
        <v>4.2557812870769552E-3</v>
      </c>
      <c r="L267" s="154" cm="1">
        <f t="array" ref="L267">INDEX(LCI!M$2:M$137,MATCH('C3'' - Secondary Raw Material '!$A$260&amp;'C3'' - Secondary Raw Material '!$E$267,LCI!$B$2:$B$130&amp;LCI!$D$2:$D$130,0))*$F267*$C267*$B$223</f>
        <v>5.9403515839946497</v>
      </c>
      <c r="M267" s="154" cm="1">
        <f t="array" ref="M267">INDEX(LCI!N$2:N$137,MATCH('C3'' - Secondary Raw Material '!$A$260&amp;'C3'' - Secondary Raw Material '!$E$267,LCI!$B$2:$B$130&amp;LCI!$D$2:$D$130,0))*$F267*$C267*$B$223</f>
        <v>83.213624956119517</v>
      </c>
      <c r="N267" s="154" cm="1">
        <f t="array" ref="N267">INDEX(LCI!O$2:O$137,MATCH('C3'' - Secondary Raw Material '!$A$260&amp;'C3'' - Secondary Raw Material '!$E$267,LCI!$B$2:$B$130&amp;LCI!$D$2:$D$130,0))*$F267*$C267*$B$223</f>
        <v>6.3485922903809078E-4</v>
      </c>
      <c r="O267" s="154" cm="1">
        <f t="array" ref="O267">INDEX(LCI!P$2:P$137,MATCH('C3'' - Secondary Raw Material '!$A$260&amp;'C3'' - Secondary Raw Material '!$E$267,LCI!$B$2:$B$130&amp;LCI!$D$2:$D$130,0))*$F267*$C267*$B$223</f>
        <v>1.2680805073591601E-3</v>
      </c>
      <c r="P267" s="154" cm="1">
        <f t="array" ref="P267">INDEX(LCI!Q$2:Q$137,MATCH('C3'' - Secondary Raw Material '!$A$260&amp;'C3'' - Secondary Raw Material '!$E$267,LCI!$B$2:$B$130&amp;LCI!$D$2:$D$130,0))*$F267*$C267*$B$223</f>
        <v>1.2037567909396441E-2</v>
      </c>
      <c r="Q267" s="154" cm="1">
        <f t="array" ref="Q267">INDEX(LCI!R$2:R$137,MATCH('C3'' - Secondary Raw Material '!$A$260&amp;'C3'' - Secondary Raw Material '!$E$267,LCI!$B$2:$B$130&amp;LCI!$D$2:$D$130,0))*$F267*$C267*$B$223</f>
        <v>7.0753730463583343E-10</v>
      </c>
      <c r="R267" s="154" cm="1">
        <f t="array" ref="R267">INDEX(LCI!S$2:S$137,MATCH('C3'' - Secondary Raw Material '!$A$260&amp;'C3'' - Secondary Raw Material '!$E$267,LCI!$B$2:$B$130&amp;LCI!$D$2:$D$130,0))*$F267*$C267*$B$223</f>
        <v>3.9122402219325927E-8</v>
      </c>
      <c r="S267" s="154" cm="1">
        <f t="array" ref="S267">INDEX(LCI!T$2:T$137,MATCH('C3'' - Secondary Raw Material '!$A$260&amp;'C3'' - Secondary Raw Material '!$E$267,LCI!$B$2:$B$130&amp;LCI!$D$2:$D$130,0))*$F267*$C267*$B$223</f>
        <v>3.4955325152590118</v>
      </c>
      <c r="T267" s="154" cm="1">
        <f t="array" ref="T267">INDEX(LCI!U$2:U$137,MATCH('C3'' - Secondary Raw Material '!$A$260&amp;'C3'' - Secondary Raw Material '!$E$267,LCI!$B$2:$B$130&amp;LCI!$D$2:$D$130,0))*$F267*$C267*$B$223</f>
        <v>13.131492393885685</v>
      </c>
      <c r="U267" s="154" cm="1">
        <f t="array" ref="U267">INDEX(LCI!V$2:V$137,MATCH('C3'' - Secondary Raw Material '!$A$260&amp;'C3'' - Secondary Raw Material '!$E$267,LCI!$B$2:$B$130&amp;LCI!$D$2:$D$130,0))*$F267*$C267*$B$223</f>
        <v>4.5062679747345417E-5</v>
      </c>
      <c r="V267" s="154" cm="1">
        <f t="array" ref="V267">INDEX(LCI!W$2:W$137,MATCH('C3'' - Secondary Raw Material '!$A$260&amp;'C3'' - Secondary Raw Material '!$E$267,LCI!$B$2:$B$130&amp;LCI!$D$2:$D$130,0))*$F267*$C267*$B$223</f>
        <v>5.4036483933214546E-8</v>
      </c>
      <c r="W267" s="154" cm="1">
        <f t="array" ref="W267">INDEX(LCI!X$2:X$137,MATCH('C3'' - Secondary Raw Material '!$A$260&amp;'C3'' - Secondary Raw Material '!$E$267,LCI!$B$2:$B$130&amp;LCI!$D$2:$D$130,0))*$F267*$C267*$B$223</f>
        <v>4.5312349910029055E-8</v>
      </c>
      <c r="X267" s="154" cm="1">
        <f t="array" ref="X267">INDEX(LCI!Y$2:Y$137,MATCH('C3'' - Secondary Raw Material '!$A$260&amp;'C3'' - Secondary Raw Material '!$E$267,LCI!$B$2:$B$130&amp;LCI!$D$2:$D$130,0))*$F267*$C267*$B$223</f>
        <v>3.8467266100537627E-3</v>
      </c>
      <c r="Y267" s="154" cm="1">
        <f t="array" ref="Y267">INDEX(LCI!Z$2:Z$137,MATCH('C3'' - Secondary Raw Material '!$A$260&amp;'C3'' - Secondary Raw Material '!$E$267,LCI!$B$2:$B$130&amp;LCI!$D$2:$D$130,0))*$F267*$C267*$B$223</f>
        <v>0.99965823882148697</v>
      </c>
    </row>
    <row r="268" spans="1:26" x14ac:dyDescent="0.35">
      <c r="A268" s="401"/>
      <c r="B268" s="1" t="s">
        <v>496</v>
      </c>
      <c r="C268" s="154">
        <f>$C$232</f>
        <v>1</v>
      </c>
      <c r="D268" s="154">
        <f>$E$232</f>
        <v>3.73</v>
      </c>
      <c r="E268" s="154" t="str">
        <f>$D$232</f>
        <v>Electricity</v>
      </c>
      <c r="F268" s="154">
        <f>$G$232</f>
        <v>1.2420900000000001</v>
      </c>
      <c r="G268" s="154" cm="1">
        <f t="array" ref="G268">INDEX(LCI!H$2:H$137,MATCH('C3'' - Secondary Raw Material '!$A$260&amp;'C3'' - Secondary Raw Material '!$E$267,LCI!$B$2:$B$130&amp;LCI!$D$2:$D$130,0))*$F268*$C268*$B$223</f>
        <v>4.112300977254607E-4</v>
      </c>
      <c r="H268" s="154" cm="1">
        <f t="array" ref="H268">INDEX(LCI!I$2:I$137,MATCH('C3'' - Secondary Raw Material '!$A$260&amp;'C3'' - Secondary Raw Material '!$E$267,LCI!$B$2:$B$130&amp;LCI!$D$2:$D$130,0))*$F268*$C268*$B$223</f>
        <v>0.11541626519021551</v>
      </c>
      <c r="I268" s="154" cm="1">
        <f t="array" ref="I268">INDEX(LCI!J$2:J$137,MATCH('C3'' - Secondary Raw Material '!$A$260&amp;'C3'' - Secondary Raw Material '!$E$267,LCI!$B$2:$B$130&amp;LCI!$D$2:$D$130,0))*$F268*$C268*$B$223</f>
        <v>2.4128286728264652E-3</v>
      </c>
      <c r="J268" s="154" cm="1">
        <f t="array" ref="J268">INDEX(LCI!K$2:K$137,MATCH('C3'' - Secondary Raw Material '!$A$260&amp;'C3'' - Secondary Raw Material '!$E$267,LCI!$B$2:$B$130&amp;LCI!$D$2:$D$130,0))*$F268*$C268*$B$223</f>
        <v>0.11271961630997269</v>
      </c>
      <c r="K268" s="154" cm="1">
        <f t="array" ref="K268">INDEX(LCI!L$2:L$137,MATCH('C3'' - Secondary Raw Material '!$A$260&amp;'C3'' - Secondary Raw Material '!$E$267,LCI!$B$2:$B$130&amp;LCI!$D$2:$D$130,0))*$F268*$C268*$B$223</f>
        <v>2.8382020741636057E-4</v>
      </c>
      <c r="L268" s="154" cm="1">
        <f t="array" ref="L268">INDEX(LCI!M$2:M$137,MATCH('C3'' - Secondary Raw Material '!$A$260&amp;'C3'' - Secondary Raw Material '!$E$267,LCI!$B$2:$B$130&amp;LCI!$D$2:$D$130,0))*$F268*$C268*$B$223</f>
        <v>0.39616505289290266</v>
      </c>
      <c r="M268" s="154" cm="1">
        <f t="array" ref="M268">INDEX(LCI!N$2:N$137,MATCH('C3'' - Secondary Raw Material '!$A$260&amp;'C3'' - Secondary Raw Material '!$E$267,LCI!$B$2:$B$130&amp;LCI!$D$2:$D$130,0))*$F268*$C268*$B$223</f>
        <v>5.5495587535549049</v>
      </c>
      <c r="N268" s="154" cm="1">
        <f t="array" ref="N268">INDEX(LCI!O$2:O$137,MATCH('C3'' - Secondary Raw Material '!$A$260&amp;'C3'' - Secondary Raw Material '!$E$267,LCI!$B$2:$B$130&amp;LCI!$D$2:$D$130,0))*$F268*$C268*$B$223</f>
        <v>4.2339083216736618E-5</v>
      </c>
      <c r="O268" s="154" cm="1">
        <f t="array" ref="O268">INDEX(LCI!P$2:P$137,MATCH('C3'' - Secondary Raw Material '!$A$260&amp;'C3'' - Secondary Raw Material '!$E$267,LCI!$B$2:$B$130&amp;LCI!$D$2:$D$130,0))*$F268*$C268*$B$223</f>
        <v>8.4568930671368998E-5</v>
      </c>
      <c r="P268" s="154" cm="1">
        <f t="array" ref="P268">INDEX(LCI!Q$2:Q$137,MATCH('C3'' - Secondary Raw Material '!$A$260&amp;'C3'' - Secondary Raw Material '!$E$267,LCI!$B$2:$B$130&amp;LCI!$D$2:$D$130,0))*$F268*$C268*$B$223</f>
        <v>8.0279149476217987E-4</v>
      </c>
      <c r="Q268" s="154" cm="1">
        <f t="array" ref="Q268">INDEX(LCI!R$2:R$137,MATCH('C3'' - Secondary Raw Material '!$A$260&amp;'C3'' - Secondary Raw Material '!$E$267,LCI!$B$2:$B$130&amp;LCI!$D$2:$D$130,0))*$F268*$C268*$B$223</f>
        <v>4.7186020852702641E-11</v>
      </c>
      <c r="R268" s="154" cm="1">
        <f t="array" ref="R268">INDEX(LCI!S$2:S$137,MATCH('C3'' - Secondary Raw Material '!$A$260&amp;'C3'' - Secondary Raw Material '!$E$267,LCI!$B$2:$B$130&amp;LCI!$D$2:$D$130,0))*$F268*$C268*$B$223</f>
        <v>2.6090927995366661E-9</v>
      </c>
      <c r="S268" s="154" cm="1">
        <f t="array" ref="S268">INDEX(LCI!T$2:T$137,MATCH('C3'' - Secondary Raw Material '!$A$260&amp;'C3'' - Secondary Raw Material '!$E$267,LCI!$B$2:$B$130&amp;LCI!$D$2:$D$130,0))*$F268*$C268*$B$223</f>
        <v>0.23311883214582718</v>
      </c>
      <c r="T268" s="154" cm="1">
        <f t="array" ref="T268">INDEX(LCI!U$2:U$137,MATCH('C3'' - Secondary Raw Material '!$A$260&amp;'C3'' - Secondary Raw Material '!$E$267,LCI!$B$2:$B$130&amp;LCI!$D$2:$D$130,0))*$F268*$C268*$B$223</f>
        <v>0.87574587214721256</v>
      </c>
      <c r="U268" s="154" cm="1">
        <f t="array" ref="U268">INDEX(LCI!V$2:V$137,MATCH('C3'' - Secondary Raw Material '!$A$260&amp;'C3'' - Secondary Raw Material '!$E$267,LCI!$B$2:$B$130&amp;LCI!$D$2:$D$130,0))*$F268*$C268*$B$223</f>
        <v>3.0052529135991136E-6</v>
      </c>
      <c r="V268" s="154" cm="1">
        <f t="array" ref="V268">INDEX(LCI!W$2:W$137,MATCH('C3'' - Secondary Raw Material '!$A$260&amp;'C3'' - Secondary Raw Material '!$E$267,LCI!$B$2:$B$130&amp;LCI!$D$2:$D$130,0))*$F268*$C268*$B$223</f>
        <v>3.6037204554065846E-9</v>
      </c>
      <c r="W268" s="154" cm="1">
        <f t="array" ref="W268">INDEX(LCI!X$2:X$137,MATCH('C3'' - Secondary Raw Material '!$A$260&amp;'C3'' - Secondary Raw Material '!$E$267,LCI!$B$2:$B$130&amp;LCI!$D$2:$D$130,0))*$F268*$C268*$B$223</f>
        <v>3.0219035430789984E-9</v>
      </c>
      <c r="X268" s="154" cm="1">
        <f t="array" ref="X268">INDEX(LCI!Y$2:Y$137,MATCH('C3'' - Secondary Raw Material '!$A$260&amp;'C3'' - Secondary Raw Material '!$E$267,LCI!$B$2:$B$130&amp;LCI!$D$2:$D$130,0))*$F268*$C268*$B$223</f>
        <v>2.5654014402825919E-4</v>
      </c>
      <c r="Y268" s="154" cm="1">
        <f t="array" ref="Y268">INDEX(LCI!Z$2:Z$137,MATCH('C3'' - Secondary Raw Material '!$A$260&amp;'C3'' - Secondary Raw Material '!$E$267,LCI!$B$2:$B$130&amp;LCI!$D$2:$D$130,0))*$F268*$C268*$B$223</f>
        <v>6.666771376370724E-2</v>
      </c>
    </row>
    <row r="269" spans="1:26" x14ac:dyDescent="0.35">
      <c r="A269" s="401"/>
      <c r="B269" s="1" t="s">
        <v>497</v>
      </c>
      <c r="C269" s="154">
        <f>$C$233</f>
        <v>4</v>
      </c>
      <c r="D269" s="154">
        <f>$E$233</f>
        <v>1.49</v>
      </c>
      <c r="E269" s="154" t="str">
        <f>$D$233</f>
        <v>Electricity</v>
      </c>
      <c r="F269" s="154">
        <f>$G$233</f>
        <v>0.49170000000000003</v>
      </c>
      <c r="G269" s="154" cm="1">
        <f t="array" ref="G269">INDEX(LCI!H$2:H$137,MATCH('C3'' - Secondary Raw Material '!$A$260&amp;'C3'' - Secondary Raw Material '!$E$267,LCI!$B$2:$B$130&amp;LCI!$D$2:$D$130,0))*$F269*$C269*$B$223</f>
        <v>6.5116646636430222E-4</v>
      </c>
      <c r="H269" s="154" cm="1">
        <f t="array" ref="H269">INDEX(LCI!I$2:I$137,MATCH('C3'' - Secondary Raw Material '!$A$260&amp;'C3'' - Secondary Raw Material '!$E$267,LCI!$B$2:$B$130&amp;LCI!$D$2:$D$130,0))*$F269*$C269*$B$223</f>
        <v>0.182757054944582</v>
      </c>
      <c r="I269" s="154" cm="1">
        <f t="array" ref="I269">INDEX(LCI!J$2:J$137,MATCH('C3'' - Secondary Raw Material '!$A$260&amp;'C3'' - Secondary Raw Material '!$E$267,LCI!$B$2:$B$130&amp;LCI!$D$2:$D$130,0))*$F269*$C269*$B$223</f>
        <v>3.8206180177886395E-3</v>
      </c>
      <c r="J269" s="154" cm="1">
        <f t="array" ref="J269">INDEX(LCI!K$2:K$137,MATCH('C3'' - Secondary Raw Material '!$A$260&amp;'C3'' - Secondary Raw Material '!$E$267,LCI!$B$2:$B$130&amp;LCI!$D$2:$D$130,0))*$F269*$C269*$B$223</f>
        <v>0.17848701894263239</v>
      </c>
      <c r="K269" s="154" cm="1">
        <f t="array" ref="K269">INDEX(LCI!L$2:L$137,MATCH('C3'' - Secondary Raw Material '!$A$260&amp;'C3'' - Secondary Raw Material '!$E$267,LCI!$B$2:$B$130&amp;LCI!$D$2:$D$130,0))*$F269*$C269*$B$223</f>
        <v>4.4941798416096889E-4</v>
      </c>
      <c r="L269" s="154" cm="1">
        <f t="array" ref="L269">INDEX(LCI!M$2:M$137,MATCH('C3'' - Secondary Raw Material '!$A$260&amp;'C3'' - Secondary Raw Material '!$E$267,LCI!$B$2:$B$130&amp;LCI!$D$2:$D$130,0))*$F269*$C269*$B$223</f>
        <v>0.62731156842882629</v>
      </c>
      <c r="M269" s="154" cm="1">
        <f t="array" ref="M269">INDEX(LCI!N$2:N$137,MATCH('C3'' - Secondary Raw Material '!$A$260&amp;'C3'' - Secondary Raw Material '!$E$267,LCI!$B$2:$B$130&amp;LCI!$D$2:$D$130,0))*$F269*$C269*$B$223</f>
        <v>8.7875050571953608</v>
      </c>
      <c r="N269" s="154" cm="1">
        <f t="array" ref="N269">INDEX(LCI!O$2:O$137,MATCH('C3'' - Secondary Raw Material '!$A$260&amp;'C3'' - Secondary Raw Material '!$E$267,LCI!$B$2:$B$130&amp;LCI!$D$2:$D$130,0))*$F269*$C269*$B$223</f>
        <v>6.7042250457436718E-5</v>
      </c>
      <c r="O269" s="154" cm="1">
        <f t="array" ref="O269">INDEX(LCI!P$2:P$137,MATCH('C3'' - Secondary Raw Material '!$A$260&amp;'C3'' - Secondary Raw Material '!$E$267,LCI!$B$2:$B$130&amp;LCI!$D$2:$D$130,0))*$F269*$C269*$B$223</f>
        <v>1.339115304401843E-4</v>
      </c>
      <c r="P269" s="154" cm="1">
        <f t="array" ref="P269">INDEX(LCI!Q$2:Q$137,MATCH('C3'' - Secondary Raw Material '!$A$260&amp;'C3'' - Secondary Raw Material '!$E$267,LCI!$B$2:$B$130&amp;LCI!$D$2:$D$130,0))*$F269*$C269*$B$223</f>
        <v>1.2711883292662008E-3</v>
      </c>
      <c r="Q269" s="154" cm="1">
        <f t="array" ref="Q269">INDEX(LCI!R$2:R$137,MATCH('C3'' - Secondary Raw Material '!$A$260&amp;'C3'' - Secondary Raw Material '!$E$267,LCI!$B$2:$B$130&amp;LCI!$D$2:$D$130,0))*$F269*$C269*$B$223</f>
        <v>7.4717182984401736E-11</v>
      </c>
      <c r="R269" s="154" cm="1">
        <f t="array" ref="R269">INDEX(LCI!S$2:S$137,MATCH('C3'' - Secondary Raw Material '!$A$260&amp;'C3'' - Secondary Raw Material '!$E$267,LCI!$B$2:$B$130&amp;LCI!$D$2:$D$130,0))*$F269*$C269*$B$223</f>
        <v>4.1313944385098623E-9</v>
      </c>
      <c r="S269" s="154" cm="1">
        <f t="array" ref="S269">INDEX(LCI!T$2:T$137,MATCH('C3'' - Secondary Raw Material '!$A$260&amp;'C3'' - Secondary Raw Material '!$E$267,LCI!$B$2:$B$130&amp;LCI!$D$2:$D$130,0))*$F269*$C269*$B$223</f>
        <v>0.36913437759293838</v>
      </c>
      <c r="T269" s="154" cm="1">
        <f t="array" ref="T269">INDEX(LCI!U$2:U$137,MATCH('C3'' - Secondary Raw Material '!$A$260&amp;'C3'' - Secondary Raw Material '!$E$267,LCI!$B$2:$B$130&amp;LCI!$D$2:$D$130,0))*$F269*$C269*$B$223</f>
        <v>1.3867086775830557</v>
      </c>
      <c r="U269" s="154" cm="1">
        <f t="array" ref="U269">INDEX(LCI!V$2:V$137,MATCH('C3'' - Secondary Raw Material '!$A$260&amp;'C3'' - Secondary Raw Material '!$E$267,LCI!$B$2:$B$130&amp;LCI!$D$2:$D$130,0))*$F269*$C269*$B$223</f>
        <v>4.7586981864975453E-6</v>
      </c>
      <c r="V269" s="154" cm="1">
        <f t="array" ref="V269">INDEX(LCI!W$2:W$137,MATCH('C3'' - Secondary Raw Material '!$A$260&amp;'C3'' - Secondary Raw Material '!$E$267,LCI!$B$2:$B$130&amp;LCI!$D$2:$D$130,0))*$F269*$C269*$B$223</f>
        <v>5.7063476814833626E-9</v>
      </c>
      <c r="W269" s="154" cm="1">
        <f t="array" ref="W269">INDEX(LCI!X$2:X$137,MATCH('C3'' - Secondary Raw Material '!$A$260&amp;'C3'' - Secondary Raw Material '!$E$267,LCI!$B$2:$B$130&amp;LCI!$D$2:$D$130,0))*$F269*$C269*$B$223</f>
        <v>4.7850637945139024E-9</v>
      </c>
      <c r="X269" s="154" cm="1">
        <f t="array" ref="X269">INDEX(LCI!Y$2:Y$137,MATCH('C3'' - Secondary Raw Material '!$A$260&amp;'C3'' - Secondary Raw Material '!$E$267,LCI!$B$2:$B$130&amp;LCI!$D$2:$D$130,0))*$F269*$C269*$B$223</f>
        <v>4.0622109128547854E-4</v>
      </c>
      <c r="Y269" s="154" cm="1">
        <f t="array" ref="Y269">INDEX(LCI!Z$2:Z$137,MATCH('C3'' - Secondary Raw Material '!$A$260&amp;'C3'' - Secondary Raw Material '!$E$267,LCI!$B$2:$B$130&amp;LCI!$D$2:$D$130,0))*$F269*$C269*$B$223</f>
        <v>0.10556566708568575</v>
      </c>
    </row>
    <row r="270" spans="1:26" x14ac:dyDescent="0.35">
      <c r="A270" s="395" t="s">
        <v>520</v>
      </c>
      <c r="B270" s="1" t="s">
        <v>499</v>
      </c>
      <c r="C270" s="154">
        <f>$C$237</f>
        <v>1</v>
      </c>
      <c r="D270" s="154">
        <f>E237</f>
        <v>250</v>
      </c>
      <c r="E270" s="154" t="str">
        <f>$D$237</f>
        <v>Electricity</v>
      </c>
      <c r="F270" s="154">
        <f>$G$237</f>
        <v>62.5</v>
      </c>
      <c r="G270" s="154" cm="1">
        <f t="array" ref="G270">INDEX(LCI!H$2:H$137,MATCH('C3'' - Secondary Raw Material '!$A$260&amp;'C3'' - Secondary Raw Material '!$E$267,LCI!$B$2:$B$130&amp;LCI!$D$2:$D$130,0))*$F270*$C270*$B$223</f>
        <v>2.0692446688920521E-2</v>
      </c>
      <c r="H270" s="154" cm="1">
        <f t="array" ref="H270">INDEX(LCI!I$2:I$137,MATCH('C3'' - Secondary Raw Material '!$A$260&amp;'C3'' - Secondary Raw Material '!$E$267,LCI!$B$2:$B$130&amp;LCI!$D$2:$D$130,0))*$F270*$C270*$B$223</f>
        <v>5.8075635214746661</v>
      </c>
      <c r="I270" s="154" cm="1">
        <f t="array" ref="I270">INDEX(LCI!J$2:J$137,MATCH('C3'' - Secondary Raw Material '!$A$260&amp;'C3'' - Secondary Raw Material '!$E$267,LCI!$B$2:$B$130&amp;LCI!$D$2:$D$130,0))*$F270*$C270*$B$223</f>
        <v>0.12140971431349906</v>
      </c>
      <c r="J270" s="154" cm="1">
        <f t="array" ref="J270">INDEX(LCI!K$2:K$137,MATCH('C3'' - Secondary Raw Material '!$A$260&amp;'C3'' - Secondary Raw Material '!$E$267,LCI!$B$2:$B$130&amp;LCI!$D$2:$D$130,0))*$F270*$C270*$B$223</f>
        <v>5.6718724241989653</v>
      </c>
      <c r="K270" s="154" cm="1">
        <f t="array" ref="K270">INDEX(LCI!L$2:L$137,MATCH('C3'' - Secondary Raw Material '!$A$260&amp;'C3'' - Secondary Raw Material '!$E$267,LCI!$B$2:$B$130&amp;LCI!$D$2:$D$130,0))*$F270*$C270*$B$223</f>
        <v>1.4281382962202844E-2</v>
      </c>
      <c r="L270" s="154" cm="1">
        <f t="array" ref="L270">INDEX(LCI!M$2:M$137,MATCH('C3'' - Secondary Raw Material '!$A$260&amp;'C3'' - Secondary Raw Material '!$E$267,LCI!$B$2:$B$130&amp;LCI!$D$2:$D$130,0))*$F270*$C270*$B$223</f>
        <v>19.934397512101711</v>
      </c>
      <c r="M270" s="154" cm="1">
        <f t="array" ref="M270">INDEX(LCI!N$2:N$137,MATCH('C3'' - Secondary Raw Material '!$A$260&amp;'C3'' - Secondary Raw Material '!$E$267,LCI!$B$2:$B$130&amp;LCI!$D$2:$D$130,0))*$F270*$C270*$B$223</f>
        <v>279.24500003798562</v>
      </c>
      <c r="N270" s="154" cm="1">
        <f t="array" ref="N270">INDEX(LCI!O$2:O$137,MATCH('C3'' - Secondary Raw Material '!$A$260&amp;'C3'' - Secondary Raw Material '!$E$267,LCI!$B$2:$B$130&amp;LCI!$D$2:$D$130,0))*$F270*$C270*$B$223</f>
        <v>2.1304355570417911E-3</v>
      </c>
      <c r="O270" s="154" cm="1">
        <f t="array" ref="O270">INDEX(LCI!P$2:P$137,MATCH('C3'' - Secondary Raw Material '!$A$260&amp;'C3'' - Secondary Raw Material '!$E$267,LCI!$B$2:$B$130&amp;LCI!$D$2:$D$130,0))*$F270*$C270*$B$223</f>
        <v>4.2553745436808618E-3</v>
      </c>
      <c r="P270" s="154" cm="1">
        <f t="array" ref="P270">INDEX(LCI!Q$2:Q$137,MATCH('C3'' - Secondary Raw Material '!$A$260&amp;'C3'' - Secondary Raw Material '!$E$267,LCI!$B$2:$B$130&amp;LCI!$D$2:$D$130,0))*$F270*$C270*$B$223</f>
        <v>4.0395195535457368E-2</v>
      </c>
      <c r="Q270" s="154" cm="1">
        <f t="array" ref="Q270">INDEX(LCI!R$2:R$137,MATCH('C3'' - Secondary Raw Material '!$A$260&amp;'C3'' - Secondary Raw Material '!$E$267,LCI!$B$2:$B$130&amp;LCI!$D$2:$D$130,0))*$F270*$C270*$B$223</f>
        <v>2.3743257761465872E-9</v>
      </c>
      <c r="R270" s="154" cm="1">
        <f t="array" ref="R270">INDEX(LCI!S$2:S$137,MATCH('C3'' - Secondary Raw Material '!$A$260&amp;'C3'' - Secondary Raw Material '!$E$267,LCI!$B$2:$B$130&amp;LCI!$D$2:$D$130,0))*$F270*$C270*$B$223</f>
        <v>1.3128541407711324E-7</v>
      </c>
      <c r="S270" s="154" cm="1">
        <f t="array" ref="S270">INDEX(LCI!T$2:T$137,MATCH('C3'' - Secondary Raw Material '!$A$260&amp;'C3'' - Secondary Raw Material '!$E$267,LCI!$B$2:$B$130&amp;LCI!$D$2:$D$130,0))*$F270*$C270*$B$223</f>
        <v>11.730170123834986</v>
      </c>
      <c r="T270" s="154" cm="1">
        <f t="array" ref="T270">INDEX(LCI!U$2:U$137,MATCH('C3'' - Secondary Raw Material '!$A$260&amp;'C3'' - Secondary Raw Material '!$E$267,LCI!$B$2:$B$130&amp;LCI!$D$2:$D$130,0))*$F270*$C270*$B$223</f>
        <v>44.066144167653533</v>
      </c>
      <c r="U270" s="154" cm="1">
        <f t="array" ref="U270">INDEX(LCI!V$2:V$137,MATCH('C3'' - Secondary Raw Material '!$A$260&amp;'C3'' - Secondary Raw Material '!$E$267,LCI!$B$2:$B$130&amp;LCI!$D$2:$D$130,0))*$F270*$C270*$B$223</f>
        <v>1.5121956307509484E-4</v>
      </c>
      <c r="V270" s="154" cm="1">
        <f t="array" ref="V270">INDEX(LCI!W$2:W$137,MATCH('C3'' - Secondary Raw Material '!$A$260&amp;'C3'' - Secondary Raw Material '!$E$267,LCI!$B$2:$B$130&amp;LCI!$D$2:$D$130,0))*$F270*$C270*$B$223</f>
        <v>1.8133350116570579E-7</v>
      </c>
      <c r="W270" s="154" cm="1">
        <f t="array" ref="W270">INDEX(LCI!X$2:X$137,MATCH('C3'' - Secondary Raw Material '!$A$260&amp;'C3'' - Secondary Raw Material '!$E$267,LCI!$B$2:$B$130&amp;LCI!$D$2:$D$130,0))*$F270*$C270*$B$223</f>
        <v>1.5205739635810399E-7</v>
      </c>
      <c r="X270" s="154" cm="1">
        <f t="array" ref="X270">INDEX(LCI!Y$2:Y$137,MATCH('C3'' - Secondary Raw Material '!$A$260&amp;'C3'' - Secondary Raw Material '!$E$267,LCI!$B$2:$B$130&amp;LCI!$D$2:$D$130,0))*$F270*$C270*$B$223</f>
        <v>1.2908693413332523E-2</v>
      </c>
      <c r="Y270" s="154" cm="1">
        <f t="array" ref="Y270">INDEX(LCI!Z$2:Z$137,MATCH('C3'' - Secondary Raw Material '!$A$260&amp;'C3'' - Secondary Raw Material '!$E$267,LCI!$B$2:$B$130&amp;LCI!$D$2:$D$130,0))*$F270*$C270*$B$223</f>
        <v>3.3546136835750247</v>
      </c>
    </row>
    <row r="271" spans="1:26" x14ac:dyDescent="0.35">
      <c r="A271" s="397"/>
      <c r="B271" s="1" t="s">
        <v>497</v>
      </c>
      <c r="C271" s="154">
        <f>$C$238</f>
        <v>2</v>
      </c>
      <c r="D271" s="154">
        <f>$E$238</f>
        <v>1.49</v>
      </c>
      <c r="E271" s="154" t="str">
        <f>$D$238</f>
        <v>Electricity</v>
      </c>
      <c r="F271" s="154">
        <f>$G$238</f>
        <v>0.3725</v>
      </c>
      <c r="G271" s="154" cm="1">
        <f t="array" ref="G271">INDEX(LCI!H$2:H$137,MATCH('C3'' - Secondary Raw Material '!$A$260&amp;'C3'' - Secondary Raw Material '!$E$267,LCI!$B$2:$B$130&amp;LCI!$D$2:$D$130,0))*$F271*$C271*$B$223</f>
        <v>2.4665396453193262E-4</v>
      </c>
      <c r="H271" s="154" cm="1">
        <f t="array" ref="H271">INDEX(LCI!I$2:I$137,MATCH('C3'' - Secondary Raw Material '!$A$260&amp;'C3'' - Secondary Raw Material '!$E$267,LCI!$B$2:$B$130&amp;LCI!$D$2:$D$130,0))*$F271*$C271*$B$223</f>
        <v>6.922615717597802E-2</v>
      </c>
      <c r="I271" s="154" cm="1">
        <f t="array" ref="I271">INDEX(LCI!J$2:J$137,MATCH('C3'' - Secondary Raw Material '!$A$260&amp;'C3'' - Secondary Raw Material '!$E$267,LCI!$B$2:$B$130&amp;LCI!$D$2:$D$130,0))*$F271*$C271*$B$223</f>
        <v>1.4472037946169089E-3</v>
      </c>
      <c r="J271" s="154" cm="1">
        <f t="array" ref="J271">INDEX(LCI!K$2:K$137,MATCH('C3'' - Secondary Raw Material '!$A$260&amp;'C3'' - Secondary Raw Material '!$E$267,LCI!$B$2:$B$130&amp;LCI!$D$2:$D$130,0))*$F271*$C271*$B$223</f>
        <v>6.7608719296451653E-2</v>
      </c>
      <c r="K271" s="154" cm="1">
        <f t="array" ref="K271">INDEX(LCI!L$2:L$137,MATCH('C3'' - Secondary Raw Material '!$A$260&amp;'C3'' - Secondary Raw Material '!$E$267,LCI!$B$2:$B$130&amp;LCI!$D$2:$D$130,0))*$F271*$C271*$B$223</f>
        <v>1.7023408490945789E-4</v>
      </c>
      <c r="L271" s="154" cm="1">
        <f t="array" ref="L271">INDEX(LCI!M$2:M$137,MATCH('C3'' - Secondary Raw Material '!$A$260&amp;'C3'' - Secondary Raw Material '!$E$267,LCI!$B$2:$B$130&amp;LCI!$D$2:$D$130,0))*$F271*$C271*$B$223</f>
        <v>0.23761801834425239</v>
      </c>
      <c r="M271" s="154" cm="1">
        <f t="array" ref="M271">INDEX(LCI!N$2:N$137,MATCH('C3'' - Secondary Raw Material '!$A$260&amp;'C3'' - Secondary Raw Material '!$E$267,LCI!$B$2:$B$130&amp;LCI!$D$2:$D$130,0))*$F271*$C271*$B$223</f>
        <v>3.328600400452788</v>
      </c>
      <c r="N271" s="154" cm="1">
        <f t="array" ref="N271">INDEX(LCI!O$2:O$137,MATCH('C3'' - Secondary Raw Material '!$A$260&amp;'C3'' - Secondary Raw Material '!$E$267,LCI!$B$2:$B$130&amp;LCI!$D$2:$D$130,0))*$F271*$C271*$B$223</f>
        <v>2.539479183993815E-5</v>
      </c>
      <c r="O271" s="154" cm="1">
        <f t="array" ref="O271">INDEX(LCI!P$2:P$137,MATCH('C3'' - Secondary Raw Material '!$A$260&amp;'C3'' - Secondary Raw Material '!$E$267,LCI!$B$2:$B$130&amp;LCI!$D$2:$D$130,0))*$F271*$C271*$B$223</f>
        <v>5.0724064560675868E-5</v>
      </c>
      <c r="P271" s="154" cm="1">
        <f t="array" ref="P271">INDEX(LCI!Q$2:Q$137,MATCH('C3'' - Secondary Raw Material '!$A$260&amp;'C3'' - Secondary Raw Material '!$E$267,LCI!$B$2:$B$130&amp;LCI!$D$2:$D$130,0))*$F271*$C271*$B$223</f>
        <v>4.8151073078265178E-4</v>
      </c>
      <c r="Q271" s="154" cm="1">
        <f t="array" ref="Q271">INDEX(LCI!R$2:R$137,MATCH('C3'' - Secondary Raw Material '!$A$260&amp;'C3'' - Secondary Raw Material '!$E$267,LCI!$B$2:$B$130&amp;LCI!$D$2:$D$130,0))*$F271*$C271*$B$223</f>
        <v>2.8301963251667324E-11</v>
      </c>
      <c r="R271" s="154" cm="1">
        <f t="array" ref="R271">INDEX(LCI!S$2:S$137,MATCH('C3'' - Secondary Raw Material '!$A$260&amp;'C3'' - Secondary Raw Material '!$E$267,LCI!$B$2:$B$130&amp;LCI!$D$2:$D$130,0))*$F271*$C271*$B$223</f>
        <v>1.56492213579919E-9</v>
      </c>
      <c r="S271" s="154" cm="1">
        <f t="array" ref="S271">INDEX(LCI!T$2:T$137,MATCH('C3'' - Secondary Raw Material '!$A$260&amp;'C3'' - Secondary Raw Material '!$E$267,LCI!$B$2:$B$130&amp;LCI!$D$2:$D$130,0))*$F271*$C271*$B$223</f>
        <v>0.13982362787611302</v>
      </c>
      <c r="T271" s="154" cm="1">
        <f t="array" ref="T271">INDEX(LCI!U$2:U$137,MATCH('C3'' - Secondary Raw Material '!$A$260&amp;'C3'' - Secondary Raw Material '!$E$267,LCI!$B$2:$B$130&amp;LCI!$D$2:$D$130,0))*$F271*$C271*$B$223</f>
        <v>0.52526843847843019</v>
      </c>
      <c r="U271" s="154" cm="1">
        <f t="array" ref="U271">INDEX(LCI!V$2:V$137,MATCH('C3'' - Secondary Raw Material '!$A$260&amp;'C3'' - Secondary Raw Material '!$E$267,LCI!$B$2:$B$130&amp;LCI!$D$2:$D$130,0))*$F271*$C271*$B$223</f>
        <v>1.8025371918551306E-6</v>
      </c>
      <c r="V271" s="154" cm="1">
        <f t="array" ref="V271">INDEX(LCI!W$2:W$137,MATCH('C3'' - Secondary Raw Material '!$A$260&amp;'C3'' - Secondary Raw Material '!$E$267,LCI!$B$2:$B$130&amp;LCI!$D$2:$D$130,0))*$F271*$C271*$B$223</f>
        <v>2.1614953338952131E-9</v>
      </c>
      <c r="W271" s="154" cm="1">
        <f t="array" ref="W271">INDEX(LCI!X$2:X$137,MATCH('C3'' - Secondary Raw Material '!$A$260&amp;'C3'' - Secondary Raw Material '!$E$267,LCI!$B$2:$B$130&amp;LCI!$D$2:$D$130,0))*$F271*$C271*$B$223</f>
        <v>1.8125241645885996E-9</v>
      </c>
      <c r="X271" s="154" cm="1">
        <f t="array" ref="X271">INDEX(LCI!Y$2:Y$137,MATCH('C3'' - Secondary Raw Material '!$A$260&amp;'C3'' - Secondary Raw Material '!$E$267,LCI!$B$2:$B$130&amp;LCI!$D$2:$D$130,0))*$F271*$C271*$B$223</f>
        <v>1.5387162548692371E-4</v>
      </c>
      <c r="Y271" s="154" cm="1">
        <f t="array" ref="Y271">INDEX(LCI!Z$2:Z$137,MATCH('C3'' - Secondary Raw Material '!$A$260&amp;'C3'' - Secondary Raw Material '!$E$267,LCI!$B$2:$B$130&amp;LCI!$D$2:$D$130,0))*$F271*$C271*$B$223</f>
        <v>3.9986995108214296E-2</v>
      </c>
    </row>
    <row r="272" spans="1:26" x14ac:dyDescent="0.35">
      <c r="A272" s="401" t="s">
        <v>521</v>
      </c>
      <c r="B272" s="1" t="s">
        <v>503</v>
      </c>
      <c r="C272" s="154">
        <f>$C$245</f>
        <v>1</v>
      </c>
      <c r="D272" s="154">
        <f>$E$245</f>
        <v>160</v>
      </c>
      <c r="E272" s="154" t="str">
        <f>$D$245</f>
        <v>Electricity</v>
      </c>
      <c r="F272" s="154">
        <f>$G$245</f>
        <v>40</v>
      </c>
      <c r="G272" s="154" cm="1">
        <f t="array" ref="G272">INDEX(LCI!H$2:H$137,MATCH('C3'' - Secondary Raw Material '!$A$260&amp;'C3'' - Secondary Raw Material '!$E$267,LCI!$B$2:$B$130&amp;LCI!$D$2:$D$130,0))*$F272*$C272*$B$223</f>
        <v>1.3243165880909135E-2</v>
      </c>
      <c r="H272" s="154" cm="1">
        <f t="array" ref="H272">INDEX(LCI!I$2:I$137,MATCH('C3'' - Secondary Raw Material '!$A$260&amp;'C3'' - Secondary Raw Material '!$E$267,LCI!$B$2:$B$130&amp;LCI!$D$2:$D$130,0))*$F272*$C272*$B$223</f>
        <v>3.7168406537437866</v>
      </c>
      <c r="I272" s="154" cm="1">
        <f t="array" ref="I272">INDEX(LCI!J$2:J$137,MATCH('C3'' - Secondary Raw Material '!$A$260&amp;'C3'' - Secondary Raw Material '!$E$267,LCI!$B$2:$B$130&amp;LCI!$D$2:$D$130,0))*$F272*$C272*$B$223</f>
        <v>7.7702217160639409E-2</v>
      </c>
      <c r="J272" s="154" cm="1">
        <f t="array" ref="J272">INDEX(LCI!K$2:K$137,MATCH('C3'' - Secondary Raw Material '!$A$260&amp;'C3'' - Secondary Raw Material '!$E$267,LCI!$B$2:$B$130&amp;LCI!$D$2:$D$130,0))*$F272*$C272*$B$223</f>
        <v>3.6299983514873375</v>
      </c>
      <c r="K272" s="154" cm="1">
        <f t="array" ref="K272">INDEX(LCI!L$2:L$137,MATCH('C3'' - Secondary Raw Material '!$A$260&amp;'C3'' - Secondary Raw Material '!$E$267,LCI!$B$2:$B$130&amp;LCI!$D$2:$D$130,0))*$F272*$C272*$B$223</f>
        <v>9.1400850958098211E-3</v>
      </c>
      <c r="L272" s="154" cm="1">
        <f t="array" ref="L272">INDEX(LCI!M$2:M$137,MATCH('C3'' - Secondary Raw Material '!$A$260&amp;'C3'' - Secondary Raw Material '!$E$267,LCI!$B$2:$B$130&amp;LCI!$D$2:$D$130,0))*$F272*$C272*$B$223</f>
        <v>12.758014407745094</v>
      </c>
      <c r="M272" s="154" cm="1">
        <f t="array" ref="M272">INDEX(LCI!N$2:N$137,MATCH('C3'' - Secondary Raw Material '!$A$260&amp;'C3'' - Secondary Raw Material '!$E$267,LCI!$B$2:$B$130&amp;LCI!$D$2:$D$130,0))*$F272*$C272*$B$223</f>
        <v>178.71680002431077</v>
      </c>
      <c r="N272" s="154" cm="1">
        <f t="array" ref="N272">INDEX(LCI!O$2:O$137,MATCH('C3'' - Secondary Raw Material '!$A$260&amp;'C3'' - Secondary Raw Material '!$E$267,LCI!$B$2:$B$130&amp;LCI!$D$2:$D$130,0))*$F272*$C272*$B$223</f>
        <v>1.3634787565067461E-3</v>
      </c>
      <c r="O272" s="154" cm="1">
        <f t="array" ref="O272">INDEX(LCI!P$2:P$137,MATCH('C3'' - Secondary Raw Material '!$A$260&amp;'C3'' - Secondary Raw Material '!$E$267,LCI!$B$2:$B$130&amp;LCI!$D$2:$D$130,0))*$F272*$C272*$B$223</f>
        <v>2.7234397079557516E-3</v>
      </c>
      <c r="P272" s="154" cm="1">
        <f t="array" ref="P272">INDEX(LCI!Q$2:Q$137,MATCH('C3'' - Secondary Raw Material '!$A$260&amp;'C3'' - Secondary Raw Material '!$E$267,LCI!$B$2:$B$130&amp;LCI!$D$2:$D$130,0))*$F272*$C272*$B$223</f>
        <v>2.5852925142692714E-2</v>
      </c>
      <c r="Q272" s="154" cm="1">
        <f t="array" ref="Q272">INDEX(LCI!R$2:R$137,MATCH('C3'' - Secondary Raw Material '!$A$260&amp;'C3'' - Secondary Raw Material '!$E$267,LCI!$B$2:$B$130&amp;LCI!$D$2:$D$130,0))*$F272*$C272*$B$223</f>
        <v>1.519568496733816E-9</v>
      </c>
      <c r="R272" s="154" cm="1">
        <f t="array" ref="R272">INDEX(LCI!S$2:S$137,MATCH('C3'' - Secondary Raw Material '!$A$260&amp;'C3'' - Secondary Raw Material '!$E$267,LCI!$B$2:$B$130&amp;LCI!$D$2:$D$130,0))*$F272*$C272*$B$223</f>
        <v>8.4022665009352474E-8</v>
      </c>
      <c r="S272" s="154" cm="1">
        <f t="array" ref="S272">INDEX(LCI!T$2:T$137,MATCH('C3'' - Secondary Raw Material '!$A$260&amp;'C3'' - Secondary Raw Material '!$E$267,LCI!$B$2:$B$130&amp;LCI!$D$2:$D$130,0))*$F272*$C272*$B$223</f>
        <v>7.5073088792543912</v>
      </c>
      <c r="T272" s="154" cm="1">
        <f t="array" ref="T272">INDEX(LCI!U$2:U$137,MATCH('C3'' - Secondary Raw Material '!$A$260&amp;'C3'' - Secondary Raw Material '!$E$267,LCI!$B$2:$B$130&amp;LCI!$D$2:$D$130,0))*$F272*$C272*$B$223</f>
        <v>28.202332267298264</v>
      </c>
      <c r="U272" s="154" cm="1">
        <f t="array" ref="U272">INDEX(LCI!V$2:V$137,MATCH('C3'' - Secondary Raw Material '!$A$260&amp;'C3'' - Secondary Raw Material '!$E$267,LCI!$B$2:$B$130&amp;LCI!$D$2:$D$130,0))*$F272*$C272*$B$223</f>
        <v>9.6780520368060699E-5</v>
      </c>
      <c r="V272" s="154" cm="1">
        <f t="array" ref="V272">INDEX(LCI!W$2:W$137,MATCH('C3'' - Secondary Raw Material '!$A$260&amp;'C3'' - Secondary Raw Material '!$E$267,LCI!$B$2:$B$130&amp;LCI!$D$2:$D$130,0))*$F272*$C272*$B$223</f>
        <v>1.1605344074605171E-7</v>
      </c>
      <c r="W272" s="154" cm="1">
        <f t="array" ref="W272">INDEX(LCI!X$2:X$137,MATCH('C3'' - Secondary Raw Material '!$A$260&amp;'C3'' - Secondary Raw Material '!$E$267,LCI!$B$2:$B$130&amp;LCI!$D$2:$D$130,0))*$F272*$C272*$B$223</f>
        <v>9.7316733669186543E-8</v>
      </c>
      <c r="X272" s="154" cm="1">
        <f t="array" ref="X272">INDEX(LCI!Y$2:Y$137,MATCH('C3'' - Secondary Raw Material '!$A$260&amp;'C3'' - Secondary Raw Material '!$E$267,LCI!$B$2:$B$130&amp;LCI!$D$2:$D$130,0))*$F272*$C272*$B$223</f>
        <v>8.2615637845328167E-3</v>
      </c>
      <c r="Y272" s="154" cm="1">
        <f t="array" ref="Y272">INDEX(LCI!Z$2:Z$137,MATCH('C3'' - Secondary Raw Material '!$A$260&amp;'C3'' - Secondary Raw Material '!$E$267,LCI!$B$2:$B$130&amp;LCI!$D$2:$D$130,0))*$F272*$C272*$B$223</f>
        <v>2.1469527574880161</v>
      </c>
    </row>
    <row r="273" spans="1:25" x14ac:dyDescent="0.35">
      <c r="A273" s="401"/>
      <c r="B273" s="1" t="s">
        <v>505</v>
      </c>
      <c r="C273" s="154">
        <f>$C$246</f>
        <v>1</v>
      </c>
      <c r="D273" s="154">
        <f>$E$246</f>
        <v>1.49</v>
      </c>
      <c r="E273" s="154" t="str">
        <f>$D$246</f>
        <v>Electricity</v>
      </c>
      <c r="F273" s="154">
        <f>$G$246</f>
        <v>0.3725</v>
      </c>
      <c r="G273" s="154" cm="1">
        <f t="array" ref="G273">INDEX(LCI!H$2:H$137,MATCH('C3'' - Secondary Raw Material '!$A$260&amp;'C3'' - Secondary Raw Material '!$E$267,LCI!$B$2:$B$130&amp;LCI!$D$2:$D$130,0))*$F273*$C273*$B$223</f>
        <v>1.2332698226596631E-4</v>
      </c>
      <c r="H273" s="154" cm="1">
        <f t="array" ref="H273">INDEX(LCI!I$2:I$137,MATCH('C3'' - Secondary Raw Material '!$A$260&amp;'C3'' - Secondary Raw Material '!$E$267,LCI!$B$2:$B$130&amp;LCI!$D$2:$D$130,0))*$F273*$C273*$B$223</f>
        <v>3.461307858798901E-2</v>
      </c>
      <c r="I273" s="154" cm="1">
        <f t="array" ref="I273">INDEX(LCI!J$2:J$137,MATCH('C3'' - Secondary Raw Material '!$A$260&amp;'C3'' - Secondary Raw Material '!$E$267,LCI!$B$2:$B$130&amp;LCI!$D$2:$D$130,0))*$F273*$C273*$B$223</f>
        <v>7.2360189730845447E-4</v>
      </c>
      <c r="J273" s="154" cm="1">
        <f t="array" ref="J273">INDEX(LCI!K$2:K$137,MATCH('C3'' - Secondary Raw Material '!$A$260&amp;'C3'' - Secondary Raw Material '!$E$267,LCI!$B$2:$B$130&amp;LCI!$D$2:$D$130,0))*$F273*$C273*$B$223</f>
        <v>3.3804359648225826E-2</v>
      </c>
      <c r="K273" s="154" cm="1">
        <f t="array" ref="K273">INDEX(LCI!L$2:L$137,MATCH('C3'' - Secondary Raw Material '!$A$260&amp;'C3'' - Secondary Raw Material '!$E$267,LCI!$B$2:$B$130&amp;LCI!$D$2:$D$130,0))*$F273*$C273*$B$223</f>
        <v>8.5117042454728947E-5</v>
      </c>
      <c r="L273" s="154" cm="1">
        <f t="array" ref="L273">INDEX(LCI!M$2:M$137,MATCH('C3'' - Secondary Raw Material '!$A$260&amp;'C3'' - Secondary Raw Material '!$E$267,LCI!$B$2:$B$130&amp;LCI!$D$2:$D$130,0))*$F273*$C273*$B$223</f>
        <v>0.1188090091721262</v>
      </c>
      <c r="M273" s="154" cm="1">
        <f t="array" ref="M273">INDEX(LCI!N$2:N$137,MATCH('C3'' - Secondary Raw Material '!$A$260&amp;'C3'' - Secondary Raw Material '!$E$267,LCI!$B$2:$B$130&amp;LCI!$D$2:$D$130,0))*$F273*$C273*$B$223</f>
        <v>1.664300200226394</v>
      </c>
      <c r="N273" s="154" cm="1">
        <f t="array" ref="N273">INDEX(LCI!O$2:O$137,MATCH('C3'' - Secondary Raw Material '!$A$260&amp;'C3'' - Secondary Raw Material '!$E$267,LCI!$B$2:$B$130&amp;LCI!$D$2:$D$130,0))*$F273*$C273*$B$223</f>
        <v>1.2697395919969075E-5</v>
      </c>
      <c r="O273" s="154" cm="1">
        <f t="array" ref="O273">INDEX(LCI!P$2:P$137,MATCH('C3'' - Secondary Raw Material '!$A$260&amp;'C3'' - Secondary Raw Material '!$E$267,LCI!$B$2:$B$130&amp;LCI!$D$2:$D$130,0))*$F273*$C273*$B$223</f>
        <v>2.5362032280337934E-5</v>
      </c>
      <c r="P273" s="154" cm="1">
        <f t="array" ref="P273">INDEX(LCI!Q$2:Q$137,MATCH('C3'' - Secondary Raw Material '!$A$260&amp;'C3'' - Secondary Raw Material '!$E$267,LCI!$B$2:$B$130&amp;LCI!$D$2:$D$130,0))*$F273*$C273*$B$223</f>
        <v>2.4075536539132589E-4</v>
      </c>
      <c r="Q273" s="154" cm="1">
        <f t="array" ref="Q273">INDEX(LCI!R$2:R$137,MATCH('C3'' - Secondary Raw Material '!$A$260&amp;'C3'' - Secondary Raw Material '!$E$267,LCI!$B$2:$B$130&amp;LCI!$D$2:$D$130,0))*$F273*$C273*$B$223</f>
        <v>1.4150981625833662E-11</v>
      </c>
      <c r="R273" s="154" cm="1">
        <f t="array" ref="R273">INDEX(LCI!S$2:S$137,MATCH('C3'' - Secondary Raw Material '!$A$260&amp;'C3'' - Secondary Raw Material '!$E$267,LCI!$B$2:$B$130&amp;LCI!$D$2:$D$130,0))*$F273*$C273*$B$223</f>
        <v>7.8246106789959498E-10</v>
      </c>
      <c r="S273" s="154" cm="1">
        <f t="array" ref="S273">INDEX(LCI!T$2:T$137,MATCH('C3'' - Secondary Raw Material '!$A$260&amp;'C3'' - Secondary Raw Material '!$E$267,LCI!$B$2:$B$130&amp;LCI!$D$2:$D$130,0))*$F273*$C273*$B$223</f>
        <v>6.9911813938056511E-2</v>
      </c>
      <c r="T273" s="154" cm="1">
        <f t="array" ref="T273">INDEX(LCI!U$2:U$137,MATCH('C3'' - Secondary Raw Material '!$A$260&amp;'C3'' - Secondary Raw Material '!$E$267,LCI!$B$2:$B$130&amp;LCI!$D$2:$D$130,0))*$F273*$C273*$B$223</f>
        <v>0.26263421923921509</v>
      </c>
      <c r="U273" s="154" cm="1">
        <f t="array" ref="U273">INDEX(LCI!V$2:V$137,MATCH('C3'' - Secondary Raw Material '!$A$260&amp;'C3'' - Secondary Raw Material '!$E$267,LCI!$B$2:$B$130&amp;LCI!$D$2:$D$130,0))*$F273*$C273*$B$223</f>
        <v>9.012685959275653E-7</v>
      </c>
      <c r="V273" s="154" cm="1">
        <f t="array" ref="V273">INDEX(LCI!W$2:W$137,MATCH('C3'' - Secondary Raw Material '!$A$260&amp;'C3'' - Secondary Raw Material '!$E$267,LCI!$B$2:$B$130&amp;LCI!$D$2:$D$130,0))*$F273*$C273*$B$223</f>
        <v>1.0807476669476065E-9</v>
      </c>
      <c r="W273" s="154" cm="1">
        <f t="array" ref="W273">INDEX(LCI!X$2:X$137,MATCH('C3'' - Secondary Raw Material '!$A$260&amp;'C3'' - Secondary Raw Material '!$E$267,LCI!$B$2:$B$130&amp;LCI!$D$2:$D$130,0))*$F273*$C273*$B$223</f>
        <v>9.0626208229429978E-10</v>
      </c>
      <c r="X273" s="154" cm="1">
        <f t="array" ref="X273">INDEX(LCI!Y$2:Y$137,MATCH('C3'' - Secondary Raw Material '!$A$260&amp;'C3'' - Secondary Raw Material '!$E$267,LCI!$B$2:$B$130&amp;LCI!$D$2:$D$130,0))*$F273*$C273*$B$223</f>
        <v>7.6935812743461854E-5</v>
      </c>
      <c r="Y273" s="154" cm="1">
        <f t="array" ref="Y273">INDEX(LCI!Z$2:Z$137,MATCH('C3'' - Secondary Raw Material '!$A$260&amp;'C3'' - Secondary Raw Material '!$E$267,LCI!$B$2:$B$130&amp;LCI!$D$2:$D$130,0))*$F273*$C273*$B$223</f>
        <v>1.9993497554107148E-2</v>
      </c>
    </row>
    <row r="274" spans="1:25" x14ac:dyDescent="0.35">
      <c r="A274" s="395" t="s">
        <v>522</v>
      </c>
      <c r="B274" s="1" t="s">
        <v>507</v>
      </c>
      <c r="C274" s="154">
        <f>$C$250</f>
        <v>1</v>
      </c>
      <c r="D274" s="154">
        <f>$E$250</f>
        <v>250</v>
      </c>
      <c r="E274" s="154" t="str">
        <f>$D$250</f>
        <v>Electricity</v>
      </c>
      <c r="F274" s="154">
        <f>$G$250</f>
        <v>500</v>
      </c>
      <c r="G274" s="154" cm="1">
        <f t="array" ref="G274">INDEX(LCI!H$2:H$137,MATCH('C3'' - Secondary Raw Material '!$A$260&amp;'C3'' - Secondary Raw Material '!$E$267,LCI!$B$2:$B$130&amp;LCI!$D$2:$D$130,0))*$F274*$C274*$B$223</f>
        <v>0.16553957351136417</v>
      </c>
      <c r="H274" s="154" cm="1">
        <f t="array" ref="H274">INDEX(LCI!I$2:I$137,MATCH('C3'' - Secondary Raw Material '!$A$260&amp;'C3'' - Secondary Raw Material '!$E$267,LCI!$B$2:$B$130&amp;LCI!$D$2:$D$130,0))*$F274*$C274*$B$223</f>
        <v>46.460508171797329</v>
      </c>
      <c r="I274" s="154" cm="1">
        <f t="array" ref="I274">INDEX(LCI!J$2:J$137,MATCH('C3'' - Secondary Raw Material '!$A$260&amp;'C3'' - Secondary Raw Material '!$E$267,LCI!$B$2:$B$130&amp;LCI!$D$2:$D$130,0))*$F274*$C274*$B$223</f>
        <v>0.9712777145079925</v>
      </c>
      <c r="J274" s="154" cm="1">
        <f t="array" ref="J274">INDEX(LCI!K$2:K$137,MATCH('C3'' - Secondary Raw Material '!$A$260&amp;'C3'' - Secondary Raw Material '!$E$267,LCI!$B$2:$B$130&amp;LCI!$D$2:$D$130,0))*$F274*$C274*$B$223</f>
        <v>45.374979393591722</v>
      </c>
      <c r="K274" s="154" cm="1">
        <f t="array" ref="K274">INDEX(LCI!L$2:L$137,MATCH('C3'' - Secondary Raw Material '!$A$260&amp;'C3'' - Secondary Raw Material '!$E$267,LCI!$B$2:$B$130&amp;LCI!$D$2:$D$130,0))*$F274*$C274*$B$223</f>
        <v>0.11425106369762275</v>
      </c>
      <c r="L274" s="154" cm="1">
        <f t="array" ref="L274">INDEX(LCI!M$2:M$137,MATCH('C3'' - Secondary Raw Material '!$A$260&amp;'C3'' - Secondary Raw Material '!$E$267,LCI!$B$2:$B$130&amp;LCI!$D$2:$D$130,0))*$F274*$C274*$B$223</f>
        <v>159.47518009681369</v>
      </c>
      <c r="M274" s="154" cm="1">
        <f t="array" ref="M274">INDEX(LCI!N$2:N$137,MATCH('C3'' - Secondary Raw Material '!$A$260&amp;'C3'' - Secondary Raw Material '!$E$267,LCI!$B$2:$B$130&amp;LCI!$D$2:$D$130,0))*$F274*$C274*$B$223</f>
        <v>2233.960000303885</v>
      </c>
      <c r="N274" s="154" cm="1">
        <f t="array" ref="N274">INDEX(LCI!O$2:O$137,MATCH('C3'' - Secondary Raw Material '!$A$260&amp;'C3'' - Secondary Raw Material '!$E$267,LCI!$B$2:$B$130&amp;LCI!$D$2:$D$130,0))*$F274*$C274*$B$223</f>
        <v>1.7043484456334329E-2</v>
      </c>
      <c r="O274" s="154" cm="1">
        <f t="array" ref="O274">INDEX(LCI!P$2:P$137,MATCH('C3'' - Secondary Raw Material '!$A$260&amp;'C3'' - Secondary Raw Material '!$E$267,LCI!$B$2:$B$130&amp;LCI!$D$2:$D$130,0))*$F274*$C274*$B$223</f>
        <v>3.4042996349446894E-2</v>
      </c>
      <c r="P274" s="154" cm="1">
        <f t="array" ref="P274">INDEX(LCI!Q$2:Q$137,MATCH('C3'' - Secondary Raw Material '!$A$260&amp;'C3'' - Secondary Raw Material '!$E$267,LCI!$B$2:$B$130&amp;LCI!$D$2:$D$130,0))*$F274*$C274*$B$223</f>
        <v>0.32316156428365894</v>
      </c>
      <c r="Q274" s="154" cm="1">
        <f t="array" ref="Q274">INDEX(LCI!R$2:R$137,MATCH('C3'' - Secondary Raw Material '!$A$260&amp;'C3'' - Secondary Raw Material '!$E$267,LCI!$B$2:$B$130&amp;LCI!$D$2:$D$130,0))*$F274*$C274*$B$223</f>
        <v>1.8994606209172698E-8</v>
      </c>
      <c r="R274" s="154" cm="1">
        <f t="array" ref="R274">INDEX(LCI!S$2:S$137,MATCH('C3'' - Secondary Raw Material '!$A$260&amp;'C3'' - Secondary Raw Material '!$E$267,LCI!$B$2:$B$130&amp;LCI!$D$2:$D$130,0))*$F274*$C274*$B$223</f>
        <v>1.0502833126169059E-6</v>
      </c>
      <c r="S274" s="154" cm="1">
        <f t="array" ref="S274">INDEX(LCI!T$2:T$137,MATCH('C3'' - Secondary Raw Material '!$A$260&amp;'C3'' - Secondary Raw Material '!$E$267,LCI!$B$2:$B$130&amp;LCI!$D$2:$D$130,0))*$F274*$C274*$B$223</f>
        <v>93.841360990679888</v>
      </c>
      <c r="T274" s="154" cm="1">
        <f t="array" ref="T274">INDEX(LCI!U$2:U$137,MATCH('C3'' - Secondary Raw Material '!$A$260&amp;'C3'' - Secondary Raw Material '!$E$267,LCI!$B$2:$B$130&amp;LCI!$D$2:$D$130,0))*$F274*$C274*$B$223</f>
        <v>352.52915334122827</v>
      </c>
      <c r="U274" s="154" cm="1">
        <f t="array" ref="U274">INDEX(LCI!V$2:V$137,MATCH('C3'' - Secondary Raw Material '!$A$260&amp;'C3'' - Secondary Raw Material '!$E$267,LCI!$B$2:$B$130&amp;LCI!$D$2:$D$130,0))*$F274*$C274*$B$223</f>
        <v>1.2097565046007587E-3</v>
      </c>
      <c r="V274" s="154" cm="1">
        <f t="array" ref="V274">INDEX(LCI!W$2:W$137,MATCH('C3'' - Secondary Raw Material '!$A$260&amp;'C3'' - Secondary Raw Material '!$E$267,LCI!$B$2:$B$130&amp;LCI!$D$2:$D$130,0))*$F274*$C274*$B$223</f>
        <v>1.4506680093256463E-6</v>
      </c>
      <c r="W274" s="154" cm="1">
        <f t="array" ref="W274">INDEX(LCI!X$2:X$137,MATCH('C3'' - Secondary Raw Material '!$A$260&amp;'C3'' - Secondary Raw Material '!$E$267,LCI!$B$2:$B$130&amp;LCI!$D$2:$D$130,0))*$F274*$C274*$B$223</f>
        <v>1.2164591708648319E-6</v>
      </c>
      <c r="X274" s="154" cm="1">
        <f t="array" ref="X274">INDEX(LCI!Y$2:Y$137,MATCH('C3'' - Secondary Raw Material '!$A$260&amp;'C3'' - Secondary Raw Material '!$E$267,LCI!$B$2:$B$130&amp;LCI!$D$2:$D$130,0))*$F274*$C274*$B$223</f>
        <v>0.10326954730666019</v>
      </c>
      <c r="Y274" s="154" cm="1">
        <f t="array" ref="Y274">INDEX(LCI!Z$2:Z$137,MATCH('C3'' - Secondary Raw Material '!$A$260&amp;'C3'' - Secondary Raw Material '!$E$267,LCI!$B$2:$B$130&amp;LCI!$D$2:$D$130,0))*$F274*$C274*$B$223</f>
        <v>26.836909468600197</v>
      </c>
    </row>
    <row r="275" spans="1:25" x14ac:dyDescent="0.35">
      <c r="A275" s="396"/>
      <c r="B275" s="1" t="s">
        <v>505</v>
      </c>
      <c r="C275" s="154">
        <f>$C$251</f>
        <v>1</v>
      </c>
      <c r="D275" s="154">
        <f>$E$251</f>
        <v>1.49</v>
      </c>
      <c r="E275" s="154" t="str">
        <f>$D$251</f>
        <v>Electricity</v>
      </c>
      <c r="F275" s="154">
        <f>$G$251</f>
        <v>2.98</v>
      </c>
      <c r="G275" s="154" cm="1">
        <f t="array" ref="G275">INDEX(LCI!H$2:H$137,MATCH('C3'' - Secondary Raw Material '!$A$260&amp;'C3'' - Secondary Raw Material '!$E$267,LCI!$B$2:$B$130&amp;LCI!$D$2:$D$130,0))*$F275*$C275*$B$223</f>
        <v>9.8661585812773048E-4</v>
      </c>
      <c r="H275" s="154" cm="1">
        <f t="array" ref="H275">INDEX(LCI!I$2:I$137,MATCH('C3'' - Secondary Raw Material '!$A$260&amp;'C3'' - Secondary Raw Material '!$E$267,LCI!$B$2:$B$130&amp;LCI!$D$2:$D$130,0))*$F275*$C275*$B$223</f>
        <v>0.27690462870391208</v>
      </c>
      <c r="I275" s="154" cm="1">
        <f t="array" ref="I275">INDEX(LCI!J$2:J$137,MATCH('C3'' - Secondary Raw Material '!$A$260&amp;'C3'' - Secondary Raw Material '!$E$267,LCI!$B$2:$B$130&amp;LCI!$D$2:$D$130,0))*$F275*$C275*$B$223</f>
        <v>5.7888151784676357E-3</v>
      </c>
      <c r="J275" s="154" cm="1">
        <f t="array" ref="J275">INDEX(LCI!K$2:K$137,MATCH('C3'' - Secondary Raw Material '!$A$260&amp;'C3'' - Secondary Raw Material '!$E$267,LCI!$B$2:$B$130&amp;LCI!$D$2:$D$130,0))*$F275*$C275*$B$223</f>
        <v>0.27043487718580661</v>
      </c>
      <c r="K275" s="154" cm="1">
        <f t="array" ref="K275">INDEX(LCI!L$2:L$137,MATCH('C3'' - Secondary Raw Material '!$A$260&amp;'C3'' - Secondary Raw Material '!$E$267,LCI!$B$2:$B$130&amp;LCI!$D$2:$D$130,0))*$F275*$C275*$B$223</f>
        <v>6.8093633963783157E-4</v>
      </c>
      <c r="L275" s="154" cm="1">
        <f t="array" ref="L275">INDEX(LCI!M$2:M$137,MATCH('C3'' - Secondary Raw Material '!$A$260&amp;'C3'' - Secondary Raw Material '!$E$267,LCI!$B$2:$B$130&amp;LCI!$D$2:$D$130,0))*$F275*$C275*$B$223</f>
        <v>0.95047207337700956</v>
      </c>
      <c r="M275" s="154" cm="1">
        <f t="array" ref="M275">INDEX(LCI!N$2:N$137,MATCH('C3'' - Secondary Raw Material '!$A$260&amp;'C3'' - Secondary Raw Material '!$E$267,LCI!$B$2:$B$130&amp;LCI!$D$2:$D$130,0))*$F275*$C275*$B$223</f>
        <v>13.314401601811152</v>
      </c>
      <c r="N275" s="154" cm="1">
        <f t="array" ref="N275">INDEX(LCI!O$2:O$137,MATCH('C3'' - Secondary Raw Material '!$A$260&amp;'C3'' - Secondary Raw Material '!$E$267,LCI!$B$2:$B$130&amp;LCI!$D$2:$D$130,0))*$F275*$C275*$B$223</f>
        <v>1.015791673597526E-4</v>
      </c>
      <c r="O275" s="154" cm="1">
        <f t="array" ref="O275">INDEX(LCI!P$2:P$137,MATCH('C3'' - Secondary Raw Material '!$A$260&amp;'C3'' - Secondary Raw Material '!$E$267,LCI!$B$2:$B$130&amp;LCI!$D$2:$D$130,0))*$F275*$C275*$B$223</f>
        <v>2.0289625824270347E-4</v>
      </c>
      <c r="P275" s="154" cm="1">
        <f t="array" ref="P275">INDEX(LCI!Q$2:Q$137,MATCH('C3'' - Secondary Raw Material '!$A$260&amp;'C3'' - Secondary Raw Material '!$E$267,LCI!$B$2:$B$130&amp;LCI!$D$2:$D$130,0))*$F275*$C275*$B$223</f>
        <v>1.9260429231306071E-3</v>
      </c>
      <c r="Q275" s="154" cm="1">
        <f t="array" ref="Q275">INDEX(LCI!R$2:R$137,MATCH('C3'' - Secondary Raw Material '!$A$260&amp;'C3'' - Secondary Raw Material '!$E$267,LCI!$B$2:$B$130&amp;LCI!$D$2:$D$130,0))*$F275*$C275*$B$223</f>
        <v>1.132078530066693E-10</v>
      </c>
      <c r="R275" s="154" cm="1">
        <f t="array" ref="R275">INDEX(LCI!S$2:S$137,MATCH('C3'' - Secondary Raw Material '!$A$260&amp;'C3'' - Secondary Raw Material '!$E$267,LCI!$B$2:$B$130&amp;LCI!$D$2:$D$130,0))*$F275*$C275*$B$223</f>
        <v>6.2596885431967599E-9</v>
      </c>
      <c r="S275" s="154" cm="1">
        <f t="array" ref="S275">INDEX(LCI!T$2:T$137,MATCH('C3'' - Secondary Raw Material '!$A$260&amp;'C3'' - Secondary Raw Material '!$E$267,LCI!$B$2:$B$130&amp;LCI!$D$2:$D$130,0))*$F275*$C275*$B$223</f>
        <v>0.55929451150445209</v>
      </c>
      <c r="T275" s="154" cm="1">
        <f t="array" ref="T275">INDEX(LCI!U$2:U$137,MATCH('C3'' - Secondary Raw Material '!$A$260&amp;'C3'' - Secondary Raw Material '!$E$267,LCI!$B$2:$B$130&amp;LCI!$D$2:$D$130,0))*$F275*$C275*$B$223</f>
        <v>2.1010737539137208</v>
      </c>
      <c r="U275" s="154" cm="1">
        <f t="array" ref="U275">INDEX(LCI!V$2:V$137,MATCH('C3'' - Secondary Raw Material '!$A$260&amp;'C3'' - Secondary Raw Material '!$E$267,LCI!$B$2:$B$130&amp;LCI!$D$2:$D$130,0))*$F275*$C275*$B$223</f>
        <v>7.2101487674205224E-6</v>
      </c>
      <c r="V275" s="154" cm="1">
        <f t="array" ref="V275">INDEX(LCI!W$2:W$137,MATCH('C3'' - Secondary Raw Material '!$A$260&amp;'C3'' - Secondary Raw Material '!$E$267,LCI!$B$2:$B$130&amp;LCI!$D$2:$D$130,0))*$F275*$C275*$B$223</f>
        <v>8.6459813355808522E-9</v>
      </c>
      <c r="W275" s="154" cm="1">
        <f t="array" ref="W275">INDEX(LCI!X$2:X$137,MATCH('C3'' - Secondary Raw Material '!$A$260&amp;'C3'' - Secondary Raw Material '!$E$267,LCI!$B$2:$B$130&amp;LCI!$D$2:$D$130,0))*$F275*$C275*$B$223</f>
        <v>7.2500966583543982E-9</v>
      </c>
      <c r="X275" s="154" cm="1">
        <f t="array" ref="X275">INDEX(LCI!Y$2:Y$137,MATCH('C3'' - Secondary Raw Material '!$A$260&amp;'C3'' - Secondary Raw Material '!$E$267,LCI!$B$2:$B$130&amp;LCI!$D$2:$D$130,0))*$F275*$C275*$B$223</f>
        <v>6.1548650194769483E-4</v>
      </c>
      <c r="Y275" s="154" cm="1">
        <f t="array" ref="Y275">INDEX(LCI!Z$2:Z$137,MATCH('C3'' - Secondary Raw Material '!$A$260&amp;'C3'' - Secondary Raw Material '!$E$267,LCI!$B$2:$B$130&amp;LCI!$D$2:$D$130,0))*$F275*$C275*$B$223</f>
        <v>0.15994798043285718</v>
      </c>
    </row>
    <row r="276" spans="1:25" x14ac:dyDescent="0.35">
      <c r="A276" s="396"/>
      <c r="B276" s="1" t="s">
        <v>509</v>
      </c>
      <c r="C276" s="154">
        <f>$C$252</f>
        <v>1</v>
      </c>
      <c r="D276" s="154">
        <f>$E$252</f>
        <v>37</v>
      </c>
      <c r="E276" s="154" t="str">
        <f>$D$252</f>
        <v>Electricity</v>
      </c>
      <c r="F276" s="154">
        <f>$G$252</f>
        <v>74</v>
      </c>
      <c r="G276" s="154" cm="1">
        <f t="array" ref="G276">INDEX(LCI!H$2:H$137,MATCH('C3'' - Secondary Raw Material '!$A$260&amp;'C3'' - Secondary Raw Material '!$E$267,LCI!$B$2:$B$130&amp;LCI!$D$2:$D$130,0))*$F276*$C276*$B$223</f>
        <v>2.4499856879681901E-2</v>
      </c>
      <c r="H276" s="154" cm="1">
        <f t="array" ref="H276">INDEX(LCI!I$2:I$137,MATCH('C3'' - Secondary Raw Material '!$A$260&amp;'C3'' - Secondary Raw Material '!$E$267,LCI!$B$2:$B$130&amp;LCI!$D$2:$D$130,0))*$F276*$C276*$B$223</f>
        <v>6.8761552094260043</v>
      </c>
      <c r="I276" s="154" cm="1">
        <f t="array" ref="I276">INDEX(LCI!J$2:J$137,MATCH('C3'' - Secondary Raw Material '!$A$260&amp;'C3'' - Secondary Raw Material '!$E$267,LCI!$B$2:$B$130&amp;LCI!$D$2:$D$130,0))*$F276*$C276*$B$223</f>
        <v>0.14374910174718289</v>
      </c>
      <c r="J276" s="154" cm="1">
        <f t="array" ref="J276">INDEX(LCI!K$2:K$137,MATCH('C3'' - Secondary Raw Material '!$A$260&amp;'C3'' - Secondary Raw Material '!$E$267,LCI!$B$2:$B$130&amp;LCI!$D$2:$D$130,0))*$F276*$C276*$B$223</f>
        <v>6.7154969502515742</v>
      </c>
      <c r="K276" s="154" cm="1">
        <f t="array" ref="K276">INDEX(LCI!L$2:L$137,MATCH('C3'' - Secondary Raw Material '!$A$260&amp;'C3'' - Secondary Raw Material '!$E$267,LCI!$B$2:$B$130&amp;LCI!$D$2:$D$130,0))*$F276*$C276*$B$223</f>
        <v>1.6909157427248168E-2</v>
      </c>
      <c r="L276" s="154" cm="1">
        <f t="array" ref="L276">INDEX(LCI!M$2:M$137,MATCH('C3'' - Secondary Raw Material '!$A$260&amp;'C3'' - Secondary Raw Material '!$E$267,LCI!$B$2:$B$130&amp;LCI!$D$2:$D$130,0))*$F276*$C276*$B$223</f>
        <v>23.602326654328426</v>
      </c>
      <c r="M276" s="154" cm="1">
        <f t="array" ref="M276">INDEX(LCI!N$2:N$137,MATCH('C3'' - Secondary Raw Material '!$A$260&amp;'C3'' - Secondary Raw Material '!$E$267,LCI!$B$2:$B$130&amp;LCI!$D$2:$D$130,0))*$F276*$C276*$B$223</f>
        <v>330.62608004497491</v>
      </c>
      <c r="N276" s="154" cm="1">
        <f t="array" ref="N276">INDEX(LCI!O$2:O$137,MATCH('C3'' - Secondary Raw Material '!$A$260&amp;'C3'' - Secondary Raw Material '!$E$267,LCI!$B$2:$B$130&amp;LCI!$D$2:$D$130,0))*$F276*$C276*$B$223</f>
        <v>2.5224356995374808E-3</v>
      </c>
      <c r="O276" s="154" cm="1">
        <f t="array" ref="O276">INDEX(LCI!P$2:P$137,MATCH('C3'' - Secondary Raw Material '!$A$260&amp;'C3'' - Secondary Raw Material '!$E$267,LCI!$B$2:$B$130&amp;LCI!$D$2:$D$130,0))*$F276*$C276*$B$223</f>
        <v>5.03836345971814E-3</v>
      </c>
      <c r="P276" s="154" cm="1">
        <f t="array" ref="P276">INDEX(LCI!Q$2:Q$137,MATCH('C3'' - Secondary Raw Material '!$A$260&amp;'C3'' - Secondary Raw Material '!$E$267,LCI!$B$2:$B$130&amp;LCI!$D$2:$D$130,0))*$F276*$C276*$B$223</f>
        <v>4.7827911513981525E-2</v>
      </c>
      <c r="Q276" s="154" cm="1">
        <f t="array" ref="Q276">INDEX(LCI!R$2:R$137,MATCH('C3'' - Secondary Raw Material '!$A$260&amp;'C3'' - Secondary Raw Material '!$E$267,LCI!$B$2:$B$130&amp;LCI!$D$2:$D$130,0))*$F276*$C276*$B$223</f>
        <v>2.8112017189575595E-9</v>
      </c>
      <c r="R276" s="154" cm="1">
        <f t="array" ref="R276">INDEX(LCI!S$2:S$137,MATCH('C3'' - Secondary Raw Material '!$A$260&amp;'C3'' - Secondary Raw Material '!$E$267,LCI!$B$2:$B$130&amp;LCI!$D$2:$D$130,0))*$F276*$C276*$B$223</f>
        <v>1.5544193026730209E-7</v>
      </c>
      <c r="S276" s="154" cm="1">
        <f t="array" ref="S276">INDEX(LCI!T$2:T$137,MATCH('C3'' - Secondary Raw Material '!$A$260&amp;'C3'' - Secondary Raw Material '!$E$267,LCI!$B$2:$B$130&amp;LCI!$D$2:$D$130,0))*$F276*$C276*$B$223</f>
        <v>13.888521426620624</v>
      </c>
      <c r="T276" s="154" cm="1">
        <f t="array" ref="T276">INDEX(LCI!U$2:U$137,MATCH('C3'' - Secondary Raw Material '!$A$260&amp;'C3'' - Secondary Raw Material '!$E$267,LCI!$B$2:$B$130&amp;LCI!$D$2:$D$130,0))*$F276*$C276*$B$223</f>
        <v>52.174314694501788</v>
      </c>
      <c r="U276" s="154" cm="1">
        <f t="array" ref="U276">INDEX(LCI!V$2:V$137,MATCH('C3'' - Secondary Raw Material '!$A$260&amp;'C3'' - Secondary Raw Material '!$E$267,LCI!$B$2:$B$130&amp;LCI!$D$2:$D$130,0))*$F276*$C276*$B$223</f>
        <v>1.7904396268091232E-4</v>
      </c>
      <c r="V276" s="154" cm="1">
        <f t="array" ref="V276">INDEX(LCI!W$2:W$137,MATCH('C3'' - Secondary Raw Material '!$A$260&amp;'C3'' - Secondary Raw Material '!$E$267,LCI!$B$2:$B$130&amp;LCI!$D$2:$D$130,0))*$F276*$C276*$B$223</f>
        <v>2.1469886538019563E-7</v>
      </c>
      <c r="W276" s="154" cm="1">
        <f t="array" ref="W276">INDEX(LCI!X$2:X$137,MATCH('C3'' - Secondary Raw Material '!$A$260&amp;'C3'' - Secondary Raw Material '!$E$267,LCI!$B$2:$B$130&amp;LCI!$D$2:$D$130,0))*$F276*$C276*$B$223</f>
        <v>1.8003595728799511E-7</v>
      </c>
      <c r="X276" s="154" cm="1">
        <f t="array" ref="X276">INDEX(LCI!Y$2:Y$137,MATCH('C3'' - Secondary Raw Material '!$A$260&amp;'C3'' - Secondary Raw Material '!$E$267,LCI!$B$2:$B$130&amp;LCI!$D$2:$D$130,0))*$F276*$C276*$B$223</f>
        <v>1.5283893001385709E-2</v>
      </c>
      <c r="Y276" s="154" cm="1">
        <f t="array" ref="Y276">INDEX(LCI!Z$2:Z$137,MATCH('C3'' - Secondary Raw Material '!$A$260&amp;'C3'' - Secondary Raw Material '!$E$267,LCI!$B$2:$B$130&amp;LCI!$D$2:$D$130,0))*$F276*$C276*$B$223</f>
        <v>3.9718626013528295</v>
      </c>
    </row>
    <row r="277" spans="1:25" x14ac:dyDescent="0.35">
      <c r="A277" s="397"/>
      <c r="B277" s="1" t="s">
        <v>510</v>
      </c>
      <c r="C277" s="154">
        <f>$C$253</f>
        <v>1</v>
      </c>
      <c r="D277" s="154">
        <f>$E$253</f>
        <v>3.73</v>
      </c>
      <c r="E277" s="154" t="str">
        <f>$D$253</f>
        <v>Electricity</v>
      </c>
      <c r="F277" s="154">
        <f>$G$253</f>
        <v>7.46</v>
      </c>
      <c r="G277" s="154" cm="1">
        <f t="array" ref="G277">INDEX(LCI!H$2:H$137,MATCH('C3'' - Secondary Raw Material '!$A$260&amp;'C3'' - Secondary Raw Material '!$E$267,LCI!$B$2:$B$130&amp;LCI!$D$2:$D$130,0))*$F277*$C277*$B$223</f>
        <v>2.4698504367895537E-3</v>
      </c>
      <c r="H277" s="154" cm="1">
        <f t="array" ref="H277">INDEX(LCI!I$2:I$137,MATCH('C3'' - Secondary Raw Material '!$A$260&amp;'C3'' - Secondary Raw Material '!$E$267,LCI!$B$2:$B$130&amp;LCI!$D$2:$D$130,0))*$F277*$C277*$B$223</f>
        <v>0.69319078192321615</v>
      </c>
      <c r="I277" s="154" cm="1">
        <f t="array" ref="I277">INDEX(LCI!J$2:J$137,MATCH('C3'' - Secondary Raw Material '!$A$260&amp;'C3'' - Secondary Raw Material '!$E$267,LCI!$B$2:$B$130&amp;LCI!$D$2:$D$130,0))*$F277*$C277*$B$223</f>
        <v>1.4491463500459248E-2</v>
      </c>
      <c r="J277" s="154" cm="1">
        <f t="array" ref="J277">INDEX(LCI!K$2:K$137,MATCH('C3'' - Secondary Raw Material '!$A$260&amp;'C3'' - Secondary Raw Material '!$E$267,LCI!$B$2:$B$130&amp;LCI!$D$2:$D$130,0))*$F277*$C277*$B$223</f>
        <v>0.67699469255238842</v>
      </c>
      <c r="K277" s="154" cm="1">
        <f t="array" ref="K277">INDEX(LCI!L$2:L$137,MATCH('C3'' - Secondary Raw Material '!$A$260&amp;'C3'' - Secondary Raw Material '!$E$267,LCI!$B$2:$B$130&amp;LCI!$D$2:$D$130,0))*$F277*$C277*$B$223</f>
        <v>1.7046258703685316E-3</v>
      </c>
      <c r="L277" s="154" cm="1">
        <f t="array" ref="L277">INDEX(LCI!M$2:M$137,MATCH('C3'' - Secondary Raw Material '!$A$260&amp;'C3'' - Secondary Raw Material '!$E$267,LCI!$B$2:$B$130&amp;LCI!$D$2:$D$130,0))*$F277*$C277*$B$223</f>
        <v>2.3793696870444601</v>
      </c>
      <c r="M277" s="154" cm="1">
        <f t="array" ref="M277">INDEX(LCI!N$2:N$137,MATCH('C3'' - Secondary Raw Material '!$A$260&amp;'C3'' - Secondary Raw Material '!$E$267,LCI!$B$2:$B$130&amp;LCI!$D$2:$D$130,0))*$F277*$C277*$B$223</f>
        <v>33.330683204533962</v>
      </c>
      <c r="N277" s="154" cm="1">
        <f t="array" ref="N277">INDEX(LCI!O$2:O$137,MATCH('C3'' - Secondary Raw Material '!$A$260&amp;'C3'' - Secondary Raw Material '!$E$267,LCI!$B$2:$B$130&amp;LCI!$D$2:$D$130,0))*$F277*$C277*$B$223</f>
        <v>2.5428878808850816E-4</v>
      </c>
      <c r="O277" s="154" cm="1">
        <f t="array" ref="O277">INDEX(LCI!P$2:P$137,MATCH('C3'' - Secondary Raw Material '!$A$260&amp;'C3'' - Secondary Raw Material '!$E$267,LCI!$B$2:$B$130&amp;LCI!$D$2:$D$130,0))*$F277*$C277*$B$223</f>
        <v>5.0792150553374772E-4</v>
      </c>
      <c r="P277" s="154" cm="1">
        <f t="array" ref="P277">INDEX(LCI!Q$2:Q$137,MATCH('C3'' - Secondary Raw Material '!$A$260&amp;'C3'' - Secondary Raw Material '!$E$267,LCI!$B$2:$B$130&amp;LCI!$D$2:$D$130,0))*$F277*$C277*$B$223</f>
        <v>4.8215705391121914E-3</v>
      </c>
      <c r="Q277" s="154" cm="1">
        <f t="array" ref="Q277">INDEX(LCI!R$2:R$137,MATCH('C3'' - Secondary Raw Material '!$A$260&amp;'C3'' - Secondary Raw Material '!$E$267,LCI!$B$2:$B$130&amp;LCI!$D$2:$D$130,0))*$F277*$C277*$B$223</f>
        <v>2.8339952464085666E-10</v>
      </c>
      <c r="R277" s="154" cm="1">
        <f t="array" ref="R277">INDEX(LCI!S$2:S$137,MATCH('C3'' - Secondary Raw Material '!$A$260&amp;'C3'' - Secondary Raw Material '!$E$267,LCI!$B$2:$B$130&amp;LCI!$D$2:$D$130,0))*$F277*$C277*$B$223</f>
        <v>1.5670227024244237E-8</v>
      </c>
      <c r="S277" s="154" cm="1">
        <f t="array" ref="S277">INDEX(LCI!T$2:T$137,MATCH('C3'' - Secondary Raw Material '!$A$260&amp;'C3'' - Secondary Raw Material '!$E$267,LCI!$B$2:$B$130&amp;LCI!$D$2:$D$130,0))*$F277*$C277*$B$223</f>
        <v>1.400113105980944</v>
      </c>
      <c r="T277" s="154" cm="1">
        <f t="array" ref="T277">INDEX(LCI!U$2:U$137,MATCH('C3'' - Secondary Raw Material '!$A$260&amp;'C3'' - Secondary Raw Material '!$E$267,LCI!$B$2:$B$130&amp;LCI!$D$2:$D$130,0))*$F277*$C277*$B$223</f>
        <v>5.2597349678511263</v>
      </c>
      <c r="U277" s="154" cm="1">
        <f t="array" ref="U277">INDEX(LCI!V$2:V$137,MATCH('C3'' - Secondary Raw Material '!$A$260&amp;'C3'' - Secondary Raw Material '!$E$267,LCI!$B$2:$B$130&amp;LCI!$D$2:$D$130,0))*$F277*$C277*$B$223</f>
        <v>1.8049567048643321E-5</v>
      </c>
      <c r="V277" s="154" cm="1">
        <f t="array" ref="V277">INDEX(LCI!W$2:W$137,MATCH('C3'' - Secondary Raw Material '!$A$260&amp;'C3'' - Secondary Raw Material '!$E$267,LCI!$B$2:$B$130&amp;LCI!$D$2:$D$130,0))*$F277*$C277*$B$223</f>
        <v>2.164396669913864E-8</v>
      </c>
      <c r="W277" s="154" cm="1">
        <f t="array" ref="W277">INDEX(LCI!X$2:X$137,MATCH('C3'' - Secondary Raw Material '!$A$260&amp;'C3'' - Secondary Raw Material '!$E$267,LCI!$B$2:$B$130&amp;LCI!$D$2:$D$130,0))*$F277*$C277*$B$223</f>
        <v>1.8149570829303289E-8</v>
      </c>
      <c r="X277" s="154" cm="1">
        <f t="array" ref="X277">INDEX(LCI!Y$2:Y$137,MATCH('C3'' - Secondary Raw Material '!$A$260&amp;'C3'' - Secondary Raw Material '!$E$267,LCI!$B$2:$B$130&amp;LCI!$D$2:$D$130,0))*$F277*$C277*$B$223</f>
        <v>1.5407816458153701E-3</v>
      </c>
      <c r="Y277" s="154" cm="1">
        <f t="array" ref="Y277">INDEX(LCI!Z$2:Z$137,MATCH('C3'' - Secondary Raw Material '!$A$260&amp;'C3'' - Secondary Raw Material '!$E$267,LCI!$B$2:$B$130&amp;LCI!$D$2:$D$130,0))*$F277*$C277*$B$223</f>
        <v>0.40040668927151496</v>
      </c>
    </row>
    <row r="278" spans="1:25" x14ac:dyDescent="0.35">
      <c r="B278"/>
    </row>
    <row r="279" spans="1:25" x14ac:dyDescent="0.35">
      <c r="B279"/>
    </row>
    <row r="280" spans="1:25" ht="72.5" x14ac:dyDescent="0.35">
      <c r="A280" s="302" t="s">
        <v>451</v>
      </c>
      <c r="B280" s="300" t="s">
        <v>452</v>
      </c>
      <c r="C280" s="302" t="s">
        <v>453</v>
      </c>
      <c r="D280" s="302" t="s">
        <v>454</v>
      </c>
      <c r="E280" s="302" t="s">
        <v>492</v>
      </c>
      <c r="F280" s="302" t="s">
        <v>396</v>
      </c>
      <c r="G280" s="103" t="s">
        <v>279</v>
      </c>
      <c r="H280" s="103" t="s">
        <v>280</v>
      </c>
      <c r="I280" s="103" t="s">
        <v>281</v>
      </c>
      <c r="J280" s="103" t="s">
        <v>282</v>
      </c>
      <c r="K280" s="103" t="s">
        <v>283</v>
      </c>
      <c r="L280" s="103" t="s">
        <v>284</v>
      </c>
      <c r="M280" s="103" t="s">
        <v>285</v>
      </c>
      <c r="N280" s="103" t="s">
        <v>286</v>
      </c>
      <c r="O280" s="103" t="s">
        <v>287</v>
      </c>
      <c r="P280" s="103" t="s">
        <v>288</v>
      </c>
      <c r="Q280" s="103" t="s">
        <v>289</v>
      </c>
      <c r="R280" s="103" t="s">
        <v>290</v>
      </c>
      <c r="S280" s="103" t="s">
        <v>291</v>
      </c>
      <c r="T280" s="103" t="s">
        <v>292</v>
      </c>
      <c r="U280" s="103" t="s">
        <v>293</v>
      </c>
      <c r="V280" s="103" t="s">
        <v>294</v>
      </c>
      <c r="W280" s="103" t="s">
        <v>295</v>
      </c>
      <c r="X280" s="103" t="s">
        <v>296</v>
      </c>
      <c r="Y280" s="103" t="s">
        <v>297</v>
      </c>
    </row>
    <row r="281" spans="1:25" x14ac:dyDescent="0.35">
      <c r="A281" s="73"/>
      <c r="B281" s="1" t="s">
        <v>523</v>
      </c>
      <c r="C281" s="1">
        <v>1</v>
      </c>
      <c r="D281" s="1" t="s">
        <v>36</v>
      </c>
      <c r="E281" s="154">
        <f>$F$241</f>
        <v>0.25</v>
      </c>
      <c r="F281" s="154">
        <f>$B$208</f>
        <v>2.3587500000000001</v>
      </c>
      <c r="G281" s="154" cm="1">
        <f t="array" ref="G281">INDEX(LCI!H$2:H$137,MATCH($A$260&amp;$D281,LCI!$B$2:$B$137&amp;LCI!$D$2:$D$137,0))*$F$281*$E$281*$C$281</f>
        <v>3.1274347724546945E-3</v>
      </c>
      <c r="H281" s="154" cm="1">
        <f t="array" ref="H281">INDEX(LCI!I$2:I$137,MATCH($A$260&amp;$D281,LCI!$B$2:$B$137&amp;LCI!$D$2:$D$137,0))*$F$281*$E$281*$C$281</f>
        <v>2.446199522432015</v>
      </c>
      <c r="I281" s="154" cm="1">
        <f t="array" ref="I281">INDEX(LCI!J$2:J$137,MATCH($A$260&amp;$D281,LCI!$B$2:$B$137&amp;LCI!$D$2:$D$137,0))*$F$281*$E$281*$C$281</f>
        <v>5.0556739384595417E-4</v>
      </c>
      <c r="J281" s="154" cm="1">
        <f t="array" ref="J281">INDEX(LCI!K$2:K$137,MATCH($A$260&amp;$D281,LCI!$B$2:$B$137&amp;LCI!$D$2:$D$137,0))*$F$281*$E$281*$C$281</f>
        <v>2.4455857777045589</v>
      </c>
      <c r="K281" s="154" cm="1">
        <f t="array" ref="K281">INDEX(LCI!L$2:L$137,MATCH($A$260&amp;$D281,LCI!$B$2:$B$137&amp;LCI!$D$2:$D$137,0))*$F$281*$E$281*$C$281</f>
        <v>1.0817733361020644E-4</v>
      </c>
      <c r="L281" s="154" cm="1">
        <f t="array" ref="L281">INDEX(LCI!M$2:M$137,MATCH($A$260&amp;$D281,LCI!$B$2:$B$137&amp;LCI!$D$2:$D$137,0))*$F$281*$E$281*$C$281</f>
        <v>1.0808058659215962</v>
      </c>
      <c r="M281" s="154" cm="1">
        <f t="array" ref="M281">INDEX(LCI!N$2:N$137,MATCH($A$260&amp;$D281,LCI!$B$2:$B$137&amp;LCI!$D$2:$D$137,0))*$F$281*$E$281*$C$281</f>
        <v>32.492068668226544</v>
      </c>
      <c r="N281" s="154" cm="1">
        <f t="array" ref="N281">INDEX(LCI!O$2:O$137,MATCH($A$260&amp;$D281,LCI!$B$2:$B$137&amp;LCI!$D$2:$D$137,0))*$F$281*$E$281*$C$281</f>
        <v>2.5859635186294378E-5</v>
      </c>
      <c r="O281" s="154" cm="1">
        <f t="array" ref="O281">INDEX(LCI!P$2:P$137,MATCH($A$260&amp;$D281,LCI!$B$2:$B$137&amp;LCI!$D$2:$D$137,0))*$F$281*$E$281*$C$281</f>
        <v>7.0721489480979761E-4</v>
      </c>
      <c r="P281" s="154" cm="1">
        <f t="array" ref="P281">INDEX(LCI!Q$2:Q$137,MATCH($A$260&amp;$D281,LCI!$B$2:$B$137&amp;LCI!$D$2:$D$137,0))*$F$281*$E$281*$C$281</f>
        <v>7.6882973672065258E-3</v>
      </c>
      <c r="Q281" s="154" cm="1">
        <f t="array" ref="Q281">INDEX(LCI!R$2:R$137,MATCH($A$260&amp;$D281,LCI!$B$2:$B$137&amp;LCI!$D$2:$D$137,0))*$F$281*$E$281*$C$281</f>
        <v>1.4948856314277339E-10</v>
      </c>
      <c r="R281" s="154" cm="1">
        <f t="array" ref="R281">INDEX(LCI!S$2:S$137,MATCH($A$260&amp;$D281,LCI!$B$2:$B$137&amp;LCI!$D$2:$D$137,0))*$F$281*$E$281*$C$281</f>
        <v>3.9844802899581692E-9</v>
      </c>
      <c r="S281" s="154" cm="1">
        <f t="array" ref="S281">INDEX(LCI!T$2:T$137,MATCH($A$260&amp;$D281,LCI!$B$2:$B$137&amp;LCI!$D$2:$D$137,0))*$F$281*$E$281*$C$281</f>
        <v>9.7560129688989E-3</v>
      </c>
      <c r="T281" s="154" cm="1">
        <f t="array" ref="T281">INDEX(LCI!U$2:U$137,MATCH($A$260&amp;$D281,LCI!$B$2:$B$137&amp;LCI!$D$2:$D$137,0))*$F$281*$E$281*$C$281</f>
        <v>1.6705611441688033</v>
      </c>
      <c r="U281" s="154" cm="1">
        <f t="array" ref="U281">INDEX(LCI!V$2:V$137,MATCH($A$260&amp;$D281,LCI!$B$2:$B$137&amp;LCI!$D$2:$D$137,0))*$F$281*$E$281*$C$281</f>
        <v>3.8144054478374028E-7</v>
      </c>
      <c r="V281" s="154" cm="1">
        <f t="array" ref="V281">INDEX(LCI!W$2:W$137,MATCH($A$260&amp;$D281,LCI!$B$2:$B$137&amp;LCI!$D$2:$D$137,0))*$F$281*$E$281*$C$281</f>
        <v>5.5124170757740804E-8</v>
      </c>
      <c r="W281" s="154" cm="1">
        <f t="array" ref="W281">INDEX(LCI!X$2:X$137,MATCH($A$260&amp;$D281,LCI!$B$2:$B$137&amp;LCI!$D$2:$D$137,0))*$F$281*$E$281*$C$281</f>
        <v>2.4093255039735617E-8</v>
      </c>
      <c r="X281" s="154" cm="1">
        <f t="array" ref="X281">INDEX(LCI!Y$2:Y$137,MATCH($A$260&amp;$D281,LCI!$B$2:$B$137&amp;LCI!$D$2:$D$137,0))*$F$281*$E$281*$C$281</f>
        <v>6.0253235805583895E-3</v>
      </c>
      <c r="Y281" s="154" cm="1">
        <f t="array" ref="Y281">INDEX(LCI!Z$2:Z$137,MATCH($A$260&amp;$D281,LCI!$B$2:$B$137&amp;LCI!$D$2:$D$137,0))*$F$281*$E$281*$C$281</f>
        <v>4.3975555137859029E-2</v>
      </c>
    </row>
    <row r="282" spans="1:25" x14ac:dyDescent="0.35">
      <c r="A282" s="73"/>
      <c r="B282" s="1" t="s">
        <v>524</v>
      </c>
      <c r="C282" s="1">
        <v>1</v>
      </c>
      <c r="D282" s="1" t="s">
        <v>36</v>
      </c>
      <c r="E282" s="154">
        <f>$F$256</f>
        <v>2</v>
      </c>
      <c r="F282" s="187">
        <f>$B$218</f>
        <v>3</v>
      </c>
      <c r="G282" s="154" cm="1">
        <f t="array" ref="G282">INDEX(LCI!H$2:H$137,MATCH($A$260&amp;$D282,LCI!$B$2:$B$137&amp;LCI!$D$2:$D$137,0))*$F$282*$E$282*$C$282</f>
        <v>3.1821275904149515E-2</v>
      </c>
      <c r="H282" s="154" cm="1">
        <f t="array" ref="H282">INDEX(LCI!I$2:I$137,MATCH($A$260&amp;$D282,LCI!$B$2:$B$137&amp;LCI!$D$2:$D$137,0))*$F$282*$E$282*$C$282</f>
        <v>24.889788463537194</v>
      </c>
      <c r="I282" s="154" cm="1">
        <f t="array" ref="I282">INDEX(LCI!J$2:J$137,MATCH($A$260&amp;$D282,LCI!$B$2:$B$137&amp;LCI!$D$2:$D$137,0))*$F$282*$E$282*$C$282</f>
        <v>5.1440879501019185E-3</v>
      </c>
      <c r="J282" s="154" cm="1">
        <f t="array" ref="J282">INDEX(LCI!K$2:K$137,MATCH($A$260&amp;$D282,LCI!$B$2:$B$137&amp;LCI!$D$2:$D$137,0))*$F$282*$E$282*$C$282</f>
        <v>24.88354368411634</v>
      </c>
      <c r="K282" s="154" cm="1">
        <f t="array" ref="K282">INDEX(LCI!L$2:L$137,MATCH($A$260&amp;$D282,LCI!$B$2:$B$137&amp;LCI!$D$2:$D$137,0))*$F$282*$E$282*$C$282</f>
        <v>1.1006914707556775E-3</v>
      </c>
      <c r="L282" s="154" cm="1">
        <f t="array" ref="L282">INDEX(LCI!M$2:M$137,MATCH($A$260&amp;$D282,LCI!$B$2:$B$137&amp;LCI!$D$2:$D$137,0))*$F$282*$E$282*$C$282</f>
        <v>10.997070813828643</v>
      </c>
      <c r="M282" s="154" cm="1">
        <f t="array" ref="M282">INDEX(LCI!N$2:N$137,MATCH($A$260&amp;$D282,LCI!$B$2:$B$137&amp;LCI!$D$2:$D$137,0))*$F$282*$E$282*$C$282</f>
        <v>330.60292444618426</v>
      </c>
      <c r="N282" s="154" cm="1">
        <f t="array" ref="N282">INDEX(LCI!O$2:O$137,MATCH($A$260&amp;$D282,LCI!$B$2:$B$137&amp;LCI!$D$2:$D$137,0))*$F$282*$E$282*$C$282</f>
        <v>2.6311870459822575E-4</v>
      </c>
      <c r="O282" s="154" cm="1">
        <f t="array" ref="O282">INDEX(LCI!P$2:P$137,MATCH($A$260&amp;$D282,LCI!$B$2:$B$137&amp;LCI!$D$2:$D$137,0))*$F$282*$E$282*$C$282</f>
        <v>7.1958272285893559E-3</v>
      </c>
      <c r="P282" s="154" cm="1">
        <f t="array" ref="P282">INDEX(LCI!Q$2:Q$137,MATCH($A$260&amp;$D282,LCI!$B$2:$B$137&amp;LCI!$D$2:$D$137,0))*$F$282*$E$282*$C$282</f>
        <v>7.8227508982705501E-2</v>
      </c>
      <c r="Q282" s="154" cm="1">
        <f t="array" ref="Q282">INDEX(LCI!R$2:R$137,MATCH($A$260&amp;$D282,LCI!$B$2:$B$137&amp;LCI!$D$2:$D$137,0))*$F$282*$E$282*$C$282</f>
        <v>1.5210283054272649E-9</v>
      </c>
      <c r="R282" s="154" cm="1">
        <f t="array" ref="R282">INDEX(LCI!S$2:S$137,MATCH($A$260&amp;$D282,LCI!$B$2:$B$137&amp;LCI!$D$2:$D$137,0))*$F$282*$E$282*$C$282</f>
        <v>4.0541611853310466E-8</v>
      </c>
      <c r="S282" s="154" cm="1">
        <f t="array" ref="S282">INDEX(LCI!T$2:T$137,MATCH($A$260&amp;$D282,LCI!$B$2:$B$137&amp;LCI!$D$2:$D$137,0))*$F$282*$E$282*$C$282</f>
        <v>9.9266268681960187E-2</v>
      </c>
      <c r="T282" s="154" cm="1">
        <f t="array" ref="T282">INDEX(LCI!U$2:U$137,MATCH($A$260&amp;$D282,LCI!$B$2:$B$137&amp;LCI!$D$2:$D$137,0))*$F$282*$E$282*$C$282</f>
        <v>16.997760449412308</v>
      </c>
      <c r="U282" s="154" cm="1">
        <f t="array" ref="U282">INDEX(LCI!V$2:V$137,MATCH($A$260&amp;$D282,LCI!$B$2:$B$137&amp;LCI!$D$2:$D$137,0))*$F$282*$E$282*$C$282</f>
        <v>3.8811120613925875E-6</v>
      </c>
      <c r="V282" s="154" cm="1">
        <f t="array" ref="V282">INDEX(LCI!W$2:W$137,MATCH($A$260&amp;$D282,LCI!$B$2:$B$137&amp;LCI!$D$2:$D$137,0))*$F$282*$E$282*$C$282</f>
        <v>5.6088186462566159E-7</v>
      </c>
      <c r="W282" s="154" cm="1">
        <f t="array" ref="W282">INDEX(LCI!X$2:X$137,MATCH($A$260&amp;$D282,LCI!$B$2:$B$137&amp;LCI!$D$2:$D$137,0))*$F$282*$E$282*$C$282</f>
        <v>2.4514599722465493E-7</v>
      </c>
      <c r="X282" s="154" cm="1">
        <f t="array" ref="X282">INDEX(LCI!Y$2:Y$137,MATCH($A$260&amp;$D282,LCI!$B$2:$B$137&amp;LCI!$D$2:$D$137,0))*$F$282*$E$282*$C$282</f>
        <v>6.1306948991373122E-2</v>
      </c>
      <c r="Y282" s="154" cm="1">
        <f t="array" ref="Y282">INDEX(LCI!Z$2:Z$137,MATCH($A$260&amp;$D282,LCI!$B$2:$B$137&amp;LCI!$D$2:$D$137,0))*$F$282*$E$282*$C$282</f>
        <v>0.4474460300195513</v>
      </c>
    </row>
    <row r="283" spans="1:25" x14ac:dyDescent="0.35">
      <c r="B283"/>
    </row>
    <row r="284" spans="1:25" x14ac:dyDescent="0.35">
      <c r="B284"/>
    </row>
    <row r="285" spans="1:25" ht="18.5" x14ac:dyDescent="0.45">
      <c r="A285" s="116" t="s">
        <v>980</v>
      </c>
      <c r="B285"/>
    </row>
    <row r="286" spans="1:25" x14ac:dyDescent="0.35">
      <c r="B286"/>
    </row>
    <row r="287" spans="1:25" ht="72.5" x14ac:dyDescent="0.35">
      <c r="A287" s="102" t="s">
        <v>451</v>
      </c>
      <c r="B287" s="102"/>
      <c r="C287" s="103" t="s">
        <v>279</v>
      </c>
      <c r="D287" s="103" t="s">
        <v>280</v>
      </c>
      <c r="E287" s="103" t="s">
        <v>281</v>
      </c>
      <c r="F287" s="103" t="s">
        <v>282</v>
      </c>
      <c r="G287" s="103" t="s">
        <v>283</v>
      </c>
      <c r="H287" s="103" t="s">
        <v>284</v>
      </c>
      <c r="I287" s="103" t="s">
        <v>285</v>
      </c>
      <c r="J287" s="103" t="s">
        <v>286</v>
      </c>
      <c r="K287" s="103" t="s">
        <v>287</v>
      </c>
      <c r="L287" s="103" t="s">
        <v>288</v>
      </c>
      <c r="M287" s="103" t="s">
        <v>289</v>
      </c>
      <c r="N287" s="103" t="s">
        <v>290</v>
      </c>
      <c r="O287" s="103" t="s">
        <v>291</v>
      </c>
      <c r="P287" s="103" t="s">
        <v>292</v>
      </c>
      <c r="Q287" s="103" t="s">
        <v>293</v>
      </c>
      <c r="R287" s="103" t="s">
        <v>294</v>
      </c>
      <c r="S287" s="103" t="s">
        <v>295</v>
      </c>
      <c r="T287" s="103" t="s">
        <v>296</v>
      </c>
      <c r="U287" s="103" t="s">
        <v>297</v>
      </c>
    </row>
    <row r="288" spans="1:25" x14ac:dyDescent="0.35">
      <c r="A288" s="31" t="s">
        <v>517</v>
      </c>
      <c r="B288" s="89" t="str">
        <f>$A$227</f>
        <v>Transportation</v>
      </c>
      <c r="C288" s="154">
        <f>H263</f>
        <v>1.4795125000000001E-2</v>
      </c>
      <c r="D288" s="154">
        <f>I263</f>
        <v>9.9215536874999994</v>
      </c>
      <c r="E288" s="154">
        <f t="shared" ref="E288:U288" si="2">J263</f>
        <v>4.63689375E-3</v>
      </c>
      <c r="F288" s="154">
        <f t="shared" si="2"/>
        <v>9.9161276249999997</v>
      </c>
      <c r="G288" s="154">
        <f t="shared" si="2"/>
        <v>7.8915625000000004E-4</v>
      </c>
      <c r="H288" s="154">
        <f t="shared" si="2"/>
        <v>8.5214968125000006</v>
      </c>
      <c r="I288" s="154">
        <f t="shared" si="2"/>
        <v>133.53379749999999</v>
      </c>
      <c r="J288" s="154">
        <f t="shared" si="2"/>
        <v>2.3141812499999999E-4</v>
      </c>
      <c r="K288" s="154">
        <f t="shared" si="2"/>
        <v>3.2248249999999997E-3</v>
      </c>
      <c r="L288" s="154">
        <f t="shared" si="2"/>
        <v>3.4905812500000001E-2</v>
      </c>
      <c r="M288" s="154">
        <f t="shared" si="2"/>
        <v>8.7935624999999989E-10</v>
      </c>
      <c r="N288" s="154">
        <f t="shared" si="2"/>
        <v>7.1548749999999994E-8</v>
      </c>
      <c r="O288" s="154">
        <f t="shared" si="2"/>
        <v>6.0550375000000004E-2</v>
      </c>
      <c r="P288" s="154">
        <f t="shared" si="2"/>
        <v>8.4229071250000018</v>
      </c>
      <c r="Q288" s="154">
        <f t="shared" si="2"/>
        <v>1.0946062499999999E-5</v>
      </c>
      <c r="R288" s="154">
        <f t="shared" si="2"/>
        <v>2.2061375000000001E-7</v>
      </c>
      <c r="S288" s="154">
        <f t="shared" si="2"/>
        <v>6.1497312499999996E-7</v>
      </c>
      <c r="T288" s="154">
        <f t="shared" si="2"/>
        <v>2.5794749999999998E-2</v>
      </c>
      <c r="U288" s="154">
        <f t="shared" si="2"/>
        <v>0.30413681250000002</v>
      </c>
    </row>
    <row r="289" spans="1:21" x14ac:dyDescent="0.35">
      <c r="A289" s="395" t="s">
        <v>519</v>
      </c>
      <c r="B289" s="1" t="s">
        <v>494</v>
      </c>
      <c r="C289" s="154">
        <f t="shared" ref="C289:C299" si="3">G267</f>
        <v>6.1662464787627389E-3</v>
      </c>
      <c r="D289" s="154">
        <f t="shared" ref="D289:D299" si="4">H267</f>
        <v>1.7306251238843842</v>
      </c>
      <c r="E289" s="154">
        <f t="shared" ref="E289:E299" si="5">I267</f>
        <v>3.6179492673239728E-2</v>
      </c>
      <c r="F289" s="154">
        <f t="shared" ref="F289:F299" si="6">J267</f>
        <v>1.6901898499240675</v>
      </c>
      <c r="G289" s="154">
        <f t="shared" ref="G289:G299" si="7">K267</f>
        <v>4.2557812870769552E-3</v>
      </c>
      <c r="H289" s="154">
        <f t="shared" ref="H289:H299" si="8">L267</f>
        <v>5.9403515839946497</v>
      </c>
      <c r="I289" s="154">
        <f t="shared" ref="I289:I299" si="9">M267</f>
        <v>83.213624956119517</v>
      </c>
      <c r="J289" s="154">
        <f t="shared" ref="J289:J299" si="10">N267</f>
        <v>6.3485922903809078E-4</v>
      </c>
      <c r="K289" s="154">
        <f t="shared" ref="K289:K299" si="11">O267</f>
        <v>1.2680805073591601E-3</v>
      </c>
      <c r="L289" s="154">
        <f t="shared" ref="L289:L299" si="12">P267</f>
        <v>1.2037567909396441E-2</v>
      </c>
      <c r="M289" s="154">
        <f t="shared" ref="M289:M299" si="13">Q267</f>
        <v>7.0753730463583343E-10</v>
      </c>
      <c r="N289" s="154">
        <f t="shared" ref="N289:N299" si="14">R267</f>
        <v>3.9122402219325927E-8</v>
      </c>
      <c r="O289" s="154">
        <f t="shared" ref="O289:O299" si="15">S267</f>
        <v>3.4955325152590118</v>
      </c>
      <c r="P289" s="154">
        <f t="shared" ref="P289:P299" si="16">T267</f>
        <v>13.131492393885685</v>
      </c>
      <c r="Q289" s="154">
        <f t="shared" ref="Q289:Q299" si="17">U267</f>
        <v>4.5062679747345417E-5</v>
      </c>
      <c r="R289" s="154">
        <f t="shared" ref="R289:R299" si="18">V267</f>
        <v>5.4036483933214546E-8</v>
      </c>
      <c r="S289" s="154">
        <f t="shared" ref="S289:S299" si="19">W267</f>
        <v>4.5312349910029055E-8</v>
      </c>
      <c r="T289" s="154">
        <f t="shared" ref="T289:T299" si="20">X267</f>
        <v>3.8467266100537627E-3</v>
      </c>
      <c r="U289" s="154">
        <f t="shared" ref="U289:U299" si="21">Y267</f>
        <v>0.99965823882148697</v>
      </c>
    </row>
    <row r="290" spans="1:21" x14ac:dyDescent="0.35">
      <c r="A290" s="396"/>
      <c r="B290" s="1" t="s">
        <v>496</v>
      </c>
      <c r="C290" s="154">
        <f t="shared" si="3"/>
        <v>4.112300977254607E-4</v>
      </c>
      <c r="D290" s="154">
        <f t="shared" si="4"/>
        <v>0.11541626519021551</v>
      </c>
      <c r="E290" s="154">
        <f t="shared" si="5"/>
        <v>2.4128286728264652E-3</v>
      </c>
      <c r="F290" s="154">
        <f t="shared" si="6"/>
        <v>0.11271961630997269</v>
      </c>
      <c r="G290" s="154">
        <f t="shared" si="7"/>
        <v>2.8382020741636057E-4</v>
      </c>
      <c r="H290" s="154">
        <f t="shared" si="8"/>
        <v>0.39616505289290266</v>
      </c>
      <c r="I290" s="154">
        <f t="shared" si="9"/>
        <v>5.5495587535549049</v>
      </c>
      <c r="J290" s="154">
        <f t="shared" si="10"/>
        <v>4.2339083216736618E-5</v>
      </c>
      <c r="K290" s="154">
        <f t="shared" si="11"/>
        <v>8.4568930671368998E-5</v>
      </c>
      <c r="L290" s="154">
        <f t="shared" si="12"/>
        <v>8.0279149476217987E-4</v>
      </c>
      <c r="M290" s="154">
        <f t="shared" si="13"/>
        <v>4.7186020852702641E-11</v>
      </c>
      <c r="N290" s="154">
        <f t="shared" si="14"/>
        <v>2.6090927995366661E-9</v>
      </c>
      <c r="O290" s="154">
        <f t="shared" si="15"/>
        <v>0.23311883214582718</v>
      </c>
      <c r="P290" s="154">
        <f t="shared" si="16"/>
        <v>0.87574587214721256</v>
      </c>
      <c r="Q290" s="154">
        <f t="shared" si="17"/>
        <v>3.0052529135991136E-6</v>
      </c>
      <c r="R290" s="154">
        <f t="shared" si="18"/>
        <v>3.6037204554065846E-9</v>
      </c>
      <c r="S290" s="154">
        <f t="shared" si="19"/>
        <v>3.0219035430789984E-9</v>
      </c>
      <c r="T290" s="154">
        <f t="shared" si="20"/>
        <v>2.5654014402825919E-4</v>
      </c>
      <c r="U290" s="154">
        <f t="shared" si="21"/>
        <v>6.666771376370724E-2</v>
      </c>
    </row>
    <row r="291" spans="1:21" x14ac:dyDescent="0.35">
      <c r="A291" s="397"/>
      <c r="B291" s="1" t="s">
        <v>497</v>
      </c>
      <c r="C291" s="154">
        <f t="shared" si="3"/>
        <v>6.5116646636430222E-4</v>
      </c>
      <c r="D291" s="154">
        <f t="shared" si="4"/>
        <v>0.182757054944582</v>
      </c>
      <c r="E291" s="154">
        <f t="shared" si="5"/>
        <v>3.8206180177886395E-3</v>
      </c>
      <c r="F291" s="154">
        <f t="shared" si="6"/>
        <v>0.17848701894263239</v>
      </c>
      <c r="G291" s="154">
        <f t="shared" si="7"/>
        <v>4.4941798416096889E-4</v>
      </c>
      <c r="H291" s="154">
        <f t="shared" si="8"/>
        <v>0.62731156842882629</v>
      </c>
      <c r="I291" s="154">
        <f t="shared" si="9"/>
        <v>8.7875050571953608</v>
      </c>
      <c r="J291" s="154">
        <f t="shared" si="10"/>
        <v>6.7042250457436718E-5</v>
      </c>
      <c r="K291" s="154">
        <f t="shared" si="11"/>
        <v>1.339115304401843E-4</v>
      </c>
      <c r="L291" s="154">
        <f t="shared" si="12"/>
        <v>1.2711883292662008E-3</v>
      </c>
      <c r="M291" s="154">
        <f t="shared" si="13"/>
        <v>7.4717182984401736E-11</v>
      </c>
      <c r="N291" s="154">
        <f t="shared" si="14"/>
        <v>4.1313944385098623E-9</v>
      </c>
      <c r="O291" s="154">
        <f t="shared" si="15"/>
        <v>0.36913437759293838</v>
      </c>
      <c r="P291" s="154">
        <f t="shared" si="16"/>
        <v>1.3867086775830557</v>
      </c>
      <c r="Q291" s="154">
        <f t="shared" si="17"/>
        <v>4.7586981864975453E-6</v>
      </c>
      <c r="R291" s="154">
        <f t="shared" si="18"/>
        <v>5.7063476814833626E-9</v>
      </c>
      <c r="S291" s="154">
        <f t="shared" si="19"/>
        <v>4.7850637945139024E-9</v>
      </c>
      <c r="T291" s="154">
        <f t="shared" si="20"/>
        <v>4.0622109128547854E-4</v>
      </c>
      <c r="U291" s="154">
        <f t="shared" si="21"/>
        <v>0.10556566708568575</v>
      </c>
    </row>
    <row r="292" spans="1:21" x14ac:dyDescent="0.35">
      <c r="A292" s="395" t="s">
        <v>520</v>
      </c>
      <c r="B292" s="1" t="s">
        <v>499</v>
      </c>
      <c r="C292" s="154">
        <f t="shared" si="3"/>
        <v>2.0692446688920521E-2</v>
      </c>
      <c r="D292" s="154">
        <f t="shared" si="4"/>
        <v>5.8075635214746661</v>
      </c>
      <c r="E292" s="154">
        <f t="shared" si="5"/>
        <v>0.12140971431349906</v>
      </c>
      <c r="F292" s="154">
        <f t="shared" si="6"/>
        <v>5.6718724241989653</v>
      </c>
      <c r="G292" s="154">
        <f t="shared" si="7"/>
        <v>1.4281382962202844E-2</v>
      </c>
      <c r="H292" s="154">
        <f t="shared" si="8"/>
        <v>19.934397512101711</v>
      </c>
      <c r="I292" s="154">
        <f t="shared" si="9"/>
        <v>279.24500003798562</v>
      </c>
      <c r="J292" s="154">
        <f t="shared" si="10"/>
        <v>2.1304355570417911E-3</v>
      </c>
      <c r="K292" s="154">
        <f t="shared" si="11"/>
        <v>4.2553745436808618E-3</v>
      </c>
      <c r="L292" s="154">
        <f t="shared" si="12"/>
        <v>4.0395195535457368E-2</v>
      </c>
      <c r="M292" s="154">
        <f t="shared" si="13"/>
        <v>2.3743257761465872E-9</v>
      </c>
      <c r="N292" s="154">
        <f t="shared" si="14"/>
        <v>1.3128541407711324E-7</v>
      </c>
      <c r="O292" s="154">
        <f t="shared" si="15"/>
        <v>11.730170123834986</v>
      </c>
      <c r="P292" s="154">
        <f t="shared" si="16"/>
        <v>44.066144167653533</v>
      </c>
      <c r="Q292" s="154">
        <f t="shared" si="17"/>
        <v>1.5121956307509484E-4</v>
      </c>
      <c r="R292" s="154">
        <f t="shared" si="18"/>
        <v>1.8133350116570579E-7</v>
      </c>
      <c r="S292" s="154">
        <f t="shared" si="19"/>
        <v>1.5205739635810399E-7</v>
      </c>
      <c r="T292" s="154">
        <f t="shared" si="20"/>
        <v>1.2908693413332523E-2</v>
      </c>
      <c r="U292" s="154">
        <f t="shared" si="21"/>
        <v>3.3546136835750247</v>
      </c>
    </row>
    <row r="293" spans="1:21" x14ac:dyDescent="0.35">
      <c r="A293" s="397"/>
      <c r="B293" s="1" t="s">
        <v>497</v>
      </c>
      <c r="C293" s="154">
        <f t="shared" si="3"/>
        <v>2.4665396453193262E-4</v>
      </c>
      <c r="D293" s="154">
        <f t="shared" si="4"/>
        <v>6.922615717597802E-2</v>
      </c>
      <c r="E293" s="154">
        <f t="shared" si="5"/>
        <v>1.4472037946169089E-3</v>
      </c>
      <c r="F293" s="154">
        <f t="shared" si="6"/>
        <v>6.7608719296451653E-2</v>
      </c>
      <c r="G293" s="154">
        <f t="shared" si="7"/>
        <v>1.7023408490945789E-4</v>
      </c>
      <c r="H293" s="154">
        <f t="shared" si="8"/>
        <v>0.23761801834425239</v>
      </c>
      <c r="I293" s="154">
        <f t="shared" si="9"/>
        <v>3.328600400452788</v>
      </c>
      <c r="J293" s="154">
        <f t="shared" si="10"/>
        <v>2.539479183993815E-5</v>
      </c>
      <c r="K293" s="154">
        <f t="shared" si="11"/>
        <v>5.0724064560675868E-5</v>
      </c>
      <c r="L293" s="154">
        <f t="shared" si="12"/>
        <v>4.8151073078265178E-4</v>
      </c>
      <c r="M293" s="154">
        <f t="shared" si="13"/>
        <v>2.8301963251667324E-11</v>
      </c>
      <c r="N293" s="154">
        <f t="shared" si="14"/>
        <v>1.56492213579919E-9</v>
      </c>
      <c r="O293" s="154">
        <f t="shared" si="15"/>
        <v>0.13982362787611302</v>
      </c>
      <c r="P293" s="154">
        <f t="shared" si="16"/>
        <v>0.52526843847843019</v>
      </c>
      <c r="Q293" s="154">
        <f t="shared" si="17"/>
        <v>1.8025371918551306E-6</v>
      </c>
      <c r="R293" s="154">
        <f t="shared" si="18"/>
        <v>2.1614953338952131E-9</v>
      </c>
      <c r="S293" s="154">
        <f t="shared" si="19"/>
        <v>1.8125241645885996E-9</v>
      </c>
      <c r="T293" s="154">
        <f t="shared" si="20"/>
        <v>1.5387162548692371E-4</v>
      </c>
      <c r="U293" s="154">
        <f t="shared" si="21"/>
        <v>3.9986995108214296E-2</v>
      </c>
    </row>
    <row r="294" spans="1:21" x14ac:dyDescent="0.35">
      <c r="A294" s="401" t="s">
        <v>521</v>
      </c>
      <c r="B294" s="1" t="s">
        <v>503</v>
      </c>
      <c r="C294" s="154">
        <f t="shared" si="3"/>
        <v>1.3243165880909135E-2</v>
      </c>
      <c r="D294" s="154">
        <f t="shared" si="4"/>
        <v>3.7168406537437866</v>
      </c>
      <c r="E294" s="154">
        <f t="shared" si="5"/>
        <v>7.7702217160639409E-2</v>
      </c>
      <c r="F294" s="154">
        <f t="shared" si="6"/>
        <v>3.6299983514873375</v>
      </c>
      <c r="G294" s="154">
        <f t="shared" si="7"/>
        <v>9.1400850958098211E-3</v>
      </c>
      <c r="H294" s="154">
        <f t="shared" si="8"/>
        <v>12.758014407745094</v>
      </c>
      <c r="I294" s="154">
        <f t="shared" si="9"/>
        <v>178.71680002431077</v>
      </c>
      <c r="J294" s="154">
        <f t="shared" si="10"/>
        <v>1.3634787565067461E-3</v>
      </c>
      <c r="K294" s="154">
        <f t="shared" si="11"/>
        <v>2.7234397079557516E-3</v>
      </c>
      <c r="L294" s="154">
        <f t="shared" si="12"/>
        <v>2.5852925142692714E-2</v>
      </c>
      <c r="M294" s="154">
        <f t="shared" si="13"/>
        <v>1.519568496733816E-9</v>
      </c>
      <c r="N294" s="154">
        <f t="shared" si="14"/>
        <v>8.4022665009352474E-8</v>
      </c>
      <c r="O294" s="154">
        <f t="shared" si="15"/>
        <v>7.5073088792543912</v>
      </c>
      <c r="P294" s="154">
        <f t="shared" si="16"/>
        <v>28.202332267298264</v>
      </c>
      <c r="Q294" s="154">
        <f t="shared" si="17"/>
        <v>9.6780520368060699E-5</v>
      </c>
      <c r="R294" s="154">
        <f t="shared" si="18"/>
        <v>1.1605344074605171E-7</v>
      </c>
      <c r="S294" s="154">
        <f t="shared" si="19"/>
        <v>9.7316733669186543E-8</v>
      </c>
      <c r="T294" s="154">
        <f t="shared" si="20"/>
        <v>8.2615637845328167E-3</v>
      </c>
      <c r="U294" s="154">
        <f t="shared" si="21"/>
        <v>2.1469527574880161</v>
      </c>
    </row>
    <row r="295" spans="1:21" x14ac:dyDescent="0.35">
      <c r="A295" s="401"/>
      <c r="B295" s="1" t="s">
        <v>505</v>
      </c>
      <c r="C295" s="154">
        <f t="shared" si="3"/>
        <v>1.2332698226596631E-4</v>
      </c>
      <c r="D295" s="154">
        <f t="shared" si="4"/>
        <v>3.461307858798901E-2</v>
      </c>
      <c r="E295" s="154">
        <f t="shared" si="5"/>
        <v>7.2360189730845447E-4</v>
      </c>
      <c r="F295" s="154">
        <f t="shared" si="6"/>
        <v>3.3804359648225826E-2</v>
      </c>
      <c r="G295" s="154">
        <f t="shared" si="7"/>
        <v>8.5117042454728947E-5</v>
      </c>
      <c r="H295" s="154">
        <f t="shared" si="8"/>
        <v>0.1188090091721262</v>
      </c>
      <c r="I295" s="154">
        <f t="shared" si="9"/>
        <v>1.664300200226394</v>
      </c>
      <c r="J295" s="154">
        <f t="shared" si="10"/>
        <v>1.2697395919969075E-5</v>
      </c>
      <c r="K295" s="154">
        <f t="shared" si="11"/>
        <v>2.5362032280337934E-5</v>
      </c>
      <c r="L295" s="154">
        <f t="shared" si="12"/>
        <v>2.4075536539132589E-4</v>
      </c>
      <c r="M295" s="154">
        <f t="shared" si="13"/>
        <v>1.4150981625833662E-11</v>
      </c>
      <c r="N295" s="154">
        <f t="shared" si="14"/>
        <v>7.8246106789959498E-10</v>
      </c>
      <c r="O295" s="154">
        <f t="shared" si="15"/>
        <v>6.9911813938056511E-2</v>
      </c>
      <c r="P295" s="154">
        <f t="shared" si="16"/>
        <v>0.26263421923921509</v>
      </c>
      <c r="Q295" s="154">
        <f t="shared" si="17"/>
        <v>9.012685959275653E-7</v>
      </c>
      <c r="R295" s="154">
        <f t="shared" si="18"/>
        <v>1.0807476669476065E-9</v>
      </c>
      <c r="S295" s="154">
        <f t="shared" si="19"/>
        <v>9.0626208229429978E-10</v>
      </c>
      <c r="T295" s="154">
        <f t="shared" si="20"/>
        <v>7.6935812743461854E-5</v>
      </c>
      <c r="U295" s="154">
        <f t="shared" si="21"/>
        <v>1.9993497554107148E-2</v>
      </c>
    </row>
    <row r="296" spans="1:21" x14ac:dyDescent="0.35">
      <c r="A296" s="395" t="s">
        <v>522</v>
      </c>
      <c r="B296" s="1" t="s">
        <v>507</v>
      </c>
      <c r="C296" s="154">
        <f t="shared" si="3"/>
        <v>0.16553957351136417</v>
      </c>
      <c r="D296" s="154">
        <f t="shared" si="4"/>
        <v>46.460508171797329</v>
      </c>
      <c r="E296" s="154">
        <f t="shared" si="5"/>
        <v>0.9712777145079925</v>
      </c>
      <c r="F296" s="154">
        <f t="shared" si="6"/>
        <v>45.374979393591722</v>
      </c>
      <c r="G296" s="154">
        <f t="shared" si="7"/>
        <v>0.11425106369762275</v>
      </c>
      <c r="H296" s="154">
        <f t="shared" si="8"/>
        <v>159.47518009681369</v>
      </c>
      <c r="I296" s="154">
        <f t="shared" si="9"/>
        <v>2233.960000303885</v>
      </c>
      <c r="J296" s="154">
        <f t="shared" si="10"/>
        <v>1.7043484456334329E-2</v>
      </c>
      <c r="K296" s="154">
        <f t="shared" si="11"/>
        <v>3.4042996349446894E-2</v>
      </c>
      <c r="L296" s="154">
        <f t="shared" si="12"/>
        <v>0.32316156428365894</v>
      </c>
      <c r="M296" s="154">
        <f t="shared" si="13"/>
        <v>1.8994606209172698E-8</v>
      </c>
      <c r="N296" s="154">
        <f t="shared" si="14"/>
        <v>1.0502833126169059E-6</v>
      </c>
      <c r="O296" s="154">
        <f t="shared" si="15"/>
        <v>93.841360990679888</v>
      </c>
      <c r="P296" s="154">
        <f t="shared" si="16"/>
        <v>352.52915334122827</v>
      </c>
      <c r="Q296" s="154">
        <f t="shared" si="17"/>
        <v>1.2097565046007587E-3</v>
      </c>
      <c r="R296" s="154">
        <f t="shared" si="18"/>
        <v>1.4506680093256463E-6</v>
      </c>
      <c r="S296" s="154">
        <f t="shared" si="19"/>
        <v>1.2164591708648319E-6</v>
      </c>
      <c r="T296" s="154">
        <f t="shared" si="20"/>
        <v>0.10326954730666019</v>
      </c>
      <c r="U296" s="154">
        <f t="shared" si="21"/>
        <v>26.836909468600197</v>
      </c>
    </row>
    <row r="297" spans="1:21" x14ac:dyDescent="0.35">
      <c r="A297" s="396"/>
      <c r="B297" s="1" t="s">
        <v>505</v>
      </c>
      <c r="C297" s="154">
        <f t="shared" si="3"/>
        <v>9.8661585812773048E-4</v>
      </c>
      <c r="D297" s="154">
        <f t="shared" si="4"/>
        <v>0.27690462870391208</v>
      </c>
      <c r="E297" s="154">
        <f t="shared" si="5"/>
        <v>5.7888151784676357E-3</v>
      </c>
      <c r="F297" s="154">
        <f t="shared" si="6"/>
        <v>0.27043487718580661</v>
      </c>
      <c r="G297" s="154">
        <f t="shared" si="7"/>
        <v>6.8093633963783157E-4</v>
      </c>
      <c r="H297" s="154">
        <f t="shared" si="8"/>
        <v>0.95047207337700956</v>
      </c>
      <c r="I297" s="154">
        <f t="shared" si="9"/>
        <v>13.314401601811152</v>
      </c>
      <c r="J297" s="154">
        <f t="shared" si="10"/>
        <v>1.015791673597526E-4</v>
      </c>
      <c r="K297" s="154">
        <f t="shared" si="11"/>
        <v>2.0289625824270347E-4</v>
      </c>
      <c r="L297" s="154">
        <f t="shared" si="12"/>
        <v>1.9260429231306071E-3</v>
      </c>
      <c r="M297" s="154">
        <f t="shared" si="13"/>
        <v>1.132078530066693E-10</v>
      </c>
      <c r="N297" s="154">
        <f t="shared" si="14"/>
        <v>6.2596885431967599E-9</v>
      </c>
      <c r="O297" s="154">
        <f t="shared" si="15"/>
        <v>0.55929451150445209</v>
      </c>
      <c r="P297" s="154">
        <f t="shared" si="16"/>
        <v>2.1010737539137208</v>
      </c>
      <c r="Q297" s="154">
        <f t="shared" si="17"/>
        <v>7.2101487674205224E-6</v>
      </c>
      <c r="R297" s="154">
        <f t="shared" si="18"/>
        <v>8.6459813355808522E-9</v>
      </c>
      <c r="S297" s="154">
        <f t="shared" si="19"/>
        <v>7.2500966583543982E-9</v>
      </c>
      <c r="T297" s="154">
        <f t="shared" si="20"/>
        <v>6.1548650194769483E-4</v>
      </c>
      <c r="U297" s="154">
        <f t="shared" si="21"/>
        <v>0.15994798043285718</v>
      </c>
    </row>
    <row r="298" spans="1:21" x14ac:dyDescent="0.35">
      <c r="A298" s="396"/>
      <c r="B298" s="1" t="s">
        <v>509</v>
      </c>
      <c r="C298" s="154">
        <f t="shared" si="3"/>
        <v>2.4499856879681901E-2</v>
      </c>
      <c r="D298" s="154">
        <f t="shared" si="4"/>
        <v>6.8761552094260043</v>
      </c>
      <c r="E298" s="154">
        <f t="shared" si="5"/>
        <v>0.14374910174718289</v>
      </c>
      <c r="F298" s="154">
        <f t="shared" si="6"/>
        <v>6.7154969502515742</v>
      </c>
      <c r="G298" s="154">
        <f t="shared" si="7"/>
        <v>1.6909157427248168E-2</v>
      </c>
      <c r="H298" s="154">
        <f t="shared" si="8"/>
        <v>23.602326654328426</v>
      </c>
      <c r="I298" s="154">
        <f t="shared" si="9"/>
        <v>330.62608004497491</v>
      </c>
      <c r="J298" s="154">
        <f t="shared" si="10"/>
        <v>2.5224356995374808E-3</v>
      </c>
      <c r="K298" s="154">
        <f t="shared" si="11"/>
        <v>5.03836345971814E-3</v>
      </c>
      <c r="L298" s="154">
        <f t="shared" si="12"/>
        <v>4.7827911513981525E-2</v>
      </c>
      <c r="M298" s="154">
        <f t="shared" si="13"/>
        <v>2.8112017189575595E-9</v>
      </c>
      <c r="N298" s="154">
        <f t="shared" si="14"/>
        <v>1.5544193026730209E-7</v>
      </c>
      <c r="O298" s="154">
        <f t="shared" si="15"/>
        <v>13.888521426620624</v>
      </c>
      <c r="P298" s="154">
        <f t="shared" si="16"/>
        <v>52.174314694501788</v>
      </c>
      <c r="Q298" s="154">
        <f t="shared" si="17"/>
        <v>1.7904396268091232E-4</v>
      </c>
      <c r="R298" s="154">
        <f t="shared" si="18"/>
        <v>2.1469886538019563E-7</v>
      </c>
      <c r="S298" s="154">
        <f t="shared" si="19"/>
        <v>1.8003595728799511E-7</v>
      </c>
      <c r="T298" s="154">
        <f t="shared" si="20"/>
        <v>1.5283893001385709E-2</v>
      </c>
      <c r="U298" s="154">
        <f t="shared" si="21"/>
        <v>3.9718626013528295</v>
      </c>
    </row>
    <row r="299" spans="1:21" x14ac:dyDescent="0.35">
      <c r="A299" s="397"/>
      <c r="B299" s="1" t="s">
        <v>510</v>
      </c>
      <c r="C299" s="154">
        <f t="shared" si="3"/>
        <v>2.4698504367895537E-3</v>
      </c>
      <c r="D299" s="154">
        <f t="shared" si="4"/>
        <v>0.69319078192321615</v>
      </c>
      <c r="E299" s="154">
        <f t="shared" si="5"/>
        <v>1.4491463500459248E-2</v>
      </c>
      <c r="F299" s="154">
        <f t="shared" si="6"/>
        <v>0.67699469255238842</v>
      </c>
      <c r="G299" s="154">
        <f t="shared" si="7"/>
        <v>1.7046258703685316E-3</v>
      </c>
      <c r="H299" s="154">
        <f t="shared" si="8"/>
        <v>2.3793696870444601</v>
      </c>
      <c r="I299" s="154">
        <f t="shared" si="9"/>
        <v>33.330683204533962</v>
      </c>
      <c r="J299" s="154">
        <f t="shared" si="10"/>
        <v>2.5428878808850816E-4</v>
      </c>
      <c r="K299" s="154">
        <f t="shared" si="11"/>
        <v>5.0792150553374772E-4</v>
      </c>
      <c r="L299" s="154">
        <f t="shared" si="12"/>
        <v>4.8215705391121914E-3</v>
      </c>
      <c r="M299" s="154">
        <f t="shared" si="13"/>
        <v>2.8339952464085666E-10</v>
      </c>
      <c r="N299" s="154">
        <f t="shared" si="14"/>
        <v>1.5670227024244237E-8</v>
      </c>
      <c r="O299" s="154">
        <f t="shared" si="15"/>
        <v>1.400113105980944</v>
      </c>
      <c r="P299" s="154">
        <f t="shared" si="16"/>
        <v>5.2597349678511263</v>
      </c>
      <c r="Q299" s="154">
        <f t="shared" si="17"/>
        <v>1.8049567048643321E-5</v>
      </c>
      <c r="R299" s="154">
        <f t="shared" si="18"/>
        <v>2.164396669913864E-8</v>
      </c>
      <c r="S299" s="154">
        <f t="shared" si="19"/>
        <v>1.8149570829303289E-8</v>
      </c>
      <c r="T299" s="154">
        <f t="shared" si="20"/>
        <v>1.5407816458153701E-3</v>
      </c>
      <c r="U299" s="154">
        <f t="shared" si="21"/>
        <v>0.40040668927151496</v>
      </c>
    </row>
    <row r="300" spans="1:21" x14ac:dyDescent="0.35">
      <c r="A300" s="1" t="s">
        <v>523</v>
      </c>
      <c r="B300" s="1" t="s">
        <v>513</v>
      </c>
      <c r="C300" s="154">
        <f>G281</f>
        <v>3.1274347724546945E-3</v>
      </c>
      <c r="D300" s="154">
        <f>H281</f>
        <v>2.446199522432015</v>
      </c>
      <c r="E300" s="154">
        <f t="shared" ref="E300:L301" si="22">I281</f>
        <v>5.0556739384595417E-4</v>
      </c>
      <c r="F300" s="154">
        <f t="shared" si="22"/>
        <v>2.4455857777045589</v>
      </c>
      <c r="G300" s="154">
        <f t="shared" si="22"/>
        <v>1.0817733361020644E-4</v>
      </c>
      <c r="H300" s="154">
        <f t="shared" si="22"/>
        <v>1.0808058659215962</v>
      </c>
      <c r="I300" s="154">
        <f t="shared" si="22"/>
        <v>32.492068668226544</v>
      </c>
      <c r="J300" s="154">
        <f t="shared" si="22"/>
        <v>2.5859635186294378E-5</v>
      </c>
      <c r="K300" s="154">
        <f t="shared" si="22"/>
        <v>7.0721489480979761E-4</v>
      </c>
      <c r="L300" s="154">
        <f t="shared" si="22"/>
        <v>7.6882973672065258E-3</v>
      </c>
      <c r="M300" s="154">
        <f t="shared" ref="M300:U301" si="23">Q281</f>
        <v>1.4948856314277339E-10</v>
      </c>
      <c r="N300" s="154">
        <f t="shared" si="23"/>
        <v>3.9844802899581692E-9</v>
      </c>
      <c r="O300" s="154">
        <f t="shared" si="23"/>
        <v>9.7560129688989E-3</v>
      </c>
      <c r="P300" s="154">
        <f t="shared" si="23"/>
        <v>1.6705611441688033</v>
      </c>
      <c r="Q300" s="154">
        <f t="shared" si="23"/>
        <v>3.8144054478374028E-7</v>
      </c>
      <c r="R300" s="154">
        <f t="shared" si="23"/>
        <v>5.5124170757740804E-8</v>
      </c>
      <c r="S300" s="154">
        <f t="shared" si="23"/>
        <v>2.4093255039735617E-8</v>
      </c>
      <c r="T300" s="154">
        <f t="shared" si="23"/>
        <v>6.0253235805583895E-3</v>
      </c>
      <c r="U300" s="154">
        <f t="shared" si="23"/>
        <v>4.3975555137859029E-2</v>
      </c>
    </row>
    <row r="301" spans="1:21" x14ac:dyDescent="0.35">
      <c r="A301" s="9" t="s">
        <v>524</v>
      </c>
      <c r="B301" s="1" t="s">
        <v>513</v>
      </c>
      <c r="C301" s="154">
        <f>G282</f>
        <v>3.1821275904149515E-2</v>
      </c>
      <c r="D301" s="154">
        <f>H282</f>
        <v>24.889788463537194</v>
      </c>
      <c r="E301" s="154">
        <f t="shared" si="22"/>
        <v>5.1440879501019185E-3</v>
      </c>
      <c r="F301" s="154">
        <f t="shared" si="22"/>
        <v>24.88354368411634</v>
      </c>
      <c r="G301" s="154">
        <f t="shared" si="22"/>
        <v>1.1006914707556775E-3</v>
      </c>
      <c r="H301" s="154">
        <f t="shared" si="22"/>
        <v>10.997070813828643</v>
      </c>
      <c r="I301" s="154">
        <f t="shared" si="22"/>
        <v>330.60292444618426</v>
      </c>
      <c r="J301" s="154">
        <f t="shared" si="22"/>
        <v>2.6311870459822575E-4</v>
      </c>
      <c r="K301" s="154">
        <f t="shared" si="22"/>
        <v>7.1958272285893559E-3</v>
      </c>
      <c r="L301" s="154">
        <f t="shared" si="22"/>
        <v>7.8227508982705501E-2</v>
      </c>
      <c r="M301" s="154">
        <f t="shared" si="23"/>
        <v>1.5210283054272649E-9</v>
      </c>
      <c r="N301" s="154">
        <f t="shared" si="23"/>
        <v>4.0541611853310466E-8</v>
      </c>
      <c r="O301" s="154">
        <f t="shared" si="23"/>
        <v>9.9266268681960187E-2</v>
      </c>
      <c r="P301" s="154">
        <f t="shared" si="23"/>
        <v>16.997760449412308</v>
      </c>
      <c r="Q301" s="154">
        <f t="shared" si="23"/>
        <v>3.8811120613925875E-6</v>
      </c>
      <c r="R301" s="154">
        <f t="shared" si="23"/>
        <v>5.6088186462566159E-7</v>
      </c>
      <c r="S301" s="154">
        <f t="shared" si="23"/>
        <v>2.4514599722465493E-7</v>
      </c>
      <c r="T301" s="154">
        <f t="shared" si="23"/>
        <v>6.1306948991373122E-2</v>
      </c>
      <c r="U301" s="154">
        <f t="shared" si="23"/>
        <v>0.4474460300195513</v>
      </c>
    </row>
    <row r="302" spans="1:21" x14ac:dyDescent="0.35">
      <c r="A302" s="405" t="s">
        <v>525</v>
      </c>
      <c r="B302" s="405"/>
      <c r="C302" s="10">
        <f t="shared" ref="C302:U302" si="24">SUM(C288:C301)</f>
        <v>0.28477396892204759</v>
      </c>
      <c r="D302" s="10">
        <f t="shared" si="24"/>
        <v>103.22134232032127</v>
      </c>
      <c r="E302" s="10">
        <f t="shared" si="24"/>
        <v>1.3892893205579686</v>
      </c>
      <c r="F302" s="10">
        <f t="shared" si="24"/>
        <v>101.66784334021006</v>
      </c>
      <c r="G302" s="10">
        <f t="shared" si="24"/>
        <v>0.16420964705327432</v>
      </c>
      <c r="H302" s="10">
        <f t="shared" si="24"/>
        <v>247.01938915649339</v>
      </c>
      <c r="I302" s="10">
        <f t="shared" si="24"/>
        <v>3668.3653451994619</v>
      </c>
      <c r="J302" s="10">
        <f t="shared" si="24"/>
        <v>2.4718431640125303E-2</v>
      </c>
      <c r="K302" s="10">
        <f t="shared" si="24"/>
        <v>5.9461506013288992E-2</v>
      </c>
      <c r="L302" s="10">
        <f t="shared" si="24"/>
        <v>0.57964064261754411</v>
      </c>
      <c r="M302" s="10">
        <f t="shared" si="24"/>
        <v>2.9518076150578666E-8</v>
      </c>
      <c r="N302" s="10">
        <f t="shared" si="24"/>
        <v>1.6072483523424545E-6</v>
      </c>
      <c r="O302" s="10">
        <f t="shared" si="24"/>
        <v>133.40386286133807</v>
      </c>
      <c r="P302" s="10">
        <f t="shared" si="24"/>
        <v>527.60583151236142</v>
      </c>
      <c r="Q302" s="10">
        <f t="shared" si="24"/>
        <v>1.7327993182822915E-3</v>
      </c>
      <c r="R302" s="10">
        <f t="shared" si="24"/>
        <v>2.8962523451066689E-6</v>
      </c>
      <c r="S302" s="10">
        <f t="shared" si="24"/>
        <v>2.611319406426671E-6</v>
      </c>
      <c r="T302" s="10">
        <f t="shared" si="24"/>
        <v>0.23974728350920368</v>
      </c>
      <c r="U302" s="10">
        <f t="shared" si="24"/>
        <v>38.898123690711053</v>
      </c>
    </row>
    <row r="303" spans="1:21" ht="29" x14ac:dyDescent="0.35">
      <c r="A303" s="53" t="s">
        <v>526</v>
      </c>
      <c r="B303" s="324" t="s">
        <v>58</v>
      </c>
      <c r="C303" s="325">
        <f>+C302-(H263+SUM(G267:G277)+SUM(G281:G282))</f>
        <v>0</v>
      </c>
      <c r="D303" s="325">
        <f>+D302-(I263+SUM(H267:H277)+SUM(H281:H282))</f>
        <v>0</v>
      </c>
      <c r="E303" s="325">
        <f t="shared" ref="E303:U303" si="25">+E302-(J263+SUM(I267:I277)+SUM(I281:I282))</f>
        <v>0</v>
      </c>
      <c r="F303" s="325">
        <f t="shared" si="25"/>
        <v>0</v>
      </c>
      <c r="G303" s="325">
        <f t="shared" si="25"/>
        <v>0</v>
      </c>
      <c r="H303" s="325">
        <f t="shared" si="25"/>
        <v>0</v>
      </c>
      <c r="I303" s="325">
        <f t="shared" si="25"/>
        <v>0</v>
      </c>
      <c r="J303" s="325">
        <f t="shared" si="25"/>
        <v>0</v>
      </c>
      <c r="K303" s="325">
        <f t="shared" si="25"/>
        <v>0</v>
      </c>
      <c r="L303" s="325">
        <f t="shared" si="25"/>
        <v>0</v>
      </c>
      <c r="M303" s="325">
        <f t="shared" si="25"/>
        <v>0</v>
      </c>
      <c r="N303" s="325">
        <f t="shared" si="25"/>
        <v>0</v>
      </c>
      <c r="O303" s="325">
        <f t="shared" si="25"/>
        <v>0</v>
      </c>
      <c r="P303" s="325">
        <f t="shared" si="25"/>
        <v>0</v>
      </c>
      <c r="Q303" s="325">
        <f t="shared" si="25"/>
        <v>0</v>
      </c>
      <c r="R303" s="325">
        <f t="shared" si="25"/>
        <v>0</v>
      </c>
      <c r="S303" s="325">
        <f t="shared" si="25"/>
        <v>0</v>
      </c>
      <c r="T303" s="325">
        <f t="shared" si="25"/>
        <v>0</v>
      </c>
      <c r="U303" s="325">
        <f t="shared" si="25"/>
        <v>0</v>
      </c>
    </row>
    <row r="308" spans="1:23" ht="23.5" x14ac:dyDescent="0.55000000000000004">
      <c r="A308" s="100" t="s">
        <v>976</v>
      </c>
    </row>
    <row r="310" spans="1:23" ht="72.5" x14ac:dyDescent="0.35">
      <c r="A310" s="104" t="s">
        <v>276</v>
      </c>
      <c r="B310" s="104" t="s">
        <v>277</v>
      </c>
      <c r="C310" s="103" t="s">
        <v>278</v>
      </c>
      <c r="D310" s="103" t="s">
        <v>57</v>
      </c>
      <c r="E310" s="103" t="s">
        <v>279</v>
      </c>
      <c r="F310" s="103" t="s">
        <v>280</v>
      </c>
      <c r="G310" s="103" t="s">
        <v>281</v>
      </c>
      <c r="H310" s="103" t="s">
        <v>282</v>
      </c>
      <c r="I310" s="103" t="s">
        <v>283</v>
      </c>
      <c r="J310" s="103" t="s">
        <v>284</v>
      </c>
      <c r="K310" s="103" t="s">
        <v>285</v>
      </c>
      <c r="L310" s="103" t="s">
        <v>286</v>
      </c>
      <c r="M310" s="103" t="s">
        <v>287</v>
      </c>
      <c r="N310" s="103" t="s">
        <v>288</v>
      </c>
      <c r="O310" s="103" t="s">
        <v>289</v>
      </c>
      <c r="P310" s="103" t="s">
        <v>290</v>
      </c>
      <c r="Q310" s="103" t="s">
        <v>291</v>
      </c>
      <c r="R310" s="103" t="s">
        <v>292</v>
      </c>
      <c r="S310" s="103" t="s">
        <v>293</v>
      </c>
      <c r="T310" s="103" t="s">
        <v>294</v>
      </c>
      <c r="U310" s="103" t="s">
        <v>295</v>
      </c>
      <c r="V310" s="103" t="s">
        <v>296</v>
      </c>
      <c r="W310" s="103" t="s">
        <v>297</v>
      </c>
    </row>
    <row r="311" spans="1:23" x14ac:dyDescent="0.35">
      <c r="A311" s="401" t="s">
        <v>299</v>
      </c>
      <c r="B311" s="158" t="str">
        <f>Input!A53</f>
        <v>Other_waste 1</v>
      </c>
      <c r="C311" s="154">
        <f>+Input!B53*(1-Input!E53)</f>
        <v>0</v>
      </c>
      <c r="D311" s="158" t="str">
        <f>Input!$C$53</f>
        <v>No_other_waste</v>
      </c>
      <c r="E311" s="158" cm="1">
        <f t="array" ref="E311">IF($D311="Recycled_concrete_aggregate",0,INDEX(LCI!H$2:H$130,MATCH('C3'' - Secondary Raw Material '!$B$311&amp;'C3'' - Secondary Raw Material '!$D$311,LCI!$B$2:$B$130&amp;LCI!$D$2:$D$130,0))*$C$311)</f>
        <v>0</v>
      </c>
      <c r="F311" s="158" cm="1">
        <f t="array" ref="F311">IF($D311="Recycled_concrete_aggregate",0,INDEX(LCI!I$2:I$130,MATCH('C3'' - Secondary Raw Material '!$B$311&amp;'C3'' - Secondary Raw Material '!$D$311,LCI!$B$2:$B$130&amp;LCI!$D$2:$D$130,0))*$C$311)</f>
        <v>0</v>
      </c>
      <c r="G311" s="158" cm="1">
        <f t="array" ref="G311">IF($D311="Recycled_concrete_aggregate",0,INDEX(LCI!J$2:J$130,MATCH('C3'' - Secondary Raw Material '!$B$311&amp;'C3'' - Secondary Raw Material '!$D$311,LCI!$B$2:$B$130&amp;LCI!$D$2:$D$130,0))*$C$311)</f>
        <v>0</v>
      </c>
      <c r="H311" s="158" cm="1">
        <f t="array" ref="H311">IF($D311="Recycled_concrete_aggregate",0,INDEX(LCI!K$2:K$130,MATCH('C3'' - Secondary Raw Material '!$B$311&amp;'C3'' - Secondary Raw Material '!$D$311,LCI!$B$2:$B$130&amp;LCI!$D$2:$D$130,0))*$C$311)</f>
        <v>0</v>
      </c>
      <c r="I311" s="158" cm="1">
        <f t="array" ref="I311">IF($D311="Recycled_concrete_aggregate",0,INDEX(LCI!L$2:L$130,MATCH('C3'' - Secondary Raw Material '!$B$311&amp;'C3'' - Secondary Raw Material '!$D$311,LCI!$B$2:$B$130&amp;LCI!$D$2:$D$130,0))*$C$311)</f>
        <v>0</v>
      </c>
      <c r="J311" s="158" cm="1">
        <f t="array" ref="J311">IF($D311="Recycled_concrete_aggregate",0,INDEX(LCI!M$2:M$130,MATCH('C3'' - Secondary Raw Material '!$B$311&amp;'C3'' - Secondary Raw Material '!$D$311,LCI!$B$2:$B$130&amp;LCI!$D$2:$D$130,0))*$C$311)</f>
        <v>0</v>
      </c>
      <c r="K311" s="158" cm="1">
        <f t="array" ref="K311">IF($D311="Recycled_concrete_aggregate",0,INDEX(LCI!N$2:N$130,MATCH('C3'' - Secondary Raw Material '!$B$311&amp;'C3'' - Secondary Raw Material '!$D$311,LCI!$B$2:$B$130&amp;LCI!$D$2:$D$130,0))*$C$311)</f>
        <v>0</v>
      </c>
      <c r="L311" s="158" cm="1">
        <f t="array" ref="L311">IF($D311="Recycled_concrete_aggregate",0,INDEX(LCI!O$2:O$130,MATCH('C3'' - Secondary Raw Material '!$B$311&amp;'C3'' - Secondary Raw Material '!$D$311,LCI!$B$2:$B$130&amp;LCI!$D$2:$D$130,0))*$C$311)</f>
        <v>0</v>
      </c>
      <c r="M311" s="158" cm="1">
        <f t="array" ref="M311">IF($D311="Recycled_concrete_aggregate",0,INDEX(LCI!P$2:P$130,MATCH('C3'' - Secondary Raw Material '!$B$311&amp;'C3'' - Secondary Raw Material '!$D$311,LCI!$B$2:$B$130&amp;LCI!$D$2:$D$130,0))*$C$311)</f>
        <v>0</v>
      </c>
      <c r="N311" s="158" cm="1">
        <f t="array" ref="N311">IF($D311="Recycled_concrete_aggregate",0,INDEX(LCI!Q$2:Q$130,MATCH('C3'' - Secondary Raw Material '!$B$311&amp;'C3'' - Secondary Raw Material '!$D$311,LCI!$B$2:$B$130&amp;LCI!$D$2:$D$130,0))*$C$311)</f>
        <v>0</v>
      </c>
      <c r="O311" s="158" cm="1">
        <f t="array" ref="O311">IF($D311="Recycled_concrete_aggregate",0,INDEX(LCI!R$2:R$130,MATCH('C3'' - Secondary Raw Material '!$B$311&amp;'C3'' - Secondary Raw Material '!$D$311,LCI!$B$2:$B$130&amp;LCI!$D$2:$D$130,0))*$C$311)</f>
        <v>0</v>
      </c>
      <c r="P311" s="158" cm="1">
        <f t="array" ref="P311">IF($D311="Recycled_concrete_aggregate",0,INDEX(LCI!S$2:S$130,MATCH('C3'' - Secondary Raw Material '!$B$311&amp;'C3'' - Secondary Raw Material '!$D$311,LCI!$B$2:$B$130&amp;LCI!$D$2:$D$130,0))*$C$311)</f>
        <v>0</v>
      </c>
      <c r="Q311" s="158" cm="1">
        <f t="array" ref="Q311">IF($D311="Recycled_concrete_aggregate",0,INDEX(LCI!T$2:T$130,MATCH('C3'' - Secondary Raw Material '!$B$311&amp;'C3'' - Secondary Raw Material '!$D$311,LCI!$B$2:$B$130&amp;LCI!$D$2:$D$130,0))*$C$311)</f>
        <v>0</v>
      </c>
      <c r="R311" s="158" cm="1">
        <f t="array" ref="R311">IF($D311="Recycled_concrete_aggregate",0,INDEX(LCI!U$2:U$130,MATCH('C3'' - Secondary Raw Material '!$B$311&amp;'C3'' - Secondary Raw Material '!$D$311,LCI!$B$2:$B$130&amp;LCI!$D$2:$D$130,0))*$C$311)</f>
        <v>0</v>
      </c>
      <c r="S311" s="158" cm="1">
        <f t="array" ref="S311">IF($D311="Recycled_concrete_aggregate",0,INDEX(LCI!V$2:V$130,MATCH('C3'' - Secondary Raw Material '!$B$311&amp;'C3'' - Secondary Raw Material '!$D$311,LCI!$B$2:$B$130&amp;LCI!$D$2:$D$130,0))*$C$311)</f>
        <v>0</v>
      </c>
      <c r="T311" s="158" cm="1">
        <f t="array" ref="T311">IF($D311="Recycled_concrete_aggregate",0,INDEX(LCI!W$2:W$130,MATCH('C3'' - Secondary Raw Material '!$B$311&amp;'C3'' - Secondary Raw Material '!$D$311,LCI!$B$2:$B$130&amp;LCI!$D$2:$D$130,0))*$C$311)</f>
        <v>0</v>
      </c>
      <c r="U311" s="158" cm="1">
        <f t="array" ref="U311">IF($D311="Recycled_concrete_aggregate",0,INDEX(LCI!X$2:X$130,MATCH('C3'' - Secondary Raw Material '!$B$311&amp;'C3'' - Secondary Raw Material '!$D$311,LCI!$B$2:$B$130&amp;LCI!$D$2:$D$130,0))*$C$311)</f>
        <v>0</v>
      </c>
      <c r="V311" s="158" cm="1">
        <f t="array" ref="V311">IF($D311="Recycled_concrete_aggregate",0,INDEX(LCI!Y$2:Y$130,MATCH('C3'' - Secondary Raw Material '!$B$311&amp;'C3'' - Secondary Raw Material '!$D$311,LCI!$B$2:$B$130&amp;LCI!$D$2:$D$130,0))*$C$311)</f>
        <v>0</v>
      </c>
      <c r="W311" s="158" cm="1">
        <f t="array" ref="W311">IF($D311="Recycled_concrete_aggregate",0,INDEX(LCI!Z$2:Z$130,MATCH('C3'' - Secondary Raw Material '!$B$311&amp;'C3'' - Secondary Raw Material '!$D$311,LCI!$B$2:$B$130&amp;LCI!$D$2:$D$130,0))*$C$311)</f>
        <v>0</v>
      </c>
    </row>
    <row r="312" spans="1:23" x14ac:dyDescent="0.35">
      <c r="A312" s="401"/>
      <c r="B312" s="158" t="str">
        <f>Input!A54</f>
        <v>Other_waste 2</v>
      </c>
      <c r="C312" s="154">
        <f>+Input!B54*(1-Input!E54)</f>
        <v>0</v>
      </c>
      <c r="D312" s="158" t="str">
        <f>Input!$C$54</f>
        <v>No_other_waste</v>
      </c>
      <c r="E312" s="158" cm="1">
        <f t="array" ref="E312">IF($D312="Recycled_concrete_aggregate",0,INDEX(LCI!H$2:H$130,MATCH('C3'' - Secondary Raw Material '!$B$312&amp;'C3'' - Secondary Raw Material '!$D$312,LCI!$B$2:$B$130&amp;LCI!$D$2:$D$130,0))*$C$312)</f>
        <v>0</v>
      </c>
      <c r="F312" s="158" cm="1">
        <f t="array" ref="F312">IF($D312="Recycled_concrete_aggregate",0,INDEX(LCI!I$2:I$130,MATCH('C3'' - Secondary Raw Material '!$B$312&amp;'C3'' - Secondary Raw Material '!$D$312,LCI!$B$2:$B$130&amp;LCI!$D$2:$D$130,0))*$C$312)</f>
        <v>0</v>
      </c>
      <c r="G312" s="158" cm="1">
        <f t="array" ref="G312">IF($D312="Recycled_concrete_aggregate",0,INDEX(LCI!J$2:J$130,MATCH('C3'' - Secondary Raw Material '!$B$312&amp;'C3'' - Secondary Raw Material '!$D$312,LCI!$B$2:$B$130&amp;LCI!$D$2:$D$130,0))*$C$312)</f>
        <v>0</v>
      </c>
      <c r="H312" s="158" cm="1">
        <f t="array" ref="H312">IF($D312="Recycled_concrete_aggregate",0,INDEX(LCI!K$2:K$130,MATCH('C3'' - Secondary Raw Material '!$B$312&amp;'C3'' - Secondary Raw Material '!$D$312,LCI!$B$2:$B$130&amp;LCI!$D$2:$D$130,0))*$C$312)</f>
        <v>0</v>
      </c>
      <c r="I312" s="158" cm="1">
        <f t="array" ref="I312">IF($D312="Recycled_concrete_aggregate",0,INDEX(LCI!L$2:L$130,MATCH('C3'' - Secondary Raw Material '!$B$312&amp;'C3'' - Secondary Raw Material '!$D$312,LCI!$B$2:$B$130&amp;LCI!$D$2:$D$130,0))*$C$312)</f>
        <v>0</v>
      </c>
      <c r="J312" s="158" cm="1">
        <f t="array" ref="J312">IF($D312="Recycled_concrete_aggregate",0,INDEX(LCI!M$2:M$130,MATCH('C3'' - Secondary Raw Material '!$B$312&amp;'C3'' - Secondary Raw Material '!$D$312,LCI!$B$2:$B$130&amp;LCI!$D$2:$D$130,0))*$C$312)</f>
        <v>0</v>
      </c>
      <c r="K312" s="158" cm="1">
        <f t="array" ref="K312">IF($D312="Recycled_concrete_aggregate",0,INDEX(LCI!N$2:N$130,MATCH('C3'' - Secondary Raw Material '!$B$312&amp;'C3'' - Secondary Raw Material '!$D$312,LCI!$B$2:$B$130&amp;LCI!$D$2:$D$130,0))*$C$312)</f>
        <v>0</v>
      </c>
      <c r="L312" s="158" cm="1">
        <f t="array" ref="L312">IF($D312="Recycled_concrete_aggregate",0,INDEX(LCI!O$2:O$130,MATCH('C3'' - Secondary Raw Material '!$B$312&amp;'C3'' - Secondary Raw Material '!$D$312,LCI!$B$2:$B$130&amp;LCI!$D$2:$D$130,0))*$C$312)</f>
        <v>0</v>
      </c>
      <c r="M312" s="158" cm="1">
        <f t="array" ref="M312">IF($D312="Recycled_concrete_aggregate",0,INDEX(LCI!P$2:P$130,MATCH('C3'' - Secondary Raw Material '!$B$312&amp;'C3'' - Secondary Raw Material '!$D$312,LCI!$B$2:$B$130&amp;LCI!$D$2:$D$130,0))*$C$312)</f>
        <v>0</v>
      </c>
      <c r="N312" s="158" cm="1">
        <f t="array" ref="N312">IF($D312="Recycled_concrete_aggregate",0,INDEX(LCI!Q$2:Q$130,MATCH('C3'' - Secondary Raw Material '!$B$312&amp;'C3'' - Secondary Raw Material '!$D$312,LCI!$B$2:$B$130&amp;LCI!$D$2:$D$130,0))*$C$312)</f>
        <v>0</v>
      </c>
      <c r="O312" s="158" cm="1">
        <f t="array" ref="O312">IF($D312="Recycled_concrete_aggregate",0,INDEX(LCI!R$2:R$130,MATCH('C3'' - Secondary Raw Material '!$B$312&amp;'C3'' - Secondary Raw Material '!$D$312,LCI!$B$2:$B$130&amp;LCI!$D$2:$D$130,0))*$C$312)</f>
        <v>0</v>
      </c>
      <c r="P312" s="158" cm="1">
        <f t="array" ref="P312">IF($D312="Recycled_concrete_aggregate",0,INDEX(LCI!S$2:S$130,MATCH('C3'' - Secondary Raw Material '!$B$312&amp;'C3'' - Secondary Raw Material '!$D$312,LCI!$B$2:$B$130&amp;LCI!$D$2:$D$130,0))*$C$312)</f>
        <v>0</v>
      </c>
      <c r="Q312" s="158" cm="1">
        <f t="array" ref="Q312">IF($D312="Recycled_concrete_aggregate",0,INDEX(LCI!T$2:T$130,MATCH('C3'' - Secondary Raw Material '!$B$312&amp;'C3'' - Secondary Raw Material '!$D$312,LCI!$B$2:$B$130&amp;LCI!$D$2:$D$130,0))*$C$312)</f>
        <v>0</v>
      </c>
      <c r="R312" s="158" cm="1">
        <f t="array" ref="R312">IF($D312="Recycled_concrete_aggregate",0,INDEX(LCI!U$2:U$130,MATCH('C3'' - Secondary Raw Material '!$B$312&amp;'C3'' - Secondary Raw Material '!$D$312,LCI!$B$2:$B$130&amp;LCI!$D$2:$D$130,0))*$C$312)</f>
        <v>0</v>
      </c>
      <c r="S312" s="158" cm="1">
        <f t="array" ref="S312">IF($D312="Recycled_concrete_aggregate",0,INDEX(LCI!V$2:V$130,MATCH('C3'' - Secondary Raw Material '!$B$312&amp;'C3'' - Secondary Raw Material '!$D$312,LCI!$B$2:$B$130&amp;LCI!$D$2:$D$130,0))*$C$312)</f>
        <v>0</v>
      </c>
      <c r="T312" s="158" cm="1">
        <f t="array" ref="T312">IF($D312="Recycled_concrete_aggregate",0,INDEX(LCI!W$2:W$130,MATCH('C3'' - Secondary Raw Material '!$B$312&amp;'C3'' - Secondary Raw Material '!$D$312,LCI!$B$2:$B$130&amp;LCI!$D$2:$D$130,0))*$C$312)</f>
        <v>0</v>
      </c>
      <c r="U312" s="158" cm="1">
        <f t="array" ref="U312">IF($D312="Recycled_concrete_aggregate",0,INDEX(LCI!X$2:X$130,MATCH('C3'' - Secondary Raw Material '!$B$312&amp;'C3'' - Secondary Raw Material '!$D$312,LCI!$B$2:$B$130&amp;LCI!$D$2:$D$130,0))*$C$312)</f>
        <v>0</v>
      </c>
      <c r="V312" s="158" cm="1">
        <f t="array" ref="V312">IF($D312="Recycled_concrete_aggregate",0,INDEX(LCI!Y$2:Y$130,MATCH('C3'' - Secondary Raw Material '!$B$312&amp;'C3'' - Secondary Raw Material '!$D$312,LCI!$B$2:$B$130&amp;LCI!$D$2:$D$130,0))*$C$312)</f>
        <v>0</v>
      </c>
      <c r="W312" s="158" cm="1">
        <f t="array" ref="W312">IF($D312="Recycled_concrete_aggregate",0,INDEX(LCI!Z$2:Z$130,MATCH('C3'' - Secondary Raw Material '!$B$312&amp;'C3'' - Secondary Raw Material '!$D$312,LCI!$B$2:$B$130&amp;LCI!$D$2:$D$130,0))*$C$312)</f>
        <v>0</v>
      </c>
    </row>
    <row r="313" spans="1:23" x14ac:dyDescent="0.35">
      <c r="A313" s="1" t="s">
        <v>200</v>
      </c>
      <c r="B313" s="1"/>
      <c r="C313" s="1"/>
      <c r="D313" s="1"/>
      <c r="E313" s="1">
        <f>SUM(E311:E312)</f>
        <v>0</v>
      </c>
      <c r="F313" s="1">
        <f t="shared" ref="F313:W313" si="26">SUM(F311:F312)</f>
        <v>0</v>
      </c>
      <c r="G313" s="1">
        <f t="shared" si="26"/>
        <v>0</v>
      </c>
      <c r="H313" s="1">
        <f t="shared" si="26"/>
        <v>0</v>
      </c>
      <c r="I313" s="1">
        <f t="shared" si="26"/>
        <v>0</v>
      </c>
      <c r="J313" s="1">
        <f t="shared" si="26"/>
        <v>0</v>
      </c>
      <c r="K313" s="1">
        <f t="shared" si="26"/>
        <v>0</v>
      </c>
      <c r="L313" s="1">
        <f t="shared" si="26"/>
        <v>0</v>
      </c>
      <c r="M313" s="1">
        <f t="shared" si="26"/>
        <v>0</v>
      </c>
      <c r="N313" s="1">
        <f t="shared" si="26"/>
        <v>0</v>
      </c>
      <c r="O313" s="1">
        <f t="shared" si="26"/>
        <v>0</v>
      </c>
      <c r="P313" s="1">
        <f t="shared" si="26"/>
        <v>0</v>
      </c>
      <c r="Q313" s="1">
        <f t="shared" si="26"/>
        <v>0</v>
      </c>
      <c r="R313" s="1">
        <f t="shared" si="26"/>
        <v>0</v>
      </c>
      <c r="S313" s="1">
        <f t="shared" si="26"/>
        <v>0</v>
      </c>
      <c r="T313" s="1">
        <f t="shared" si="26"/>
        <v>0</v>
      </c>
      <c r="U313" s="1">
        <f t="shared" si="26"/>
        <v>0</v>
      </c>
      <c r="V313" s="1">
        <f t="shared" si="26"/>
        <v>0</v>
      </c>
      <c r="W313" s="1">
        <f t="shared" si="26"/>
        <v>0</v>
      </c>
    </row>
    <row r="317" spans="1:23" ht="23.5" x14ac:dyDescent="0.55000000000000004">
      <c r="A317" s="100" t="s">
        <v>981</v>
      </c>
    </row>
    <row r="318" spans="1:23" x14ac:dyDescent="0.35">
      <c r="D318" s="28"/>
      <c r="E318" s="404"/>
      <c r="F318" s="404"/>
    </row>
    <row r="319" spans="1:23" x14ac:dyDescent="0.35">
      <c r="A319" s="107" t="s">
        <v>153</v>
      </c>
      <c r="B319" s="128" t="s">
        <v>528</v>
      </c>
      <c r="C319" s="107" t="s">
        <v>365</v>
      </c>
      <c r="D319" s="107" t="s">
        <v>315</v>
      </c>
      <c r="E319" s="107" t="s">
        <v>316</v>
      </c>
      <c r="F319" s="62" t="s">
        <v>529</v>
      </c>
    </row>
    <row r="320" spans="1:23" x14ac:dyDescent="0.35">
      <c r="A320" s="1" t="s">
        <v>318</v>
      </c>
      <c r="B320" s="154">
        <f>SUM(H179:H182)</f>
        <v>2.132393117742819E-4</v>
      </c>
      <c r="C320" s="154">
        <f>SUM(H187:H190)</f>
        <v>0</v>
      </c>
      <c r="D320" s="158" cm="1">
        <f t="array" ref="D320">IF($D311="Recycled_concrete_aggregate",0,INDEX(LCI!H$2:H$130,MATCH('C3'' - Secondary Raw Material '!$B$311&amp;'C3'' - Secondary Raw Material '!$D$311,LCI!$B$2:$B$130&amp;LCI!$D$2:$D$130,0))*$C$311)</f>
        <v>0</v>
      </c>
      <c r="E320" s="158" cm="1">
        <f t="array" ref="E320">IF($D312="Recycled_concrete_aggregate",0,INDEX(LCI!H$2:H$130,MATCH('C3'' - Secondary Raw Material '!$B$312&amp;'C3'' - Secondary Raw Material '!$D$312,LCI!$B$2:$B$130&amp;LCI!$D$2:$D$130,0))*$C$312)</f>
        <v>0</v>
      </c>
      <c r="F320" s="154">
        <f t="shared" ref="F320:F338" si="27">SUM(B320:E320)</f>
        <v>2.132393117742819E-4</v>
      </c>
    </row>
    <row r="321" spans="1:6" x14ac:dyDescent="0.35">
      <c r="A321" s="1" t="s">
        <v>280</v>
      </c>
      <c r="B321" s="154">
        <f>SUM(I179:I182)</f>
        <v>0.16679033795373477</v>
      </c>
      <c r="C321" s="154">
        <f>SUM(I187:I190)</f>
        <v>0</v>
      </c>
      <c r="D321" s="158" cm="1">
        <f t="array" ref="D321">IF($D311="Recycled_concrete_aggregate",0,INDEX(LCI!I$2:I$130,MATCH('C3'' - Secondary Raw Material '!$B$311&amp;'C3'' - Secondary Raw Material '!$D$311,LCI!$B$2:$B$130&amp;LCI!$D$2:$D$130,0))*$C$311)</f>
        <v>0</v>
      </c>
      <c r="E321" s="158" cm="1">
        <f t="array" ref="E321">IF($D312="Recycled_concrete_aggregate",0,INDEX(LCI!I$2:I$130,MATCH('C3'' - Secondary Raw Material '!$B$312&amp;'C3'' - Secondary Raw Material '!$D$312,LCI!$B$2:$B$130&amp;LCI!$D$2:$D$130,0))*$C$312)</f>
        <v>0</v>
      </c>
      <c r="F321" s="154">
        <f t="shared" si="27"/>
        <v>0.16679033795373477</v>
      </c>
    </row>
    <row r="322" spans="1:6" x14ac:dyDescent="0.35">
      <c r="A322" s="1" t="s">
        <v>281</v>
      </c>
      <c r="B322" s="154">
        <f>SUM(J179:J182)</f>
        <v>3.4471332246079752E-5</v>
      </c>
      <c r="C322" s="154">
        <f>SUM(J187:J190)</f>
        <v>0</v>
      </c>
      <c r="D322" s="158" cm="1">
        <f t="array" ref="D322">IF($D311="Recycled_concrete_aggregate",0,INDEX(LCI!J$2:J$130,MATCH('C3'' - Secondary Raw Material '!$B$311&amp;'C3'' - Secondary Raw Material '!$D$311,LCI!$B$2:$B$130&amp;LCI!$D$2:$D$130,0))*$C$311)</f>
        <v>0</v>
      </c>
      <c r="E322" s="158" cm="1">
        <f t="array" ref="E322">IF($D312="Recycled_concrete_aggregate",0,INDEX(LCI!J$2:J$130,MATCH('C3'' - Secondary Raw Material '!$B$312&amp;'C3'' - Secondary Raw Material '!$D$312,LCI!$B$2:$B$130&amp;LCI!$D$2:$D$130,0))*$C$312)</f>
        <v>0</v>
      </c>
      <c r="F322" s="154">
        <f t="shared" si="27"/>
        <v>3.4471332246079752E-5</v>
      </c>
    </row>
    <row r="323" spans="1:6" x14ac:dyDescent="0.35">
      <c r="A323" s="1" t="s">
        <v>282</v>
      </c>
      <c r="B323" s="154">
        <f>SUM(K179:K182)</f>
        <v>0.16674849071700243</v>
      </c>
      <c r="C323" s="154">
        <f>SUM(K187:K190)</f>
        <v>0</v>
      </c>
      <c r="D323" s="158" cm="1">
        <f t="array" ref="D323">IF($D311="Recycled_concrete_aggregate",0,INDEX(LCI!K$2:K$130,MATCH('C3'' - Secondary Raw Material '!$B$311&amp;'C3'' - Secondary Raw Material '!$D$311,LCI!$B$2:$B$130&amp;LCI!$D$2:$D$130,0))*$C$311)</f>
        <v>0</v>
      </c>
      <c r="E323" s="158" cm="1">
        <f t="array" ref="E323">IF($D312="Recycled_concrete_aggregate",0,INDEX(LCI!K$2:K$130,MATCH('C3'' - Secondary Raw Material '!$B$312&amp;'C3'' - Secondary Raw Material '!$D$312,LCI!$B$2:$B$130&amp;LCI!$D$2:$D$130,0))*$C$312)</f>
        <v>0</v>
      </c>
      <c r="F323" s="154">
        <f t="shared" si="27"/>
        <v>0.16674849071700243</v>
      </c>
    </row>
    <row r="324" spans="1:6" x14ac:dyDescent="0.35">
      <c r="A324" s="1" t="s">
        <v>283</v>
      </c>
      <c r="B324" s="154">
        <f>SUM(L179:L182)</f>
        <v>7.375904486254632E-6</v>
      </c>
      <c r="C324" s="154">
        <f>SUM(L187:L190)</f>
        <v>0</v>
      </c>
      <c r="D324" s="158" cm="1">
        <f t="array" ref="D324">IF($D311="Recycled_concrete_aggregate",0,INDEX(LCI!L$2:L$130,MATCH('C3'' - Secondary Raw Material '!$B$311&amp;'C3'' - Secondary Raw Material '!$D$311,LCI!$B$2:$B$130&amp;LCI!$D$2:$D$130,0))*$C$311)</f>
        <v>0</v>
      </c>
      <c r="E324" s="158" cm="1">
        <f t="array" ref="E324">IF($D312="Recycled_concrete_aggregate",0,INDEX(LCI!L$2:L$130,MATCH('C3'' - Secondary Raw Material '!$B$312&amp;'C3'' - Secondary Raw Material '!$D$312,LCI!$B$2:$B$130&amp;LCI!$D$2:$D$130,0))*$C$312)</f>
        <v>0</v>
      </c>
      <c r="F324" s="154">
        <f t="shared" si="27"/>
        <v>7.375904486254632E-6</v>
      </c>
    </row>
    <row r="325" spans="1:6" x14ac:dyDescent="0.35">
      <c r="A325" s="1" t="s">
        <v>284</v>
      </c>
      <c r="B325" s="154">
        <f>SUM(M179:M182)</f>
        <v>7.3693079401887573E-2</v>
      </c>
      <c r="C325" s="154">
        <f>SUM(M187:M190)</f>
        <v>0</v>
      </c>
      <c r="D325" s="158" cm="1">
        <f t="array" ref="D325">IF($D311="Recycled_concrete_aggregate",0,INDEX(LCI!M$2:M$130,MATCH('C3'' - Secondary Raw Material '!$B$311&amp;'C3'' - Secondary Raw Material '!$D$311,LCI!$B$2:$B$130&amp;LCI!$D$2:$D$130,0))*$C$311)</f>
        <v>0</v>
      </c>
      <c r="E325" s="158" cm="1">
        <f t="array" ref="E325">IF($D312="Recycled_concrete_aggregate",0,INDEX(LCI!M$2:M$130,MATCH('C3'' - Secondary Raw Material '!$B$312&amp;'C3'' - Secondary Raw Material '!$D$312,LCI!$B$2:$B$130&amp;LCI!$D$2:$D$130,0))*$C$312)</f>
        <v>0</v>
      </c>
      <c r="F325" s="154">
        <f t="shared" si="27"/>
        <v>7.3693079401887573E-2</v>
      </c>
    </row>
    <row r="326" spans="1:6" x14ac:dyDescent="0.35">
      <c r="A326" s="1" t="s">
        <v>285</v>
      </c>
      <c r="B326" s="154">
        <f>SUM(N179:N182)</f>
        <v>2.2154215403498743</v>
      </c>
      <c r="C326" s="154">
        <f>SUM(N187:N190)</f>
        <v>0</v>
      </c>
      <c r="D326" s="158" cm="1">
        <f t="array" ref="D326">IF($D311="Recycled_concrete_aggregate",0,INDEX(LCI!N$2:N$130,MATCH('C3'' - Secondary Raw Material '!$B$311&amp;'C3'' - Secondary Raw Material '!$D$311,LCI!$B$2:$B$130&amp;LCI!$D$2:$D$130,0))*$C$311)</f>
        <v>0</v>
      </c>
      <c r="E326" s="158" cm="1">
        <f t="array" ref="E326">IF($D312="Recycled_concrete_aggregate",0,INDEX(LCI!N$2:N$130,MATCH('C3'' - Secondary Raw Material '!$B$312&amp;'C3'' - Secondary Raw Material '!$D$312,LCI!$B$2:$B$130&amp;LCI!$D$2:$D$130,0))*$C$312)</f>
        <v>0</v>
      </c>
      <c r="F326" s="154">
        <f t="shared" si="27"/>
        <v>2.2154215403498743</v>
      </c>
    </row>
    <row r="327" spans="1:6" x14ac:dyDescent="0.35">
      <c r="A327" s="1" t="s">
        <v>286</v>
      </c>
      <c r="B327" s="154">
        <f>SUM(O179:O182)</f>
        <v>1.7631993026448645E-6</v>
      </c>
      <c r="C327" s="154">
        <f>SUM(O187:O190)</f>
        <v>0</v>
      </c>
      <c r="D327" s="158" cm="1">
        <f t="array" ref="D327">IF($D311="Recycled_concrete_aggregate",0,INDEX(LCI!O$2:O$130,MATCH('C3'' - Secondary Raw Material '!$B$311&amp;'C3'' - Secondary Raw Material '!$D$311,LCI!$B$2:$B$130&amp;LCI!$D$2:$D$130,0))*$C$311)</f>
        <v>0</v>
      </c>
      <c r="E327" s="158" cm="1">
        <f t="array" ref="E327">IF($D312="Recycled_concrete_aggregate",0,INDEX(LCI!O$2:O$130,MATCH('C3'' - Secondary Raw Material '!$B$312&amp;'C3'' - Secondary Raw Material '!$D$312,LCI!$B$2:$B$130&amp;LCI!$D$2:$D$130,0))*$C$312)</f>
        <v>0</v>
      </c>
      <c r="F327" s="154">
        <f t="shared" si="27"/>
        <v>1.7631993026448645E-6</v>
      </c>
    </row>
    <row r="328" spans="1:6" x14ac:dyDescent="0.35">
      <c r="A328" s="1" t="s">
        <v>287</v>
      </c>
      <c r="B328" s="154">
        <f>SUM(P179:P182)</f>
        <v>4.8220355792551409E-5</v>
      </c>
      <c r="C328" s="154">
        <f>SUM(P187:P190)</f>
        <v>0</v>
      </c>
      <c r="D328" s="158" cm="1">
        <f t="array" ref="D328">IF($D311="Recycled_concrete_aggregate",0,INDEX(LCI!P$2:P$130,MATCH('C3'' - Secondary Raw Material '!$B$311&amp;'C3'' - Secondary Raw Material '!$D$311,LCI!$B$2:$B$130&amp;LCI!$D$2:$D$130,0))*$C$311)</f>
        <v>0</v>
      </c>
      <c r="E328" s="158" cm="1">
        <f t="array" ref="E328">IF($D312="Recycled_concrete_aggregate",0,INDEX(LCI!P$2:P$130,MATCH('C3'' - Secondary Raw Material '!$B$312&amp;'C3'' - Secondary Raw Material '!$D$312,LCI!$B$2:$B$130&amp;LCI!$D$2:$D$130,0))*$C$312)</f>
        <v>0</v>
      </c>
      <c r="F328" s="154">
        <f t="shared" si="27"/>
        <v>4.8220355792551409E-5</v>
      </c>
    </row>
    <row r="329" spans="1:6" x14ac:dyDescent="0.35">
      <c r="A329" s="1" t="s">
        <v>288</v>
      </c>
      <c r="B329" s="154">
        <f>SUM(Q179:Q182)</f>
        <v>5.2421468666230769E-4</v>
      </c>
      <c r="C329" s="154">
        <f>SUM(Q187:Q190)</f>
        <v>0</v>
      </c>
      <c r="D329" s="158" cm="1">
        <f t="array" ref="D329">IF($D311="Recycled_concrete_aggregate",0,INDEX(LCI!Q$2:Q$130,MATCH('C3'' - Secondary Raw Material '!$B$311&amp;'C3'' - Secondary Raw Material '!$D$311,LCI!$B$2:$B$130&amp;LCI!$D$2:$D$130,0))*$C$311)</f>
        <v>0</v>
      </c>
      <c r="E329" s="158" cm="1">
        <f t="array" ref="E329">IF($D312="Recycled_concrete_aggregate",0,INDEX(LCI!Q$2:Q$130,MATCH('C3'' - Secondary Raw Material '!$B$312&amp;'C3'' - Secondary Raw Material '!$D$312,LCI!$B$2:$B$130&amp;LCI!$D$2:$D$130,0))*$C$312)</f>
        <v>0</v>
      </c>
      <c r="F329" s="154">
        <f t="shared" si="27"/>
        <v>5.2421468666230769E-4</v>
      </c>
    </row>
    <row r="330" spans="1:6" x14ac:dyDescent="0.35">
      <c r="A330" s="1" t="s">
        <v>289</v>
      </c>
      <c r="B330" s="154">
        <f>SUM(R179:R182)</f>
        <v>1.0192646894973112E-11</v>
      </c>
      <c r="C330" s="154">
        <f>SUM(R187:R190)</f>
        <v>0</v>
      </c>
      <c r="D330" s="158" cm="1">
        <f t="array" ref="D330">IF($D311="Recycled_concrete_aggregate",0,INDEX(LCI!R$2:R$130,MATCH('C3'' - Secondary Raw Material '!$B$311&amp;'C3'' - Secondary Raw Material '!$D$311,LCI!$B$2:$B$130&amp;LCI!$D$2:$D$130,0))*$C$311)</f>
        <v>0</v>
      </c>
      <c r="E330" s="158" cm="1">
        <f t="array" ref="E330">IF($D312="Recycled_concrete_aggregate",0,INDEX(LCI!R$2:R$130,MATCH('C3'' - Secondary Raw Material '!$B$312&amp;'C3'' - Secondary Raw Material '!$D$312,LCI!$B$2:$B$130&amp;LCI!$D$2:$D$130,0))*$C$312)</f>
        <v>0</v>
      </c>
      <c r="F330" s="154">
        <f t="shared" si="27"/>
        <v>1.0192646894973112E-11</v>
      </c>
    </row>
    <row r="331" spans="1:6" x14ac:dyDescent="0.35">
      <c r="A331" s="1" t="s">
        <v>319</v>
      </c>
      <c r="B331" s="154">
        <f>SUM(S179:S182)</f>
        <v>2.7167563726420761E-10</v>
      </c>
      <c r="C331" s="154">
        <f>SUM(S187:S190)</f>
        <v>0</v>
      </c>
      <c r="D331" s="158" cm="1">
        <f t="array" ref="D331">IF($D311="Recycled_concrete_aggregate",0,INDEX(LCI!S$2:S$130,MATCH('C3'' - Secondary Raw Material '!$B$311&amp;'C3'' - Secondary Raw Material '!$D$311,LCI!$B$2:$B$130&amp;LCI!$D$2:$D$130,0))*$C$311)</f>
        <v>0</v>
      </c>
      <c r="E331" s="158" cm="1">
        <f t="array" ref="E331">IF($D312="Recycled_concrete_aggregate",0,INDEX(LCI!S$2:S$130,MATCH('C3'' - Secondary Raw Material '!$B$312&amp;'C3'' - Secondary Raw Material '!$D$312,LCI!$B$2:$B$130&amp;LCI!$D$2:$D$130,0))*$C$312)</f>
        <v>0</v>
      </c>
      <c r="F331" s="154">
        <f t="shared" si="27"/>
        <v>2.7167563726420761E-10</v>
      </c>
    </row>
    <row r="332" spans="1:6" x14ac:dyDescent="0.35">
      <c r="A332" s="1" t="s">
        <v>291</v>
      </c>
      <c r="B332" s="154">
        <f>SUM(T179:T182)</f>
        <v>6.6519868279014841E-4</v>
      </c>
      <c r="C332" s="154">
        <f>SUM(T187:T190)</f>
        <v>0</v>
      </c>
      <c r="D332" s="158" cm="1">
        <f t="array" ref="D332">IF($D311="Recycled_concrete_aggregate",0,INDEX(LCI!T$2:T$130,MATCH('C3'' - Secondary Raw Material '!$B$311&amp;'C3'' - Secondary Raw Material '!$D$311,LCI!$B$2:$B$130&amp;LCI!$D$2:$D$130,0))*$C$311)</f>
        <v>0</v>
      </c>
      <c r="E332" s="158" cm="1">
        <f t="array" ref="E332">IF($D312="Recycled_concrete_aggregate",0,INDEX(LCI!T$2:T$130,MATCH('C3'' - Secondary Raw Material '!$B$312&amp;'C3'' - Secondary Raw Material '!$D$312,LCI!$B$2:$B$130&amp;LCI!$D$2:$D$130,0))*$C$312)</f>
        <v>0</v>
      </c>
      <c r="F332" s="154">
        <f t="shared" si="27"/>
        <v>6.6519868279014841E-4</v>
      </c>
    </row>
    <row r="333" spans="1:6" x14ac:dyDescent="0.35">
      <c r="A333" s="1" t="s">
        <v>292</v>
      </c>
      <c r="B333" s="154">
        <f>SUM(U179:U182)</f>
        <v>0.11390463257521803</v>
      </c>
      <c r="C333" s="154">
        <f>SUM(U187:U190)</f>
        <v>0</v>
      </c>
      <c r="D333" s="158" cm="1">
        <f t="array" ref="D333">IF($D311="Recycled_concrete_aggregate",0,INDEX(LCI!U$2:U$130,MATCH('C3'' - Secondary Raw Material '!$B$311&amp;'C3'' - Secondary Raw Material '!$D$311,LCI!$B$2:$B$130&amp;LCI!$D$2:$D$130,0))*$C$311)</f>
        <v>0</v>
      </c>
      <c r="E333" s="158" cm="1">
        <f t="array" ref="E333">IF($D312="Recycled_concrete_aggregate",0,INDEX(LCI!U$2:U$130,MATCH('C3'' - Secondary Raw Material '!$B$312&amp;'C3'' - Secondary Raw Material '!$D$312,LCI!$B$2:$B$130&amp;LCI!$D$2:$D$130,0))*$C$312)</f>
        <v>0</v>
      </c>
      <c r="F333" s="154">
        <f t="shared" si="27"/>
        <v>0.11390463257521803</v>
      </c>
    </row>
    <row r="334" spans="1:6" x14ac:dyDescent="0.35">
      <c r="A334" s="1" t="s">
        <v>293</v>
      </c>
      <c r="B334" s="154">
        <f>SUM(V179:V182)</f>
        <v>2.6007934671855809E-8</v>
      </c>
      <c r="C334" s="154">
        <f>SUM(V187:V190)</f>
        <v>0</v>
      </c>
      <c r="D334" s="158" cm="1">
        <f t="array" ref="D334">IF($D311="Recycled_concrete_aggregate",0,INDEX(LCI!V$2:V$130,MATCH('C3'' - Secondary Raw Material '!$B$311&amp;'C3'' - Secondary Raw Material '!$D$311,LCI!$B$2:$B$130&amp;LCI!$D$2:$D$130,0))*$C$311)</f>
        <v>0</v>
      </c>
      <c r="E334" s="158" cm="1">
        <f t="array" ref="E334">IF($D312="Recycled_concrete_aggregate",0,INDEX(LCI!V$2:V$130,MATCH('C3'' - Secondary Raw Material '!$B$312&amp;'C3'' - Secondary Raw Material '!$D$312,LCI!$B$2:$B$130&amp;LCI!$D$2:$D$130,0))*$C$312)</f>
        <v>0</v>
      </c>
      <c r="F334" s="154">
        <f t="shared" si="27"/>
        <v>2.6007934671855809E-8</v>
      </c>
    </row>
    <row r="335" spans="1:6" x14ac:dyDescent="0.35">
      <c r="A335" s="1" t="s">
        <v>294</v>
      </c>
      <c r="B335" s="154">
        <f>SUM(W179:W182)</f>
        <v>3.7585564815097762E-9</v>
      </c>
      <c r="C335" s="154">
        <f>SUM(W187:W190)</f>
        <v>0</v>
      </c>
      <c r="D335" s="158" cm="1">
        <f t="array" ref="D335">IF($D311="Recycled_concrete_aggregate",0,INDEX(LCI!W$2:W$130,MATCH('C3'' - Secondary Raw Material '!$B$311&amp;'C3'' - Secondary Raw Material '!$D$311,LCI!$B$2:$B$130&amp;LCI!$D$2:$D$130,0))*$C$311)</f>
        <v>0</v>
      </c>
      <c r="E335" s="158" cm="1">
        <f t="array" ref="E335">IF($D312="Recycled_concrete_aggregate",0,INDEX(LCI!W$2:W$130,MATCH('C3'' - Secondary Raw Material '!$B$312&amp;'C3'' - Secondary Raw Material '!$D$312,LCI!$B$2:$B$130&amp;LCI!$D$2:$D$130,0))*$C$312)</f>
        <v>0</v>
      </c>
      <c r="F335" s="154">
        <f t="shared" si="27"/>
        <v>3.7585564815097762E-9</v>
      </c>
    </row>
    <row r="336" spans="1:6" x14ac:dyDescent="0.35">
      <c r="A336" s="1" t="s">
        <v>295</v>
      </c>
      <c r="B336" s="154">
        <f>SUM(X179:X182)</f>
        <v>1.6427613993186483E-9</v>
      </c>
      <c r="C336" s="154">
        <f>SUM(X187:X190)</f>
        <v>0</v>
      </c>
      <c r="D336" s="158" cm="1">
        <f t="array" ref="D336">IF($D311="Recycled_concrete_aggregate",0,INDEX(LCI!X$2:X$130,MATCH('C3'' - Secondary Raw Material '!$B$311&amp;'C3'' - Secondary Raw Material '!$D$311,LCI!$B$2:$B$130&amp;LCI!$D$2:$D$130,0))*$C$311)</f>
        <v>0</v>
      </c>
      <c r="E336" s="158" cm="1">
        <f t="array" ref="E336">IF($D312="Recycled_concrete_aggregate",0,INDEX(LCI!X$2:X$130,MATCH('C3'' - Secondary Raw Material '!$B$312&amp;'C3'' - Secondary Raw Material '!$D$312,LCI!$B$2:$B$130&amp;LCI!$D$2:$D$130,0))*$C$312)</f>
        <v>0</v>
      </c>
      <c r="F336" s="154">
        <f t="shared" si="27"/>
        <v>1.6427613993186483E-9</v>
      </c>
    </row>
    <row r="337" spans="1:6" x14ac:dyDescent="0.35">
      <c r="A337" s="1" t="s">
        <v>296</v>
      </c>
      <c r="B337" s="154">
        <f>SUM(Y179:Y182)</f>
        <v>4.1082738634614822E-4</v>
      </c>
      <c r="C337" s="154">
        <f>SUM(Y187:Y190)</f>
        <v>0</v>
      </c>
      <c r="D337" s="158" cm="1">
        <f t="array" ref="D337">IF($D311="Recycled_concrete_aggregate",0,INDEX(LCI!Y$2:Y$130,MATCH('C3'' - Secondary Raw Material '!$B$311&amp;'C3'' - Secondary Raw Material '!$D$311,LCI!$B$2:$B$130&amp;LCI!$D$2:$D$130,0))*$C$311)</f>
        <v>0</v>
      </c>
      <c r="E337" s="158" cm="1">
        <f t="array" ref="E337">IF($D312="Recycled_concrete_aggregate",0,INDEX(LCI!Y$2:Y$130,MATCH('C3'' - Secondary Raw Material '!$B$312&amp;'C3'' - Secondary Raw Material '!$D$312,LCI!$B$2:$B$130&amp;LCI!$D$2:$D$130,0))*$C$312)</f>
        <v>0</v>
      </c>
      <c r="F337" s="154">
        <f t="shared" si="27"/>
        <v>4.1082738634614822E-4</v>
      </c>
    </row>
    <row r="338" spans="1:6" x14ac:dyDescent="0.35">
      <c r="A338" s="1" t="s">
        <v>297</v>
      </c>
      <c r="B338" s="154">
        <f>SUM(Z179:Z182)</f>
        <v>2.9984053368853725E-3</v>
      </c>
      <c r="C338" s="154">
        <f>SUM(Z187:Z190)</f>
        <v>0</v>
      </c>
      <c r="D338" s="158" cm="1">
        <f t="array" ref="D338">IF($D311="Recycled_concrete_aggregate",0,INDEX(LCI!Z$2:Z$130,MATCH('C3'' - Secondary Raw Material '!$B$311&amp;'C3'' - Secondary Raw Material '!$D$311,LCI!$B$2:$B$130&amp;LCI!$D$2:$D$130,0))*$C$311)</f>
        <v>0</v>
      </c>
      <c r="E338" s="158" cm="1">
        <f t="array" ref="E338">IF($D312="Recycled_concrete_aggregate",0,INDEX(LCI!Z$2:Z$130,MATCH('C3'' - Secondary Raw Material '!$B$312&amp;'C3'' - Secondary Raw Material '!$D$312,LCI!$B$2:$B$130&amp;LCI!$D$2:$D$130,0))*$C$312)</f>
        <v>0</v>
      </c>
      <c r="F338" s="154">
        <f t="shared" si="27"/>
        <v>2.9984053368853725E-3</v>
      </c>
    </row>
    <row r="342" spans="1:6" x14ac:dyDescent="0.35">
      <c r="B342" t="s">
        <v>982</v>
      </c>
    </row>
    <row r="343" spans="1:6" x14ac:dyDescent="0.35">
      <c r="A343" s="95" t="s">
        <v>326</v>
      </c>
      <c r="B343" s="1">
        <f>SUM($H$183:$Z$183)+SUM($H$191:$Z$191)+SUM(E311:W312)</f>
        <v>2.7414618288851238</v>
      </c>
    </row>
    <row r="344" spans="1:6" x14ac:dyDescent="0.35">
      <c r="A344" s="95" t="s">
        <v>327</v>
      </c>
      <c r="B344" s="1">
        <f>SUM($B$320:$E$338)</f>
        <v>2.7414618288851238</v>
      </c>
    </row>
    <row r="345" spans="1:6" x14ac:dyDescent="0.35">
      <c r="A345" s="95" t="s">
        <v>58</v>
      </c>
      <c r="B345" s="204">
        <f>B343-B344</f>
        <v>0</v>
      </c>
    </row>
    <row r="346" spans="1:6" x14ac:dyDescent="0.35">
      <c r="C346" s="95"/>
    </row>
    <row r="347" spans="1:6" x14ac:dyDescent="0.35">
      <c r="C347" s="95"/>
    </row>
    <row r="348" spans="1:6" x14ac:dyDescent="0.35">
      <c r="C348" s="95"/>
      <c r="D348" s="257"/>
    </row>
    <row r="353" spans="1:2" x14ac:dyDescent="0.35">
      <c r="B353"/>
    </row>
    <row r="354" spans="1:2" x14ac:dyDescent="0.35">
      <c r="A354" s="95"/>
      <c r="B354"/>
    </row>
    <row r="355" spans="1:2" x14ac:dyDescent="0.35">
      <c r="A355" s="95"/>
      <c r="B355"/>
    </row>
    <row r="356" spans="1:2" x14ac:dyDescent="0.35">
      <c r="A356" s="95"/>
      <c r="B356" s="257"/>
    </row>
  </sheetData>
  <mergeCells count="11">
    <mergeCell ref="E318:F318"/>
    <mergeCell ref="A267:A269"/>
    <mergeCell ref="A272:A273"/>
    <mergeCell ref="A270:A271"/>
    <mergeCell ref="A274:A277"/>
    <mergeCell ref="A302:B302"/>
    <mergeCell ref="A289:A291"/>
    <mergeCell ref="A292:A293"/>
    <mergeCell ref="A294:A295"/>
    <mergeCell ref="A296:A299"/>
    <mergeCell ref="A311:A312"/>
  </mergeCells>
  <phoneticPr fontId="5" type="noConversion"/>
  <dataValidations disablePrompts="1" count="16">
    <dataValidation type="list" allowBlank="1" showInputMessage="1" showErrorMessage="1" sqref="C17" xr:uid="{4D75E5D6-DABF-4833-9E22-D3443056DCF0}">
      <formula1>INDIRECT($B$17)</formula1>
    </dataValidation>
    <dataValidation type="list" allowBlank="1" showInputMessage="1" showErrorMessage="1" sqref="B17" xr:uid="{735C9F18-9115-41A0-BFD7-0536BFE156F7}">
      <formula1>Screener_types_RCA</formula1>
    </dataValidation>
    <dataValidation type="list" allowBlank="1" showInputMessage="1" showErrorMessage="1" sqref="C16" xr:uid="{A1D10D8B-3530-4A17-8CBE-B4B40B1B1DE1}">
      <formula1>INDIRECT($B$16)</formula1>
    </dataValidation>
    <dataValidation type="list" allowBlank="1" showInputMessage="1" showErrorMessage="1" sqref="B16" xr:uid="{46A4F966-F485-4F30-B4A5-5B801CF4C64B}">
      <formula1>Stacker_types_RCA</formula1>
    </dataValidation>
    <dataValidation type="list" allowBlank="1" showInputMessage="1" showErrorMessage="1" sqref="C14" xr:uid="{EC51C5C4-642F-4E09-982D-ABCC1880ECF6}">
      <formula1>INDIRECT($B$14)</formula1>
    </dataValidation>
    <dataValidation type="list" allowBlank="1" showInputMessage="1" showErrorMessage="1" sqref="B14" xr:uid="{DDA70224-6208-4631-8643-D84A803BB77A}">
      <formula1>Crusher_types_RCA</formula1>
    </dataValidation>
    <dataValidation type="list" allowBlank="1" showInputMessage="1" showErrorMessage="1" sqref="C15" xr:uid="{10FAFED2-315F-4218-B4A9-A6E07DA4A7D6}">
      <formula1>INDIRECT($B$15)</formula1>
    </dataValidation>
    <dataValidation type="list" allowBlank="1" showInputMessage="1" showErrorMessage="1" sqref="C9" xr:uid="{B3A5D4D6-BFB5-4EE5-8F09-168604C30041}">
      <formula1>INDIRECT($B$9)</formula1>
    </dataValidation>
    <dataValidation type="list" allowBlank="1" showInputMessage="1" showErrorMessage="1" sqref="C10" xr:uid="{B25BF7FF-B9DA-4C94-AE10-F1AF3808EC34}">
      <formula1>INDIRECT($B$10)</formula1>
    </dataValidation>
    <dataValidation type="list" allowBlank="1" showInputMessage="1" showErrorMessage="1" sqref="B10" xr:uid="{1140AEA0-2EEA-45F2-A06D-4D1FA7265F91}">
      <formula1>Screener_types_RAP</formula1>
    </dataValidation>
    <dataValidation type="list" allowBlank="1" showInputMessage="1" showErrorMessage="1" sqref="B9" xr:uid="{8D7D9E74-A8C7-4AA8-ACF2-AC5F96F49C09}">
      <formula1>Stacker_types_RAP</formula1>
    </dataValidation>
    <dataValidation type="list" allowBlank="1" showInputMessage="1" showErrorMessage="1" sqref="C8" xr:uid="{B01EBE17-A507-4AC5-AE7B-B5AEBB4646B9}">
      <formula1>INDIRECT($B$8)</formula1>
    </dataValidation>
    <dataValidation type="list" allowBlank="1" showInputMessage="1" showErrorMessage="1" sqref="B7" xr:uid="{D382D26F-FC0A-43F6-BB39-1FE94B79ACCC}">
      <formula1>Crusher_types_RAP</formula1>
    </dataValidation>
    <dataValidation type="list" allowBlank="1" showInputMessage="1" showErrorMessage="1" sqref="B15" xr:uid="{4841F1A2-0F2B-470C-BD80-B094BFC346AE}">
      <formula1>Wheel_loader_types_RCA</formula1>
    </dataValidation>
    <dataValidation type="list" allowBlank="1" showInputMessage="1" showErrorMessage="1" sqref="C7" xr:uid="{32F93163-16D7-490C-9509-45D098561C0A}">
      <formula1>INDIRECT($B$7)</formula1>
    </dataValidation>
    <dataValidation type="list" allowBlank="1" showInputMessage="1" showErrorMessage="1" sqref="B8" xr:uid="{C2957F4E-BFD0-406E-A5F5-2C11B8A41592}">
      <formula1>Wheel_loader_types_RAP</formula1>
    </dataValidation>
  </dataValidations>
  <hyperlinks>
    <hyperlink ref="D30" r:id="rId1" xr:uid="{BDC55D9D-7493-4B8F-B507-1064094A3C92}"/>
    <hyperlink ref="D32" r:id="rId2" xr:uid="{7F947FDF-8E41-48B0-A6CE-1CDE848C7297}"/>
    <hyperlink ref="D38" r:id="rId3" xr:uid="{27A279FE-0C7E-413A-9D3F-77F34DEB9B25}"/>
    <hyperlink ref="D86" r:id="rId4" xr:uid="{A76FA0ED-077F-4253-830C-E93CDF70C7DC}"/>
    <hyperlink ref="D88" r:id="rId5" xr:uid="{E8CF3072-E933-4E4B-8D39-D705B8681A65}"/>
    <hyperlink ref="D94" r:id="rId6" xr:uid="{D536A7A1-636B-4AD3-B2BC-F9ADDBA62E6B}"/>
    <hyperlink ref="D35" r:id="rId7" xr:uid="{BE9BD251-8CF0-4583-BC83-A99FA7EDDB0D}"/>
    <hyperlink ref="D34" r:id="rId8" xr:uid="{5AD6843F-F805-48FC-91A3-0940A24F4F00}"/>
    <hyperlink ref="D90" r:id="rId9" xr:uid="{D109BA2B-E6AA-40CE-B1E7-25AD49F43CC0}"/>
    <hyperlink ref="D50" r:id="rId10" xr:uid="{DF5E960B-BFB0-4011-BD57-0E321D014338}"/>
    <hyperlink ref="D62" r:id="rId11" xr:uid="{B56F9547-2E80-4B5D-A9FC-0BC2DCD06F15}"/>
    <hyperlink ref="D47" r:id="rId12" xr:uid="{C2D84C65-D0E7-42A2-BAB7-6364CFE6EA0A}"/>
    <hyperlink ref="D60" r:id="rId13" xr:uid="{F090F50A-16E2-407E-A920-0352785D91AE}"/>
    <hyperlink ref="D72" r:id="rId14" xr:uid="{2F627734-8987-4611-8F78-FA66E39268A1}"/>
    <hyperlink ref="D106" r:id="rId15" xr:uid="{E98E5898-D4D1-4325-B40E-FC4D80528256}"/>
    <hyperlink ref="D123" r:id="rId16" display="https://mccloskeyinternational.com/home-page/mccloskey-stackers/st100t-tracked-stacker/  " xr:uid="{E4DA2D80-7695-496C-BDB8-C0D11810457D}"/>
    <hyperlink ref="D139" r:id="rId17" xr:uid="{5080E41C-A08F-4CC9-8690-A02C69478467}"/>
    <hyperlink ref="D214" r:id="rId18" xr:uid="{5600363E-006D-451F-B2F9-E04C02C3223E}"/>
  </hyperlinks>
  <pageMargins left="0.7" right="0.7" top="0.75" bottom="0.75" header="0.3" footer="0.3"/>
  <ignoredErrors>
    <ignoredError sqref="C159 C163" formula="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9AA441-A49B-4FE8-AB5F-B730EEDCA5BA}">
  <sheetPr codeName="Sheet8"/>
  <dimension ref="A1:AB147"/>
  <sheetViews>
    <sheetView showGridLines="0" zoomScale="70" zoomScaleNormal="70" workbookViewId="0"/>
  </sheetViews>
  <sheetFormatPr defaultRowHeight="14.5" x14ac:dyDescent="0.35"/>
  <cols>
    <col min="1" max="1" width="87.1796875" customWidth="1"/>
    <col min="2" max="2" width="40.1796875" customWidth="1"/>
    <col min="3" max="3" width="24.453125" customWidth="1"/>
    <col min="4" max="4" width="26.81640625" customWidth="1"/>
    <col min="5" max="5" width="19.81640625" customWidth="1"/>
    <col min="6" max="6" width="18.1796875" customWidth="1"/>
    <col min="7" max="7" width="21.1796875" customWidth="1"/>
    <col min="8" max="8" width="20.81640625" customWidth="1"/>
    <col min="9" max="9" width="21.54296875" customWidth="1"/>
    <col min="10" max="10" width="19" customWidth="1"/>
    <col min="11" max="11" width="20.1796875" customWidth="1"/>
    <col min="12" max="12" width="19.1796875" customWidth="1"/>
    <col min="13" max="13" width="22.1796875" customWidth="1"/>
    <col min="14" max="14" width="23.1796875" customWidth="1"/>
    <col min="15" max="15" width="21.1796875" customWidth="1"/>
    <col min="16" max="16" width="18.1796875" customWidth="1"/>
    <col min="17" max="17" width="19" customWidth="1"/>
    <col min="18" max="18" width="16.81640625" customWidth="1"/>
    <col min="19" max="19" width="20.1796875" customWidth="1"/>
    <col min="20" max="20" width="20.81640625" customWidth="1"/>
    <col min="21" max="21" width="19" customWidth="1"/>
    <col min="22" max="22" width="20.81640625" customWidth="1"/>
    <col min="23" max="23" width="18.1796875" customWidth="1"/>
    <col min="24" max="24" width="19.1796875" customWidth="1"/>
    <col min="25" max="25" width="17.453125" customWidth="1"/>
    <col min="26" max="26" width="14.1796875" customWidth="1"/>
    <col min="27" max="27" width="8.81640625" customWidth="1"/>
    <col min="28" max="28" width="12.453125" customWidth="1"/>
  </cols>
  <sheetData>
    <row r="1" spans="1:25" ht="23.5" x14ac:dyDescent="0.55000000000000004">
      <c r="A1" s="100" t="s">
        <v>328</v>
      </c>
    </row>
    <row r="3" spans="1:25" x14ac:dyDescent="0.35">
      <c r="A3" s="408" t="s">
        <v>329</v>
      </c>
      <c r="B3" s="408"/>
      <c r="C3" s="62" t="s">
        <v>330</v>
      </c>
      <c r="D3" s="62" t="s">
        <v>331</v>
      </c>
    </row>
    <row r="4" spans="1:25" x14ac:dyDescent="0.35">
      <c r="A4" s="1" t="s">
        <v>332</v>
      </c>
      <c r="B4" s="106">
        <v>1.24</v>
      </c>
      <c r="C4" t="s">
        <v>333</v>
      </c>
      <c r="D4" s="30" t="s">
        <v>334</v>
      </c>
      <c r="E4" s="20"/>
    </row>
    <row r="5" spans="1:25" x14ac:dyDescent="0.35">
      <c r="A5" s="1" t="s">
        <v>335</v>
      </c>
      <c r="B5" s="106">
        <v>36.286999999999999</v>
      </c>
      <c r="C5" s="1"/>
      <c r="D5" s="1"/>
    </row>
    <row r="6" spans="1:25" x14ac:dyDescent="0.35">
      <c r="A6" s="1" t="s">
        <v>336</v>
      </c>
      <c r="B6" s="163">
        <f>B4/B5</f>
        <v>3.417201752693802E-2</v>
      </c>
      <c r="C6" s="1"/>
      <c r="D6" s="1"/>
    </row>
    <row r="10" spans="1:25" x14ac:dyDescent="0.35">
      <c r="A10" t="s">
        <v>337</v>
      </c>
    </row>
    <row r="12" spans="1:25" ht="23.5" x14ac:dyDescent="0.55000000000000004">
      <c r="A12" s="100" t="s">
        <v>338</v>
      </c>
    </row>
    <row r="14" spans="1:25" ht="100.25" customHeight="1" x14ac:dyDescent="0.35">
      <c r="A14" s="104" t="s">
        <v>276</v>
      </c>
      <c r="B14" s="104" t="s">
        <v>277</v>
      </c>
      <c r="C14" s="103" t="s">
        <v>278</v>
      </c>
      <c r="D14" s="103" t="s">
        <v>56</v>
      </c>
      <c r="E14" s="103" t="s">
        <v>339</v>
      </c>
      <c r="F14" s="103" t="s">
        <v>340</v>
      </c>
      <c r="G14" s="103" t="s">
        <v>279</v>
      </c>
      <c r="H14" s="103" t="s">
        <v>280</v>
      </c>
      <c r="I14" s="103" t="s">
        <v>281</v>
      </c>
      <c r="J14" s="103" t="s">
        <v>282</v>
      </c>
      <c r="K14" s="103" t="s">
        <v>283</v>
      </c>
      <c r="L14" s="103" t="s">
        <v>284</v>
      </c>
      <c r="M14" s="103" t="s">
        <v>285</v>
      </c>
      <c r="N14" s="103" t="s">
        <v>286</v>
      </c>
      <c r="O14" s="103" t="s">
        <v>287</v>
      </c>
      <c r="P14" s="103" t="s">
        <v>288</v>
      </c>
      <c r="Q14" s="103" t="s">
        <v>289</v>
      </c>
      <c r="R14" s="103" t="s">
        <v>290</v>
      </c>
      <c r="S14" s="103" t="s">
        <v>291</v>
      </c>
      <c r="T14" s="103" t="s">
        <v>292</v>
      </c>
      <c r="U14" s="103" t="s">
        <v>293</v>
      </c>
      <c r="V14" s="103" t="s">
        <v>294</v>
      </c>
      <c r="W14" s="103" t="s">
        <v>295</v>
      </c>
      <c r="X14" s="103" t="s">
        <v>296</v>
      </c>
      <c r="Y14" s="103" t="s">
        <v>297</v>
      </c>
    </row>
    <row r="15" spans="1:25" x14ac:dyDescent="0.35">
      <c r="A15" s="6" t="s">
        <v>266</v>
      </c>
      <c r="B15" s="158" t="str">
        <f>Input!A39</f>
        <v>Virgin binder</v>
      </c>
      <c r="C15" s="158">
        <f>+Input!B39</f>
        <v>2.2159999999999999E-2</v>
      </c>
      <c r="D15" s="158">
        <f>Input!$L39</f>
        <v>262</v>
      </c>
      <c r="E15" s="158" t="str">
        <f>Input!$J39</f>
        <v>Truck</v>
      </c>
      <c r="F15" s="158" t="str">
        <f>Input!$K39</f>
        <v>Diesel_Euro6</v>
      </c>
      <c r="G15" s="158" cm="1">
        <f t="array" ref="G15">INDEX(LCI!H$2:H$73, MATCH($E15&amp;$F15, LCI!$B$2:$B$73&amp;LCI!$D$2:$D$73, 0))* IF(AND($E15="Truck", OR($F15="Electric", $F15="Electric_green")), $B$6, 1)* $C15* $D15</f>
        <v>1.3743889942399998E-3</v>
      </c>
      <c r="H15" s="158" cm="1">
        <f t="array" ref="H15">INDEX(LCI!I$2:I$73, MATCH($E15&amp;$F15, LCI!$B$2:$B$73&amp;LCI!$D$2:$D$73, 0))* IF(AND($E15="Truck", OR($F15="Electric", $F15="Electric_green")), $B$6, 1)* $C15* $D15</f>
        <v>0.92165995176527982</v>
      </c>
      <c r="I15" s="158" cm="1">
        <f t="array" ref="I15">INDEX(LCI!J$2:J$73, MATCH($E15&amp;$F15, LCI!$B$2:$B$73&amp;LCI!$D$2:$D$73, 0))* IF(AND($E15="Truck", OR($F15="Electric", $F15="Electric_green")), $B$6, 1)* $C15* $D15</f>
        <v>4.30742946576E-4</v>
      </c>
      <c r="J15" s="158" cm="1">
        <f t="array" ref="J15">INDEX(LCI!K$2:K$73, MATCH($E15&amp;$F15, LCI!$B$2:$B$73&amp;LCI!$D$2:$D$73, 0))* IF(AND($E15="Truck", OR($F15="Electric", $F15="Electric_green")), $B$6, 1)* $C15* $D15</f>
        <v>0.92115589920863994</v>
      </c>
      <c r="K15" s="158" cm="1">
        <f t="array" ref="K15">INDEX(LCI!L$2:L$73, MATCH($E15&amp;$F15, LCI!$B$2:$B$73&amp;LCI!$D$2:$D$73, 0))* IF(AND($E15="Truck", OR($F15="Electric", $F15="Electric_green")), $B$6, 1)* $C15* $D15</f>
        <v>7.3308448880000007E-5</v>
      </c>
      <c r="L15" s="158" cm="1">
        <f t="array" ref="L15">INDEX(LCI!M$2:M$73, MATCH($E15&amp;$F15, LCI!$B$2:$B$73&amp;LCI!$D$2:$D$73, 0))* IF(AND($E15="Truck", OR($F15="Electric", $F15="Electric_green")), $B$6, 1)* $C15* $D15</f>
        <v>0.79160206037808001</v>
      </c>
      <c r="M15" s="158" cm="1">
        <f t="array" ref="M15">INDEX(LCI!N$2:N$73, MATCH($E15&amp;$F15, LCI!$B$2:$B$73&amp;LCI!$D$2:$D$73, 0))* IF(AND($E15="Truck", OR($F15="Electric", $F15="Electric_green")), $B$6, 1)* $C15* $D15</f>
        <v>12.4045847292992</v>
      </c>
      <c r="N15" s="158" cm="1">
        <f t="array" ref="N15">INDEX(LCI!O$2:O$73, MATCH($E15&amp;$F15, LCI!$B$2:$B$73&amp;LCI!$D$2:$D$73, 0))* IF(AND($E15="Truck", OR($F15="Electric", $F15="Electric_green")), $B$6, 1)* $C15* $D15</f>
        <v>2.1497521924799997E-5</v>
      </c>
      <c r="O15" s="158" cm="1">
        <f t="array" ref="O15">INDEX(LCI!P$2:P$73, MATCH($E15&amp;$F15, LCI!$B$2:$B$73&amp;LCI!$D$2:$D$73, 0))* IF(AND($E15="Truck", OR($F15="Electric", $F15="Electric_green")), $B$6, 1)* $C15* $D15</f>
        <v>2.99569215424E-4</v>
      </c>
      <c r="P15" s="158" cm="1">
        <f t="array" ref="P15">INDEX(LCI!Q$2:Q$73, MATCH($E15&amp;$F15, LCI!$B$2:$B$73&amp;LCI!$D$2:$D$73, 0))* IF(AND($E15="Truck", OR($F15="Electric", $F15="Electric_green")), $B$6, 1)* $C15* $D15</f>
        <v>3.2425656785599996E-3</v>
      </c>
      <c r="Q15" s="158" cm="1">
        <f t="array" ref="Q15">INDEX(LCI!R$2:R$73, MATCH($E15&amp;$F15, LCI!$B$2:$B$73&amp;LCI!$D$2:$D$73, 0))* IF(AND($E15="Truck", OR($F15="Electric", $F15="Electric_green")), $B$6, 1)* $C15* $D15</f>
        <v>8.168755262399998E-11</v>
      </c>
      <c r="R15" s="158" cm="1">
        <f t="array" ref="R15">INDEX(LCI!S$2:S$73, MATCH($E15&amp;$F15, LCI!$B$2:$B$73&amp;LCI!$D$2:$D$73, 0))* IF(AND($E15="Truck", OR($F15="Electric", $F15="Electric_green")), $B$6, 1)* $C15* $D15</f>
        <v>6.6465010976000005E-9</v>
      </c>
      <c r="S15" s="158" cm="1">
        <f t="array" ref="S15">INDEX(LCI!T$2:T$73, MATCH($E15&amp;$F15, LCI!$B$2:$B$73&amp;LCI!$D$2:$D$73, 0))* IF(AND($E15="Truck", OR($F15="Electric", $F15="Electric_green")), $B$6, 1)* $C15* $D15</f>
        <v>5.6248101315199998E-3</v>
      </c>
      <c r="T15" s="158" cm="1">
        <f t="array" ref="T15">INDEX(LCI!U$2:U$73, MATCH($E15&amp;$F15, LCI!$B$2:$B$73&amp;LCI!$D$2:$D$73, 0))* IF(AND($E15="Truck", OR($F15="Electric", $F15="Electric_green")), $B$6, 1)* $C15* $D15</f>
        <v>0.78244359896287996</v>
      </c>
      <c r="U15" s="158" cm="1">
        <f t="array" ref="U15">INDEX(LCI!V$2:V$73, MATCH($E15&amp;$F15, LCI!$B$2:$B$73&amp;LCI!$D$2:$D$73, 0))* IF(AND($E15="Truck", OR($F15="Electric", $F15="Electric_green")), $B$6, 1)* $C15* $D15</f>
        <v>1.0168314110399999E-6</v>
      </c>
      <c r="V15" s="158" cm="1">
        <f t="array" ref="V15">INDEX(LCI!W$2:W$73, MATCH($E15&amp;$F15, LCI!$B$2:$B$73&amp;LCI!$D$2:$D$73, 0))* IF(AND($E15="Truck", OR($F15="Electric", $F15="Electric_green")), $B$6, 1)* $C15* $D15</f>
        <v>2.0493852534400002E-8</v>
      </c>
      <c r="W15" s="158" cm="1">
        <f t="array" ref="W15">INDEX(LCI!X$2:X$73, MATCH($E15&amp;$F15, LCI!$B$2:$B$73&amp;LCI!$D$2:$D$73, 0))* IF(AND($E15="Truck", OR($F15="Electric", $F15="Electric_green")), $B$6, 1)* $C15* $D15</f>
        <v>5.7127756254399995E-8</v>
      </c>
      <c r="X15" s="158" cm="1">
        <f t="array" ref="X15">INDEX(LCI!Y$2:Y$73, MATCH($E15&amp;$F15, LCI!$B$2:$B$73&amp;LCI!$D$2:$D$73, 0))* IF(AND($E15="Truck", OR($F15="Electric", $F15="Electric_green")), $B$6, 1)* $C15* $D15</f>
        <v>2.3961960787199999E-3</v>
      </c>
      <c r="Y15" s="158" cm="1">
        <f t="array" ref="Y15">INDEX(LCI!Z$2:Z$73, MATCH($E15&amp;$F15, LCI!$B$2:$B$73&amp;LCI!$D$2:$D$73, 0))* IF(AND($E15="Truck", OR($F15="Electric", $F15="Electric_green")), $B$6, 1)* $C15* $D15</f>
        <v>2.825270403888E-2</v>
      </c>
    </row>
    <row r="16" spans="1:25" ht="14" customHeight="1" x14ac:dyDescent="0.35">
      <c r="A16" s="395" t="s">
        <v>211</v>
      </c>
      <c r="B16" s="158" t="str">
        <f>Input!A40</f>
        <v>Virgin crushed coarse aggregate 1 (&gt;2 mm)</v>
      </c>
      <c r="C16" s="158">
        <f>+Input!B40</f>
        <v>5.0999999999999997E-2</v>
      </c>
      <c r="D16" s="158">
        <f>Input!$L40</f>
        <v>115</v>
      </c>
      <c r="E16" s="158" t="str">
        <f>Input!$J40</f>
        <v>Truck</v>
      </c>
      <c r="F16" s="158" t="str">
        <f>Input!$K40</f>
        <v>Diesel_Euro6</v>
      </c>
      <c r="G16" s="158" cm="1">
        <f t="array" ref="G16">INDEX(LCI!H$2:H$73, MATCH($E16&amp;$F16, LCI!$B$2:$B$73&amp;LCI!$D$2:$D$73, 0))* IF(AND($E16="Truck", OR($F16="Electric", $F16="Electric_green")), $B$6, 1)* $C16* $D16</f>
        <v>1.38837453E-3</v>
      </c>
      <c r="H16" s="158" cm="1">
        <f t="array" ref="H16">INDEX(LCI!I$2:I$73, MATCH($E16&amp;$F16, LCI!$B$2:$B$73&amp;LCI!$D$2:$D$73, 0))* IF(AND($E16="Truck", OR($F16="Electric", $F16="Electric_green")), $B$6, 1)* $C16* $D16</f>
        <v>0.931038598035</v>
      </c>
      <c r="I16" s="158" cm="1">
        <f t="array" ref="I16">INDEX(LCI!J$2:J$73, MATCH($E16&amp;$F16, LCI!$B$2:$B$73&amp;LCI!$D$2:$D$73, 0))* IF(AND($E16="Truck", OR($F16="Electric", $F16="Electric_green")), $B$6, 1)* $C16* $D16</f>
        <v>4.3512610949999998E-4</v>
      </c>
      <c r="J16" s="158" cm="1">
        <f t="array" ref="J16">INDEX(LCI!K$2:K$73, MATCH($E16&amp;$F16, LCI!$B$2:$B$73&amp;LCI!$D$2:$D$73, 0))* IF(AND($E16="Truck", OR($F16="Electric", $F16="Electric_green")), $B$6, 1)* $C16* $D16</f>
        <v>0.93052941632999997</v>
      </c>
      <c r="K16" s="158" cm="1">
        <f t="array" ref="K16">INDEX(LCI!L$2:L$73, MATCH($E16&amp;$F16, LCI!$B$2:$B$73&amp;LCI!$D$2:$D$73, 0))* IF(AND($E16="Truck", OR($F16="Electric", $F16="Electric_green")), $B$6, 1)* $C16* $D16</f>
        <v>7.4054422499999985E-5</v>
      </c>
      <c r="L16" s="158" cm="1">
        <f t="array" ref="L16">INDEX(LCI!M$2:M$73, MATCH($E16&amp;$F16, LCI!$B$2:$B$73&amp;LCI!$D$2:$D$73, 0))* IF(AND($E16="Truck", OR($F16="Electric", $F16="Electric_green")), $B$6, 1)* $C16* $D16</f>
        <v>0.79965726088499989</v>
      </c>
      <c r="M16" s="158" cm="1">
        <f t="array" ref="M16">INDEX(LCI!N$2:N$73, MATCH($E16&amp;$F16, LCI!$B$2:$B$73&amp;LCI!$D$2:$D$73, 0))* IF(AND($E16="Truck", OR($F16="Electric", $F16="Electric_green")), $B$6, 1)* $C16* $D16</f>
        <v>12.530811557399998</v>
      </c>
      <c r="N16" s="158" cm="1">
        <f t="array" ref="N16">INDEX(LCI!O$2:O$73, MATCH($E16&amp;$F16, LCI!$B$2:$B$73&amp;LCI!$D$2:$D$73, 0))* IF(AND($E16="Truck", OR($F16="Electric", $F16="Electric_green")), $B$6, 1)* $C16* $D16</f>
        <v>2.1716276849999997E-5</v>
      </c>
      <c r="O16" s="158" cm="1">
        <f t="array" ref="O16">INDEX(LCI!P$2:P$73, MATCH($E16&amp;$F16, LCI!$B$2:$B$73&amp;LCI!$D$2:$D$73, 0))* IF(AND($E16="Truck", OR($F16="Electric", $F16="Electric_green")), $B$6, 1)* $C16* $D16</f>
        <v>3.02617578E-4</v>
      </c>
      <c r="P16" s="158" cm="1">
        <f t="array" ref="P16">INDEX(LCI!Q$2:Q$73, MATCH($E16&amp;$F16, LCI!$B$2:$B$73&amp;LCI!$D$2:$D$73, 0))* IF(AND($E16="Truck", OR($F16="Electric", $F16="Electric_green")), $B$6, 1)* $C16* $D16</f>
        <v>3.2755614449999997E-3</v>
      </c>
      <c r="Q16" s="158" cm="1">
        <f t="array" ref="Q16">INDEX(LCI!R$2:R$73, MATCH($E16&amp;$F16, LCI!$B$2:$B$73&amp;LCI!$D$2:$D$73, 0))* IF(AND($E16="Truck", OR($F16="Electric", $F16="Electric_green")), $B$6, 1)* $C16* $D16</f>
        <v>8.2518790499999987E-11</v>
      </c>
      <c r="R16" s="158" cm="1">
        <f t="array" ref="R16">INDEX(LCI!S$2:S$73, MATCH($E16&amp;$F16, LCI!$B$2:$B$73&amp;LCI!$D$2:$D$73, 0))* IF(AND($E16="Truck", OR($F16="Electric", $F16="Electric_green")), $B$6, 1)* $C16* $D16</f>
        <v>6.7141346999999997E-9</v>
      </c>
      <c r="S16" s="158" cm="1">
        <f t="array" ref="S16">INDEX(LCI!T$2:T$73, MATCH($E16&amp;$F16, LCI!$B$2:$B$73&amp;LCI!$D$2:$D$73, 0))* IF(AND($E16="Truck", OR($F16="Electric", $F16="Electric_green")), $B$6, 1)* $C16* $D16</f>
        <v>5.6820471900000001E-3</v>
      </c>
      <c r="T16" s="158" cm="1">
        <f t="array" ref="T16">INDEX(LCI!U$2:U$73, MATCH($E16&amp;$F16, LCI!$B$2:$B$73&amp;LCI!$D$2:$D$73, 0))* IF(AND($E16="Truck", OR($F16="Electric", $F16="Electric_green")), $B$6, 1)* $C16* $D16</f>
        <v>0.79040560460999998</v>
      </c>
      <c r="U16" s="158" cm="1">
        <f t="array" ref="U16">INDEX(LCI!V$2:V$73, MATCH($E16&amp;$F16, LCI!$B$2:$B$73&amp;LCI!$D$2:$D$73, 0))* IF(AND($E16="Truck", OR($F16="Electric", $F16="Electric_green")), $B$6, 1)* $C16* $D16</f>
        <v>1.0271785049999999E-6</v>
      </c>
      <c r="V16" s="158" cm="1">
        <f t="array" ref="V16">INDEX(LCI!W$2:W$73, MATCH($E16&amp;$F16, LCI!$B$2:$B$73&amp;LCI!$D$2:$D$73, 0))* IF(AND($E16="Truck", OR($F16="Electric", $F16="Electric_green")), $B$6, 1)* $C16* $D16</f>
        <v>2.0702394300000001E-8</v>
      </c>
      <c r="W16" s="158" cm="1">
        <f t="array" ref="W16">INDEX(LCI!X$2:X$73, MATCH($E16&amp;$F16, LCI!$B$2:$B$73&amp;LCI!$D$2:$D$73, 0))* IF(AND($E16="Truck", OR($F16="Electric", $F16="Electric_green")), $B$6, 1)* $C16* $D16</f>
        <v>5.7709078049999987E-8</v>
      </c>
      <c r="X16" s="158" cm="1">
        <f t="array" ref="X16">INDEX(LCI!Y$2:Y$73, MATCH($E16&amp;$F16, LCI!$B$2:$B$73&amp;LCI!$D$2:$D$73, 0))* IF(AND($E16="Truck", OR($F16="Electric", $F16="Electric_green")), $B$6, 1)* $C16* $D16</f>
        <v>2.4205793399999995E-3</v>
      </c>
      <c r="Y16" s="158" cm="1">
        <f t="array" ref="Y16">INDEX(LCI!Z$2:Z$73, MATCH($E16&amp;$F16, LCI!$B$2:$B$73&amp;LCI!$D$2:$D$73, 0))* IF(AND($E16="Truck", OR($F16="Electric", $F16="Electric_green")), $B$6, 1)* $C16* $D16</f>
        <v>2.8540198485000001E-2</v>
      </c>
    </row>
    <row r="17" spans="1:25" ht="14" customHeight="1" x14ac:dyDescent="0.35">
      <c r="A17" s="396"/>
      <c r="B17" s="158" t="str">
        <f>Input!A41</f>
        <v>Virgin crushed coarse aggregate 2 (&gt;2 mm)</v>
      </c>
      <c r="C17" s="158">
        <f>+Input!B41</f>
        <v>0.10199999999999999</v>
      </c>
      <c r="D17" s="158">
        <f>Input!$L41</f>
        <v>51</v>
      </c>
      <c r="E17" s="158" t="str">
        <f>Input!$J41</f>
        <v>Barge</v>
      </c>
      <c r="F17" s="158" t="str">
        <f>Input!$K41</f>
        <v>Diesel</v>
      </c>
      <c r="G17" s="158" cm="1">
        <f t="array" ref="G17">INDEX(LCI!H$2:H$73, MATCH($E17&amp;$F17, LCI!$B$2:$B$73&amp;LCI!$D$2:$D$73, 0))* IF(AND($E17="Truck", OR($F17="Electric", $F17="Electric_green")), $B$6, 1)* $C17* $D17</f>
        <v>2.3017804922428001E-3</v>
      </c>
      <c r="H17" s="158" cm="1">
        <f t="array" ref="H17">INDEX(LCI!I$2:I$73, MATCH($E17&amp;$F17, LCI!$B$2:$B$73&amp;LCI!$D$2:$D$73, 0))* IF(AND($E17="Truck", OR($F17="Electric", $F17="Electric_green")), $B$6, 1)* $C17* $D17</f>
        <v>0.26236359250816671</v>
      </c>
      <c r="I17" s="158" cm="1">
        <f t="array" ref="I17">INDEX(LCI!J$2:J$73, MATCH($E17&amp;$F17, LCI!$B$2:$B$73&amp;LCI!$D$2:$D$73, 0))* IF(AND($E17="Truck", OR($F17="Electric", $F17="Electric_green")), $B$6, 1)* $C17* $D17</f>
        <v>7.2266263553386908E-5</v>
      </c>
      <c r="J17" s="158" cm="1">
        <f t="array" ref="J17">INDEX(LCI!K$2:K$73, MATCH($E17&amp;$F17, LCI!$B$2:$B$73&amp;LCI!$D$2:$D$73, 0))* IF(AND($E17="Truck", OR($F17="Electric", $F17="Electric_green")), $B$6, 1)* $C17* $D17</f>
        <v>0.26204799183095967</v>
      </c>
      <c r="K17" s="158" cm="1">
        <f t="array" ref="K17">INDEX(LCI!L$2:L$73, MATCH($E17&amp;$F17, LCI!$B$2:$B$73&amp;LCI!$D$2:$D$73, 0))* IF(AND($E17="Truck", OR($F17="Electric", $F17="Electric_green")), $B$6, 1)* $C17* $D17</f>
        <v>2.4333441365364736E-4</v>
      </c>
      <c r="L17" s="158" cm="1">
        <f t="array" ref="L17">INDEX(LCI!M$2:M$73, MATCH($E17&amp;$F17, LCI!$B$2:$B$73&amp;LCI!$D$2:$D$73, 0))* IF(AND($E17="Truck", OR($F17="Electric", $F17="Electric_green")), $B$6, 1)* $C17* $D17</f>
        <v>0.26562566705141782</v>
      </c>
      <c r="M17" s="158" cm="1">
        <f t="array" ref="M17">INDEX(LCI!N$2:N$73, MATCH($E17&amp;$F17, LCI!$B$2:$B$73&amp;LCI!$D$2:$D$73, 0))* IF(AND($E17="Truck", OR($F17="Electric", $F17="Electric_green")), $B$6, 1)* $C17* $D17</f>
        <v>3.2181158695123191</v>
      </c>
      <c r="N17" s="158" cm="1">
        <f t="array" ref="N17">INDEX(LCI!O$2:O$73, MATCH($E17&amp;$F17, LCI!$B$2:$B$73&amp;LCI!$D$2:$D$73, 0))* IF(AND($E17="Truck", OR($F17="Electric", $F17="Electric_green")), $B$6, 1)* $C17* $D17</f>
        <v>2.3657858956379437E-5</v>
      </c>
      <c r="O17" s="158" cm="1">
        <f t="array" ref="O17">INDEX(LCI!P$2:P$73, MATCH($E17&amp;$F17, LCI!$B$2:$B$73&amp;LCI!$D$2:$D$73, 0))* IF(AND($E17="Truck", OR($F17="Electric", $F17="Electric_green")), $B$6, 1)* $C17* $D17</f>
        <v>1.0435443557752222E-3</v>
      </c>
      <c r="P17" s="158" cm="1">
        <f t="array" ref="P17">INDEX(LCI!Q$2:Q$73, MATCH($E17&amp;$F17, LCI!$B$2:$B$73&amp;LCI!$D$2:$D$73, 0))* IF(AND($E17="Truck", OR($F17="Electric", $F17="Electric_green")), $B$6, 1)* $C17* $D17</f>
        <v>1.1409946455097584E-2</v>
      </c>
      <c r="Q17" s="158" cm="1">
        <f t="array" ref="Q17">INDEX(LCI!R$2:R$73, MATCH($E17&amp;$F17, LCI!$B$2:$B$73&amp;LCI!$D$2:$D$73, 0))* IF(AND($E17="Truck", OR($F17="Electric", $F17="Electric_green")), $B$6, 1)* $C17* $D17</f>
        <v>3.5418325976628641E-11</v>
      </c>
      <c r="R17" s="158" cm="1">
        <f t="array" ref="R17">INDEX(LCI!S$2:S$73, MATCH($E17&amp;$F17, LCI!$B$2:$B$73&amp;LCI!$D$2:$D$73, 0))* IF(AND($E17="Truck", OR($F17="Electric", $F17="Electric_green")), $B$6, 1)* $C17* $D17</f>
        <v>7.8226390248690636E-10</v>
      </c>
      <c r="S17" s="158" cm="1">
        <f t="array" ref="S17">INDEX(LCI!T$2:T$73, MATCH($E17&amp;$F17, LCI!$B$2:$B$73&amp;LCI!$D$2:$D$73, 0))* IF(AND($E17="Truck", OR($F17="Electric", $F17="Electric_green")), $B$6, 1)* $C17* $D17</f>
        <v>8.8028607430854569E-3</v>
      </c>
      <c r="T17" s="158" cm="1">
        <f t="array" ref="T17">INDEX(LCI!U$2:U$73, MATCH($E17&amp;$F17, LCI!$B$2:$B$73&amp;LCI!$D$2:$D$73, 0))* IF(AND($E17="Truck", OR($F17="Electric", $F17="Electric_green")), $B$6, 1)* $C17* $D17</f>
        <v>2.1479757364809067</v>
      </c>
      <c r="U17" s="158" cm="1">
        <f t="array" ref="U17">INDEX(LCI!V$2:V$73, MATCH($E17&amp;$F17, LCI!$B$2:$B$73&amp;LCI!$D$2:$D$73, 0))* IF(AND($E17="Truck", OR($F17="Electric", $F17="Electric_green")), $B$6, 1)* $C17* $D17</f>
        <v>3.6147503511793655E-7</v>
      </c>
      <c r="V17" s="158" cm="1">
        <f t="array" ref="V17">INDEX(LCI!W$2:W$73, MATCH($E17&amp;$F17, LCI!$B$2:$B$73&amp;LCI!$D$2:$D$73, 0))* IF(AND($E17="Truck", OR($F17="Electric", $F17="Electric_green")), $B$6, 1)* $C17* $D17</f>
        <v>4.8574287853847173E-9</v>
      </c>
      <c r="W17" s="158" cm="1">
        <f t="array" ref="W17">INDEX(LCI!X$2:X$73, MATCH($E17&amp;$F17, LCI!$B$2:$B$73&amp;LCI!$D$2:$D$73, 0))* IF(AND($E17="Truck", OR($F17="Electric", $F17="Electric_green")), $B$6, 1)* $C17* $D17</f>
        <v>5.539524102189045E-9</v>
      </c>
      <c r="X17" s="158" cm="1">
        <f t="array" ref="X17">INDEX(LCI!Y$2:Y$73, MATCH($E17&amp;$F17, LCI!$B$2:$B$73&amp;LCI!$D$2:$D$73, 0))* IF(AND($E17="Truck", OR($F17="Electric", $F17="Electric_green")), $B$6, 1)* $C17* $D17</f>
        <v>3.1900115945870848E-3</v>
      </c>
      <c r="Y17" s="158" cm="1">
        <f t="array" ref="Y17">INDEX(LCI!Z$2:Z$73, MATCH($E17&amp;$F17, LCI!$B$2:$B$73&amp;LCI!$D$2:$D$73, 0))* IF(AND($E17="Truck", OR($F17="Electric", $F17="Electric_green")), $B$6, 1)* $C17* $D17</f>
        <v>2.4880459710116803E-2</v>
      </c>
    </row>
    <row r="18" spans="1:25" ht="14" customHeight="1" x14ac:dyDescent="0.35">
      <c r="A18" s="396"/>
      <c r="B18" s="158" t="str">
        <f>Input!A42</f>
        <v>Virgin crushed coarse aggregate 3 (&gt;2 mm)</v>
      </c>
      <c r="C18" s="158">
        <f>+Input!B42</f>
        <v>0.35299999999999998</v>
      </c>
      <c r="D18" s="158">
        <f>Input!$L42</f>
        <v>188</v>
      </c>
      <c r="E18" s="158" t="str">
        <f>Input!$J42</f>
        <v>Truck</v>
      </c>
      <c r="F18" s="158" t="str">
        <f>Input!$K42</f>
        <v>Diesel_Euro6</v>
      </c>
      <c r="G18" s="158" cm="1">
        <f t="array" ref="G18">INDEX(LCI!H$2:H$73, MATCH($E18&amp;$F18, LCI!$B$2:$B$73&amp;LCI!$D$2:$D$73, 0))* IF(AND($E18="Truck", OR($F18="Electric", $F18="Electric_green")), $B$6, 1)* $C18* $D18</f>
        <v>1.5709818807999997E-2</v>
      </c>
      <c r="H18" s="158" cm="1">
        <f t="array" ref="H18">INDEX(LCI!I$2:I$73, MATCH($E18&amp;$F18, LCI!$B$2:$B$73&amp;LCI!$D$2:$D$73, 0))* IF(AND($E18="Truck", OR($F18="Electric", $F18="Electric_green")), $B$6, 1)* $C18* $D18</f>
        <v>10.534943822675999</v>
      </c>
      <c r="I18" s="158" cm="1">
        <f t="array" ref="I18">INDEX(LCI!J$2:J$73, MATCH($E18&amp;$F18, LCI!$B$2:$B$73&amp;LCI!$D$2:$D$73, 0))* IF(AND($E18="Truck", OR($F18="Electric", $F18="Electric_green")), $B$6, 1)* $C18* $D18</f>
        <v>4.9235650691999994E-3</v>
      </c>
      <c r="J18" s="158" cm="1">
        <f t="array" ref="J18">INDEX(LCI!K$2:K$73, MATCH($E18&amp;$F18, LCI!$B$2:$B$73&amp;LCI!$D$2:$D$73, 0))* IF(AND($E18="Truck", OR($F18="Electric", $F18="Electric_green")), $B$6, 1)* $C18* $D18</f>
        <v>10.529182299287999</v>
      </c>
      <c r="K18" s="158" cm="1">
        <f t="array" ref="K18">INDEX(LCI!L$2:L$73, MATCH($E18&amp;$F18, LCI!$B$2:$B$73&amp;LCI!$D$2:$D$73, 0))* IF(AND($E18="Truck", OR($F18="Electric", $F18="Electric_green")), $B$6, 1)* $C18* $D18</f>
        <v>8.3794504600000002E-4</v>
      </c>
      <c r="L18" s="158" cm="1">
        <f t="array" ref="L18">INDEX(LCI!M$2:M$73, MATCH($E18&amp;$F18, LCI!$B$2:$B$73&amp;LCI!$D$2:$D$73, 0))* IF(AND($E18="Truck", OR($F18="Electric", $F18="Electric_green")), $B$6, 1)* $C18* $D18</f>
        <v>9.0483298314359981</v>
      </c>
      <c r="M18" s="158" cm="1">
        <f t="array" ref="M18">INDEX(LCI!N$2:N$73, MATCH($E18&amp;$F18, LCI!$B$2:$B$73&amp;LCI!$D$2:$D$73, 0))* IF(AND($E18="Truck", OR($F18="Electric", $F18="Electric_green")), $B$6, 1)* $C18* $D18</f>
        <v>141.78939099663998</v>
      </c>
      <c r="N18" s="158" cm="1">
        <f t="array" ref="N18">INDEX(LCI!O$2:O$73, MATCH($E18&amp;$F18, LCI!$B$2:$B$73&amp;LCI!$D$2:$D$73, 0))* IF(AND($E18="Truck", OR($F18="Electric", $F18="Electric_green")), $B$6, 1)* $C18* $D18</f>
        <v>2.4572531915999999E-4</v>
      </c>
      <c r="O18" s="158" cm="1">
        <f t="array" ref="O18">INDEX(LCI!P$2:P$73, MATCH($E18&amp;$F18, LCI!$B$2:$B$73&amp;LCI!$D$2:$D$73, 0))* IF(AND($E18="Truck", OR($F18="Electric", $F18="Electric_green")), $B$6, 1)* $C18* $D18</f>
        <v>3.4241965807999997E-3</v>
      </c>
      <c r="P18" s="158" cm="1">
        <f t="array" ref="P18">INDEX(LCI!Q$2:Q$73, MATCH($E18&amp;$F18, LCI!$B$2:$B$73&amp;LCI!$D$2:$D$73, 0))* IF(AND($E18="Truck", OR($F18="Electric", $F18="Electric_green")), $B$6, 1)* $C18* $D18</f>
        <v>3.7063829451999999E-2</v>
      </c>
      <c r="Q18" s="158" cm="1">
        <f t="array" ref="Q18">INDEX(LCI!R$2:R$73, MATCH($E18&amp;$F18, LCI!$B$2:$B$73&amp;LCI!$D$2:$D$73, 0))* IF(AND($E18="Truck", OR($F18="Electric", $F18="Electric_green")), $B$6, 1)* $C18* $D18</f>
        <v>9.3372157079999979E-10</v>
      </c>
      <c r="R18" s="158" cm="1">
        <f t="array" ref="R18">INDEX(LCI!S$2:S$73, MATCH($E18&amp;$F18, LCI!$B$2:$B$73&amp;LCI!$D$2:$D$73, 0))* IF(AND($E18="Truck", OR($F18="Electric", $F18="Electric_green")), $B$6, 1)* $C18* $D18</f>
        <v>7.5972179920000006E-8</v>
      </c>
      <c r="S18" s="158" cm="1">
        <f t="array" ref="S18">INDEX(LCI!T$2:T$73, MATCH($E18&amp;$F18, LCI!$B$2:$B$73&amp;LCI!$D$2:$D$73, 0))* IF(AND($E18="Truck", OR($F18="Electric", $F18="Electric_green")), $B$6, 1)* $C18* $D18</f>
        <v>6.4293841384000003E-2</v>
      </c>
      <c r="T18" s="158" cm="1">
        <f t="array" ref="T18">INDEX(LCI!U$2:U$73, MATCH($E18&amp;$F18, LCI!$B$2:$B$73&amp;LCI!$D$2:$D$73, 0))* IF(AND($E18="Truck", OR($F18="Electric", $F18="Electric_green")), $B$6, 1)* $C18* $D18</f>
        <v>8.9436449350959997</v>
      </c>
      <c r="U18" s="158" cm="1">
        <f t="array" ref="U18">INDEX(LCI!V$2:V$73, MATCH($E18&amp;$F18, LCI!$B$2:$B$73&amp;LCI!$D$2:$D$73, 0))* IF(AND($E18="Truck", OR($F18="Electric", $F18="Electric_green")), $B$6, 1)* $C18* $D18</f>
        <v>1.1622791868E-5</v>
      </c>
      <c r="V18" s="158" cm="1">
        <f t="array" ref="V18">INDEX(LCI!W$2:W$73, MATCH($E18&amp;$F18, LCI!$B$2:$B$73&amp;LCI!$D$2:$D$73, 0))* IF(AND($E18="Truck", OR($F18="Electric", $F18="Electric_green")), $B$6, 1)* $C18* $D18</f>
        <v>2.3425297448E-7</v>
      </c>
      <c r="W18" s="158" cm="1">
        <f t="array" ref="W18">INDEX(LCI!X$2:X$73, MATCH($E18&amp;$F18, LCI!$B$2:$B$73&amp;LCI!$D$2:$D$73, 0))* IF(AND($E18="Truck", OR($F18="Electric", $F18="Electric_green")), $B$6, 1)* $C18* $D18</f>
        <v>6.5299322347999993E-7</v>
      </c>
      <c r="X18" s="158" cm="1">
        <f t="array" ref="X18">INDEX(LCI!Y$2:Y$73, MATCH($E18&amp;$F18, LCI!$B$2:$B$73&amp;LCI!$D$2:$D$73, 0))* IF(AND($E18="Truck", OR($F18="Electric", $F18="Electric_green")), $B$6, 1)* $C18* $D18</f>
        <v>2.7389484623999996E-2</v>
      </c>
      <c r="Y18" s="158" cm="1">
        <f t="array" ref="Y18">INDEX(LCI!Z$2:Z$73, MATCH($E18&amp;$F18, LCI!$B$2:$B$73&amp;LCI!$D$2:$D$73, 0))* IF(AND($E18="Truck", OR($F18="Electric", $F18="Electric_green")), $B$6, 1)* $C18* $D18</f>
        <v>0.32293976679599995</v>
      </c>
    </row>
    <row r="19" spans="1:25" ht="14" customHeight="1" x14ac:dyDescent="0.35">
      <c r="A19" s="396"/>
      <c r="B19" s="158" t="str">
        <f>Input!A43</f>
        <v>Virgin crushed fine aggregate 1 (≤2 mm)</v>
      </c>
      <c r="C19" s="158">
        <f>+Input!B43</f>
        <v>0</v>
      </c>
      <c r="D19" s="158">
        <f>Input!$L43</f>
        <v>0</v>
      </c>
      <c r="E19" s="158" t="str">
        <f>Input!$J43</f>
        <v>No</v>
      </c>
      <c r="F19" s="158" t="str">
        <f>Input!$K43</f>
        <v>No</v>
      </c>
      <c r="G19" s="158" cm="1">
        <f t="array" ref="G19">INDEX(LCI!H$2:H$73, MATCH($E19&amp;$F19, LCI!$B$2:$B$73&amp;LCI!$D$2:$D$73, 0))* IF(AND($E19="Truck", OR($F19="Electric", $F19="Electric_green")), $B$6, 1)* $C19* $D19</f>
        <v>0</v>
      </c>
      <c r="H19" s="158" cm="1">
        <f t="array" ref="H19">INDEX(LCI!I$2:I$73, MATCH($E19&amp;$F19, LCI!$B$2:$B$73&amp;LCI!$D$2:$D$73, 0))* IF(AND($E19="Truck", OR($F19="Electric", $F19="Electric_green")), $B$6, 1)* $C19* $D19</f>
        <v>0</v>
      </c>
      <c r="I19" s="158" cm="1">
        <f t="array" ref="I19">INDEX(LCI!J$2:J$73, MATCH($E19&amp;$F19, LCI!$B$2:$B$73&amp;LCI!$D$2:$D$73, 0))* IF(AND($E19="Truck", OR($F19="Electric", $F19="Electric_green")), $B$6, 1)* $C19* $D19</f>
        <v>0</v>
      </c>
      <c r="J19" s="158" cm="1">
        <f t="array" ref="J19">INDEX(LCI!K$2:K$73, MATCH($E19&amp;$F19, LCI!$B$2:$B$73&amp;LCI!$D$2:$D$73, 0))* IF(AND($E19="Truck", OR($F19="Electric", $F19="Electric_green")), $B$6, 1)* $C19* $D19</f>
        <v>0</v>
      </c>
      <c r="K19" s="158" cm="1">
        <f t="array" ref="K19">INDEX(LCI!L$2:L$73, MATCH($E19&amp;$F19, LCI!$B$2:$B$73&amp;LCI!$D$2:$D$73, 0))* IF(AND($E19="Truck", OR($F19="Electric", $F19="Electric_green")), $B$6, 1)* $C19* $D19</f>
        <v>0</v>
      </c>
      <c r="L19" s="158" cm="1">
        <f t="array" ref="L19">INDEX(LCI!M$2:M$73, MATCH($E19&amp;$F19, LCI!$B$2:$B$73&amp;LCI!$D$2:$D$73, 0))* IF(AND($E19="Truck", OR($F19="Electric", $F19="Electric_green")), $B$6, 1)* $C19* $D19</f>
        <v>0</v>
      </c>
      <c r="M19" s="158" cm="1">
        <f t="array" ref="M19">INDEX(LCI!N$2:N$73, MATCH($E19&amp;$F19, LCI!$B$2:$B$73&amp;LCI!$D$2:$D$73, 0))* IF(AND($E19="Truck", OR($F19="Electric", $F19="Electric_green")), $B$6, 1)* $C19* $D19</f>
        <v>0</v>
      </c>
      <c r="N19" s="158" cm="1">
        <f t="array" ref="N19">INDEX(LCI!O$2:O$73, MATCH($E19&amp;$F19, LCI!$B$2:$B$73&amp;LCI!$D$2:$D$73, 0))* IF(AND($E19="Truck", OR($F19="Electric", $F19="Electric_green")), $B$6, 1)* $C19* $D19</f>
        <v>0</v>
      </c>
      <c r="O19" s="158" cm="1">
        <f t="array" ref="O19">INDEX(LCI!P$2:P$73, MATCH($E19&amp;$F19, LCI!$B$2:$B$73&amp;LCI!$D$2:$D$73, 0))* IF(AND($E19="Truck", OR($F19="Electric", $F19="Electric_green")), $B$6, 1)* $C19* $D19</f>
        <v>0</v>
      </c>
      <c r="P19" s="158" cm="1">
        <f t="array" ref="P19">INDEX(LCI!Q$2:Q$73, MATCH($E19&amp;$F19, LCI!$B$2:$B$73&amp;LCI!$D$2:$D$73, 0))* IF(AND($E19="Truck", OR($F19="Electric", $F19="Electric_green")), $B$6, 1)* $C19* $D19</f>
        <v>0</v>
      </c>
      <c r="Q19" s="158" cm="1">
        <f t="array" ref="Q19">INDEX(LCI!R$2:R$73, MATCH($E19&amp;$F19, LCI!$B$2:$B$73&amp;LCI!$D$2:$D$73, 0))* IF(AND($E19="Truck", OR($F19="Electric", $F19="Electric_green")), $B$6, 1)* $C19* $D19</f>
        <v>0</v>
      </c>
      <c r="R19" s="158" cm="1">
        <f t="array" ref="R19">INDEX(LCI!S$2:S$73, MATCH($E19&amp;$F19, LCI!$B$2:$B$73&amp;LCI!$D$2:$D$73, 0))* IF(AND($E19="Truck", OR($F19="Electric", $F19="Electric_green")), $B$6, 1)* $C19* $D19</f>
        <v>0</v>
      </c>
      <c r="S19" s="158" cm="1">
        <f t="array" ref="S19">INDEX(LCI!T$2:T$73, MATCH($E19&amp;$F19, LCI!$B$2:$B$73&amp;LCI!$D$2:$D$73, 0))* IF(AND($E19="Truck", OR($F19="Electric", $F19="Electric_green")), $B$6, 1)* $C19* $D19</f>
        <v>0</v>
      </c>
      <c r="T19" s="158" cm="1">
        <f t="array" ref="T19">INDEX(LCI!U$2:U$73, MATCH($E19&amp;$F19, LCI!$B$2:$B$73&amp;LCI!$D$2:$D$73, 0))* IF(AND($E19="Truck", OR($F19="Electric", $F19="Electric_green")), $B$6, 1)* $C19* $D19</f>
        <v>0</v>
      </c>
      <c r="U19" s="158" cm="1">
        <f t="array" ref="U19">INDEX(LCI!V$2:V$73, MATCH($E19&amp;$F19, LCI!$B$2:$B$73&amp;LCI!$D$2:$D$73, 0))* IF(AND($E19="Truck", OR($F19="Electric", $F19="Electric_green")), $B$6, 1)* $C19* $D19</f>
        <v>0</v>
      </c>
      <c r="V19" s="158" cm="1">
        <f t="array" ref="V19">INDEX(LCI!W$2:W$73, MATCH($E19&amp;$F19, LCI!$B$2:$B$73&amp;LCI!$D$2:$D$73, 0))* IF(AND($E19="Truck", OR($F19="Electric", $F19="Electric_green")), $B$6, 1)* $C19* $D19</f>
        <v>0</v>
      </c>
      <c r="W19" s="158" cm="1">
        <f t="array" ref="W19">INDEX(LCI!X$2:X$73, MATCH($E19&amp;$F19, LCI!$B$2:$B$73&amp;LCI!$D$2:$D$73, 0))* IF(AND($E19="Truck", OR($F19="Electric", $F19="Electric_green")), $B$6, 1)* $C19* $D19</f>
        <v>0</v>
      </c>
      <c r="X19" s="158" cm="1">
        <f t="array" ref="X19">INDEX(LCI!Y$2:Y$73, MATCH($E19&amp;$F19, LCI!$B$2:$B$73&amp;LCI!$D$2:$D$73, 0))* IF(AND($E19="Truck", OR($F19="Electric", $F19="Electric_green")), $B$6, 1)* $C19* $D19</f>
        <v>0</v>
      </c>
      <c r="Y19" s="158" cm="1">
        <f t="array" ref="Y19">INDEX(LCI!Z$2:Z$73, MATCH($E19&amp;$F19, LCI!$B$2:$B$73&amp;LCI!$D$2:$D$73, 0))* IF(AND($E19="Truck", OR($F19="Electric", $F19="Electric_green")), $B$6, 1)* $C19* $D19</f>
        <v>0</v>
      </c>
    </row>
    <row r="20" spans="1:25" ht="14" customHeight="1" x14ac:dyDescent="0.35">
      <c r="A20" s="396"/>
      <c r="B20" s="158" t="str">
        <f>Input!A44</f>
        <v>Virgin crushed fine aggregate 2 (≤2 mm)</v>
      </c>
      <c r="C20" s="158">
        <f>+Input!B44</f>
        <v>0</v>
      </c>
      <c r="D20" s="158">
        <f>Input!$L44</f>
        <v>0</v>
      </c>
      <c r="E20" s="158" t="str">
        <f>Input!$J44</f>
        <v>No</v>
      </c>
      <c r="F20" s="158" t="str">
        <f>Input!$K44</f>
        <v>No</v>
      </c>
      <c r="G20" s="158" cm="1">
        <f t="array" ref="G20">INDEX(LCI!H$2:H$73, MATCH($E20&amp;$F20, LCI!$B$2:$B$73&amp;LCI!$D$2:$D$73, 0))* IF(AND($E20="Truck", OR($F20="Electric", $F20="Electric_green")), $B$6, 1)* $C20* $D20</f>
        <v>0</v>
      </c>
      <c r="H20" s="158" cm="1">
        <f t="array" ref="H20">INDEX(LCI!I$2:I$73, MATCH($E20&amp;$F20, LCI!$B$2:$B$73&amp;LCI!$D$2:$D$73, 0))* IF(AND($E20="Truck", OR($F20="Electric", $F20="Electric_green")), $B$6, 1)* $C20* $D20</f>
        <v>0</v>
      </c>
      <c r="I20" s="158" cm="1">
        <f t="array" ref="I20">INDEX(LCI!J$2:J$73, MATCH($E20&amp;$F20, LCI!$B$2:$B$73&amp;LCI!$D$2:$D$73, 0))* IF(AND($E20="Truck", OR($F20="Electric", $F20="Electric_green")), $B$6, 1)* $C20* $D20</f>
        <v>0</v>
      </c>
      <c r="J20" s="158" cm="1">
        <f t="array" ref="J20">INDEX(LCI!K$2:K$73, MATCH($E20&amp;$F20, LCI!$B$2:$B$73&amp;LCI!$D$2:$D$73, 0))* IF(AND($E20="Truck", OR($F20="Electric", $F20="Electric_green")), $B$6, 1)* $C20* $D20</f>
        <v>0</v>
      </c>
      <c r="K20" s="158" cm="1">
        <f t="array" ref="K20">INDEX(LCI!L$2:L$73, MATCH($E20&amp;$F20, LCI!$B$2:$B$73&amp;LCI!$D$2:$D$73, 0))* IF(AND($E20="Truck", OR($F20="Electric", $F20="Electric_green")), $B$6, 1)* $C20* $D20</f>
        <v>0</v>
      </c>
      <c r="L20" s="158" cm="1">
        <f t="array" ref="L20">INDEX(LCI!M$2:M$73, MATCH($E20&amp;$F20, LCI!$B$2:$B$73&amp;LCI!$D$2:$D$73, 0))* IF(AND($E20="Truck", OR($F20="Electric", $F20="Electric_green")), $B$6, 1)* $C20* $D20</f>
        <v>0</v>
      </c>
      <c r="M20" s="158" cm="1">
        <f t="array" ref="M20">INDEX(LCI!N$2:N$73, MATCH($E20&amp;$F20, LCI!$B$2:$B$73&amp;LCI!$D$2:$D$73, 0))* IF(AND($E20="Truck", OR($F20="Electric", $F20="Electric_green")), $B$6, 1)* $C20* $D20</f>
        <v>0</v>
      </c>
      <c r="N20" s="158" cm="1">
        <f t="array" ref="N20">INDEX(LCI!O$2:O$73, MATCH($E20&amp;$F20, LCI!$B$2:$B$73&amp;LCI!$D$2:$D$73, 0))* IF(AND($E20="Truck", OR($F20="Electric", $F20="Electric_green")), $B$6, 1)* $C20* $D20</f>
        <v>0</v>
      </c>
      <c r="O20" s="158" cm="1">
        <f t="array" ref="O20">INDEX(LCI!P$2:P$73, MATCH($E20&amp;$F20, LCI!$B$2:$B$73&amp;LCI!$D$2:$D$73, 0))* IF(AND($E20="Truck", OR($F20="Electric", $F20="Electric_green")), $B$6, 1)* $C20* $D20</f>
        <v>0</v>
      </c>
      <c r="P20" s="158" cm="1">
        <f t="array" ref="P20">INDEX(LCI!Q$2:Q$73, MATCH($E20&amp;$F20, LCI!$B$2:$B$73&amp;LCI!$D$2:$D$73, 0))* IF(AND($E20="Truck", OR($F20="Electric", $F20="Electric_green")), $B$6, 1)* $C20* $D20</f>
        <v>0</v>
      </c>
      <c r="Q20" s="158" cm="1">
        <f t="array" ref="Q20">INDEX(LCI!R$2:R$73, MATCH($E20&amp;$F20, LCI!$B$2:$B$73&amp;LCI!$D$2:$D$73, 0))* IF(AND($E20="Truck", OR($F20="Electric", $F20="Electric_green")), $B$6, 1)* $C20* $D20</f>
        <v>0</v>
      </c>
      <c r="R20" s="158" cm="1">
        <f t="array" ref="R20">INDEX(LCI!S$2:S$73, MATCH($E20&amp;$F20, LCI!$B$2:$B$73&amp;LCI!$D$2:$D$73, 0))* IF(AND($E20="Truck", OR($F20="Electric", $F20="Electric_green")), $B$6, 1)* $C20* $D20</f>
        <v>0</v>
      </c>
      <c r="S20" s="158" cm="1">
        <f t="array" ref="S20">INDEX(LCI!T$2:T$73, MATCH($E20&amp;$F20, LCI!$B$2:$B$73&amp;LCI!$D$2:$D$73, 0))* IF(AND($E20="Truck", OR($F20="Electric", $F20="Electric_green")), $B$6, 1)* $C20* $D20</f>
        <v>0</v>
      </c>
      <c r="T20" s="158" cm="1">
        <f t="array" ref="T20">INDEX(LCI!U$2:U$73, MATCH($E20&amp;$F20, LCI!$B$2:$B$73&amp;LCI!$D$2:$D$73, 0))* IF(AND($E20="Truck", OR($F20="Electric", $F20="Electric_green")), $B$6, 1)* $C20* $D20</f>
        <v>0</v>
      </c>
      <c r="U20" s="158" cm="1">
        <f t="array" ref="U20">INDEX(LCI!V$2:V$73, MATCH($E20&amp;$F20, LCI!$B$2:$B$73&amp;LCI!$D$2:$D$73, 0))* IF(AND($E20="Truck", OR($F20="Electric", $F20="Electric_green")), $B$6, 1)* $C20* $D20</f>
        <v>0</v>
      </c>
      <c r="V20" s="158" cm="1">
        <f t="array" ref="V20">INDEX(LCI!W$2:W$73, MATCH($E20&amp;$F20, LCI!$B$2:$B$73&amp;LCI!$D$2:$D$73, 0))* IF(AND($E20="Truck", OR($F20="Electric", $F20="Electric_green")), $B$6, 1)* $C20* $D20</f>
        <v>0</v>
      </c>
      <c r="W20" s="158" cm="1">
        <f t="array" ref="W20">INDEX(LCI!X$2:X$73, MATCH($E20&amp;$F20, LCI!$B$2:$B$73&amp;LCI!$D$2:$D$73, 0))* IF(AND($E20="Truck", OR($F20="Electric", $F20="Electric_green")), $B$6, 1)* $C20* $D20</f>
        <v>0</v>
      </c>
      <c r="X20" s="158" cm="1">
        <f t="array" ref="X20">INDEX(LCI!Y$2:Y$73, MATCH($E20&amp;$F20, LCI!$B$2:$B$73&amp;LCI!$D$2:$D$73, 0))* IF(AND($E20="Truck", OR($F20="Electric", $F20="Electric_green")), $B$6, 1)* $C20* $D20</f>
        <v>0</v>
      </c>
      <c r="Y20" s="158" cm="1">
        <f t="array" ref="Y20">INDEX(LCI!Z$2:Z$73, MATCH($E20&amp;$F20, LCI!$B$2:$B$73&amp;LCI!$D$2:$D$73, 0))* IF(AND($E20="Truck", OR($F20="Electric", $F20="Electric_green")), $B$6, 1)* $C20* $D20</f>
        <v>0</v>
      </c>
    </row>
    <row r="21" spans="1:25" ht="14" customHeight="1" x14ac:dyDescent="0.35">
      <c r="A21" s="396"/>
      <c r="B21" s="158" t="str">
        <f>Input!A45</f>
        <v>Virgin crushed fine aggregate 3 (≤2 mm)</v>
      </c>
      <c r="C21" s="158">
        <f>+Input!B45</f>
        <v>0</v>
      </c>
      <c r="D21" s="158">
        <f>Input!$L45</f>
        <v>0</v>
      </c>
      <c r="E21" s="158" t="str">
        <f>Input!$J45</f>
        <v>No</v>
      </c>
      <c r="F21" s="158" t="str">
        <f>Input!$K45</f>
        <v>No</v>
      </c>
      <c r="G21" s="158" cm="1">
        <f t="array" ref="G21">INDEX(LCI!H$2:H$73, MATCH($E21&amp;$F21, LCI!$B$2:$B$73&amp;LCI!$D$2:$D$73, 0))* IF(AND($E21="Truck", OR($F21="Electric", $F21="Electric_green")), $B$6, 1)* $C21* $D21</f>
        <v>0</v>
      </c>
      <c r="H21" s="158" cm="1">
        <f t="array" ref="H21">INDEX(LCI!I$2:I$73, MATCH($E21&amp;$F21, LCI!$B$2:$B$73&amp;LCI!$D$2:$D$73, 0))* IF(AND($E21="Truck", OR($F21="Electric", $F21="Electric_green")), $B$6, 1)* $C21* $D21</f>
        <v>0</v>
      </c>
      <c r="I21" s="158" cm="1">
        <f t="array" ref="I21">INDEX(LCI!J$2:J$73, MATCH($E21&amp;$F21, LCI!$B$2:$B$73&amp;LCI!$D$2:$D$73, 0))* IF(AND($E21="Truck", OR($F21="Electric", $F21="Electric_green")), $B$6, 1)* $C21* $D21</f>
        <v>0</v>
      </c>
      <c r="J21" s="158" cm="1">
        <f t="array" ref="J21">INDEX(LCI!K$2:K$73, MATCH($E21&amp;$F21, LCI!$B$2:$B$73&amp;LCI!$D$2:$D$73, 0))* IF(AND($E21="Truck", OR($F21="Electric", $F21="Electric_green")), $B$6, 1)* $C21* $D21</f>
        <v>0</v>
      </c>
      <c r="K21" s="158" cm="1">
        <f t="array" ref="K21">INDEX(LCI!L$2:L$73, MATCH($E21&amp;$F21, LCI!$B$2:$B$73&amp;LCI!$D$2:$D$73, 0))* IF(AND($E21="Truck", OR($F21="Electric", $F21="Electric_green")), $B$6, 1)* $C21* $D21</f>
        <v>0</v>
      </c>
      <c r="L21" s="158" cm="1">
        <f t="array" ref="L21">INDEX(LCI!M$2:M$73, MATCH($E21&amp;$F21, LCI!$B$2:$B$73&amp;LCI!$D$2:$D$73, 0))* IF(AND($E21="Truck", OR($F21="Electric", $F21="Electric_green")), $B$6, 1)* $C21* $D21</f>
        <v>0</v>
      </c>
      <c r="M21" s="158" cm="1">
        <f t="array" ref="M21">INDEX(LCI!N$2:N$73, MATCH($E21&amp;$F21, LCI!$B$2:$B$73&amp;LCI!$D$2:$D$73, 0))* IF(AND($E21="Truck", OR($F21="Electric", $F21="Electric_green")), $B$6, 1)* $C21* $D21</f>
        <v>0</v>
      </c>
      <c r="N21" s="158" cm="1">
        <f t="array" ref="N21">INDEX(LCI!O$2:O$73, MATCH($E21&amp;$F21, LCI!$B$2:$B$73&amp;LCI!$D$2:$D$73, 0))* IF(AND($E21="Truck", OR($F21="Electric", $F21="Electric_green")), $B$6, 1)* $C21* $D21</f>
        <v>0</v>
      </c>
      <c r="O21" s="158" cm="1">
        <f t="array" ref="O21">INDEX(LCI!P$2:P$73, MATCH($E21&amp;$F21, LCI!$B$2:$B$73&amp;LCI!$D$2:$D$73, 0))* IF(AND($E21="Truck", OR($F21="Electric", $F21="Electric_green")), $B$6, 1)* $C21* $D21</f>
        <v>0</v>
      </c>
      <c r="P21" s="158" cm="1">
        <f t="array" ref="P21">INDEX(LCI!Q$2:Q$73, MATCH($E21&amp;$F21, LCI!$B$2:$B$73&amp;LCI!$D$2:$D$73, 0))* IF(AND($E21="Truck", OR($F21="Electric", $F21="Electric_green")), $B$6, 1)* $C21* $D21</f>
        <v>0</v>
      </c>
      <c r="Q21" s="158" cm="1">
        <f t="array" ref="Q21">INDEX(LCI!R$2:R$73, MATCH($E21&amp;$F21, LCI!$B$2:$B$73&amp;LCI!$D$2:$D$73, 0))* IF(AND($E21="Truck", OR($F21="Electric", $F21="Electric_green")), $B$6, 1)* $C21* $D21</f>
        <v>0</v>
      </c>
      <c r="R21" s="158" cm="1">
        <f t="array" ref="R21">INDEX(LCI!S$2:S$73, MATCH($E21&amp;$F21, LCI!$B$2:$B$73&amp;LCI!$D$2:$D$73, 0))* IF(AND($E21="Truck", OR($F21="Electric", $F21="Electric_green")), $B$6, 1)* $C21* $D21</f>
        <v>0</v>
      </c>
      <c r="S21" s="158" cm="1">
        <f t="array" ref="S21">INDEX(LCI!T$2:T$73, MATCH($E21&amp;$F21, LCI!$B$2:$B$73&amp;LCI!$D$2:$D$73, 0))* IF(AND($E21="Truck", OR($F21="Electric", $F21="Electric_green")), $B$6, 1)* $C21* $D21</f>
        <v>0</v>
      </c>
      <c r="T21" s="158" cm="1">
        <f t="array" ref="T21">INDEX(LCI!U$2:U$73, MATCH($E21&amp;$F21, LCI!$B$2:$B$73&amp;LCI!$D$2:$D$73, 0))* IF(AND($E21="Truck", OR($F21="Electric", $F21="Electric_green")), $B$6, 1)* $C21* $D21</f>
        <v>0</v>
      </c>
      <c r="U21" s="158" cm="1">
        <f t="array" ref="U21">INDEX(LCI!V$2:V$73, MATCH($E21&amp;$F21, LCI!$B$2:$B$73&amp;LCI!$D$2:$D$73, 0))* IF(AND($E21="Truck", OR($F21="Electric", $F21="Electric_green")), $B$6, 1)* $C21* $D21</f>
        <v>0</v>
      </c>
      <c r="V21" s="158" cm="1">
        <f t="array" ref="V21">INDEX(LCI!W$2:W$73, MATCH($E21&amp;$F21, LCI!$B$2:$B$73&amp;LCI!$D$2:$D$73, 0))* IF(AND($E21="Truck", OR($F21="Electric", $F21="Electric_green")), $B$6, 1)* $C21* $D21</f>
        <v>0</v>
      </c>
      <c r="W21" s="158" cm="1">
        <f t="array" ref="W21">INDEX(LCI!X$2:X$73, MATCH($E21&amp;$F21, LCI!$B$2:$B$73&amp;LCI!$D$2:$D$73, 0))* IF(AND($E21="Truck", OR($F21="Electric", $F21="Electric_green")), $B$6, 1)* $C21* $D21</f>
        <v>0</v>
      </c>
      <c r="X21" s="158" cm="1">
        <f t="array" ref="X21">INDEX(LCI!Y$2:Y$73, MATCH($E21&amp;$F21, LCI!$B$2:$B$73&amp;LCI!$D$2:$D$73, 0))* IF(AND($E21="Truck", OR($F21="Electric", $F21="Electric_green")), $B$6, 1)* $C21* $D21</f>
        <v>0</v>
      </c>
      <c r="Y21" s="158" cm="1">
        <f t="array" ref="Y21">INDEX(LCI!Z$2:Z$73, MATCH($E21&amp;$F21, LCI!$B$2:$B$73&amp;LCI!$D$2:$D$73, 0))* IF(AND($E21="Truck", OR($F21="Electric", $F21="Electric_green")), $B$6, 1)* $C21* $D21</f>
        <v>0</v>
      </c>
    </row>
    <row r="22" spans="1:25" ht="14" customHeight="1" x14ac:dyDescent="0.35">
      <c r="A22" s="396"/>
      <c r="B22" s="158" t="str">
        <f>Input!A46</f>
        <v>Virgin natural fine aggregate 1 (≤2 mm)</v>
      </c>
      <c r="C22" s="158">
        <f>+Input!B46</f>
        <v>0.153</v>
      </c>
      <c r="D22" s="158">
        <f>Input!$L46</f>
        <v>44</v>
      </c>
      <c r="E22" s="158" t="str">
        <f>Input!$J46</f>
        <v>Barge</v>
      </c>
      <c r="F22" s="158" t="str">
        <f>Input!$K46</f>
        <v>Diesel</v>
      </c>
      <c r="G22" s="158" cm="1">
        <f t="array" ref="G22">INDEX(LCI!H$2:H$73, MATCH($E22&amp;$F22, LCI!$B$2:$B$73&amp;LCI!$D$2:$D$73, 0))* IF(AND($E22="Truck", OR($F22="Electric", $F22="Electric_green")), $B$6, 1)* $C22* $D22</f>
        <v>2.9787747546671539E-3</v>
      </c>
      <c r="H22" s="158" cm="1">
        <f t="array" ref="H22">INDEX(LCI!I$2:I$73, MATCH($E22&amp;$F22, LCI!$B$2:$B$73&amp;LCI!$D$2:$D$73, 0))* IF(AND($E22="Truck", OR($F22="Electric", $F22="Electric_green")), $B$6, 1)* $C22* $D22</f>
        <v>0.33952935501056869</v>
      </c>
      <c r="I22" s="158" cm="1">
        <f t="array" ref="I22">INDEX(LCI!J$2:J$73, MATCH($E22&amp;$F22, LCI!$B$2:$B$73&amp;LCI!$D$2:$D$73, 0))* IF(AND($E22="Truck", OR($F22="Electric", $F22="Electric_green")), $B$6, 1)* $C22* $D22</f>
        <v>9.3521046951441895E-5</v>
      </c>
      <c r="J22" s="158" cm="1">
        <f t="array" ref="J22">INDEX(LCI!K$2:K$73, MATCH($E22&amp;$F22, LCI!$B$2:$B$73&amp;LCI!$D$2:$D$73, 0))* IF(AND($E22="Truck", OR($F22="Electric", $F22="Electric_green")), $B$6, 1)* $C22* $D22</f>
        <v>0.33912093060477139</v>
      </c>
      <c r="K22" s="158" cm="1">
        <f t="array" ref="K22">INDEX(LCI!L$2:L$73, MATCH($E22&amp;$F22, LCI!$B$2:$B$73&amp;LCI!$D$2:$D$73, 0))* IF(AND($E22="Truck", OR($F22="Electric", $F22="Electric_green")), $B$6, 1)* $C22* $D22</f>
        <v>3.1490335884589663E-4</v>
      </c>
      <c r="L22" s="158" cm="1">
        <f t="array" ref="L22">INDEX(LCI!M$2:M$73, MATCH($E22&amp;$F22, LCI!$B$2:$B$73&amp;LCI!$D$2:$D$73, 0))* IF(AND($E22="Truck", OR($F22="Electric", $F22="Electric_green")), $B$6, 1)* $C22* $D22</f>
        <v>0.3437508632430113</v>
      </c>
      <c r="M22" s="158" cm="1">
        <f t="array" ref="M22">INDEX(LCI!N$2:N$73, MATCH($E22&amp;$F22, LCI!$B$2:$B$73&amp;LCI!$D$2:$D$73, 0))* IF(AND($E22="Truck", OR($F22="Electric", $F22="Electric_green")), $B$6, 1)* $C22* $D22</f>
        <v>4.1646205370159421</v>
      </c>
      <c r="N22" s="158" cm="1">
        <f t="array" ref="N22">INDEX(LCI!O$2:O$73, MATCH($E22&amp;$F22, LCI!$B$2:$B$73&amp;LCI!$D$2:$D$73, 0))* IF(AND($E22="Truck", OR($F22="Electric", $F22="Electric_green")), $B$6, 1)* $C22* $D22</f>
        <v>3.0616052767079273E-5</v>
      </c>
      <c r="O22" s="158" cm="1">
        <f t="array" ref="O22">INDEX(LCI!P$2:P$73, MATCH($E22&amp;$F22, LCI!$B$2:$B$73&amp;LCI!$D$2:$D$73, 0))* IF(AND($E22="Truck", OR($F22="Electric", $F22="Electric_green")), $B$6, 1)* $C22* $D22</f>
        <v>1.3504691662973463E-3</v>
      </c>
      <c r="P22" s="158" cm="1">
        <f t="array" ref="P22">INDEX(LCI!Q$2:Q$73, MATCH($E22&amp;$F22, LCI!$B$2:$B$73&amp;LCI!$D$2:$D$73, 0))* IF(AND($E22="Truck", OR($F22="Electric", $F22="Electric_green")), $B$6, 1)* $C22* $D22</f>
        <v>1.4765813059538047E-2</v>
      </c>
      <c r="Q22" s="158" cm="1">
        <f t="array" ref="Q22">INDEX(LCI!R$2:R$73, MATCH($E22&amp;$F22, LCI!$B$2:$B$73&amp;LCI!$D$2:$D$73, 0))* IF(AND($E22="Truck", OR($F22="Electric", $F22="Electric_green")), $B$6, 1)* $C22* $D22</f>
        <v>4.5835480675637068E-11</v>
      </c>
      <c r="R22" s="158" cm="1">
        <f t="array" ref="R22">INDEX(LCI!S$2:S$73, MATCH($E22&amp;$F22, LCI!$B$2:$B$73&amp;LCI!$D$2:$D$73, 0))* IF(AND($E22="Truck", OR($F22="Electric", $F22="Electric_green")), $B$6, 1)* $C22* $D22</f>
        <v>1.0123415208654083E-9</v>
      </c>
      <c r="S22" s="158" cm="1">
        <f t="array" ref="S22">INDEX(LCI!T$2:T$73, MATCH($E22&amp;$F22, LCI!$B$2:$B$73&amp;LCI!$D$2:$D$73, 0))* IF(AND($E22="Truck", OR($F22="Electric", $F22="Electric_green")), $B$6, 1)* $C22* $D22</f>
        <v>1.1391937432228239E-2</v>
      </c>
      <c r="T22" s="158" cm="1">
        <f t="array" ref="T22">INDEX(LCI!U$2:U$73, MATCH($E22&amp;$F22, LCI!$B$2:$B$73&amp;LCI!$D$2:$D$73, 0))* IF(AND($E22="Truck", OR($F22="Electric", $F22="Electric_green")), $B$6, 1)* $C22* $D22</f>
        <v>2.7797333060341143</v>
      </c>
      <c r="U22" s="158" cm="1">
        <f t="array" ref="U22">INDEX(LCI!V$2:V$73, MATCH($E22&amp;$F22, LCI!$B$2:$B$73&amp;LCI!$D$2:$D$73, 0))* IF(AND($E22="Truck", OR($F22="Electric", $F22="Electric_green")), $B$6, 1)* $C22* $D22</f>
        <v>4.6779122191732971E-7</v>
      </c>
      <c r="V22" s="158" cm="1">
        <f t="array" ref="V22">INDEX(LCI!W$2:W$73, MATCH($E22&amp;$F22, LCI!$B$2:$B$73&amp;LCI!$D$2:$D$73, 0))* IF(AND($E22="Truck", OR($F22="Electric", $F22="Electric_green")), $B$6, 1)* $C22* $D22</f>
        <v>6.2860843104978695E-9</v>
      </c>
      <c r="W22" s="158" cm="1">
        <f t="array" ref="W22">INDEX(LCI!X$2:X$73, MATCH($E22&amp;$F22, LCI!$B$2:$B$73&amp;LCI!$D$2:$D$73, 0))* IF(AND($E22="Truck", OR($F22="Electric", $F22="Electric_green")), $B$6, 1)* $C22* $D22</f>
        <v>7.168795896950529E-9</v>
      </c>
      <c r="X22" s="158" cm="1">
        <f t="array" ref="X22">INDEX(LCI!Y$2:Y$73, MATCH($E22&amp;$F22, LCI!$B$2:$B$73&amp;LCI!$D$2:$D$73, 0))* IF(AND($E22="Truck", OR($F22="Electric", $F22="Electric_green")), $B$6, 1)* $C22* $D22</f>
        <v>4.1282502988774037E-3</v>
      </c>
      <c r="Y22" s="158" cm="1">
        <f t="array" ref="Y22">INDEX(LCI!Z$2:Z$73, MATCH($E22&amp;$F22, LCI!$B$2:$B$73&amp;LCI!$D$2:$D$73, 0))* IF(AND($E22="Truck", OR($F22="Electric", $F22="Electric_green")), $B$6, 1)* $C22* $D22</f>
        <v>3.2198241977798213E-2</v>
      </c>
    </row>
    <row r="23" spans="1:25" ht="14" customHeight="1" x14ac:dyDescent="0.35">
      <c r="A23" s="396"/>
      <c r="B23" s="158" t="str">
        <f>Input!A47</f>
        <v>Virgin natural fine aggregate 2 (≤2 mm)</v>
      </c>
      <c r="C23" s="158">
        <f>+Input!B47</f>
        <v>0</v>
      </c>
      <c r="D23" s="158">
        <f>Input!$L47</f>
        <v>0</v>
      </c>
      <c r="E23" s="158" t="str">
        <f>Input!$J47</f>
        <v>No</v>
      </c>
      <c r="F23" s="158" t="str">
        <f>Input!$K47</f>
        <v>No</v>
      </c>
      <c r="G23" s="158" cm="1">
        <f t="array" ref="G23">INDEX(LCI!H$2:H$73, MATCH($E23&amp;$F23, LCI!$B$2:$B$73&amp;LCI!$D$2:$D$73, 0))* IF(AND($E23="Truck", OR($F23="Electric", $F23="Electric_green")), $B$6, 1)* $C23* $D23</f>
        <v>0</v>
      </c>
      <c r="H23" s="158" cm="1">
        <f t="array" ref="H23">INDEX(LCI!I$2:I$73, MATCH($E23&amp;$F23, LCI!$B$2:$B$73&amp;LCI!$D$2:$D$73, 0))* IF(AND($E23="Truck", OR($F23="Electric", $F23="Electric_green")), $B$6, 1)* $C23* $D23</f>
        <v>0</v>
      </c>
      <c r="I23" s="158" cm="1">
        <f t="array" ref="I23">INDEX(LCI!J$2:J$73, MATCH($E23&amp;$F23, LCI!$B$2:$B$73&amp;LCI!$D$2:$D$73, 0))* IF(AND($E23="Truck", OR($F23="Electric", $F23="Electric_green")), $B$6, 1)* $C23* $D23</f>
        <v>0</v>
      </c>
      <c r="J23" s="158" cm="1">
        <f t="array" ref="J23">INDEX(LCI!K$2:K$73, MATCH($E23&amp;$F23, LCI!$B$2:$B$73&amp;LCI!$D$2:$D$73, 0))* IF(AND($E23="Truck", OR($F23="Electric", $F23="Electric_green")), $B$6, 1)* $C23* $D23</f>
        <v>0</v>
      </c>
      <c r="K23" s="158" cm="1">
        <f t="array" ref="K23">INDEX(LCI!L$2:L$73, MATCH($E23&amp;$F23, LCI!$B$2:$B$73&amp;LCI!$D$2:$D$73, 0))* IF(AND($E23="Truck", OR($F23="Electric", $F23="Electric_green")), $B$6, 1)* $C23* $D23</f>
        <v>0</v>
      </c>
      <c r="L23" s="158" cm="1">
        <f t="array" ref="L23">INDEX(LCI!M$2:M$73, MATCH($E23&amp;$F23, LCI!$B$2:$B$73&amp;LCI!$D$2:$D$73, 0))* IF(AND($E23="Truck", OR($F23="Electric", $F23="Electric_green")), $B$6, 1)* $C23* $D23</f>
        <v>0</v>
      </c>
      <c r="M23" s="158" cm="1">
        <f t="array" ref="M23">INDEX(LCI!N$2:N$73, MATCH($E23&amp;$F23, LCI!$B$2:$B$73&amp;LCI!$D$2:$D$73, 0))* IF(AND($E23="Truck", OR($F23="Electric", $F23="Electric_green")), $B$6, 1)* $C23* $D23</f>
        <v>0</v>
      </c>
      <c r="N23" s="158" cm="1">
        <f t="array" ref="N23">INDEX(LCI!O$2:O$73, MATCH($E23&amp;$F23, LCI!$B$2:$B$73&amp;LCI!$D$2:$D$73, 0))* IF(AND($E23="Truck", OR($F23="Electric", $F23="Electric_green")), $B$6, 1)* $C23* $D23</f>
        <v>0</v>
      </c>
      <c r="O23" s="158" cm="1">
        <f t="array" ref="O23">INDEX(LCI!P$2:P$73, MATCH($E23&amp;$F23, LCI!$B$2:$B$73&amp;LCI!$D$2:$D$73, 0))* IF(AND($E23="Truck", OR($F23="Electric", $F23="Electric_green")), $B$6, 1)* $C23* $D23</f>
        <v>0</v>
      </c>
      <c r="P23" s="158" cm="1">
        <f t="array" ref="P23">INDEX(LCI!Q$2:Q$73, MATCH($E23&amp;$F23, LCI!$B$2:$B$73&amp;LCI!$D$2:$D$73, 0))* IF(AND($E23="Truck", OR($F23="Electric", $F23="Electric_green")), $B$6, 1)* $C23* $D23</f>
        <v>0</v>
      </c>
      <c r="Q23" s="158" cm="1">
        <f t="array" ref="Q23">INDEX(LCI!R$2:R$73, MATCH($E23&amp;$F23, LCI!$B$2:$B$73&amp;LCI!$D$2:$D$73, 0))* IF(AND($E23="Truck", OR($F23="Electric", $F23="Electric_green")), $B$6, 1)* $C23* $D23</f>
        <v>0</v>
      </c>
      <c r="R23" s="158" cm="1">
        <f t="array" ref="R23">INDEX(LCI!S$2:S$73, MATCH($E23&amp;$F23, LCI!$B$2:$B$73&amp;LCI!$D$2:$D$73, 0))* IF(AND($E23="Truck", OR($F23="Electric", $F23="Electric_green")), $B$6, 1)* $C23* $D23</f>
        <v>0</v>
      </c>
      <c r="S23" s="158" cm="1">
        <f t="array" ref="S23">INDEX(LCI!T$2:T$73, MATCH($E23&amp;$F23, LCI!$B$2:$B$73&amp;LCI!$D$2:$D$73, 0))* IF(AND($E23="Truck", OR($F23="Electric", $F23="Electric_green")), $B$6, 1)* $C23* $D23</f>
        <v>0</v>
      </c>
      <c r="T23" s="158" cm="1">
        <f t="array" ref="T23">INDEX(LCI!U$2:U$73, MATCH($E23&amp;$F23, LCI!$B$2:$B$73&amp;LCI!$D$2:$D$73, 0))* IF(AND($E23="Truck", OR($F23="Electric", $F23="Electric_green")), $B$6, 1)* $C23* $D23</f>
        <v>0</v>
      </c>
      <c r="U23" s="158" cm="1">
        <f t="array" ref="U23">INDEX(LCI!V$2:V$73, MATCH($E23&amp;$F23, LCI!$B$2:$B$73&amp;LCI!$D$2:$D$73, 0))* IF(AND($E23="Truck", OR($F23="Electric", $F23="Electric_green")), $B$6, 1)* $C23* $D23</f>
        <v>0</v>
      </c>
      <c r="V23" s="158" cm="1">
        <f t="array" ref="V23">INDEX(LCI!W$2:W$73, MATCH($E23&amp;$F23, LCI!$B$2:$B$73&amp;LCI!$D$2:$D$73, 0))* IF(AND($E23="Truck", OR($F23="Electric", $F23="Electric_green")), $B$6, 1)* $C23* $D23</f>
        <v>0</v>
      </c>
      <c r="W23" s="158" cm="1">
        <f t="array" ref="W23">INDEX(LCI!X$2:X$73, MATCH($E23&amp;$F23, LCI!$B$2:$B$73&amp;LCI!$D$2:$D$73, 0))* IF(AND($E23="Truck", OR($F23="Electric", $F23="Electric_green")), $B$6, 1)* $C23* $D23</f>
        <v>0</v>
      </c>
      <c r="X23" s="158" cm="1">
        <f t="array" ref="X23">INDEX(LCI!Y$2:Y$73, MATCH($E23&amp;$F23, LCI!$B$2:$B$73&amp;LCI!$D$2:$D$73, 0))* IF(AND($E23="Truck", OR($F23="Electric", $F23="Electric_green")), $B$6, 1)* $C23* $D23</f>
        <v>0</v>
      </c>
      <c r="Y23" s="158" cm="1">
        <f t="array" ref="Y23">INDEX(LCI!Z$2:Z$73, MATCH($E23&amp;$F23, LCI!$B$2:$B$73&amp;LCI!$D$2:$D$73, 0))* IF(AND($E23="Truck", OR($F23="Electric", $F23="Electric_green")), $B$6, 1)* $C23* $D23</f>
        <v>0</v>
      </c>
    </row>
    <row r="24" spans="1:25" ht="14" customHeight="1" x14ac:dyDescent="0.35">
      <c r="A24" s="397"/>
      <c r="B24" s="158" t="str">
        <f>Input!A48</f>
        <v>Virgin natural fine aggregate 3 (≤2 mm)</v>
      </c>
      <c r="C24" s="158">
        <f>+Input!B48</f>
        <v>0</v>
      </c>
      <c r="D24" s="158">
        <f>Input!$L48</f>
        <v>0</v>
      </c>
      <c r="E24" s="158" t="str">
        <f>Input!$J48</f>
        <v>No</v>
      </c>
      <c r="F24" s="158" t="str">
        <f>Input!$K48</f>
        <v>No</v>
      </c>
      <c r="G24" s="158" cm="1">
        <f t="array" ref="G24">INDEX(LCI!H$2:H$73, MATCH($E24&amp;$F24, LCI!$B$2:$B$73&amp;LCI!$D$2:$D$73, 0))* IF(AND($E24="Truck", OR($F24="Electric", $F24="Electric_green")), $B$6, 1)* $C24* $D24</f>
        <v>0</v>
      </c>
      <c r="H24" s="158" cm="1">
        <f t="array" ref="H24">INDEX(LCI!I$2:I$73, MATCH($E24&amp;$F24, LCI!$B$2:$B$73&amp;LCI!$D$2:$D$73, 0))* IF(AND($E24="Truck", OR($F24="Electric", $F24="Electric_green")), $B$6, 1)* $C24* $D24</f>
        <v>0</v>
      </c>
      <c r="I24" s="158" cm="1">
        <f t="array" ref="I24">INDEX(LCI!J$2:J$73, MATCH($E24&amp;$F24, LCI!$B$2:$B$73&amp;LCI!$D$2:$D$73, 0))* IF(AND($E24="Truck", OR($F24="Electric", $F24="Electric_green")), $B$6, 1)* $C24* $D24</f>
        <v>0</v>
      </c>
      <c r="J24" s="158" cm="1">
        <f t="array" ref="J24">INDEX(LCI!K$2:K$73, MATCH($E24&amp;$F24, LCI!$B$2:$B$73&amp;LCI!$D$2:$D$73, 0))* IF(AND($E24="Truck", OR($F24="Electric", $F24="Electric_green")), $B$6, 1)* $C24* $D24</f>
        <v>0</v>
      </c>
      <c r="K24" s="158" cm="1">
        <f t="array" ref="K24">INDEX(LCI!L$2:L$73, MATCH($E24&amp;$F24, LCI!$B$2:$B$73&amp;LCI!$D$2:$D$73, 0))* IF(AND($E24="Truck", OR($F24="Electric", $F24="Electric_green")), $B$6, 1)* $C24* $D24</f>
        <v>0</v>
      </c>
      <c r="L24" s="158" cm="1">
        <f t="array" ref="L24">INDEX(LCI!M$2:M$73, MATCH($E24&amp;$F24, LCI!$B$2:$B$73&amp;LCI!$D$2:$D$73, 0))* IF(AND($E24="Truck", OR($F24="Electric", $F24="Electric_green")), $B$6, 1)* $C24* $D24</f>
        <v>0</v>
      </c>
      <c r="M24" s="158" cm="1">
        <f t="array" ref="M24">INDEX(LCI!N$2:N$73, MATCH($E24&amp;$F24, LCI!$B$2:$B$73&amp;LCI!$D$2:$D$73, 0))* IF(AND($E24="Truck", OR($F24="Electric", $F24="Electric_green")), $B$6, 1)* $C24* $D24</f>
        <v>0</v>
      </c>
      <c r="N24" s="158" cm="1">
        <f t="array" ref="N24">INDEX(LCI!O$2:O$73, MATCH($E24&amp;$F24, LCI!$B$2:$B$73&amp;LCI!$D$2:$D$73, 0))* IF(AND($E24="Truck", OR($F24="Electric", $F24="Electric_green")), $B$6, 1)* $C24* $D24</f>
        <v>0</v>
      </c>
      <c r="O24" s="158" cm="1">
        <f t="array" ref="O24">INDEX(LCI!P$2:P$73, MATCH($E24&amp;$F24, LCI!$B$2:$B$73&amp;LCI!$D$2:$D$73, 0))* IF(AND($E24="Truck", OR($F24="Electric", $F24="Electric_green")), $B$6, 1)* $C24* $D24</f>
        <v>0</v>
      </c>
      <c r="P24" s="158" cm="1">
        <f t="array" ref="P24">INDEX(LCI!Q$2:Q$73, MATCH($E24&amp;$F24, LCI!$B$2:$B$73&amp;LCI!$D$2:$D$73, 0))* IF(AND($E24="Truck", OR($F24="Electric", $F24="Electric_green")), $B$6, 1)* $C24* $D24</f>
        <v>0</v>
      </c>
      <c r="Q24" s="158" cm="1">
        <f t="array" ref="Q24">INDEX(LCI!R$2:R$73, MATCH($E24&amp;$F24, LCI!$B$2:$B$73&amp;LCI!$D$2:$D$73, 0))* IF(AND($E24="Truck", OR($F24="Electric", $F24="Electric_green")), $B$6, 1)* $C24* $D24</f>
        <v>0</v>
      </c>
      <c r="R24" s="158" cm="1">
        <f t="array" ref="R24">INDEX(LCI!S$2:S$73, MATCH($E24&amp;$F24, LCI!$B$2:$B$73&amp;LCI!$D$2:$D$73, 0))* IF(AND($E24="Truck", OR($F24="Electric", $F24="Electric_green")), $B$6, 1)* $C24* $D24</f>
        <v>0</v>
      </c>
      <c r="S24" s="158" cm="1">
        <f t="array" ref="S24">INDEX(LCI!T$2:T$73, MATCH($E24&amp;$F24, LCI!$B$2:$B$73&amp;LCI!$D$2:$D$73, 0))* IF(AND($E24="Truck", OR($F24="Electric", $F24="Electric_green")), $B$6, 1)* $C24* $D24</f>
        <v>0</v>
      </c>
      <c r="T24" s="158" cm="1">
        <f t="array" ref="T24">INDEX(LCI!U$2:U$73, MATCH($E24&amp;$F24, LCI!$B$2:$B$73&amp;LCI!$D$2:$D$73, 0))* IF(AND($E24="Truck", OR($F24="Electric", $F24="Electric_green")), $B$6, 1)* $C24* $D24</f>
        <v>0</v>
      </c>
      <c r="U24" s="158" cm="1">
        <f t="array" ref="U24">INDEX(LCI!V$2:V$73, MATCH($E24&amp;$F24, LCI!$B$2:$B$73&amp;LCI!$D$2:$D$73, 0))* IF(AND($E24="Truck", OR($F24="Electric", $F24="Electric_green")), $B$6, 1)* $C24* $D24</f>
        <v>0</v>
      </c>
      <c r="V24" s="158" cm="1">
        <f t="array" ref="V24">INDEX(LCI!W$2:W$73, MATCH($E24&amp;$F24, LCI!$B$2:$B$73&amp;LCI!$D$2:$D$73, 0))* IF(AND($E24="Truck", OR($F24="Electric", $F24="Electric_green")), $B$6, 1)* $C24* $D24</f>
        <v>0</v>
      </c>
      <c r="W24" s="158" cm="1">
        <f t="array" ref="W24">INDEX(LCI!X$2:X$73, MATCH($E24&amp;$F24, LCI!$B$2:$B$73&amp;LCI!$D$2:$D$73, 0))* IF(AND($E24="Truck", OR($F24="Electric", $F24="Electric_green")), $B$6, 1)* $C24* $D24</f>
        <v>0</v>
      </c>
      <c r="X24" s="158" cm="1">
        <f t="array" ref="X24">INDEX(LCI!Y$2:Y$73, MATCH($E24&amp;$F24, LCI!$B$2:$B$73&amp;LCI!$D$2:$D$73, 0))* IF(AND($E24="Truck", OR($F24="Electric", $F24="Electric_green")), $B$6, 1)* $C24* $D24</f>
        <v>0</v>
      </c>
      <c r="Y24" s="158" cm="1">
        <f t="array" ref="Y24">INDEX(LCI!Z$2:Z$73, MATCH($E24&amp;$F24, LCI!$B$2:$B$73&amp;LCI!$D$2:$D$73, 0))* IF(AND($E24="Truck", OR($F24="Electric", $F24="Electric_green")), $B$6, 1)* $C24* $D24</f>
        <v>0</v>
      </c>
    </row>
    <row r="25" spans="1:25" x14ac:dyDescent="0.35">
      <c r="A25" s="398" t="s">
        <v>212</v>
      </c>
      <c r="B25" s="158" t="str">
        <f>Input!A49</f>
        <v>Filler 1</v>
      </c>
      <c r="C25" s="158">
        <f>+Input!B49</f>
        <v>5.4999999999999997E-3</v>
      </c>
      <c r="D25" s="158">
        <f>Input!$L49</f>
        <v>190</v>
      </c>
      <c r="E25" s="158" t="str">
        <f>Input!$J49</f>
        <v>Truck</v>
      </c>
      <c r="F25" s="158" t="str">
        <f>Input!$K49</f>
        <v>Diesel_Euro6</v>
      </c>
      <c r="G25" s="158" cm="1">
        <f t="array" ref="G25">INDEX(LCI!H$2:H$73, MATCH($E25&amp;$F25, LCI!$B$2:$B$73&amp;LCI!$D$2:$D$73, 0))* IF(AND($E25="Truck", OR($F25="Electric", $F25="Electric_green")), $B$6, 1)* $C25* $D25</f>
        <v>2.4737449000000001E-4</v>
      </c>
      <c r="H25" s="158" cm="1">
        <f t="array" ref="H25">INDEX(LCI!I$2:I$73, MATCH($E25&amp;$F25, LCI!$B$2:$B$73&amp;LCI!$D$2:$D$73, 0))* IF(AND($E25="Truck", OR($F25="Electric", $F25="Electric_green")), $B$6, 1)* $C25* $D25</f>
        <v>0.16588837765499997</v>
      </c>
      <c r="I25" s="158" cm="1">
        <f t="array" ref="I25">INDEX(LCI!J$2:J$73, MATCH($E25&amp;$F25, LCI!$B$2:$B$73&amp;LCI!$D$2:$D$73, 0))* IF(AND($E25="Truck", OR($F25="Electric", $F25="Electric_green")), $B$6, 1)* $C25* $D25</f>
        <v>7.7528863499999999E-5</v>
      </c>
      <c r="J25" s="158" cm="1">
        <f t="array" ref="J25">INDEX(LCI!K$2:K$73, MATCH($E25&amp;$F25, LCI!$B$2:$B$73&amp;LCI!$D$2:$D$73, 0))* IF(AND($E25="Truck", OR($F25="Electric", $F25="Electric_green")), $B$6, 1)* $C25* $D25</f>
        <v>0.16579765389000001</v>
      </c>
      <c r="K25" s="158" cm="1">
        <f t="array" ref="K25">INDEX(LCI!L$2:L$73, MATCH($E25&amp;$F25, LCI!$B$2:$B$73&amp;LCI!$D$2:$D$73, 0))* IF(AND($E25="Truck", OR($F25="Electric", $F25="Electric_green")), $B$6, 1)* $C25* $D25</f>
        <v>1.3194692499999999E-5</v>
      </c>
      <c r="L25" s="158" cm="1">
        <f t="array" ref="L25">INDEX(LCI!M$2:M$73, MATCH($E25&amp;$F25, LCI!$B$2:$B$73&amp;LCI!$D$2:$D$73, 0))* IF(AND($E25="Truck", OR($F25="Electric", $F25="Electric_green")), $B$6, 1)* $C25* $D25</f>
        <v>0.14247942670499997</v>
      </c>
      <c r="M25" s="158" cm="1">
        <f t="array" ref="M25">INDEX(LCI!N$2:N$73, MATCH($E25&amp;$F25, LCI!$B$2:$B$73&amp;LCI!$D$2:$D$73, 0))* IF(AND($E25="Truck", OR($F25="Electric", $F25="Electric_green")), $B$6, 1)* $C25* $D25</f>
        <v>2.2326850941999998</v>
      </c>
      <c r="N25" s="158" cm="1">
        <f t="array" ref="N25">INDEX(LCI!O$2:O$73, MATCH($E25&amp;$F25, LCI!$B$2:$B$73&amp;LCI!$D$2:$D$73, 0))* IF(AND($E25="Truck", OR($F25="Electric", $F25="Electric_green")), $B$6, 1)* $C25* $D25</f>
        <v>3.8693110499999996E-6</v>
      </c>
      <c r="O25" s="158" cm="1">
        <f t="array" ref="O25">INDEX(LCI!P$2:P$73, MATCH($E25&amp;$F25, LCI!$B$2:$B$73&amp;LCI!$D$2:$D$73, 0))* IF(AND($E25="Truck", OR($F25="Electric", $F25="Electric_green")), $B$6, 1)* $C25* $D25</f>
        <v>5.3919073999999992E-5</v>
      </c>
      <c r="P25" s="158" cm="1">
        <f t="array" ref="P25">INDEX(LCI!Q$2:Q$73, MATCH($E25&amp;$F25, LCI!$B$2:$B$73&amp;LCI!$D$2:$D$73, 0))* IF(AND($E25="Truck", OR($F25="Electric", $F25="Electric_green")), $B$6, 1)* $C25* $D25</f>
        <v>5.8362518499999996E-4</v>
      </c>
      <c r="Q25" s="158" cm="1">
        <f t="array" ref="Q25">INDEX(LCI!R$2:R$73, MATCH($E25&amp;$F25, LCI!$B$2:$B$73&amp;LCI!$D$2:$D$73, 0))* IF(AND($E25="Truck", OR($F25="Electric", $F25="Electric_green")), $B$6, 1)* $C25* $D25</f>
        <v>1.4702836500000001E-11</v>
      </c>
      <c r="R25" s="158" cm="1">
        <f t="array" ref="R25">INDEX(LCI!S$2:S$73, MATCH($E25&amp;$F25, LCI!$B$2:$B$73&amp;LCI!$D$2:$D$73, 0))* IF(AND($E25="Truck", OR($F25="Electric", $F25="Electric_green")), $B$6, 1)* $C25* $D25</f>
        <v>1.1962951E-9</v>
      </c>
      <c r="S25" s="158" cm="1">
        <f t="array" ref="S25">INDEX(LCI!T$2:T$73, MATCH($E25&amp;$F25, LCI!$B$2:$B$73&amp;LCI!$D$2:$D$73, 0))* IF(AND($E25="Truck", OR($F25="Electric", $F25="Electric_green")), $B$6, 1)* $C25* $D25</f>
        <v>1.0124022699999999E-3</v>
      </c>
      <c r="T25" s="158" cm="1">
        <f t="array" ref="T25">INDEX(LCI!U$2:U$73, MATCH($E25&amp;$F25, LCI!$B$2:$B$73&amp;LCI!$D$2:$D$73, 0))* IF(AND($E25="Truck", OR($F25="Electric", $F25="Electric_green")), $B$6, 1)* $C25* $D25</f>
        <v>0.14083100712999999</v>
      </c>
      <c r="U25" s="158" cm="1">
        <f t="array" ref="U25">INDEX(LCI!V$2:V$73, MATCH($E25&amp;$F25, LCI!$B$2:$B$73&amp;LCI!$D$2:$D$73, 0))* IF(AND($E25="Truck", OR($F25="Electric", $F25="Electric_green")), $B$6, 1)* $C25* $D25</f>
        <v>1.8301816499999997E-7</v>
      </c>
      <c r="V25" s="158" cm="1">
        <f t="array" ref="V25">INDEX(LCI!W$2:W$73, MATCH($E25&amp;$F25, LCI!$B$2:$B$73&amp;LCI!$D$2:$D$73, 0))* IF(AND($E25="Truck", OR($F25="Electric", $F25="Electric_green")), $B$6, 1)* $C25* $D25</f>
        <v>3.6886618999999997E-9</v>
      </c>
      <c r="W25" s="158" cm="1">
        <f t="array" ref="W25">INDEX(LCI!X$2:X$73, MATCH($E25&amp;$F25, LCI!$B$2:$B$73&amp;LCI!$D$2:$D$73, 0))* IF(AND($E25="Truck", OR($F25="Electric", $F25="Electric_green")), $B$6, 1)* $C25* $D25</f>
        <v>1.0282350649999999E-8</v>
      </c>
      <c r="X25" s="158" cm="1">
        <f t="array" ref="X25">INDEX(LCI!Y$2:Y$73, MATCH($E25&amp;$F25, LCI!$B$2:$B$73&amp;LCI!$D$2:$D$73, 0))* IF(AND($E25="Truck", OR($F25="Electric", $F25="Electric_green")), $B$6, 1)* $C25* $D25</f>
        <v>4.3128821999999998E-4</v>
      </c>
      <c r="Y25" s="158" cm="1">
        <f t="array" ref="Y25">INDEX(LCI!Z$2:Z$73, MATCH($E25&amp;$F25, LCI!$B$2:$B$73&amp;LCI!$D$2:$D$73, 0))* IF(AND($E25="Truck", OR($F25="Electric", $F25="Electric_green")), $B$6, 1)* $C25* $D25</f>
        <v>5.085167505E-3</v>
      </c>
    </row>
    <row r="26" spans="1:25" ht="14" customHeight="1" x14ac:dyDescent="0.35">
      <c r="A26" s="399"/>
      <c r="B26" s="158" t="str">
        <f>Input!A50</f>
        <v>Filler 2</v>
      </c>
      <c r="C26" s="158">
        <f>+Input!B50</f>
        <v>0.01</v>
      </c>
      <c r="D26" s="158">
        <f>Input!$L50</f>
        <v>0</v>
      </c>
      <c r="E26" s="158" t="str">
        <f>Input!$J50</f>
        <v>Truck</v>
      </c>
      <c r="F26" s="158" t="str">
        <f>Input!$K50</f>
        <v>Diesel_Euro6</v>
      </c>
      <c r="G26" s="158" cm="1">
        <f t="array" ref="G26">INDEX(LCI!H$2:H$73, MATCH($E26&amp;$F26, LCI!$B$2:$B$73&amp;LCI!$D$2:$D$73, 0))* IF(AND($E26="Truck", OR($F26="Electric", $F26="Electric_green")), $B$6, 1)* $C26* $D26</f>
        <v>0</v>
      </c>
      <c r="H26" s="158" cm="1">
        <f t="array" ref="H26">INDEX(LCI!I$2:I$73, MATCH($E26&amp;$F26, LCI!$B$2:$B$73&amp;LCI!$D$2:$D$73, 0))* IF(AND($E26="Truck", OR($F26="Electric", $F26="Electric_green")), $B$6, 1)* $C26* $D26</f>
        <v>0</v>
      </c>
      <c r="I26" s="158" cm="1">
        <f t="array" ref="I26">INDEX(LCI!J$2:J$73, MATCH($E26&amp;$F26, LCI!$B$2:$B$73&amp;LCI!$D$2:$D$73, 0))* IF(AND($E26="Truck", OR($F26="Electric", $F26="Electric_green")), $B$6, 1)* $C26* $D26</f>
        <v>0</v>
      </c>
      <c r="J26" s="158" cm="1">
        <f t="array" ref="J26">INDEX(LCI!K$2:K$73, MATCH($E26&amp;$F26, LCI!$B$2:$B$73&amp;LCI!$D$2:$D$73, 0))* IF(AND($E26="Truck", OR($F26="Electric", $F26="Electric_green")), $B$6, 1)* $C26* $D26</f>
        <v>0</v>
      </c>
      <c r="K26" s="158" cm="1">
        <f t="array" ref="K26">INDEX(LCI!L$2:L$73, MATCH($E26&amp;$F26, LCI!$B$2:$B$73&amp;LCI!$D$2:$D$73, 0))* IF(AND($E26="Truck", OR($F26="Electric", $F26="Electric_green")), $B$6, 1)* $C26* $D26</f>
        <v>0</v>
      </c>
      <c r="L26" s="158" cm="1">
        <f t="array" ref="L26">INDEX(LCI!M$2:M$73, MATCH($E26&amp;$F26, LCI!$B$2:$B$73&amp;LCI!$D$2:$D$73, 0))* IF(AND($E26="Truck", OR($F26="Electric", $F26="Electric_green")), $B$6, 1)* $C26* $D26</f>
        <v>0</v>
      </c>
      <c r="M26" s="158" cm="1">
        <f t="array" ref="M26">INDEX(LCI!N$2:N$73, MATCH($E26&amp;$F26, LCI!$B$2:$B$73&amp;LCI!$D$2:$D$73, 0))* IF(AND($E26="Truck", OR($F26="Electric", $F26="Electric_green")), $B$6, 1)* $C26* $D26</f>
        <v>0</v>
      </c>
      <c r="N26" s="158" cm="1">
        <f t="array" ref="N26">INDEX(LCI!O$2:O$73, MATCH($E26&amp;$F26, LCI!$B$2:$B$73&amp;LCI!$D$2:$D$73, 0))* IF(AND($E26="Truck", OR($F26="Electric", $F26="Electric_green")), $B$6, 1)* $C26* $D26</f>
        <v>0</v>
      </c>
      <c r="O26" s="158" cm="1">
        <f t="array" ref="O26">INDEX(LCI!P$2:P$73, MATCH($E26&amp;$F26, LCI!$B$2:$B$73&amp;LCI!$D$2:$D$73, 0))* IF(AND($E26="Truck", OR($F26="Electric", $F26="Electric_green")), $B$6, 1)* $C26* $D26</f>
        <v>0</v>
      </c>
      <c r="P26" s="158" cm="1">
        <f t="array" ref="P26">INDEX(LCI!Q$2:Q$73, MATCH($E26&amp;$F26, LCI!$B$2:$B$73&amp;LCI!$D$2:$D$73, 0))* IF(AND($E26="Truck", OR($F26="Electric", $F26="Electric_green")), $B$6, 1)* $C26* $D26</f>
        <v>0</v>
      </c>
      <c r="Q26" s="158" cm="1">
        <f t="array" ref="Q26">INDEX(LCI!R$2:R$73, MATCH($E26&amp;$F26, LCI!$B$2:$B$73&amp;LCI!$D$2:$D$73, 0))* IF(AND($E26="Truck", OR($F26="Electric", $F26="Electric_green")), $B$6, 1)* $C26* $D26</f>
        <v>0</v>
      </c>
      <c r="R26" s="158" cm="1">
        <f t="array" ref="R26">INDEX(LCI!S$2:S$73, MATCH($E26&amp;$F26, LCI!$B$2:$B$73&amp;LCI!$D$2:$D$73, 0))* IF(AND($E26="Truck", OR($F26="Electric", $F26="Electric_green")), $B$6, 1)* $C26* $D26</f>
        <v>0</v>
      </c>
      <c r="S26" s="158" cm="1">
        <f t="array" ref="S26">INDEX(LCI!T$2:T$73, MATCH($E26&amp;$F26, LCI!$B$2:$B$73&amp;LCI!$D$2:$D$73, 0))* IF(AND($E26="Truck", OR($F26="Electric", $F26="Electric_green")), $B$6, 1)* $C26* $D26</f>
        <v>0</v>
      </c>
      <c r="T26" s="158" cm="1">
        <f t="array" ref="T26">INDEX(LCI!U$2:U$73, MATCH($E26&amp;$F26, LCI!$B$2:$B$73&amp;LCI!$D$2:$D$73, 0))* IF(AND($E26="Truck", OR($F26="Electric", $F26="Electric_green")), $B$6, 1)* $C26* $D26</f>
        <v>0</v>
      </c>
      <c r="U26" s="158" cm="1">
        <f t="array" ref="U26">INDEX(LCI!V$2:V$73, MATCH($E26&amp;$F26, LCI!$B$2:$B$73&amp;LCI!$D$2:$D$73, 0))* IF(AND($E26="Truck", OR($F26="Electric", $F26="Electric_green")), $B$6, 1)* $C26* $D26</f>
        <v>0</v>
      </c>
      <c r="V26" s="158" cm="1">
        <f t="array" ref="V26">INDEX(LCI!W$2:W$73, MATCH($E26&amp;$F26, LCI!$B$2:$B$73&amp;LCI!$D$2:$D$73, 0))* IF(AND($E26="Truck", OR($F26="Electric", $F26="Electric_green")), $B$6, 1)* $C26* $D26</f>
        <v>0</v>
      </c>
      <c r="W26" s="158" cm="1">
        <f t="array" ref="W26">INDEX(LCI!X$2:X$73, MATCH($E26&amp;$F26, LCI!$B$2:$B$73&amp;LCI!$D$2:$D$73, 0))* IF(AND($E26="Truck", OR($F26="Electric", $F26="Electric_green")), $B$6, 1)* $C26* $D26</f>
        <v>0</v>
      </c>
      <c r="X26" s="158" cm="1">
        <f t="array" ref="X26">INDEX(LCI!Y$2:Y$73, MATCH($E26&amp;$F26, LCI!$B$2:$B$73&amp;LCI!$D$2:$D$73, 0))* IF(AND($E26="Truck", OR($F26="Electric", $F26="Electric_green")), $B$6, 1)* $C26* $D26</f>
        <v>0</v>
      </c>
      <c r="Y26" s="158" cm="1">
        <f t="array" ref="Y26">INDEX(LCI!Z$2:Z$73, MATCH($E26&amp;$F26, LCI!$B$2:$B$73&amp;LCI!$D$2:$D$73, 0))* IF(AND($E26="Truck", OR($F26="Electric", $F26="Electric_green")), $B$6, 1)* $C26* $D26</f>
        <v>0</v>
      </c>
    </row>
    <row r="27" spans="1:25" x14ac:dyDescent="0.35">
      <c r="A27" s="400" t="s">
        <v>298</v>
      </c>
      <c r="B27" s="158" t="str">
        <f>Input!A51</f>
        <v>RAP 1</v>
      </c>
      <c r="C27" s="158"/>
      <c r="D27" s="158"/>
      <c r="E27" s="158"/>
      <c r="F27" s="158"/>
      <c r="G27" s="158"/>
      <c r="H27" s="158"/>
      <c r="I27" s="158"/>
      <c r="J27" s="158"/>
      <c r="K27" s="158"/>
      <c r="L27" s="158"/>
      <c r="M27" s="158"/>
      <c r="N27" s="158"/>
      <c r="O27" s="158"/>
      <c r="P27" s="158"/>
      <c r="Q27" s="158"/>
      <c r="R27" s="158"/>
      <c r="S27" s="158"/>
      <c r="T27" s="158"/>
      <c r="U27" s="158"/>
      <c r="V27" s="158"/>
      <c r="W27" s="158"/>
      <c r="X27" s="158"/>
      <c r="Y27" s="158"/>
    </row>
    <row r="28" spans="1:25" ht="14" customHeight="1" x14ac:dyDescent="0.35">
      <c r="A28" s="400"/>
      <c r="B28" s="158" t="str">
        <f>Input!A52</f>
        <v>RAP 2</v>
      </c>
      <c r="C28" s="158"/>
      <c r="D28" s="158"/>
      <c r="E28" s="158"/>
      <c r="F28" s="158"/>
      <c r="G28" s="158"/>
      <c r="H28" s="158"/>
      <c r="I28" s="158"/>
      <c r="J28" s="158"/>
      <c r="K28" s="158"/>
      <c r="L28" s="158"/>
      <c r="M28" s="158"/>
      <c r="N28" s="158"/>
      <c r="O28" s="158"/>
      <c r="P28" s="158"/>
      <c r="Q28" s="158"/>
      <c r="R28" s="158"/>
      <c r="S28" s="158"/>
      <c r="T28" s="158"/>
      <c r="U28" s="158"/>
      <c r="V28" s="158"/>
      <c r="W28" s="158"/>
      <c r="X28" s="158"/>
      <c r="Y28" s="158"/>
    </row>
    <row r="29" spans="1:25" x14ac:dyDescent="0.35">
      <c r="A29" s="401" t="s">
        <v>299</v>
      </c>
      <c r="B29" s="158" t="str">
        <f>Input!A53</f>
        <v>Other_waste 1</v>
      </c>
      <c r="C29" s="158"/>
      <c r="D29" s="158"/>
      <c r="E29" s="158"/>
      <c r="F29" s="158"/>
      <c r="G29" s="158"/>
      <c r="H29" s="158"/>
      <c r="I29" s="158"/>
      <c r="J29" s="158"/>
      <c r="K29" s="158"/>
      <c r="L29" s="158"/>
      <c r="M29" s="158"/>
      <c r="N29" s="158"/>
      <c r="O29" s="158"/>
      <c r="P29" s="158"/>
      <c r="Q29" s="158"/>
      <c r="R29" s="158"/>
      <c r="S29" s="158"/>
      <c r="T29" s="158"/>
      <c r="U29" s="158"/>
      <c r="V29" s="158"/>
      <c r="W29" s="158"/>
      <c r="X29" s="158"/>
      <c r="Y29" s="158"/>
    </row>
    <row r="30" spans="1:25" ht="14" customHeight="1" x14ac:dyDescent="0.35">
      <c r="A30" s="401"/>
      <c r="B30" s="158" t="str">
        <f>Input!A54</f>
        <v>Other_waste 2</v>
      </c>
      <c r="C30" s="158"/>
      <c r="D30" s="158"/>
      <c r="E30" s="158"/>
      <c r="F30" s="158"/>
      <c r="G30" s="158"/>
      <c r="H30" s="158"/>
      <c r="I30" s="158"/>
      <c r="J30" s="158"/>
      <c r="K30" s="158"/>
      <c r="L30" s="158"/>
      <c r="M30" s="158"/>
      <c r="N30" s="158"/>
      <c r="O30" s="158"/>
      <c r="P30" s="158"/>
      <c r="Q30" s="158"/>
      <c r="R30" s="158"/>
      <c r="S30" s="158"/>
      <c r="T30" s="158"/>
      <c r="U30" s="158"/>
      <c r="V30" s="158"/>
      <c r="W30" s="158"/>
      <c r="X30" s="158"/>
      <c r="Y30" s="158"/>
    </row>
    <row r="31" spans="1:25" x14ac:dyDescent="0.35">
      <c r="A31" s="401" t="s">
        <v>261</v>
      </c>
      <c r="B31" s="158" t="str">
        <f>Input!A55</f>
        <v>Additive 1</v>
      </c>
      <c r="C31" s="158">
        <f>+Input!B55</f>
        <v>3.3E-3</v>
      </c>
      <c r="D31" s="158">
        <f>Input!$L55</f>
        <v>1239</v>
      </c>
      <c r="E31" s="158" t="str">
        <f>Input!$J55</f>
        <v>Truck</v>
      </c>
      <c r="F31" s="158" t="str">
        <f>Input!$K55</f>
        <v>Diesel_Euro6</v>
      </c>
      <c r="G31" s="158" cm="1">
        <f t="array" ref="G31">INDEX(LCI!H$2:H$73, MATCH($E31&amp;$F31, LCI!$B$2:$B$73&amp;LCI!$D$2:$D$73, 0))* IF(AND($E31="Truck", OR($F31="Electric", $F31="Electric_green")), $B$6, 1)* $C31* $D31</f>
        <v>9.6788524140000007E-4</v>
      </c>
      <c r="H31" s="158" cm="1">
        <f t="array" ref="H31">INDEX(LCI!I$2:I$73, MATCH($E31&amp;$F31, LCI!$B$2:$B$73&amp;LCI!$D$2:$D$73, 0))* IF(AND($E31="Truck", OR($F31="Electric", $F31="Electric_green")), $B$6, 1)* $C31* $D31</f>
        <v>0.64906010499329991</v>
      </c>
      <c r="I31" s="158" cm="1">
        <f t="array" ref="I31">INDEX(LCI!J$2:J$73, MATCH($E31&amp;$F31, LCI!$B$2:$B$73&amp;LCI!$D$2:$D$73, 0))* IF(AND($E31="Truck", OR($F31="Electric", $F31="Electric_green")), $B$6, 1)* $C31* $D31</f>
        <v>3.0334187961000001E-4</v>
      </c>
      <c r="J31" s="158" cm="1">
        <f t="array" ref="J31">INDEX(LCI!K$2:K$73, MATCH($E31&amp;$F31, LCI!$B$2:$B$73&amp;LCI!$D$2:$D$73, 0))* IF(AND($E31="Truck", OR($F31="Electric", $F31="Electric_green")), $B$6, 1)* $C31* $D31</f>
        <v>0.64870513632540006</v>
      </c>
      <c r="K31" s="158" cm="1">
        <f t="array" ref="K31">INDEX(LCI!L$2:L$73, MATCH($E31&amp;$F31, LCI!$B$2:$B$73&amp;LCI!$D$2:$D$73, 0))* IF(AND($E31="Truck", OR($F31="Electric", $F31="Electric_green")), $B$6, 1)* $C31* $D31</f>
        <v>5.1625970550000002E-5</v>
      </c>
      <c r="L31" s="158" cm="1">
        <f t="array" ref="L31">INDEX(LCI!M$2:M$73, MATCH($E31&amp;$F31, LCI!$B$2:$B$73&amp;LCI!$D$2:$D$73, 0))* IF(AND($E31="Truck", OR($F31="Electric", $F31="Electric_green")), $B$6, 1)* $C31* $D31</f>
        <v>0.55746950427629993</v>
      </c>
      <c r="M31" s="158" cm="1">
        <f t="array" ref="M31">INDEX(LCI!N$2:N$73, MATCH($E31&amp;$F31, LCI!$B$2:$B$73&amp;LCI!$D$2:$D$73, 0))* IF(AND($E31="Truck", OR($F31="Electric", $F31="Electric_green")), $B$6, 1)* $C31* $D31</f>
        <v>8.7356742054119998</v>
      </c>
      <c r="N31" s="158" cm="1">
        <f t="array" ref="N31">INDEX(LCI!O$2:O$73, MATCH($E31&amp;$F31, LCI!$B$2:$B$73&amp;LCI!$D$2:$D$73, 0))* IF(AND($E31="Truck", OR($F31="Electric", $F31="Electric_green")), $B$6, 1)* $C31* $D31</f>
        <v>1.5139188602999998E-5</v>
      </c>
      <c r="O31" s="158" cm="1">
        <f t="array" ref="O31">INDEX(LCI!P$2:P$73, MATCH($E31&amp;$F31, LCI!$B$2:$B$73&amp;LCI!$D$2:$D$73, 0))* IF(AND($E31="Truck", OR($F31="Electric", $F31="Electric_green")), $B$6, 1)* $C31* $D31</f>
        <v>2.1096547164E-4</v>
      </c>
      <c r="P31" s="158" cm="1">
        <f t="array" ref="P31">INDEX(LCI!Q$2:Q$73, MATCH($E31&amp;$F31, LCI!$B$2:$B$73&amp;LCI!$D$2:$D$73, 0))* IF(AND($E31="Truck", OR($F31="Electric", $F31="Electric_green")), $B$6, 1)* $C31* $D31</f>
        <v>2.2835103290999997E-3</v>
      </c>
      <c r="Q31" s="158" cm="1">
        <f t="array" ref="Q31">INDEX(LCI!R$2:R$73, MATCH($E31&amp;$F31, LCI!$B$2:$B$73&amp;LCI!$D$2:$D$73, 0))* IF(AND($E31="Truck", OR($F31="Electric", $F31="Electric_green")), $B$6, 1)* $C31* $D31</f>
        <v>5.7526782389999992E-11</v>
      </c>
      <c r="R31" s="158" cm="1">
        <f t="array" ref="R31">INDEX(LCI!S$2:S$73, MATCH($E31&amp;$F31, LCI!$B$2:$B$73&amp;LCI!$D$2:$D$73, 0))* IF(AND($E31="Truck", OR($F31="Electric", $F31="Electric_green")), $B$6, 1)* $C31* $D31</f>
        <v>4.680661986E-9</v>
      </c>
      <c r="S31" s="158" cm="1">
        <f t="array" ref="S31">INDEX(LCI!T$2:T$73, MATCH($E31&amp;$F31, LCI!$B$2:$B$73&amp;LCI!$D$2:$D$73, 0))* IF(AND($E31="Truck", OR($F31="Electric", $F31="Electric_green")), $B$6, 1)* $C31* $D31</f>
        <v>3.9611570922000001E-3</v>
      </c>
      <c r="T31" s="158" cm="1">
        <f t="array" ref="T31">INDEX(LCI!U$2:U$73, MATCH($E31&amp;$F31, LCI!$B$2:$B$73&amp;LCI!$D$2:$D$73, 0))* IF(AND($E31="Truck", OR($F31="Electric", $F31="Electric_green")), $B$6, 1)* $C31* $D31</f>
        <v>0.55101984579180008</v>
      </c>
      <c r="U31" s="158" cm="1">
        <f t="array" ref="U31">INDEX(LCI!V$2:V$73, MATCH($E31&amp;$F31, LCI!$B$2:$B$73&amp;LCI!$D$2:$D$73, 0))* IF(AND($E31="Truck", OR($F31="Electric", $F31="Electric_green")), $B$6, 1)* $C31* $D31</f>
        <v>7.1608265190000001E-7</v>
      </c>
      <c r="V31" s="158" cm="1">
        <f t="array" ref="V31">INDEX(LCI!W$2:W$73, MATCH($E31&amp;$F31, LCI!$B$2:$B$73&amp;LCI!$D$2:$D$73, 0))* IF(AND($E31="Truck", OR($F31="Electric", $F31="Electric_green")), $B$6, 1)* $C31* $D31</f>
        <v>1.4432375034E-8</v>
      </c>
      <c r="W31" s="158" cm="1">
        <f t="array" ref="W31">INDEX(LCI!X$2:X$73, MATCH($E31&amp;$F31, LCI!$B$2:$B$73&amp;LCI!$D$2:$D$73, 0))* IF(AND($E31="Truck", OR($F31="Electric", $F31="Electric_green")), $B$6, 1)* $C31* $D31</f>
        <v>4.0231049858999998E-8</v>
      </c>
      <c r="X31" s="158" cm="1">
        <f t="array" ref="X31">INDEX(LCI!Y$2:Y$73, MATCH($E31&amp;$F31, LCI!$B$2:$B$73&amp;LCI!$D$2:$D$73, 0))* IF(AND($E31="Truck", OR($F31="Electric", $F31="Electric_green")), $B$6, 1)* $C31* $D31</f>
        <v>1.6874719092000001E-3</v>
      </c>
      <c r="Y31" s="158" cm="1">
        <f t="array" ref="Y31">INDEX(LCI!Z$2:Z$73, MATCH($E31&amp;$F31, LCI!$B$2:$B$73&amp;LCI!$D$2:$D$73, 0))* IF(AND($E31="Truck", OR($F31="Electric", $F31="Electric_green")), $B$6, 1)* $C31* $D31</f>
        <v>1.98963869643E-2</v>
      </c>
    </row>
    <row r="32" spans="1:25" ht="14" customHeight="1" x14ac:dyDescent="0.35">
      <c r="A32" s="401"/>
      <c r="B32" s="158" t="str">
        <f>Input!A56</f>
        <v>Additive 2</v>
      </c>
      <c r="C32" s="158">
        <f>+Input!B56</f>
        <v>0</v>
      </c>
      <c r="D32" s="158">
        <f>Input!$L56</f>
        <v>0</v>
      </c>
      <c r="E32" s="158" t="str">
        <f>Input!$J56</f>
        <v>No</v>
      </c>
      <c r="F32" s="158" t="str">
        <f>Input!$K56</f>
        <v>No</v>
      </c>
      <c r="G32" s="158" cm="1">
        <f t="array" ref="G32">INDEX(LCI!H$2:H$73, MATCH($E32&amp;$F32, LCI!$B$2:$B$73&amp;LCI!$D$2:$D$73, 0))* IF(AND($E32="Truck", OR($F32="Electric", $F32="Electric_green")), $B$6, 1)* $C32* $D32</f>
        <v>0</v>
      </c>
      <c r="H32" s="158" cm="1">
        <f t="array" ref="H32">INDEX(LCI!I$2:I$73, MATCH($E32&amp;$F32, LCI!$B$2:$B$73&amp;LCI!$D$2:$D$73, 0))* IF(AND($E32="Truck", OR($F32="Electric", $F32="Electric_green")), $B$6, 1)* $C32* $D32</f>
        <v>0</v>
      </c>
      <c r="I32" s="158" cm="1">
        <f t="array" ref="I32">INDEX(LCI!J$2:J$73, MATCH($E32&amp;$F32, LCI!$B$2:$B$73&amp;LCI!$D$2:$D$73, 0))* IF(AND($E32="Truck", OR($F32="Electric", $F32="Electric_green")), $B$6, 1)* $C32* $D32</f>
        <v>0</v>
      </c>
      <c r="J32" s="158" cm="1">
        <f t="array" ref="J32">INDEX(LCI!K$2:K$73, MATCH($E32&amp;$F32, LCI!$B$2:$B$73&amp;LCI!$D$2:$D$73, 0))* IF(AND($E32="Truck", OR($F32="Electric", $F32="Electric_green")), $B$6, 1)* $C32* $D32</f>
        <v>0</v>
      </c>
      <c r="K32" s="158" cm="1">
        <f t="array" ref="K32">INDEX(LCI!L$2:L$73, MATCH($E32&amp;$F32, LCI!$B$2:$B$73&amp;LCI!$D$2:$D$73, 0))* IF(AND($E32="Truck", OR($F32="Electric", $F32="Electric_green")), $B$6, 1)* $C32* $D32</f>
        <v>0</v>
      </c>
      <c r="L32" s="158" cm="1">
        <f t="array" ref="L32">INDEX(LCI!M$2:M$73, MATCH($E32&amp;$F32, LCI!$B$2:$B$73&amp;LCI!$D$2:$D$73, 0))* IF(AND($E32="Truck", OR($F32="Electric", $F32="Electric_green")), $B$6, 1)* $C32* $D32</f>
        <v>0</v>
      </c>
      <c r="M32" s="158" cm="1">
        <f t="array" ref="M32">INDEX(LCI!N$2:N$73, MATCH($E32&amp;$F32, LCI!$B$2:$B$73&amp;LCI!$D$2:$D$73, 0))* IF(AND($E32="Truck", OR($F32="Electric", $F32="Electric_green")), $B$6, 1)* $C32* $D32</f>
        <v>0</v>
      </c>
      <c r="N32" s="158" cm="1">
        <f t="array" ref="N32">INDEX(LCI!O$2:O$73, MATCH($E32&amp;$F32, LCI!$B$2:$B$73&amp;LCI!$D$2:$D$73, 0))* IF(AND($E32="Truck", OR($F32="Electric", $F32="Electric_green")), $B$6, 1)* $C32* $D32</f>
        <v>0</v>
      </c>
      <c r="O32" s="158" cm="1">
        <f t="array" ref="O32">INDEX(LCI!P$2:P$73, MATCH($E32&amp;$F32, LCI!$B$2:$B$73&amp;LCI!$D$2:$D$73, 0))* IF(AND($E32="Truck", OR($F32="Electric", $F32="Electric_green")), $B$6, 1)* $C32* $D32</f>
        <v>0</v>
      </c>
      <c r="P32" s="158" cm="1">
        <f t="array" ref="P32">INDEX(LCI!Q$2:Q$73, MATCH($E32&amp;$F32, LCI!$B$2:$B$73&amp;LCI!$D$2:$D$73, 0))* IF(AND($E32="Truck", OR($F32="Electric", $F32="Electric_green")), $B$6, 1)* $C32* $D32</f>
        <v>0</v>
      </c>
      <c r="Q32" s="158" cm="1">
        <f t="array" ref="Q32">INDEX(LCI!R$2:R$73, MATCH($E32&amp;$F32, LCI!$B$2:$B$73&amp;LCI!$D$2:$D$73, 0))* IF(AND($E32="Truck", OR($F32="Electric", $F32="Electric_green")), $B$6, 1)* $C32* $D32</f>
        <v>0</v>
      </c>
      <c r="R32" s="158" cm="1">
        <f t="array" ref="R32">INDEX(LCI!S$2:S$73, MATCH($E32&amp;$F32, LCI!$B$2:$B$73&amp;LCI!$D$2:$D$73, 0))* IF(AND($E32="Truck", OR($F32="Electric", $F32="Electric_green")), $B$6, 1)* $C32* $D32</f>
        <v>0</v>
      </c>
      <c r="S32" s="158" cm="1">
        <f t="array" ref="S32">INDEX(LCI!T$2:T$73, MATCH($E32&amp;$F32, LCI!$B$2:$B$73&amp;LCI!$D$2:$D$73, 0))* IF(AND($E32="Truck", OR($F32="Electric", $F32="Electric_green")), $B$6, 1)* $C32* $D32</f>
        <v>0</v>
      </c>
      <c r="T32" s="158" cm="1">
        <f t="array" ref="T32">INDEX(LCI!U$2:U$73, MATCH($E32&amp;$F32, LCI!$B$2:$B$73&amp;LCI!$D$2:$D$73, 0))* IF(AND($E32="Truck", OR($F32="Electric", $F32="Electric_green")), $B$6, 1)* $C32* $D32</f>
        <v>0</v>
      </c>
      <c r="U32" s="158" cm="1">
        <f t="array" ref="U32">INDEX(LCI!V$2:V$73, MATCH($E32&amp;$F32, LCI!$B$2:$B$73&amp;LCI!$D$2:$D$73, 0))* IF(AND($E32="Truck", OR($F32="Electric", $F32="Electric_green")), $B$6, 1)* $C32* $D32</f>
        <v>0</v>
      </c>
      <c r="V32" s="158" cm="1">
        <f t="array" ref="V32">INDEX(LCI!W$2:W$73, MATCH($E32&amp;$F32, LCI!$B$2:$B$73&amp;LCI!$D$2:$D$73, 0))* IF(AND($E32="Truck", OR($F32="Electric", $F32="Electric_green")), $B$6, 1)* $C32* $D32</f>
        <v>0</v>
      </c>
      <c r="W32" s="158" cm="1">
        <f t="array" ref="W32">INDEX(LCI!X$2:X$73, MATCH($E32&amp;$F32, LCI!$B$2:$B$73&amp;LCI!$D$2:$D$73, 0))* IF(AND($E32="Truck", OR($F32="Electric", $F32="Electric_green")), $B$6, 1)* $C32* $D32</f>
        <v>0</v>
      </c>
      <c r="X32" s="158" cm="1">
        <f t="array" ref="X32">INDEX(LCI!Y$2:Y$73, MATCH($E32&amp;$F32, LCI!$B$2:$B$73&amp;LCI!$D$2:$D$73, 0))* IF(AND($E32="Truck", OR($F32="Electric", $F32="Electric_green")), $B$6, 1)* $C32* $D32</f>
        <v>0</v>
      </c>
      <c r="Y32" s="158" cm="1">
        <f t="array" ref="Y32">INDEX(LCI!Z$2:Z$73, MATCH($E32&amp;$F32, LCI!$B$2:$B$73&amp;LCI!$D$2:$D$73, 0))* IF(AND($E32="Truck", OR($F32="Electric", $F32="Electric_green")), $B$6, 1)* $C32* $D32</f>
        <v>0</v>
      </c>
    </row>
    <row r="33" spans="1:25" ht="14" customHeight="1" x14ac:dyDescent="0.35">
      <c r="A33" s="401"/>
      <c r="B33" s="158" t="str">
        <f>Input!A57</f>
        <v>Additive 3</v>
      </c>
      <c r="C33" s="158">
        <f>+Input!B57</f>
        <v>0</v>
      </c>
      <c r="D33" s="158">
        <f>Input!$L57</f>
        <v>0</v>
      </c>
      <c r="E33" s="158" t="str">
        <f>Input!$J57</f>
        <v>No</v>
      </c>
      <c r="F33" s="158" t="str">
        <f>Input!$K57</f>
        <v>No</v>
      </c>
      <c r="G33" s="158" cm="1">
        <f t="array" ref="G33">INDEX(LCI!H$2:H$73, MATCH($E33&amp;$F33, LCI!$B$2:$B$73&amp;LCI!$D$2:$D$73, 0))* IF(AND($E33="Truck", OR($F33="Electric", $F33="Electric_green")), $B$6, 1)* $C33* $D33</f>
        <v>0</v>
      </c>
      <c r="H33" s="158" cm="1">
        <f t="array" ref="H33">INDEX(LCI!I$2:I$73, MATCH($E33&amp;$F33, LCI!$B$2:$B$73&amp;LCI!$D$2:$D$73, 0))* IF(AND($E33="Truck", OR($F33="Electric", $F33="Electric_green")), $B$6, 1)* $C33* $D33</f>
        <v>0</v>
      </c>
      <c r="I33" s="158" cm="1">
        <f t="array" ref="I33">INDEX(LCI!J$2:J$73, MATCH($E33&amp;$F33, LCI!$B$2:$B$73&amp;LCI!$D$2:$D$73, 0))* IF(AND($E33="Truck", OR($F33="Electric", $F33="Electric_green")), $B$6, 1)* $C33* $D33</f>
        <v>0</v>
      </c>
      <c r="J33" s="158" cm="1">
        <f t="array" ref="J33">INDEX(LCI!K$2:K$73, MATCH($E33&amp;$F33, LCI!$B$2:$B$73&amp;LCI!$D$2:$D$73, 0))* IF(AND($E33="Truck", OR($F33="Electric", $F33="Electric_green")), $B$6, 1)* $C33* $D33</f>
        <v>0</v>
      </c>
      <c r="K33" s="158" cm="1">
        <f t="array" ref="K33">INDEX(LCI!L$2:L$73, MATCH($E33&amp;$F33, LCI!$B$2:$B$73&amp;LCI!$D$2:$D$73, 0))* IF(AND($E33="Truck", OR($F33="Electric", $F33="Electric_green")), $B$6, 1)* $C33* $D33</f>
        <v>0</v>
      </c>
      <c r="L33" s="158" cm="1">
        <f t="array" ref="L33">INDEX(LCI!M$2:M$73, MATCH($E33&amp;$F33, LCI!$B$2:$B$73&amp;LCI!$D$2:$D$73, 0))* IF(AND($E33="Truck", OR($F33="Electric", $F33="Electric_green")), $B$6, 1)* $C33* $D33</f>
        <v>0</v>
      </c>
      <c r="M33" s="158" cm="1">
        <f t="array" ref="M33">INDEX(LCI!N$2:N$73, MATCH($E33&amp;$F33, LCI!$B$2:$B$73&amp;LCI!$D$2:$D$73, 0))* IF(AND($E33="Truck", OR($F33="Electric", $F33="Electric_green")), $B$6, 1)* $C33* $D33</f>
        <v>0</v>
      </c>
      <c r="N33" s="158" cm="1">
        <f t="array" ref="N33">INDEX(LCI!O$2:O$73, MATCH($E33&amp;$F33, LCI!$B$2:$B$73&amp;LCI!$D$2:$D$73, 0))* IF(AND($E33="Truck", OR($F33="Electric", $F33="Electric_green")), $B$6, 1)* $C33* $D33</f>
        <v>0</v>
      </c>
      <c r="O33" s="158" cm="1">
        <f t="array" ref="O33">INDEX(LCI!P$2:P$73, MATCH($E33&amp;$F33, LCI!$B$2:$B$73&amp;LCI!$D$2:$D$73, 0))* IF(AND($E33="Truck", OR($F33="Electric", $F33="Electric_green")), $B$6, 1)* $C33* $D33</f>
        <v>0</v>
      </c>
      <c r="P33" s="158" cm="1">
        <f t="array" ref="P33">INDEX(LCI!Q$2:Q$73, MATCH($E33&amp;$F33, LCI!$B$2:$B$73&amp;LCI!$D$2:$D$73, 0))* IF(AND($E33="Truck", OR($F33="Electric", $F33="Electric_green")), $B$6, 1)* $C33* $D33</f>
        <v>0</v>
      </c>
      <c r="Q33" s="158" cm="1">
        <f t="array" ref="Q33">INDEX(LCI!R$2:R$73, MATCH($E33&amp;$F33, LCI!$B$2:$B$73&amp;LCI!$D$2:$D$73, 0))* IF(AND($E33="Truck", OR($F33="Electric", $F33="Electric_green")), $B$6, 1)* $C33* $D33</f>
        <v>0</v>
      </c>
      <c r="R33" s="158" cm="1">
        <f t="array" ref="R33">INDEX(LCI!S$2:S$73, MATCH($E33&amp;$F33, LCI!$B$2:$B$73&amp;LCI!$D$2:$D$73, 0))* IF(AND($E33="Truck", OR($F33="Electric", $F33="Electric_green")), $B$6, 1)* $C33* $D33</f>
        <v>0</v>
      </c>
      <c r="S33" s="158" cm="1">
        <f t="array" ref="S33">INDEX(LCI!T$2:T$73, MATCH($E33&amp;$F33, LCI!$B$2:$B$73&amp;LCI!$D$2:$D$73, 0))* IF(AND($E33="Truck", OR($F33="Electric", $F33="Electric_green")), $B$6, 1)* $C33* $D33</f>
        <v>0</v>
      </c>
      <c r="T33" s="158" cm="1">
        <f t="array" ref="T33">INDEX(LCI!U$2:U$73, MATCH($E33&amp;$F33, LCI!$B$2:$B$73&amp;LCI!$D$2:$D$73, 0))* IF(AND($E33="Truck", OR($F33="Electric", $F33="Electric_green")), $B$6, 1)* $C33* $D33</f>
        <v>0</v>
      </c>
      <c r="U33" s="158" cm="1">
        <f t="array" ref="U33">INDEX(LCI!V$2:V$73, MATCH($E33&amp;$F33, LCI!$B$2:$B$73&amp;LCI!$D$2:$D$73, 0))* IF(AND($E33="Truck", OR($F33="Electric", $F33="Electric_green")), $B$6, 1)* $C33* $D33</f>
        <v>0</v>
      </c>
      <c r="V33" s="158" cm="1">
        <f t="array" ref="V33">INDEX(LCI!W$2:W$73, MATCH($E33&amp;$F33, LCI!$B$2:$B$73&amp;LCI!$D$2:$D$73, 0))* IF(AND($E33="Truck", OR($F33="Electric", $F33="Electric_green")), $B$6, 1)* $C33* $D33</f>
        <v>0</v>
      </c>
      <c r="W33" s="158" cm="1">
        <f t="array" ref="W33">INDEX(LCI!X$2:X$73, MATCH($E33&amp;$F33, LCI!$B$2:$B$73&amp;LCI!$D$2:$D$73, 0))* IF(AND($E33="Truck", OR($F33="Electric", $F33="Electric_green")), $B$6, 1)* $C33* $D33</f>
        <v>0</v>
      </c>
      <c r="X33" s="158" cm="1">
        <f t="array" ref="X33">INDEX(LCI!Y$2:Y$73, MATCH($E33&amp;$F33, LCI!$B$2:$B$73&amp;LCI!$D$2:$D$73, 0))* IF(AND($E33="Truck", OR($F33="Electric", $F33="Electric_green")), $B$6, 1)* $C33* $D33</f>
        <v>0</v>
      </c>
      <c r="Y33" s="158" cm="1">
        <f t="array" ref="Y33">INDEX(LCI!Z$2:Z$73, MATCH($E33&amp;$F33, LCI!$B$2:$B$73&amp;LCI!$D$2:$D$73, 0))* IF(AND($E33="Truck", OR($F33="Electric", $F33="Electric_green")), $B$6, 1)* $C33* $D33</f>
        <v>0</v>
      </c>
    </row>
    <row r="34" spans="1:25" x14ac:dyDescent="0.35">
      <c r="A34" s="406" t="s">
        <v>341</v>
      </c>
      <c r="B34" s="406"/>
      <c r="C34" s="406"/>
      <c r="D34" s="406"/>
      <c r="E34" s="406"/>
      <c r="F34" s="406"/>
      <c r="G34" s="139">
        <f t="shared" ref="G34:Y34" si="0">SUM(G15:G33)</f>
        <v>2.4968397310549954E-2</v>
      </c>
      <c r="H34" s="139">
        <f t="shared" si="0"/>
        <v>13.804483802643313</v>
      </c>
      <c r="I34" s="139">
        <f t="shared" si="0"/>
        <v>6.3360921788908281E-3</v>
      </c>
      <c r="J34" s="139">
        <f t="shared" si="0"/>
        <v>13.79653932747777</v>
      </c>
      <c r="K34" s="139">
        <f t="shared" si="0"/>
        <v>1.6083663529295441E-3</v>
      </c>
      <c r="L34" s="139">
        <f t="shared" si="0"/>
        <v>11.948914613974807</v>
      </c>
      <c r="M34" s="139">
        <f t="shared" si="0"/>
        <v>185.07588298947945</v>
      </c>
      <c r="N34" s="139">
        <f t="shared" si="0"/>
        <v>3.6222152931125864E-4</v>
      </c>
      <c r="O34" s="139">
        <f t="shared" si="0"/>
        <v>6.6852814419365685E-3</v>
      </c>
      <c r="P34" s="139">
        <f t="shared" si="0"/>
        <v>7.2624851604295632E-2</v>
      </c>
      <c r="Q34" s="139">
        <f t="shared" si="0"/>
        <v>1.2514113394662655E-9</v>
      </c>
      <c r="R34" s="139">
        <f t="shared" si="0"/>
        <v>9.7004378226952321E-8</v>
      </c>
      <c r="S34" s="139">
        <f t="shared" si="0"/>
        <v>0.10076905624303371</v>
      </c>
      <c r="T34" s="139">
        <f t="shared" si="0"/>
        <v>16.136054034105701</v>
      </c>
      <c r="U34" s="139">
        <f t="shared" si="0"/>
        <v>1.5395168857975265E-5</v>
      </c>
      <c r="V34" s="139">
        <f t="shared" si="0"/>
        <v>3.0471377134428263E-7</v>
      </c>
      <c r="W34" s="139">
        <f t="shared" si="0"/>
        <v>8.3105177829253941E-7</v>
      </c>
      <c r="X34" s="139">
        <f t="shared" si="0"/>
        <v>4.1643282065384486E-2</v>
      </c>
      <c r="Y34" s="139">
        <f t="shared" si="0"/>
        <v>0.46179292547709494</v>
      </c>
    </row>
    <row r="37" spans="1:25" ht="23.5" x14ac:dyDescent="0.55000000000000004">
      <c r="A37" s="100" t="s">
        <v>342</v>
      </c>
    </row>
    <row r="39" spans="1:25" ht="101.5" x14ac:dyDescent="0.35">
      <c r="A39" s="104" t="s">
        <v>276</v>
      </c>
      <c r="B39" s="104" t="s">
        <v>277</v>
      </c>
      <c r="C39" s="103" t="s">
        <v>278</v>
      </c>
      <c r="D39" s="103" t="s">
        <v>56</v>
      </c>
      <c r="E39" s="103" t="s">
        <v>339</v>
      </c>
      <c r="F39" s="103" t="s">
        <v>340</v>
      </c>
      <c r="G39" s="103" t="s">
        <v>279</v>
      </c>
      <c r="H39" s="103" t="s">
        <v>280</v>
      </c>
      <c r="I39" s="103" t="s">
        <v>281</v>
      </c>
      <c r="J39" s="103" t="s">
        <v>282</v>
      </c>
      <c r="K39" s="103" t="s">
        <v>283</v>
      </c>
      <c r="L39" s="103" t="s">
        <v>284</v>
      </c>
      <c r="M39" s="103" t="s">
        <v>285</v>
      </c>
      <c r="N39" s="103" t="s">
        <v>286</v>
      </c>
      <c r="O39" s="103" t="s">
        <v>287</v>
      </c>
      <c r="P39" s="103" t="s">
        <v>288</v>
      </c>
      <c r="Q39" s="103" t="s">
        <v>289</v>
      </c>
      <c r="R39" s="103" t="s">
        <v>290</v>
      </c>
      <c r="S39" s="103" t="s">
        <v>291</v>
      </c>
      <c r="T39" s="103" t="s">
        <v>292</v>
      </c>
      <c r="U39" s="103" t="s">
        <v>293</v>
      </c>
      <c r="V39" s="103" t="s">
        <v>294</v>
      </c>
      <c r="W39" s="103" t="s">
        <v>295</v>
      </c>
      <c r="X39" s="103" t="s">
        <v>296</v>
      </c>
      <c r="Y39" s="103" t="s">
        <v>297</v>
      </c>
    </row>
    <row r="40" spans="1:25" x14ac:dyDescent="0.35">
      <c r="A40" s="6" t="s">
        <v>266</v>
      </c>
      <c r="B40" s="154" t="str">
        <f>Input!A39</f>
        <v>Virgin binder</v>
      </c>
      <c r="C40" s="158">
        <f>+Input!B39</f>
        <v>2.2159999999999999E-2</v>
      </c>
      <c r="D40" s="154">
        <f>Input!$O39</f>
        <v>0</v>
      </c>
      <c r="E40" s="154" t="str">
        <f>Input!$M39</f>
        <v>No</v>
      </c>
      <c r="F40" s="154" t="str">
        <f>Input!$N39</f>
        <v>No</v>
      </c>
      <c r="G40" s="154" cm="1">
        <f t="array" ref="G40">INDEX(LCI!H$2:H$73,MATCH($E40&amp;$F40,LCI!$B$2:$B$73&amp;LCI!$D$2:$D$73,0))*IF(AND($E40="Truck", OR($F40="Electric", $F40="Electric_green")), $B$6, 1)*$D40*$C40</f>
        <v>0</v>
      </c>
      <c r="H40" s="154" cm="1">
        <f t="array" ref="H40">INDEX(LCI!I$2:I$73,MATCH($E40&amp;$F40,LCI!$B$2:$B$73&amp;LCI!$D$2:$D$73,0))*IF(AND($E40="Truck", OR($F40="Electric", $F40="Electric_green")), $B$6, 1)*$D40*$C40</f>
        <v>0</v>
      </c>
      <c r="I40" s="154" cm="1">
        <f t="array" ref="I40">INDEX(LCI!J$2:J$73,MATCH($E40&amp;$F40,LCI!$B$2:$B$73&amp;LCI!$D$2:$D$73,0))*IF(AND($E40="Truck", OR($F40="Electric", $F40="Electric_green")), $B$6, 1)*$D40*$C40</f>
        <v>0</v>
      </c>
      <c r="J40" s="154" cm="1">
        <f t="array" ref="J40">INDEX(LCI!K$2:K$73,MATCH($E40&amp;$F40,LCI!$B$2:$B$73&amp;LCI!$D$2:$D$73,0))*IF(AND($E40="Truck", OR($F40="Electric", $F40="Electric_green")), $B$6, 1)*$D40*$C40</f>
        <v>0</v>
      </c>
      <c r="K40" s="154" cm="1">
        <f t="array" ref="K40">INDEX(LCI!L$2:L$73,MATCH($E40&amp;$F40,LCI!$B$2:$B$73&amp;LCI!$D$2:$D$73,0))*IF(AND($E40="Truck", OR($F40="Electric", $F40="Electric_green")), $B$6, 1)*$D40*$C40</f>
        <v>0</v>
      </c>
      <c r="L40" s="154" cm="1">
        <f t="array" ref="L40">INDEX(LCI!M$2:M$73,MATCH($E40&amp;$F40,LCI!$B$2:$B$73&amp;LCI!$D$2:$D$73,0))*IF(AND($E40="Truck", OR($F40="Electric", $F40="Electric_green")), $B$6, 1)*$D40*$C40</f>
        <v>0</v>
      </c>
      <c r="M40" s="154" cm="1">
        <f t="array" ref="M40">INDEX(LCI!N$2:N$73,MATCH($E40&amp;$F40,LCI!$B$2:$B$73&amp;LCI!$D$2:$D$73,0))*IF(AND($E40="Truck", OR($F40="Electric", $F40="Electric_green")), $B$6, 1)*$D40*$C40</f>
        <v>0</v>
      </c>
      <c r="N40" s="154" cm="1">
        <f t="array" ref="N40">INDEX(LCI!O$2:O$73,MATCH($E40&amp;$F40,LCI!$B$2:$B$73&amp;LCI!$D$2:$D$73,0))*IF(AND($E40="Truck", OR($F40="Electric", $F40="Electric_green")), $B$6, 1)*$D40*$C40</f>
        <v>0</v>
      </c>
      <c r="O40" s="154" cm="1">
        <f t="array" ref="O40">INDEX(LCI!P$2:P$73,MATCH($E40&amp;$F40,LCI!$B$2:$B$73&amp;LCI!$D$2:$D$73,0))*IF(AND($E40="Truck", OR($F40="Electric", $F40="Electric_green")), $B$6, 1)*$D40*$C40</f>
        <v>0</v>
      </c>
      <c r="P40" s="154" cm="1">
        <f t="array" ref="P40">INDEX(LCI!Q$2:Q$73,MATCH($E40&amp;$F40,LCI!$B$2:$B$73&amp;LCI!$D$2:$D$73,0))*IF(AND($E40="Truck", OR($F40="Electric", $F40="Electric_green")), $B$6, 1)*$D40*$C40</f>
        <v>0</v>
      </c>
      <c r="Q40" s="154" cm="1">
        <f t="array" ref="Q40">INDEX(LCI!R$2:R$73,MATCH($E40&amp;$F40,LCI!$B$2:$B$73&amp;LCI!$D$2:$D$73,0))*IF(AND($E40="Truck", OR($F40="Electric", $F40="Electric_green")), $B$6, 1)*$D40*$C40</f>
        <v>0</v>
      </c>
      <c r="R40" s="154" cm="1">
        <f t="array" ref="R40">INDEX(LCI!S$2:S$73,MATCH($E40&amp;$F40,LCI!$B$2:$B$73&amp;LCI!$D$2:$D$73,0))*IF(AND($E40="Truck", OR($F40="Electric", $F40="Electric_green")), $B$6, 1)*$D40*$C40</f>
        <v>0</v>
      </c>
      <c r="S40" s="154" cm="1">
        <f t="array" ref="S40">INDEX(LCI!T$2:T$73,MATCH($E40&amp;$F40,LCI!$B$2:$B$73&amp;LCI!$D$2:$D$73,0))*IF(AND($E40="Truck", OR($F40="Electric", $F40="Electric_green")), $B$6, 1)*$D40*$C40</f>
        <v>0</v>
      </c>
      <c r="T40" s="154" cm="1">
        <f t="array" ref="T40">INDEX(LCI!U$2:U$73,MATCH($E40&amp;$F40,LCI!$B$2:$B$73&amp;LCI!$D$2:$D$73,0))*IF(AND($E40="Truck", OR($F40="Electric", $F40="Electric_green")), $B$6, 1)*$D40*$C40</f>
        <v>0</v>
      </c>
      <c r="U40" s="154" cm="1">
        <f t="array" ref="U40">INDEX(LCI!V$2:V$73,MATCH($E40&amp;$F40,LCI!$B$2:$B$73&amp;LCI!$D$2:$D$73,0))*IF(AND($E40="Truck", OR($F40="Electric", $F40="Electric_green")), $B$6, 1)*$D40*$C40</f>
        <v>0</v>
      </c>
      <c r="V40" s="154" cm="1">
        <f t="array" ref="V40">INDEX(LCI!W$2:W$73,MATCH($E40&amp;$F40,LCI!$B$2:$B$73&amp;LCI!$D$2:$D$73,0))*IF(AND($E40="Truck", OR($F40="Electric", $F40="Electric_green")), $B$6, 1)*$D40*$C40</f>
        <v>0</v>
      </c>
      <c r="W40" s="154" cm="1">
        <f t="array" ref="W40">INDEX(LCI!X$2:X$73,MATCH($E40&amp;$F40,LCI!$B$2:$B$73&amp;LCI!$D$2:$D$73,0))*IF(AND($E40="Truck", OR($F40="Electric", $F40="Electric_green")), $B$6, 1)*$D40*$C40</f>
        <v>0</v>
      </c>
      <c r="X40" s="154" cm="1">
        <f t="array" ref="X40">INDEX(LCI!Y$2:Y$73,MATCH($E40&amp;$F40,LCI!$B$2:$B$73&amp;LCI!$D$2:$D$73,0))*IF(AND($E40="Truck", OR($F40="Electric", $F40="Electric_green")), $B$6, 1)*$D40*$C40</f>
        <v>0</v>
      </c>
      <c r="Y40" s="154" cm="1">
        <f t="array" ref="Y40">INDEX(LCI!Z$2:Z$73,MATCH($E40&amp;$F40,LCI!$B$2:$B$73&amp;LCI!$D$2:$D$73,0))*IF(AND($E40="Truck", OR($F40="Electric", $F40="Electric_green")), $B$6, 1)*$D40*$C40</f>
        <v>0</v>
      </c>
    </row>
    <row r="41" spans="1:25" ht="14" customHeight="1" x14ac:dyDescent="0.35">
      <c r="A41" s="395" t="s">
        <v>211</v>
      </c>
      <c r="B41" s="154" t="str">
        <f>Input!A40</f>
        <v>Virgin crushed coarse aggregate 1 (&gt;2 mm)</v>
      </c>
      <c r="C41" s="158">
        <f>+Input!B40</f>
        <v>5.0999999999999997E-2</v>
      </c>
      <c r="D41" s="154">
        <f>Input!$O40</f>
        <v>0</v>
      </c>
      <c r="E41" s="154" t="str">
        <f>Input!$M40</f>
        <v>No</v>
      </c>
      <c r="F41" s="154" t="str">
        <f>Input!$N40</f>
        <v>No</v>
      </c>
      <c r="G41" s="154" cm="1">
        <f t="array" ref="G41">INDEX(LCI!H$2:H$73,MATCH($E41&amp;$F41,LCI!$B$2:$B$73&amp;LCI!$D$2:$D$73,0))*IF(AND($E41="Truck", OR($F41="Electric", $F41="Electric_green")), $B$6, 1)*$D41*$C41</f>
        <v>0</v>
      </c>
      <c r="H41" s="154" cm="1">
        <f t="array" ref="H41">INDEX(LCI!I$2:I$73,MATCH($E41&amp;$F41,LCI!$B$2:$B$73&amp;LCI!$D$2:$D$73,0))*IF(AND($E41="Truck", OR($F41="Electric", $F41="Electric_green")), $B$6, 1)*$D41*$C41</f>
        <v>0</v>
      </c>
      <c r="I41" s="154" cm="1">
        <f t="array" ref="I41">INDEX(LCI!J$2:J$73,MATCH($E41&amp;$F41,LCI!$B$2:$B$73&amp;LCI!$D$2:$D$73,0))*IF(AND($E41="Truck", OR($F41="Electric", $F41="Electric_green")), $B$6, 1)*$D41*$C41</f>
        <v>0</v>
      </c>
      <c r="J41" s="154" cm="1">
        <f t="array" ref="J41">INDEX(LCI!K$2:K$73,MATCH($E41&amp;$F41,LCI!$B$2:$B$73&amp;LCI!$D$2:$D$73,0))*IF(AND($E41="Truck", OR($F41="Electric", $F41="Electric_green")), $B$6, 1)*$D41*$C41</f>
        <v>0</v>
      </c>
      <c r="K41" s="154" cm="1">
        <f t="array" ref="K41">INDEX(LCI!L$2:L$73,MATCH($E41&amp;$F41,LCI!$B$2:$B$73&amp;LCI!$D$2:$D$73,0))*IF(AND($E41="Truck", OR($F41="Electric", $F41="Electric_green")), $B$6, 1)*$D41*$C41</f>
        <v>0</v>
      </c>
      <c r="L41" s="154" cm="1">
        <f t="array" ref="L41">INDEX(LCI!M$2:M$73,MATCH($E41&amp;$F41,LCI!$B$2:$B$73&amp;LCI!$D$2:$D$73,0))*IF(AND($E41="Truck", OR($F41="Electric", $F41="Electric_green")), $B$6, 1)*$D41*$C41</f>
        <v>0</v>
      </c>
      <c r="M41" s="154" cm="1">
        <f t="array" ref="M41">INDEX(LCI!N$2:N$73,MATCH($E41&amp;$F41,LCI!$B$2:$B$73&amp;LCI!$D$2:$D$73,0))*IF(AND($E41="Truck", OR($F41="Electric", $F41="Electric_green")), $B$6, 1)*$D41*$C41</f>
        <v>0</v>
      </c>
      <c r="N41" s="154" cm="1">
        <f t="array" ref="N41">INDEX(LCI!O$2:O$73,MATCH($E41&amp;$F41,LCI!$B$2:$B$73&amp;LCI!$D$2:$D$73,0))*IF(AND($E41="Truck", OR($F41="Electric", $F41="Electric_green")), $B$6, 1)*$D41*$C41</f>
        <v>0</v>
      </c>
      <c r="O41" s="154" cm="1">
        <f t="array" ref="O41">INDEX(LCI!P$2:P$73,MATCH($E41&amp;$F41,LCI!$B$2:$B$73&amp;LCI!$D$2:$D$73,0))*IF(AND($E41="Truck", OR($F41="Electric", $F41="Electric_green")), $B$6, 1)*$D41*$C41</f>
        <v>0</v>
      </c>
      <c r="P41" s="154" cm="1">
        <f t="array" ref="P41">INDEX(LCI!Q$2:Q$73,MATCH($E41&amp;$F41,LCI!$B$2:$B$73&amp;LCI!$D$2:$D$73,0))*IF(AND($E41="Truck", OR($F41="Electric", $F41="Electric_green")), $B$6, 1)*$D41*$C41</f>
        <v>0</v>
      </c>
      <c r="Q41" s="154" cm="1">
        <f t="array" ref="Q41">INDEX(LCI!R$2:R$73,MATCH($E41&amp;$F41,LCI!$B$2:$B$73&amp;LCI!$D$2:$D$73,0))*IF(AND($E41="Truck", OR($F41="Electric", $F41="Electric_green")), $B$6, 1)*$D41*$C41</f>
        <v>0</v>
      </c>
      <c r="R41" s="154" cm="1">
        <f t="array" ref="R41">INDEX(LCI!S$2:S$73,MATCH($E41&amp;$F41,LCI!$B$2:$B$73&amp;LCI!$D$2:$D$73,0))*IF(AND($E41="Truck", OR($F41="Electric", $F41="Electric_green")), $B$6, 1)*$D41*$C41</f>
        <v>0</v>
      </c>
      <c r="S41" s="154" cm="1">
        <f t="array" ref="S41">INDEX(LCI!T$2:T$73,MATCH($E41&amp;$F41,LCI!$B$2:$B$73&amp;LCI!$D$2:$D$73,0))*IF(AND($E41="Truck", OR($F41="Electric", $F41="Electric_green")), $B$6, 1)*$D41*$C41</f>
        <v>0</v>
      </c>
      <c r="T41" s="154" cm="1">
        <f t="array" ref="T41">INDEX(LCI!U$2:U$73,MATCH($E41&amp;$F41,LCI!$B$2:$B$73&amp;LCI!$D$2:$D$73,0))*IF(AND($E41="Truck", OR($F41="Electric", $F41="Electric_green")), $B$6, 1)*$D41*$C41</f>
        <v>0</v>
      </c>
      <c r="U41" s="154" cm="1">
        <f t="array" ref="U41">INDEX(LCI!V$2:V$73,MATCH($E41&amp;$F41,LCI!$B$2:$B$73&amp;LCI!$D$2:$D$73,0))*IF(AND($E41="Truck", OR($F41="Electric", $F41="Electric_green")), $B$6, 1)*$D41*$C41</f>
        <v>0</v>
      </c>
      <c r="V41" s="154" cm="1">
        <f t="array" ref="V41">INDEX(LCI!W$2:W$73,MATCH($E41&amp;$F41,LCI!$B$2:$B$73&amp;LCI!$D$2:$D$73,0))*IF(AND($E41="Truck", OR($F41="Electric", $F41="Electric_green")), $B$6, 1)*$D41*$C41</f>
        <v>0</v>
      </c>
      <c r="W41" s="154" cm="1">
        <f t="array" ref="W41">INDEX(LCI!X$2:X$73,MATCH($E41&amp;$F41,LCI!$B$2:$B$73&amp;LCI!$D$2:$D$73,0))*IF(AND($E41="Truck", OR($F41="Electric", $F41="Electric_green")), $B$6, 1)*$D41*$C41</f>
        <v>0</v>
      </c>
      <c r="X41" s="154" cm="1">
        <f t="array" ref="X41">INDEX(LCI!Y$2:Y$73,MATCH($E41&amp;$F41,LCI!$B$2:$B$73&amp;LCI!$D$2:$D$73,0))*IF(AND($E41="Truck", OR($F41="Electric", $F41="Electric_green")), $B$6, 1)*$D41*$C41</f>
        <v>0</v>
      </c>
      <c r="Y41" s="154" cm="1">
        <f t="array" ref="Y41">INDEX(LCI!Z$2:Z$73,MATCH($E41&amp;$F41,LCI!$B$2:$B$73&amp;LCI!$D$2:$D$73,0))*IF(AND($E41="Truck", OR($F41="Electric", $F41="Electric_green")), $B$6, 1)*$D41*$C41</f>
        <v>0</v>
      </c>
    </row>
    <row r="42" spans="1:25" ht="14" customHeight="1" x14ac:dyDescent="0.35">
      <c r="A42" s="396"/>
      <c r="B42" s="154" t="str">
        <f>Input!A41</f>
        <v>Virgin crushed coarse aggregate 2 (&gt;2 mm)</v>
      </c>
      <c r="C42" s="158">
        <f>+Input!B41</f>
        <v>0.10199999999999999</v>
      </c>
      <c r="D42" s="154">
        <f>Input!$O41</f>
        <v>0</v>
      </c>
      <c r="E42" s="154" t="str">
        <f>Input!$M41</f>
        <v>No</v>
      </c>
      <c r="F42" s="154" t="str">
        <f>Input!$N41</f>
        <v>No</v>
      </c>
      <c r="G42" s="154" cm="1">
        <f t="array" ref="G42">INDEX(LCI!H$2:H$73,MATCH($E42&amp;$F42,LCI!$B$2:$B$73&amp;LCI!$D$2:$D$73,0))*IF(AND($E42="Truck", OR($F42="Electric", $F42="Electric_green")), $B$6, 1)*$D42*$C42</f>
        <v>0</v>
      </c>
      <c r="H42" s="154" cm="1">
        <f t="array" ref="H42">INDEX(LCI!I$2:I$73,MATCH($E42&amp;$F42,LCI!$B$2:$B$73&amp;LCI!$D$2:$D$73,0))*IF(AND($E42="Truck", OR($F42="Electric", $F42="Electric_green")), $B$6, 1)*$D42*$C42</f>
        <v>0</v>
      </c>
      <c r="I42" s="154" cm="1">
        <f t="array" ref="I42">INDEX(LCI!J$2:J$73,MATCH($E42&amp;$F42,LCI!$B$2:$B$73&amp;LCI!$D$2:$D$73,0))*IF(AND($E42="Truck", OR($F42="Electric", $F42="Electric_green")), $B$6, 1)*$D42*$C42</f>
        <v>0</v>
      </c>
      <c r="J42" s="154" cm="1">
        <f t="array" ref="J42">INDEX(LCI!K$2:K$73,MATCH($E42&amp;$F42,LCI!$B$2:$B$73&amp;LCI!$D$2:$D$73,0))*IF(AND($E42="Truck", OR($F42="Electric", $F42="Electric_green")), $B$6, 1)*$D42*$C42</f>
        <v>0</v>
      </c>
      <c r="K42" s="154" cm="1">
        <f t="array" ref="K42">INDEX(LCI!L$2:L$73,MATCH($E42&amp;$F42,LCI!$B$2:$B$73&amp;LCI!$D$2:$D$73,0))*IF(AND($E42="Truck", OR($F42="Electric", $F42="Electric_green")), $B$6, 1)*$D42*$C42</f>
        <v>0</v>
      </c>
      <c r="L42" s="154" cm="1">
        <f t="array" ref="L42">INDEX(LCI!M$2:M$73,MATCH($E42&amp;$F42,LCI!$B$2:$B$73&amp;LCI!$D$2:$D$73,0))*IF(AND($E42="Truck", OR($F42="Electric", $F42="Electric_green")), $B$6, 1)*$D42*$C42</f>
        <v>0</v>
      </c>
      <c r="M42" s="154" cm="1">
        <f t="array" ref="M42">INDEX(LCI!N$2:N$73,MATCH($E42&amp;$F42,LCI!$B$2:$B$73&amp;LCI!$D$2:$D$73,0))*IF(AND($E42="Truck", OR($F42="Electric", $F42="Electric_green")), $B$6, 1)*$D42*$C42</f>
        <v>0</v>
      </c>
      <c r="N42" s="154" cm="1">
        <f t="array" ref="N42">INDEX(LCI!O$2:O$73,MATCH($E42&amp;$F42,LCI!$B$2:$B$73&amp;LCI!$D$2:$D$73,0))*IF(AND($E42="Truck", OR($F42="Electric", $F42="Electric_green")), $B$6, 1)*$D42*$C42</f>
        <v>0</v>
      </c>
      <c r="O42" s="154" cm="1">
        <f t="array" ref="O42">INDEX(LCI!P$2:P$73,MATCH($E42&amp;$F42,LCI!$B$2:$B$73&amp;LCI!$D$2:$D$73,0))*IF(AND($E42="Truck", OR($F42="Electric", $F42="Electric_green")), $B$6, 1)*$D42*$C42</f>
        <v>0</v>
      </c>
      <c r="P42" s="154" cm="1">
        <f t="array" ref="P42">INDEX(LCI!Q$2:Q$73,MATCH($E42&amp;$F42,LCI!$B$2:$B$73&amp;LCI!$D$2:$D$73,0))*IF(AND($E42="Truck", OR($F42="Electric", $F42="Electric_green")), $B$6, 1)*$D42*$C42</f>
        <v>0</v>
      </c>
      <c r="Q42" s="154" cm="1">
        <f t="array" ref="Q42">INDEX(LCI!R$2:R$73,MATCH($E42&amp;$F42,LCI!$B$2:$B$73&amp;LCI!$D$2:$D$73,0))*IF(AND($E42="Truck", OR($F42="Electric", $F42="Electric_green")), $B$6, 1)*$D42*$C42</f>
        <v>0</v>
      </c>
      <c r="R42" s="154" cm="1">
        <f t="array" ref="R42">INDEX(LCI!S$2:S$73,MATCH($E42&amp;$F42,LCI!$B$2:$B$73&amp;LCI!$D$2:$D$73,0))*IF(AND($E42="Truck", OR($F42="Electric", $F42="Electric_green")), $B$6, 1)*$D42*$C42</f>
        <v>0</v>
      </c>
      <c r="S42" s="154" cm="1">
        <f t="array" ref="S42">INDEX(LCI!T$2:T$73,MATCH($E42&amp;$F42,LCI!$B$2:$B$73&amp;LCI!$D$2:$D$73,0))*IF(AND($E42="Truck", OR($F42="Electric", $F42="Electric_green")), $B$6, 1)*$D42*$C42</f>
        <v>0</v>
      </c>
      <c r="T42" s="154" cm="1">
        <f t="array" ref="T42">INDEX(LCI!U$2:U$73,MATCH($E42&amp;$F42,LCI!$B$2:$B$73&amp;LCI!$D$2:$D$73,0))*IF(AND($E42="Truck", OR($F42="Electric", $F42="Electric_green")), $B$6, 1)*$D42*$C42</f>
        <v>0</v>
      </c>
      <c r="U42" s="154" cm="1">
        <f t="array" ref="U42">INDEX(LCI!V$2:V$73,MATCH($E42&amp;$F42,LCI!$B$2:$B$73&amp;LCI!$D$2:$D$73,0))*IF(AND($E42="Truck", OR($F42="Electric", $F42="Electric_green")), $B$6, 1)*$D42*$C42</f>
        <v>0</v>
      </c>
      <c r="V42" s="154" cm="1">
        <f t="array" ref="V42">INDEX(LCI!W$2:W$73,MATCH($E42&amp;$F42,LCI!$B$2:$B$73&amp;LCI!$D$2:$D$73,0))*IF(AND($E42="Truck", OR($F42="Electric", $F42="Electric_green")), $B$6, 1)*$D42*$C42</f>
        <v>0</v>
      </c>
      <c r="W42" s="154" cm="1">
        <f t="array" ref="W42">INDEX(LCI!X$2:X$73,MATCH($E42&amp;$F42,LCI!$B$2:$B$73&amp;LCI!$D$2:$D$73,0))*IF(AND($E42="Truck", OR($F42="Electric", $F42="Electric_green")), $B$6, 1)*$D42*$C42</f>
        <v>0</v>
      </c>
      <c r="X42" s="154" cm="1">
        <f t="array" ref="X42">INDEX(LCI!Y$2:Y$73,MATCH($E42&amp;$F42,LCI!$B$2:$B$73&amp;LCI!$D$2:$D$73,0))*IF(AND($E42="Truck", OR($F42="Electric", $F42="Electric_green")), $B$6, 1)*$D42*$C42</f>
        <v>0</v>
      </c>
      <c r="Y42" s="154" cm="1">
        <f t="array" ref="Y42">INDEX(LCI!Z$2:Z$73,MATCH($E42&amp;$F42,LCI!$B$2:$B$73&amp;LCI!$D$2:$D$73,0))*IF(AND($E42="Truck", OR($F42="Electric", $F42="Electric_green")), $B$6, 1)*$D42*$C42</f>
        <v>0</v>
      </c>
    </row>
    <row r="43" spans="1:25" ht="14" customHeight="1" x14ac:dyDescent="0.35">
      <c r="A43" s="396"/>
      <c r="B43" s="154" t="str">
        <f>Input!A42</f>
        <v>Virgin crushed coarse aggregate 3 (&gt;2 mm)</v>
      </c>
      <c r="C43" s="158">
        <f>+Input!B42</f>
        <v>0.35299999999999998</v>
      </c>
      <c r="D43" s="154">
        <f>Input!$O42</f>
        <v>0</v>
      </c>
      <c r="E43" s="154" t="str">
        <f>Input!$M42</f>
        <v>No</v>
      </c>
      <c r="F43" s="154" t="str">
        <f>Input!$N42</f>
        <v>No</v>
      </c>
      <c r="G43" s="154" cm="1">
        <f t="array" ref="G43">INDEX(LCI!H$2:H$73,MATCH($E43&amp;$F43,LCI!$B$2:$B$73&amp;LCI!$D$2:$D$73,0))*IF(AND($E43="Truck", OR($F43="Electric", $F43="Electric_green")), $B$6, 1)*$D43*$C43</f>
        <v>0</v>
      </c>
      <c r="H43" s="154" cm="1">
        <f t="array" ref="H43">INDEX(LCI!I$2:I$73,MATCH($E43&amp;$F43,LCI!$B$2:$B$73&amp;LCI!$D$2:$D$73,0))*IF(AND($E43="Truck", OR($F43="Electric", $F43="Electric_green")), $B$6, 1)*$D43*$C43</f>
        <v>0</v>
      </c>
      <c r="I43" s="154" cm="1">
        <f t="array" ref="I43">INDEX(LCI!J$2:J$73,MATCH($E43&amp;$F43,LCI!$B$2:$B$73&amp;LCI!$D$2:$D$73,0))*IF(AND($E43="Truck", OR($F43="Electric", $F43="Electric_green")), $B$6, 1)*$D43*$C43</f>
        <v>0</v>
      </c>
      <c r="J43" s="154" cm="1">
        <f t="array" ref="J43">INDEX(LCI!K$2:K$73,MATCH($E43&amp;$F43,LCI!$B$2:$B$73&amp;LCI!$D$2:$D$73,0))*IF(AND($E43="Truck", OR($F43="Electric", $F43="Electric_green")), $B$6, 1)*$D43*$C43</f>
        <v>0</v>
      </c>
      <c r="K43" s="154" cm="1">
        <f t="array" ref="K43">INDEX(LCI!L$2:L$73,MATCH($E43&amp;$F43,LCI!$B$2:$B$73&amp;LCI!$D$2:$D$73,0))*IF(AND($E43="Truck", OR($F43="Electric", $F43="Electric_green")), $B$6, 1)*$D43*$C43</f>
        <v>0</v>
      </c>
      <c r="L43" s="154" cm="1">
        <f t="array" ref="L43">INDEX(LCI!M$2:M$73,MATCH($E43&amp;$F43,LCI!$B$2:$B$73&amp;LCI!$D$2:$D$73,0))*IF(AND($E43="Truck", OR($F43="Electric", $F43="Electric_green")), $B$6, 1)*$D43*$C43</f>
        <v>0</v>
      </c>
      <c r="M43" s="154" cm="1">
        <f t="array" ref="M43">INDEX(LCI!N$2:N$73,MATCH($E43&amp;$F43,LCI!$B$2:$B$73&amp;LCI!$D$2:$D$73,0))*IF(AND($E43="Truck", OR($F43="Electric", $F43="Electric_green")), $B$6, 1)*$D43*$C43</f>
        <v>0</v>
      </c>
      <c r="N43" s="154" cm="1">
        <f t="array" ref="N43">INDEX(LCI!O$2:O$73,MATCH($E43&amp;$F43,LCI!$B$2:$B$73&amp;LCI!$D$2:$D$73,0))*IF(AND($E43="Truck", OR($F43="Electric", $F43="Electric_green")), $B$6, 1)*$D43*$C43</f>
        <v>0</v>
      </c>
      <c r="O43" s="154" cm="1">
        <f t="array" ref="O43">INDEX(LCI!P$2:P$73,MATCH($E43&amp;$F43,LCI!$B$2:$B$73&amp;LCI!$D$2:$D$73,0))*IF(AND($E43="Truck", OR($F43="Electric", $F43="Electric_green")), $B$6, 1)*$D43*$C43</f>
        <v>0</v>
      </c>
      <c r="P43" s="154" cm="1">
        <f t="array" ref="P43">INDEX(LCI!Q$2:Q$73,MATCH($E43&amp;$F43,LCI!$B$2:$B$73&amp;LCI!$D$2:$D$73,0))*IF(AND($E43="Truck", OR($F43="Electric", $F43="Electric_green")), $B$6, 1)*$D43*$C43</f>
        <v>0</v>
      </c>
      <c r="Q43" s="154" cm="1">
        <f t="array" ref="Q43">INDEX(LCI!R$2:R$73,MATCH($E43&amp;$F43,LCI!$B$2:$B$73&amp;LCI!$D$2:$D$73,0))*IF(AND($E43="Truck", OR($F43="Electric", $F43="Electric_green")), $B$6, 1)*$D43*$C43</f>
        <v>0</v>
      </c>
      <c r="R43" s="154" cm="1">
        <f t="array" ref="R43">INDEX(LCI!S$2:S$73,MATCH($E43&amp;$F43,LCI!$B$2:$B$73&amp;LCI!$D$2:$D$73,0))*IF(AND($E43="Truck", OR($F43="Electric", $F43="Electric_green")), $B$6, 1)*$D43*$C43</f>
        <v>0</v>
      </c>
      <c r="S43" s="154" cm="1">
        <f t="array" ref="S43">INDEX(LCI!T$2:T$73,MATCH($E43&amp;$F43,LCI!$B$2:$B$73&amp;LCI!$D$2:$D$73,0))*IF(AND($E43="Truck", OR($F43="Electric", $F43="Electric_green")), $B$6, 1)*$D43*$C43</f>
        <v>0</v>
      </c>
      <c r="T43" s="154" cm="1">
        <f t="array" ref="T43">INDEX(LCI!U$2:U$73,MATCH($E43&amp;$F43,LCI!$B$2:$B$73&amp;LCI!$D$2:$D$73,0))*IF(AND($E43="Truck", OR($F43="Electric", $F43="Electric_green")), $B$6, 1)*$D43*$C43</f>
        <v>0</v>
      </c>
      <c r="U43" s="154" cm="1">
        <f t="array" ref="U43">INDEX(LCI!V$2:V$73,MATCH($E43&amp;$F43,LCI!$B$2:$B$73&amp;LCI!$D$2:$D$73,0))*IF(AND($E43="Truck", OR($F43="Electric", $F43="Electric_green")), $B$6, 1)*$D43*$C43</f>
        <v>0</v>
      </c>
      <c r="V43" s="154" cm="1">
        <f t="array" ref="V43">INDEX(LCI!W$2:W$73,MATCH($E43&amp;$F43,LCI!$B$2:$B$73&amp;LCI!$D$2:$D$73,0))*IF(AND($E43="Truck", OR($F43="Electric", $F43="Electric_green")), $B$6, 1)*$D43*$C43</f>
        <v>0</v>
      </c>
      <c r="W43" s="154" cm="1">
        <f t="array" ref="W43">INDEX(LCI!X$2:X$73,MATCH($E43&amp;$F43,LCI!$B$2:$B$73&amp;LCI!$D$2:$D$73,0))*IF(AND($E43="Truck", OR($F43="Electric", $F43="Electric_green")), $B$6, 1)*$D43*$C43</f>
        <v>0</v>
      </c>
      <c r="X43" s="154" cm="1">
        <f t="array" ref="X43">INDEX(LCI!Y$2:Y$73,MATCH($E43&amp;$F43,LCI!$B$2:$B$73&amp;LCI!$D$2:$D$73,0))*IF(AND($E43="Truck", OR($F43="Electric", $F43="Electric_green")), $B$6, 1)*$D43*$C43</f>
        <v>0</v>
      </c>
      <c r="Y43" s="154" cm="1">
        <f t="array" ref="Y43">INDEX(LCI!Z$2:Z$73,MATCH($E43&amp;$F43,LCI!$B$2:$B$73&amp;LCI!$D$2:$D$73,0))*IF(AND($E43="Truck", OR($F43="Electric", $F43="Electric_green")), $B$6, 1)*$D43*$C43</f>
        <v>0</v>
      </c>
    </row>
    <row r="44" spans="1:25" ht="14" customHeight="1" x14ac:dyDescent="0.35">
      <c r="A44" s="396"/>
      <c r="B44" s="154" t="str">
        <f>Input!A43</f>
        <v>Virgin crushed fine aggregate 1 (≤2 mm)</v>
      </c>
      <c r="C44" s="158">
        <f>+Input!B43</f>
        <v>0</v>
      </c>
      <c r="D44" s="154">
        <f>Input!$O43</f>
        <v>0</v>
      </c>
      <c r="E44" s="154" t="str">
        <f>Input!$M43</f>
        <v>No</v>
      </c>
      <c r="F44" s="154" t="str">
        <f>Input!$N43</f>
        <v>No</v>
      </c>
      <c r="G44" s="154" cm="1">
        <f t="array" ref="G44">INDEX(LCI!H$2:H$73,MATCH($E44&amp;$F44,LCI!$B$2:$B$73&amp;LCI!$D$2:$D$73,0))*IF(AND($E44="Truck", OR($F44="Electric", $F44="Electric_green")), $B$6, 1)*$D44*$C44</f>
        <v>0</v>
      </c>
      <c r="H44" s="154" cm="1">
        <f t="array" ref="H44">INDEX(LCI!I$2:I$73,MATCH($E44&amp;$F44,LCI!$B$2:$B$73&amp;LCI!$D$2:$D$73,0))*IF(AND($E44="Truck", OR($F44="Electric", $F44="Electric_green")), $B$6, 1)*$D44*$C44</f>
        <v>0</v>
      </c>
      <c r="I44" s="154" cm="1">
        <f t="array" ref="I44">INDEX(LCI!J$2:J$73,MATCH($E44&amp;$F44,LCI!$B$2:$B$73&amp;LCI!$D$2:$D$73,0))*IF(AND($E44="Truck", OR($F44="Electric", $F44="Electric_green")), $B$6, 1)*$D44*$C44</f>
        <v>0</v>
      </c>
      <c r="J44" s="154" cm="1">
        <f t="array" ref="J44">INDEX(LCI!K$2:K$73,MATCH($E44&amp;$F44,LCI!$B$2:$B$73&amp;LCI!$D$2:$D$73,0))*IF(AND($E44="Truck", OR($F44="Electric", $F44="Electric_green")), $B$6, 1)*$D44*$C44</f>
        <v>0</v>
      </c>
      <c r="K44" s="154" cm="1">
        <f t="array" ref="K44">INDEX(LCI!L$2:L$73,MATCH($E44&amp;$F44,LCI!$B$2:$B$73&amp;LCI!$D$2:$D$73,0))*IF(AND($E44="Truck", OR($F44="Electric", $F44="Electric_green")), $B$6, 1)*$D44*$C44</f>
        <v>0</v>
      </c>
      <c r="L44" s="154" cm="1">
        <f t="array" ref="L44">INDEX(LCI!M$2:M$73,MATCH($E44&amp;$F44,LCI!$B$2:$B$73&amp;LCI!$D$2:$D$73,0))*IF(AND($E44="Truck", OR($F44="Electric", $F44="Electric_green")), $B$6, 1)*$D44*$C44</f>
        <v>0</v>
      </c>
      <c r="M44" s="154" cm="1">
        <f t="array" ref="M44">INDEX(LCI!N$2:N$73,MATCH($E44&amp;$F44,LCI!$B$2:$B$73&amp;LCI!$D$2:$D$73,0))*IF(AND($E44="Truck", OR($F44="Electric", $F44="Electric_green")), $B$6, 1)*$D44*$C44</f>
        <v>0</v>
      </c>
      <c r="N44" s="154" cm="1">
        <f t="array" ref="N44">INDEX(LCI!O$2:O$73,MATCH($E44&amp;$F44,LCI!$B$2:$B$73&amp;LCI!$D$2:$D$73,0))*IF(AND($E44="Truck", OR($F44="Electric", $F44="Electric_green")), $B$6, 1)*$D44*$C44</f>
        <v>0</v>
      </c>
      <c r="O44" s="154" cm="1">
        <f t="array" ref="O44">INDEX(LCI!P$2:P$73,MATCH($E44&amp;$F44,LCI!$B$2:$B$73&amp;LCI!$D$2:$D$73,0))*IF(AND($E44="Truck", OR($F44="Electric", $F44="Electric_green")), $B$6, 1)*$D44*$C44</f>
        <v>0</v>
      </c>
      <c r="P44" s="154" cm="1">
        <f t="array" ref="P44">INDEX(LCI!Q$2:Q$73,MATCH($E44&amp;$F44,LCI!$B$2:$B$73&amp;LCI!$D$2:$D$73,0))*IF(AND($E44="Truck", OR($F44="Electric", $F44="Electric_green")), $B$6, 1)*$D44*$C44</f>
        <v>0</v>
      </c>
      <c r="Q44" s="154" cm="1">
        <f t="array" ref="Q44">INDEX(LCI!R$2:R$73,MATCH($E44&amp;$F44,LCI!$B$2:$B$73&amp;LCI!$D$2:$D$73,0))*IF(AND($E44="Truck", OR($F44="Electric", $F44="Electric_green")), $B$6, 1)*$D44*$C44</f>
        <v>0</v>
      </c>
      <c r="R44" s="154" cm="1">
        <f t="array" ref="R44">INDEX(LCI!S$2:S$73,MATCH($E44&amp;$F44,LCI!$B$2:$B$73&amp;LCI!$D$2:$D$73,0))*IF(AND($E44="Truck", OR($F44="Electric", $F44="Electric_green")), $B$6, 1)*$D44*$C44</f>
        <v>0</v>
      </c>
      <c r="S44" s="154" cm="1">
        <f t="array" ref="S44">INDEX(LCI!T$2:T$73,MATCH($E44&amp;$F44,LCI!$B$2:$B$73&amp;LCI!$D$2:$D$73,0))*IF(AND($E44="Truck", OR($F44="Electric", $F44="Electric_green")), $B$6, 1)*$D44*$C44</f>
        <v>0</v>
      </c>
      <c r="T44" s="154" cm="1">
        <f t="array" ref="T44">INDEX(LCI!U$2:U$73,MATCH($E44&amp;$F44,LCI!$B$2:$B$73&amp;LCI!$D$2:$D$73,0))*IF(AND($E44="Truck", OR($F44="Electric", $F44="Electric_green")), $B$6, 1)*$D44*$C44</f>
        <v>0</v>
      </c>
      <c r="U44" s="154" cm="1">
        <f t="array" ref="U44">INDEX(LCI!V$2:V$73,MATCH($E44&amp;$F44,LCI!$B$2:$B$73&amp;LCI!$D$2:$D$73,0))*IF(AND($E44="Truck", OR($F44="Electric", $F44="Electric_green")), $B$6, 1)*$D44*$C44</f>
        <v>0</v>
      </c>
      <c r="V44" s="154" cm="1">
        <f t="array" ref="V44">INDEX(LCI!W$2:W$73,MATCH($E44&amp;$F44,LCI!$B$2:$B$73&amp;LCI!$D$2:$D$73,0))*IF(AND($E44="Truck", OR($F44="Electric", $F44="Electric_green")), $B$6, 1)*$D44*$C44</f>
        <v>0</v>
      </c>
      <c r="W44" s="154" cm="1">
        <f t="array" ref="W44">INDEX(LCI!X$2:X$73,MATCH($E44&amp;$F44,LCI!$B$2:$B$73&amp;LCI!$D$2:$D$73,0))*IF(AND($E44="Truck", OR($F44="Electric", $F44="Electric_green")), $B$6, 1)*$D44*$C44</f>
        <v>0</v>
      </c>
      <c r="X44" s="154" cm="1">
        <f t="array" ref="X44">INDEX(LCI!Y$2:Y$73,MATCH($E44&amp;$F44,LCI!$B$2:$B$73&amp;LCI!$D$2:$D$73,0))*IF(AND($E44="Truck", OR($F44="Electric", $F44="Electric_green")), $B$6, 1)*$D44*$C44</f>
        <v>0</v>
      </c>
      <c r="Y44" s="154" cm="1">
        <f t="array" ref="Y44">INDEX(LCI!Z$2:Z$73,MATCH($E44&amp;$F44,LCI!$B$2:$B$73&amp;LCI!$D$2:$D$73,0))*IF(AND($E44="Truck", OR($F44="Electric", $F44="Electric_green")), $B$6, 1)*$D44*$C44</f>
        <v>0</v>
      </c>
    </row>
    <row r="45" spans="1:25" ht="14" customHeight="1" x14ac:dyDescent="0.35">
      <c r="A45" s="396"/>
      <c r="B45" s="154" t="str">
        <f>Input!A44</f>
        <v>Virgin crushed fine aggregate 2 (≤2 mm)</v>
      </c>
      <c r="C45" s="158">
        <f>+Input!B44</f>
        <v>0</v>
      </c>
      <c r="D45" s="154">
        <f>Input!$O44</f>
        <v>0</v>
      </c>
      <c r="E45" s="154" t="str">
        <f>Input!$M44</f>
        <v>No</v>
      </c>
      <c r="F45" s="154" t="str">
        <f>Input!$N44</f>
        <v>No</v>
      </c>
      <c r="G45" s="154" cm="1">
        <f t="array" ref="G45">INDEX(LCI!H$2:H$73,MATCH($E45&amp;$F45,LCI!$B$2:$B$73&amp;LCI!$D$2:$D$73,0))*IF(AND($E45="Truck", OR($F45="Electric", $F45="Electric_green")), $B$6, 1)*$D45*$C45</f>
        <v>0</v>
      </c>
      <c r="H45" s="154" cm="1">
        <f t="array" ref="H45">INDEX(LCI!I$2:I$73,MATCH($E45&amp;$F45,LCI!$B$2:$B$73&amp;LCI!$D$2:$D$73,0))*IF(AND($E45="Truck", OR($F45="Electric", $F45="Electric_green")), $B$6, 1)*$D45*$C45</f>
        <v>0</v>
      </c>
      <c r="I45" s="154" cm="1">
        <f t="array" ref="I45">INDEX(LCI!J$2:J$73,MATCH($E45&amp;$F45,LCI!$B$2:$B$73&amp;LCI!$D$2:$D$73,0))*IF(AND($E45="Truck", OR($F45="Electric", $F45="Electric_green")), $B$6, 1)*$D45*$C45</f>
        <v>0</v>
      </c>
      <c r="J45" s="154" cm="1">
        <f t="array" ref="J45">INDEX(LCI!K$2:K$73,MATCH($E45&amp;$F45,LCI!$B$2:$B$73&amp;LCI!$D$2:$D$73,0))*IF(AND($E45="Truck", OR($F45="Electric", $F45="Electric_green")), $B$6, 1)*$D45*$C45</f>
        <v>0</v>
      </c>
      <c r="K45" s="154" cm="1">
        <f t="array" ref="K45">INDEX(LCI!L$2:L$73,MATCH($E45&amp;$F45,LCI!$B$2:$B$73&amp;LCI!$D$2:$D$73,0))*IF(AND($E45="Truck", OR($F45="Electric", $F45="Electric_green")), $B$6, 1)*$D45*$C45</f>
        <v>0</v>
      </c>
      <c r="L45" s="154" cm="1">
        <f t="array" ref="L45">INDEX(LCI!M$2:M$73,MATCH($E45&amp;$F45,LCI!$B$2:$B$73&amp;LCI!$D$2:$D$73,0))*IF(AND($E45="Truck", OR($F45="Electric", $F45="Electric_green")), $B$6, 1)*$D45*$C45</f>
        <v>0</v>
      </c>
      <c r="M45" s="154" cm="1">
        <f t="array" ref="M45">INDEX(LCI!N$2:N$73,MATCH($E45&amp;$F45,LCI!$B$2:$B$73&amp;LCI!$D$2:$D$73,0))*IF(AND($E45="Truck", OR($F45="Electric", $F45="Electric_green")), $B$6, 1)*$D45*$C45</f>
        <v>0</v>
      </c>
      <c r="N45" s="154" cm="1">
        <f t="array" ref="N45">INDEX(LCI!O$2:O$73,MATCH($E45&amp;$F45,LCI!$B$2:$B$73&amp;LCI!$D$2:$D$73,0))*IF(AND($E45="Truck", OR($F45="Electric", $F45="Electric_green")), $B$6, 1)*$D45*$C45</f>
        <v>0</v>
      </c>
      <c r="O45" s="154" cm="1">
        <f t="array" ref="O45">INDEX(LCI!P$2:P$73,MATCH($E45&amp;$F45,LCI!$B$2:$B$73&amp;LCI!$D$2:$D$73,0))*IF(AND($E45="Truck", OR($F45="Electric", $F45="Electric_green")), $B$6, 1)*$D45*$C45</f>
        <v>0</v>
      </c>
      <c r="P45" s="154" cm="1">
        <f t="array" ref="P45">INDEX(LCI!Q$2:Q$73,MATCH($E45&amp;$F45,LCI!$B$2:$B$73&amp;LCI!$D$2:$D$73,0))*IF(AND($E45="Truck", OR($F45="Electric", $F45="Electric_green")), $B$6, 1)*$D45*$C45</f>
        <v>0</v>
      </c>
      <c r="Q45" s="154" cm="1">
        <f t="array" ref="Q45">INDEX(LCI!R$2:R$73,MATCH($E45&amp;$F45,LCI!$B$2:$B$73&amp;LCI!$D$2:$D$73,0))*IF(AND($E45="Truck", OR($F45="Electric", $F45="Electric_green")), $B$6, 1)*$D45*$C45</f>
        <v>0</v>
      </c>
      <c r="R45" s="154" cm="1">
        <f t="array" ref="R45">INDEX(LCI!S$2:S$73,MATCH($E45&amp;$F45,LCI!$B$2:$B$73&amp;LCI!$D$2:$D$73,0))*IF(AND($E45="Truck", OR($F45="Electric", $F45="Electric_green")), $B$6, 1)*$D45*$C45</f>
        <v>0</v>
      </c>
      <c r="S45" s="154" cm="1">
        <f t="array" ref="S45">INDEX(LCI!T$2:T$73,MATCH($E45&amp;$F45,LCI!$B$2:$B$73&amp;LCI!$D$2:$D$73,0))*IF(AND($E45="Truck", OR($F45="Electric", $F45="Electric_green")), $B$6, 1)*$D45*$C45</f>
        <v>0</v>
      </c>
      <c r="T45" s="154" cm="1">
        <f t="array" ref="T45">INDEX(LCI!U$2:U$73,MATCH($E45&amp;$F45,LCI!$B$2:$B$73&amp;LCI!$D$2:$D$73,0))*IF(AND($E45="Truck", OR($F45="Electric", $F45="Electric_green")), $B$6, 1)*$D45*$C45</f>
        <v>0</v>
      </c>
      <c r="U45" s="154" cm="1">
        <f t="array" ref="U45">INDEX(LCI!V$2:V$73,MATCH($E45&amp;$F45,LCI!$B$2:$B$73&amp;LCI!$D$2:$D$73,0))*IF(AND($E45="Truck", OR($F45="Electric", $F45="Electric_green")), $B$6, 1)*$D45*$C45</f>
        <v>0</v>
      </c>
      <c r="V45" s="154" cm="1">
        <f t="array" ref="V45">INDEX(LCI!W$2:W$73,MATCH($E45&amp;$F45,LCI!$B$2:$B$73&amp;LCI!$D$2:$D$73,0))*IF(AND($E45="Truck", OR($F45="Electric", $F45="Electric_green")), $B$6, 1)*$D45*$C45</f>
        <v>0</v>
      </c>
      <c r="W45" s="154" cm="1">
        <f t="array" ref="W45">INDEX(LCI!X$2:X$73,MATCH($E45&amp;$F45,LCI!$B$2:$B$73&amp;LCI!$D$2:$D$73,0))*IF(AND($E45="Truck", OR($F45="Electric", $F45="Electric_green")), $B$6, 1)*$D45*$C45</f>
        <v>0</v>
      </c>
      <c r="X45" s="154" cm="1">
        <f t="array" ref="X45">INDEX(LCI!Y$2:Y$73,MATCH($E45&amp;$F45,LCI!$B$2:$B$73&amp;LCI!$D$2:$D$73,0))*IF(AND($E45="Truck", OR($F45="Electric", $F45="Electric_green")), $B$6, 1)*$D45*$C45</f>
        <v>0</v>
      </c>
      <c r="Y45" s="154" cm="1">
        <f t="array" ref="Y45">INDEX(LCI!Z$2:Z$73,MATCH($E45&amp;$F45,LCI!$B$2:$B$73&amp;LCI!$D$2:$D$73,0))*IF(AND($E45="Truck", OR($F45="Electric", $F45="Electric_green")), $B$6, 1)*$D45*$C45</f>
        <v>0</v>
      </c>
    </row>
    <row r="46" spans="1:25" ht="14" customHeight="1" x14ac:dyDescent="0.35">
      <c r="A46" s="396"/>
      <c r="B46" s="154" t="str">
        <f>Input!A45</f>
        <v>Virgin crushed fine aggregate 3 (≤2 mm)</v>
      </c>
      <c r="C46" s="158">
        <f>+Input!B45</f>
        <v>0</v>
      </c>
      <c r="D46" s="154">
        <f>Input!$O45</f>
        <v>0</v>
      </c>
      <c r="E46" s="154" t="str">
        <f>Input!$M45</f>
        <v>No</v>
      </c>
      <c r="F46" s="154" t="str">
        <f>Input!$N45</f>
        <v>No</v>
      </c>
      <c r="G46" s="154" cm="1">
        <f t="array" ref="G46">INDEX(LCI!H$2:H$73,MATCH($E46&amp;$F46,LCI!$B$2:$B$73&amp;LCI!$D$2:$D$73,0))*IF(AND($E46="Truck", OR($F46="Electric", $F46="Electric_green")), $B$6, 1)*$D46*$C46</f>
        <v>0</v>
      </c>
      <c r="H46" s="154" cm="1">
        <f t="array" ref="H46">INDEX(LCI!I$2:I$73,MATCH($E46&amp;$F46,LCI!$B$2:$B$73&amp;LCI!$D$2:$D$73,0))*IF(AND($E46="Truck", OR($F46="Electric", $F46="Electric_green")), $B$6, 1)*$D46*$C46</f>
        <v>0</v>
      </c>
      <c r="I46" s="154" cm="1">
        <f t="array" ref="I46">INDEX(LCI!J$2:J$73,MATCH($E46&amp;$F46,LCI!$B$2:$B$73&amp;LCI!$D$2:$D$73,0))*IF(AND($E46="Truck", OR($F46="Electric", $F46="Electric_green")), $B$6, 1)*$D46*$C46</f>
        <v>0</v>
      </c>
      <c r="J46" s="154" cm="1">
        <f t="array" ref="J46">INDEX(LCI!K$2:K$73,MATCH($E46&amp;$F46,LCI!$B$2:$B$73&amp;LCI!$D$2:$D$73,0))*IF(AND($E46="Truck", OR($F46="Electric", $F46="Electric_green")), $B$6, 1)*$D46*$C46</f>
        <v>0</v>
      </c>
      <c r="K46" s="154" cm="1">
        <f t="array" ref="K46">INDEX(LCI!L$2:L$73,MATCH($E46&amp;$F46,LCI!$B$2:$B$73&amp;LCI!$D$2:$D$73,0))*IF(AND($E46="Truck", OR($F46="Electric", $F46="Electric_green")), $B$6, 1)*$D46*$C46</f>
        <v>0</v>
      </c>
      <c r="L46" s="154" cm="1">
        <f t="array" ref="L46">INDEX(LCI!M$2:M$73,MATCH($E46&amp;$F46,LCI!$B$2:$B$73&amp;LCI!$D$2:$D$73,0))*IF(AND($E46="Truck", OR($F46="Electric", $F46="Electric_green")), $B$6, 1)*$D46*$C46</f>
        <v>0</v>
      </c>
      <c r="M46" s="154" cm="1">
        <f t="array" ref="M46">INDEX(LCI!N$2:N$73,MATCH($E46&amp;$F46,LCI!$B$2:$B$73&amp;LCI!$D$2:$D$73,0))*IF(AND($E46="Truck", OR($F46="Electric", $F46="Electric_green")), $B$6, 1)*$D46*$C46</f>
        <v>0</v>
      </c>
      <c r="N46" s="154" cm="1">
        <f t="array" ref="N46">INDEX(LCI!O$2:O$73,MATCH($E46&amp;$F46,LCI!$B$2:$B$73&amp;LCI!$D$2:$D$73,0))*IF(AND($E46="Truck", OR($F46="Electric", $F46="Electric_green")), $B$6, 1)*$D46*$C46</f>
        <v>0</v>
      </c>
      <c r="O46" s="154" cm="1">
        <f t="array" ref="O46">INDEX(LCI!P$2:P$73,MATCH($E46&amp;$F46,LCI!$B$2:$B$73&amp;LCI!$D$2:$D$73,0))*IF(AND($E46="Truck", OR($F46="Electric", $F46="Electric_green")), $B$6, 1)*$D46*$C46</f>
        <v>0</v>
      </c>
      <c r="P46" s="154" cm="1">
        <f t="array" ref="P46">INDEX(LCI!Q$2:Q$73,MATCH($E46&amp;$F46,LCI!$B$2:$B$73&amp;LCI!$D$2:$D$73,0))*IF(AND($E46="Truck", OR($F46="Electric", $F46="Electric_green")), $B$6, 1)*$D46*$C46</f>
        <v>0</v>
      </c>
      <c r="Q46" s="154" cm="1">
        <f t="array" ref="Q46">INDEX(LCI!R$2:R$73,MATCH($E46&amp;$F46,LCI!$B$2:$B$73&amp;LCI!$D$2:$D$73,0))*IF(AND($E46="Truck", OR($F46="Electric", $F46="Electric_green")), $B$6, 1)*$D46*$C46</f>
        <v>0</v>
      </c>
      <c r="R46" s="154" cm="1">
        <f t="array" ref="R46">INDEX(LCI!S$2:S$73,MATCH($E46&amp;$F46,LCI!$B$2:$B$73&amp;LCI!$D$2:$D$73,0))*IF(AND($E46="Truck", OR($F46="Electric", $F46="Electric_green")), $B$6, 1)*$D46*$C46</f>
        <v>0</v>
      </c>
      <c r="S46" s="154" cm="1">
        <f t="array" ref="S46">INDEX(LCI!T$2:T$73,MATCH($E46&amp;$F46,LCI!$B$2:$B$73&amp;LCI!$D$2:$D$73,0))*IF(AND($E46="Truck", OR($F46="Electric", $F46="Electric_green")), $B$6, 1)*$D46*$C46</f>
        <v>0</v>
      </c>
      <c r="T46" s="154" cm="1">
        <f t="array" ref="T46">INDEX(LCI!U$2:U$73,MATCH($E46&amp;$F46,LCI!$B$2:$B$73&amp;LCI!$D$2:$D$73,0))*IF(AND($E46="Truck", OR($F46="Electric", $F46="Electric_green")), $B$6, 1)*$D46*$C46</f>
        <v>0</v>
      </c>
      <c r="U46" s="154" cm="1">
        <f t="array" ref="U46">INDEX(LCI!V$2:V$73,MATCH($E46&amp;$F46,LCI!$B$2:$B$73&amp;LCI!$D$2:$D$73,0))*IF(AND($E46="Truck", OR($F46="Electric", $F46="Electric_green")), $B$6, 1)*$D46*$C46</f>
        <v>0</v>
      </c>
      <c r="V46" s="154" cm="1">
        <f t="array" ref="V46">INDEX(LCI!W$2:W$73,MATCH($E46&amp;$F46,LCI!$B$2:$B$73&amp;LCI!$D$2:$D$73,0))*IF(AND($E46="Truck", OR($F46="Electric", $F46="Electric_green")), $B$6, 1)*$D46*$C46</f>
        <v>0</v>
      </c>
      <c r="W46" s="154" cm="1">
        <f t="array" ref="W46">INDEX(LCI!X$2:X$73,MATCH($E46&amp;$F46,LCI!$B$2:$B$73&amp;LCI!$D$2:$D$73,0))*IF(AND($E46="Truck", OR($F46="Electric", $F46="Electric_green")), $B$6, 1)*$D46*$C46</f>
        <v>0</v>
      </c>
      <c r="X46" s="154" cm="1">
        <f t="array" ref="X46">INDEX(LCI!Y$2:Y$73,MATCH($E46&amp;$F46,LCI!$B$2:$B$73&amp;LCI!$D$2:$D$73,0))*IF(AND($E46="Truck", OR($F46="Electric", $F46="Electric_green")), $B$6, 1)*$D46*$C46</f>
        <v>0</v>
      </c>
      <c r="Y46" s="154" cm="1">
        <f t="array" ref="Y46">INDEX(LCI!Z$2:Z$73,MATCH($E46&amp;$F46,LCI!$B$2:$B$73&amp;LCI!$D$2:$D$73,0))*IF(AND($E46="Truck", OR($F46="Electric", $F46="Electric_green")), $B$6, 1)*$D46*$C46</f>
        <v>0</v>
      </c>
    </row>
    <row r="47" spans="1:25" ht="14" customHeight="1" x14ac:dyDescent="0.35">
      <c r="A47" s="396"/>
      <c r="B47" s="154" t="str">
        <f>Input!A46</f>
        <v>Virgin natural fine aggregate 1 (≤2 mm)</v>
      </c>
      <c r="C47" s="158">
        <f>+Input!B46</f>
        <v>0.153</v>
      </c>
      <c r="D47" s="154">
        <f>Input!$O46</f>
        <v>0</v>
      </c>
      <c r="E47" s="154" t="str">
        <f>Input!$M46</f>
        <v>No</v>
      </c>
      <c r="F47" s="154" t="str">
        <f>Input!$N46</f>
        <v>No</v>
      </c>
      <c r="G47" s="154" cm="1">
        <f t="array" ref="G47">INDEX(LCI!H$2:H$73,MATCH($E47&amp;$F47,LCI!$B$2:$B$73&amp;LCI!$D$2:$D$73,0))*IF(AND($E47="Truck", OR($F47="Electric", $F47="Electric_green")), $B$6, 1)*$D47*$C47</f>
        <v>0</v>
      </c>
      <c r="H47" s="154" cm="1">
        <f t="array" ref="H47">INDEX(LCI!I$2:I$73,MATCH($E47&amp;$F47,LCI!$B$2:$B$73&amp;LCI!$D$2:$D$73,0))*IF(AND($E47="Truck", OR($F47="Electric", $F47="Electric_green")), $B$6, 1)*$D47*$C47</f>
        <v>0</v>
      </c>
      <c r="I47" s="154" cm="1">
        <f t="array" ref="I47">INDEX(LCI!J$2:J$73,MATCH($E47&amp;$F47,LCI!$B$2:$B$73&amp;LCI!$D$2:$D$73,0))*IF(AND($E47="Truck", OR($F47="Electric", $F47="Electric_green")), $B$6, 1)*$D47*$C47</f>
        <v>0</v>
      </c>
      <c r="J47" s="154" cm="1">
        <f t="array" ref="J47">INDEX(LCI!K$2:K$73,MATCH($E47&amp;$F47,LCI!$B$2:$B$73&amp;LCI!$D$2:$D$73,0))*IF(AND($E47="Truck", OR($F47="Electric", $F47="Electric_green")), $B$6, 1)*$D47*$C47</f>
        <v>0</v>
      </c>
      <c r="K47" s="154" cm="1">
        <f t="array" ref="K47">INDEX(LCI!L$2:L$73,MATCH($E47&amp;$F47,LCI!$B$2:$B$73&amp;LCI!$D$2:$D$73,0))*IF(AND($E47="Truck", OR($F47="Electric", $F47="Electric_green")), $B$6, 1)*$D47*$C47</f>
        <v>0</v>
      </c>
      <c r="L47" s="154" cm="1">
        <f t="array" ref="L47">INDEX(LCI!M$2:M$73,MATCH($E47&amp;$F47,LCI!$B$2:$B$73&amp;LCI!$D$2:$D$73,0))*IF(AND($E47="Truck", OR($F47="Electric", $F47="Electric_green")), $B$6, 1)*$D47*$C47</f>
        <v>0</v>
      </c>
      <c r="M47" s="154" cm="1">
        <f t="array" ref="M47">INDEX(LCI!N$2:N$73,MATCH($E47&amp;$F47,LCI!$B$2:$B$73&amp;LCI!$D$2:$D$73,0))*IF(AND($E47="Truck", OR($F47="Electric", $F47="Electric_green")), $B$6, 1)*$D47*$C47</f>
        <v>0</v>
      </c>
      <c r="N47" s="154" cm="1">
        <f t="array" ref="N47">INDEX(LCI!O$2:O$73,MATCH($E47&amp;$F47,LCI!$B$2:$B$73&amp;LCI!$D$2:$D$73,0))*IF(AND($E47="Truck", OR($F47="Electric", $F47="Electric_green")), $B$6, 1)*$D47*$C47</f>
        <v>0</v>
      </c>
      <c r="O47" s="154" cm="1">
        <f t="array" ref="O47">INDEX(LCI!P$2:P$73,MATCH($E47&amp;$F47,LCI!$B$2:$B$73&amp;LCI!$D$2:$D$73,0))*IF(AND($E47="Truck", OR($F47="Electric", $F47="Electric_green")), $B$6, 1)*$D47*$C47</f>
        <v>0</v>
      </c>
      <c r="P47" s="154" cm="1">
        <f t="array" ref="P47">INDEX(LCI!Q$2:Q$73,MATCH($E47&amp;$F47,LCI!$B$2:$B$73&amp;LCI!$D$2:$D$73,0))*IF(AND($E47="Truck", OR($F47="Electric", $F47="Electric_green")), $B$6, 1)*$D47*$C47</f>
        <v>0</v>
      </c>
      <c r="Q47" s="154" cm="1">
        <f t="array" ref="Q47">INDEX(LCI!R$2:R$73,MATCH($E47&amp;$F47,LCI!$B$2:$B$73&amp;LCI!$D$2:$D$73,0))*IF(AND($E47="Truck", OR($F47="Electric", $F47="Electric_green")), $B$6, 1)*$D47*$C47</f>
        <v>0</v>
      </c>
      <c r="R47" s="154" cm="1">
        <f t="array" ref="R47">INDEX(LCI!S$2:S$73,MATCH($E47&amp;$F47,LCI!$B$2:$B$73&amp;LCI!$D$2:$D$73,0))*IF(AND($E47="Truck", OR($F47="Electric", $F47="Electric_green")), $B$6, 1)*$D47*$C47</f>
        <v>0</v>
      </c>
      <c r="S47" s="154" cm="1">
        <f t="array" ref="S47">INDEX(LCI!T$2:T$73,MATCH($E47&amp;$F47,LCI!$B$2:$B$73&amp;LCI!$D$2:$D$73,0))*IF(AND($E47="Truck", OR($F47="Electric", $F47="Electric_green")), $B$6, 1)*$D47*$C47</f>
        <v>0</v>
      </c>
      <c r="T47" s="154" cm="1">
        <f t="array" ref="T47">INDEX(LCI!U$2:U$73,MATCH($E47&amp;$F47,LCI!$B$2:$B$73&amp;LCI!$D$2:$D$73,0))*IF(AND($E47="Truck", OR($F47="Electric", $F47="Electric_green")), $B$6, 1)*$D47*$C47</f>
        <v>0</v>
      </c>
      <c r="U47" s="154" cm="1">
        <f t="array" ref="U47">INDEX(LCI!V$2:V$73,MATCH($E47&amp;$F47,LCI!$B$2:$B$73&amp;LCI!$D$2:$D$73,0))*IF(AND($E47="Truck", OR($F47="Electric", $F47="Electric_green")), $B$6, 1)*$D47*$C47</f>
        <v>0</v>
      </c>
      <c r="V47" s="154" cm="1">
        <f t="array" ref="V47">INDEX(LCI!W$2:W$73,MATCH($E47&amp;$F47,LCI!$B$2:$B$73&amp;LCI!$D$2:$D$73,0))*IF(AND($E47="Truck", OR($F47="Electric", $F47="Electric_green")), $B$6, 1)*$D47*$C47</f>
        <v>0</v>
      </c>
      <c r="W47" s="154" cm="1">
        <f t="array" ref="W47">INDEX(LCI!X$2:X$73,MATCH($E47&amp;$F47,LCI!$B$2:$B$73&amp;LCI!$D$2:$D$73,0))*IF(AND($E47="Truck", OR($F47="Electric", $F47="Electric_green")), $B$6, 1)*$D47*$C47</f>
        <v>0</v>
      </c>
      <c r="X47" s="154" cm="1">
        <f t="array" ref="X47">INDEX(LCI!Y$2:Y$73,MATCH($E47&amp;$F47,LCI!$B$2:$B$73&amp;LCI!$D$2:$D$73,0))*IF(AND($E47="Truck", OR($F47="Electric", $F47="Electric_green")), $B$6, 1)*$D47*$C47</f>
        <v>0</v>
      </c>
      <c r="Y47" s="154" cm="1">
        <f t="array" ref="Y47">INDEX(LCI!Z$2:Z$73,MATCH($E47&amp;$F47,LCI!$B$2:$B$73&amp;LCI!$D$2:$D$73,0))*IF(AND($E47="Truck", OR($F47="Electric", $F47="Electric_green")), $B$6, 1)*$D47*$C47</f>
        <v>0</v>
      </c>
    </row>
    <row r="48" spans="1:25" ht="14" customHeight="1" x14ac:dyDescent="0.35">
      <c r="A48" s="396"/>
      <c r="B48" s="154" t="str">
        <f>Input!A47</f>
        <v>Virgin natural fine aggregate 2 (≤2 mm)</v>
      </c>
      <c r="C48" s="158">
        <f>+Input!B47</f>
        <v>0</v>
      </c>
      <c r="D48" s="154">
        <f>Input!$O47</f>
        <v>0</v>
      </c>
      <c r="E48" s="154" t="str">
        <f>Input!$M47</f>
        <v>No</v>
      </c>
      <c r="F48" s="154" t="str">
        <f>Input!$N47</f>
        <v>No</v>
      </c>
      <c r="G48" s="154" cm="1">
        <f t="array" ref="G48">INDEX(LCI!H$2:H$73,MATCH($E48&amp;$F48,LCI!$B$2:$B$73&amp;LCI!$D$2:$D$73,0))*IF(AND($E48="Truck", OR($F48="Electric", $F48="Electric_green")), $B$6, 1)*$D48*$C48</f>
        <v>0</v>
      </c>
      <c r="H48" s="154" cm="1">
        <f t="array" ref="H48">INDEX(LCI!I$2:I$73,MATCH($E48&amp;$F48,LCI!$B$2:$B$73&amp;LCI!$D$2:$D$73,0))*IF(AND($E48="Truck", OR($F48="Electric", $F48="Electric_green")), $B$6, 1)*$D48*$C48</f>
        <v>0</v>
      </c>
      <c r="I48" s="154" cm="1">
        <f t="array" ref="I48">INDEX(LCI!J$2:J$73,MATCH($E48&amp;$F48,LCI!$B$2:$B$73&amp;LCI!$D$2:$D$73,0))*IF(AND($E48="Truck", OR($F48="Electric", $F48="Electric_green")), $B$6, 1)*$D48*$C48</f>
        <v>0</v>
      </c>
      <c r="J48" s="154" cm="1">
        <f t="array" ref="J48">INDEX(LCI!K$2:K$73,MATCH($E48&amp;$F48,LCI!$B$2:$B$73&amp;LCI!$D$2:$D$73,0))*IF(AND($E48="Truck", OR($F48="Electric", $F48="Electric_green")), $B$6, 1)*$D48*$C48</f>
        <v>0</v>
      </c>
      <c r="K48" s="154" cm="1">
        <f t="array" ref="K48">INDEX(LCI!L$2:L$73,MATCH($E48&amp;$F48,LCI!$B$2:$B$73&amp;LCI!$D$2:$D$73,0))*IF(AND($E48="Truck", OR($F48="Electric", $F48="Electric_green")), $B$6, 1)*$D48*$C48</f>
        <v>0</v>
      </c>
      <c r="L48" s="154" cm="1">
        <f t="array" ref="L48">INDEX(LCI!M$2:M$73,MATCH($E48&amp;$F48,LCI!$B$2:$B$73&amp;LCI!$D$2:$D$73,0))*IF(AND($E48="Truck", OR($F48="Electric", $F48="Electric_green")), $B$6, 1)*$D48*$C48</f>
        <v>0</v>
      </c>
      <c r="M48" s="154" cm="1">
        <f t="array" ref="M48">INDEX(LCI!N$2:N$73,MATCH($E48&amp;$F48,LCI!$B$2:$B$73&amp;LCI!$D$2:$D$73,0))*IF(AND($E48="Truck", OR($F48="Electric", $F48="Electric_green")), $B$6, 1)*$D48*$C48</f>
        <v>0</v>
      </c>
      <c r="N48" s="154" cm="1">
        <f t="array" ref="N48">INDEX(LCI!O$2:O$73,MATCH($E48&amp;$F48,LCI!$B$2:$B$73&amp;LCI!$D$2:$D$73,0))*IF(AND($E48="Truck", OR($F48="Electric", $F48="Electric_green")), $B$6, 1)*$D48*$C48</f>
        <v>0</v>
      </c>
      <c r="O48" s="154" cm="1">
        <f t="array" ref="O48">INDEX(LCI!P$2:P$73,MATCH($E48&amp;$F48,LCI!$B$2:$B$73&amp;LCI!$D$2:$D$73,0))*IF(AND($E48="Truck", OR($F48="Electric", $F48="Electric_green")), $B$6, 1)*$D48*$C48</f>
        <v>0</v>
      </c>
      <c r="P48" s="154" cm="1">
        <f t="array" ref="P48">INDEX(LCI!Q$2:Q$73,MATCH($E48&amp;$F48,LCI!$B$2:$B$73&amp;LCI!$D$2:$D$73,0))*IF(AND($E48="Truck", OR($F48="Electric", $F48="Electric_green")), $B$6, 1)*$D48*$C48</f>
        <v>0</v>
      </c>
      <c r="Q48" s="154" cm="1">
        <f t="array" ref="Q48">INDEX(LCI!R$2:R$73,MATCH($E48&amp;$F48,LCI!$B$2:$B$73&amp;LCI!$D$2:$D$73,0))*IF(AND($E48="Truck", OR($F48="Electric", $F48="Electric_green")), $B$6, 1)*$D48*$C48</f>
        <v>0</v>
      </c>
      <c r="R48" s="154" cm="1">
        <f t="array" ref="R48">INDEX(LCI!S$2:S$73,MATCH($E48&amp;$F48,LCI!$B$2:$B$73&amp;LCI!$D$2:$D$73,0))*IF(AND($E48="Truck", OR($F48="Electric", $F48="Electric_green")), $B$6, 1)*$D48*$C48</f>
        <v>0</v>
      </c>
      <c r="S48" s="154" cm="1">
        <f t="array" ref="S48">INDEX(LCI!T$2:T$73,MATCH($E48&amp;$F48,LCI!$B$2:$B$73&amp;LCI!$D$2:$D$73,0))*IF(AND($E48="Truck", OR($F48="Electric", $F48="Electric_green")), $B$6, 1)*$D48*$C48</f>
        <v>0</v>
      </c>
      <c r="T48" s="154" cm="1">
        <f t="array" ref="T48">INDEX(LCI!U$2:U$73,MATCH($E48&amp;$F48,LCI!$B$2:$B$73&amp;LCI!$D$2:$D$73,0))*IF(AND($E48="Truck", OR($F48="Electric", $F48="Electric_green")), $B$6, 1)*$D48*$C48</f>
        <v>0</v>
      </c>
      <c r="U48" s="154" cm="1">
        <f t="array" ref="U48">INDEX(LCI!V$2:V$73,MATCH($E48&amp;$F48,LCI!$B$2:$B$73&amp;LCI!$D$2:$D$73,0))*IF(AND($E48="Truck", OR($F48="Electric", $F48="Electric_green")), $B$6, 1)*$D48*$C48</f>
        <v>0</v>
      </c>
      <c r="V48" s="154" cm="1">
        <f t="array" ref="V48">INDEX(LCI!W$2:W$73,MATCH($E48&amp;$F48,LCI!$B$2:$B$73&amp;LCI!$D$2:$D$73,0))*IF(AND($E48="Truck", OR($F48="Electric", $F48="Electric_green")), $B$6, 1)*$D48*$C48</f>
        <v>0</v>
      </c>
      <c r="W48" s="154" cm="1">
        <f t="array" ref="W48">INDEX(LCI!X$2:X$73,MATCH($E48&amp;$F48,LCI!$B$2:$B$73&amp;LCI!$D$2:$D$73,0))*IF(AND($E48="Truck", OR($F48="Electric", $F48="Electric_green")), $B$6, 1)*$D48*$C48</f>
        <v>0</v>
      </c>
      <c r="X48" s="154" cm="1">
        <f t="array" ref="X48">INDEX(LCI!Y$2:Y$73,MATCH($E48&amp;$F48,LCI!$B$2:$B$73&amp;LCI!$D$2:$D$73,0))*IF(AND($E48="Truck", OR($F48="Electric", $F48="Electric_green")), $B$6, 1)*$D48*$C48</f>
        <v>0</v>
      </c>
      <c r="Y48" s="154" cm="1">
        <f t="array" ref="Y48">INDEX(LCI!Z$2:Z$73,MATCH($E48&amp;$F48,LCI!$B$2:$B$73&amp;LCI!$D$2:$D$73,0))*IF(AND($E48="Truck", OR($F48="Electric", $F48="Electric_green")), $B$6, 1)*$D48*$C48</f>
        <v>0</v>
      </c>
    </row>
    <row r="49" spans="1:25" ht="14" customHeight="1" x14ac:dyDescent="0.35">
      <c r="A49" s="397"/>
      <c r="B49" s="154" t="str">
        <f>Input!A48</f>
        <v>Virgin natural fine aggregate 3 (≤2 mm)</v>
      </c>
      <c r="C49" s="158">
        <f>+Input!B48</f>
        <v>0</v>
      </c>
      <c r="D49" s="154">
        <f>Input!$O48</f>
        <v>0</v>
      </c>
      <c r="E49" s="154" t="str">
        <f>Input!$M48</f>
        <v>No</v>
      </c>
      <c r="F49" s="154" t="str">
        <f>Input!$N48</f>
        <v>No</v>
      </c>
      <c r="G49" s="154" cm="1">
        <f t="array" ref="G49">INDEX(LCI!H$2:H$73,MATCH($E49&amp;$F49,LCI!$B$2:$B$73&amp;LCI!$D$2:$D$73,0))*IF(AND($E49="Truck", OR($F49="Electric", $F49="Electric_green")), $B$6, 1)*$D49*$C49</f>
        <v>0</v>
      </c>
      <c r="H49" s="154" cm="1">
        <f t="array" ref="H49">INDEX(LCI!I$2:I$73,MATCH($E49&amp;$F49,LCI!$B$2:$B$73&amp;LCI!$D$2:$D$73,0))*IF(AND($E49="Truck", OR($F49="Electric", $F49="Electric_green")), $B$6, 1)*$D49*$C49</f>
        <v>0</v>
      </c>
      <c r="I49" s="154" cm="1">
        <f t="array" ref="I49">INDEX(LCI!J$2:J$73,MATCH($E49&amp;$F49,LCI!$B$2:$B$73&amp;LCI!$D$2:$D$73,0))*IF(AND($E49="Truck", OR($F49="Electric", $F49="Electric_green")), $B$6, 1)*$D49*$C49</f>
        <v>0</v>
      </c>
      <c r="J49" s="154" cm="1">
        <f t="array" ref="J49">INDEX(LCI!K$2:K$73,MATCH($E49&amp;$F49,LCI!$B$2:$B$73&amp;LCI!$D$2:$D$73,0))*IF(AND($E49="Truck", OR($F49="Electric", $F49="Electric_green")), $B$6, 1)*$D49*$C49</f>
        <v>0</v>
      </c>
      <c r="K49" s="154" cm="1">
        <f t="array" ref="K49">INDEX(LCI!L$2:L$73,MATCH($E49&amp;$F49,LCI!$B$2:$B$73&amp;LCI!$D$2:$D$73,0))*IF(AND($E49="Truck", OR($F49="Electric", $F49="Electric_green")), $B$6, 1)*$D49*$C49</f>
        <v>0</v>
      </c>
      <c r="L49" s="154" cm="1">
        <f t="array" ref="L49">INDEX(LCI!M$2:M$73,MATCH($E49&amp;$F49,LCI!$B$2:$B$73&amp;LCI!$D$2:$D$73,0))*IF(AND($E49="Truck", OR($F49="Electric", $F49="Electric_green")), $B$6, 1)*$D49*$C49</f>
        <v>0</v>
      </c>
      <c r="M49" s="154" cm="1">
        <f t="array" ref="M49">INDEX(LCI!N$2:N$73,MATCH($E49&amp;$F49,LCI!$B$2:$B$73&amp;LCI!$D$2:$D$73,0))*IF(AND($E49="Truck", OR($F49="Electric", $F49="Electric_green")), $B$6, 1)*$D49*$C49</f>
        <v>0</v>
      </c>
      <c r="N49" s="154" cm="1">
        <f t="array" ref="N49">INDEX(LCI!O$2:O$73,MATCH($E49&amp;$F49,LCI!$B$2:$B$73&amp;LCI!$D$2:$D$73,0))*IF(AND($E49="Truck", OR($F49="Electric", $F49="Electric_green")), $B$6, 1)*$D49*$C49</f>
        <v>0</v>
      </c>
      <c r="O49" s="154" cm="1">
        <f t="array" ref="O49">INDEX(LCI!P$2:P$73,MATCH($E49&amp;$F49,LCI!$B$2:$B$73&amp;LCI!$D$2:$D$73,0))*IF(AND($E49="Truck", OR($F49="Electric", $F49="Electric_green")), $B$6, 1)*$D49*$C49</f>
        <v>0</v>
      </c>
      <c r="P49" s="154" cm="1">
        <f t="array" ref="P49">INDEX(LCI!Q$2:Q$73,MATCH($E49&amp;$F49,LCI!$B$2:$B$73&amp;LCI!$D$2:$D$73,0))*IF(AND($E49="Truck", OR($F49="Electric", $F49="Electric_green")), $B$6, 1)*$D49*$C49</f>
        <v>0</v>
      </c>
      <c r="Q49" s="154" cm="1">
        <f t="array" ref="Q49">INDEX(LCI!R$2:R$73,MATCH($E49&amp;$F49,LCI!$B$2:$B$73&amp;LCI!$D$2:$D$73,0))*IF(AND($E49="Truck", OR($F49="Electric", $F49="Electric_green")), $B$6, 1)*$D49*$C49</f>
        <v>0</v>
      </c>
      <c r="R49" s="154" cm="1">
        <f t="array" ref="R49">INDEX(LCI!S$2:S$73,MATCH($E49&amp;$F49,LCI!$B$2:$B$73&amp;LCI!$D$2:$D$73,0))*IF(AND($E49="Truck", OR($F49="Electric", $F49="Electric_green")), $B$6, 1)*$D49*$C49</f>
        <v>0</v>
      </c>
      <c r="S49" s="154" cm="1">
        <f t="array" ref="S49">INDEX(LCI!T$2:T$73,MATCH($E49&amp;$F49,LCI!$B$2:$B$73&amp;LCI!$D$2:$D$73,0))*IF(AND($E49="Truck", OR($F49="Electric", $F49="Electric_green")), $B$6, 1)*$D49*$C49</f>
        <v>0</v>
      </c>
      <c r="T49" s="154" cm="1">
        <f t="array" ref="T49">INDEX(LCI!U$2:U$73,MATCH($E49&amp;$F49,LCI!$B$2:$B$73&amp;LCI!$D$2:$D$73,0))*IF(AND($E49="Truck", OR($F49="Electric", $F49="Electric_green")), $B$6, 1)*$D49*$C49</f>
        <v>0</v>
      </c>
      <c r="U49" s="154" cm="1">
        <f t="array" ref="U49">INDEX(LCI!V$2:V$73,MATCH($E49&amp;$F49,LCI!$B$2:$B$73&amp;LCI!$D$2:$D$73,0))*IF(AND($E49="Truck", OR($F49="Electric", $F49="Electric_green")), $B$6, 1)*$D49*$C49</f>
        <v>0</v>
      </c>
      <c r="V49" s="154" cm="1">
        <f t="array" ref="V49">INDEX(LCI!W$2:W$73,MATCH($E49&amp;$F49,LCI!$B$2:$B$73&amp;LCI!$D$2:$D$73,0))*IF(AND($E49="Truck", OR($F49="Electric", $F49="Electric_green")), $B$6, 1)*$D49*$C49</f>
        <v>0</v>
      </c>
      <c r="W49" s="154" cm="1">
        <f t="array" ref="W49">INDEX(LCI!X$2:X$73,MATCH($E49&amp;$F49,LCI!$B$2:$B$73&amp;LCI!$D$2:$D$73,0))*IF(AND($E49="Truck", OR($F49="Electric", $F49="Electric_green")), $B$6, 1)*$D49*$C49</f>
        <v>0</v>
      </c>
      <c r="X49" s="154" cm="1">
        <f t="array" ref="X49">INDEX(LCI!Y$2:Y$73,MATCH($E49&amp;$F49,LCI!$B$2:$B$73&amp;LCI!$D$2:$D$73,0))*IF(AND($E49="Truck", OR($F49="Electric", $F49="Electric_green")), $B$6, 1)*$D49*$C49</f>
        <v>0</v>
      </c>
      <c r="Y49" s="154" cm="1">
        <f t="array" ref="Y49">INDEX(LCI!Z$2:Z$73,MATCH($E49&amp;$F49,LCI!$B$2:$B$73&amp;LCI!$D$2:$D$73,0))*IF(AND($E49="Truck", OR($F49="Electric", $F49="Electric_green")), $B$6, 1)*$D49*$C49</f>
        <v>0</v>
      </c>
    </row>
    <row r="50" spans="1:25" x14ac:dyDescent="0.35">
      <c r="A50" s="398" t="s">
        <v>212</v>
      </c>
      <c r="B50" s="154" t="str">
        <f>Input!A49</f>
        <v>Filler 1</v>
      </c>
      <c r="C50" s="158">
        <f>+Input!B49</f>
        <v>5.4999999999999997E-3</v>
      </c>
      <c r="D50" s="154">
        <f>Input!$O49</f>
        <v>0</v>
      </c>
      <c r="E50" s="154" t="str">
        <f>Input!$M49</f>
        <v>No</v>
      </c>
      <c r="F50" s="154" t="str">
        <f>Input!$N49</f>
        <v>No</v>
      </c>
      <c r="G50" s="154" cm="1">
        <f t="array" ref="G50">INDEX(LCI!H$2:H$73,MATCH($E50&amp;$F50,LCI!$B$2:$B$73&amp;LCI!$D$2:$D$73,0))*IF(AND($E50="Truck", OR($F50="Electric", $F50="Electric_green")), $B$6, 1)*$D50*$C50</f>
        <v>0</v>
      </c>
      <c r="H50" s="154" cm="1">
        <f t="array" ref="H50">INDEX(LCI!I$2:I$73,MATCH($E50&amp;$F50,LCI!$B$2:$B$73&amp;LCI!$D$2:$D$73,0))*IF(AND($E50="Truck", OR($F50="Electric", $F50="Electric_green")), $B$6, 1)*$D50*$C50</f>
        <v>0</v>
      </c>
      <c r="I50" s="154" cm="1">
        <f t="array" ref="I50">INDEX(LCI!J$2:J$73,MATCH($E50&amp;$F50,LCI!$B$2:$B$73&amp;LCI!$D$2:$D$73,0))*IF(AND($E50="Truck", OR($F50="Electric", $F50="Electric_green")), $B$6, 1)*$D50*$C50</f>
        <v>0</v>
      </c>
      <c r="J50" s="154" cm="1">
        <f t="array" ref="J50">INDEX(LCI!K$2:K$73,MATCH($E50&amp;$F50,LCI!$B$2:$B$73&amp;LCI!$D$2:$D$73,0))*IF(AND($E50="Truck", OR($F50="Electric", $F50="Electric_green")), $B$6, 1)*$D50*$C50</f>
        <v>0</v>
      </c>
      <c r="K50" s="154" cm="1">
        <f t="array" ref="K50">INDEX(LCI!L$2:L$73,MATCH($E50&amp;$F50,LCI!$B$2:$B$73&amp;LCI!$D$2:$D$73,0))*IF(AND($E50="Truck", OR($F50="Electric", $F50="Electric_green")), $B$6, 1)*$D50*$C50</f>
        <v>0</v>
      </c>
      <c r="L50" s="154" cm="1">
        <f t="array" ref="L50">INDEX(LCI!M$2:M$73,MATCH($E50&amp;$F50,LCI!$B$2:$B$73&amp;LCI!$D$2:$D$73,0))*IF(AND($E50="Truck", OR($F50="Electric", $F50="Electric_green")), $B$6, 1)*$D50*$C50</f>
        <v>0</v>
      </c>
      <c r="M50" s="154" cm="1">
        <f t="array" ref="M50">INDEX(LCI!N$2:N$73,MATCH($E50&amp;$F50,LCI!$B$2:$B$73&amp;LCI!$D$2:$D$73,0))*IF(AND($E50="Truck", OR($F50="Electric", $F50="Electric_green")), $B$6, 1)*$D50*$C50</f>
        <v>0</v>
      </c>
      <c r="N50" s="154" cm="1">
        <f t="array" ref="N50">INDEX(LCI!O$2:O$73,MATCH($E50&amp;$F50,LCI!$B$2:$B$73&amp;LCI!$D$2:$D$73,0))*IF(AND($E50="Truck", OR($F50="Electric", $F50="Electric_green")), $B$6, 1)*$D50*$C50</f>
        <v>0</v>
      </c>
      <c r="O50" s="154" cm="1">
        <f t="array" ref="O50">INDEX(LCI!P$2:P$73,MATCH($E50&amp;$F50,LCI!$B$2:$B$73&amp;LCI!$D$2:$D$73,0))*IF(AND($E50="Truck", OR($F50="Electric", $F50="Electric_green")), $B$6, 1)*$D50*$C50</f>
        <v>0</v>
      </c>
      <c r="P50" s="154" cm="1">
        <f t="array" ref="P50">INDEX(LCI!Q$2:Q$73,MATCH($E50&amp;$F50,LCI!$B$2:$B$73&amp;LCI!$D$2:$D$73,0))*IF(AND($E50="Truck", OR($F50="Electric", $F50="Electric_green")), $B$6, 1)*$D50*$C50</f>
        <v>0</v>
      </c>
      <c r="Q50" s="154" cm="1">
        <f t="array" ref="Q50">INDEX(LCI!R$2:R$73,MATCH($E50&amp;$F50,LCI!$B$2:$B$73&amp;LCI!$D$2:$D$73,0))*IF(AND($E50="Truck", OR($F50="Electric", $F50="Electric_green")), $B$6, 1)*$D50*$C50</f>
        <v>0</v>
      </c>
      <c r="R50" s="154" cm="1">
        <f t="array" ref="R50">INDEX(LCI!S$2:S$73,MATCH($E50&amp;$F50,LCI!$B$2:$B$73&amp;LCI!$D$2:$D$73,0))*IF(AND($E50="Truck", OR($F50="Electric", $F50="Electric_green")), $B$6, 1)*$D50*$C50</f>
        <v>0</v>
      </c>
      <c r="S50" s="154" cm="1">
        <f t="array" ref="S50">INDEX(LCI!T$2:T$73,MATCH($E50&amp;$F50,LCI!$B$2:$B$73&amp;LCI!$D$2:$D$73,0))*IF(AND($E50="Truck", OR($F50="Electric", $F50="Electric_green")), $B$6, 1)*$D50*$C50</f>
        <v>0</v>
      </c>
      <c r="T50" s="154" cm="1">
        <f t="array" ref="T50">INDEX(LCI!U$2:U$73,MATCH($E50&amp;$F50,LCI!$B$2:$B$73&amp;LCI!$D$2:$D$73,0))*IF(AND($E50="Truck", OR($F50="Electric", $F50="Electric_green")), $B$6, 1)*$D50*$C50</f>
        <v>0</v>
      </c>
      <c r="U50" s="154" cm="1">
        <f t="array" ref="U50">INDEX(LCI!V$2:V$73,MATCH($E50&amp;$F50,LCI!$B$2:$B$73&amp;LCI!$D$2:$D$73,0))*IF(AND($E50="Truck", OR($F50="Electric", $F50="Electric_green")), $B$6, 1)*$D50*$C50</f>
        <v>0</v>
      </c>
      <c r="V50" s="154" cm="1">
        <f t="array" ref="V50">INDEX(LCI!W$2:W$73,MATCH($E50&amp;$F50,LCI!$B$2:$B$73&amp;LCI!$D$2:$D$73,0))*IF(AND($E50="Truck", OR($F50="Electric", $F50="Electric_green")), $B$6, 1)*$D50*$C50</f>
        <v>0</v>
      </c>
      <c r="W50" s="154" cm="1">
        <f t="array" ref="W50">INDEX(LCI!X$2:X$73,MATCH($E50&amp;$F50,LCI!$B$2:$B$73&amp;LCI!$D$2:$D$73,0))*IF(AND($E50="Truck", OR($F50="Electric", $F50="Electric_green")), $B$6, 1)*$D50*$C50</f>
        <v>0</v>
      </c>
      <c r="X50" s="154" cm="1">
        <f t="array" ref="X50">INDEX(LCI!Y$2:Y$73,MATCH($E50&amp;$F50,LCI!$B$2:$B$73&amp;LCI!$D$2:$D$73,0))*IF(AND($E50="Truck", OR($F50="Electric", $F50="Electric_green")), $B$6, 1)*$D50*$C50</f>
        <v>0</v>
      </c>
      <c r="Y50" s="154" cm="1">
        <f t="array" ref="Y50">INDEX(LCI!Z$2:Z$73,MATCH($E50&amp;$F50,LCI!$B$2:$B$73&amp;LCI!$D$2:$D$73,0))*IF(AND($E50="Truck", OR($F50="Electric", $F50="Electric_green")), $B$6, 1)*$D50*$C50</f>
        <v>0</v>
      </c>
    </row>
    <row r="51" spans="1:25" ht="14" customHeight="1" x14ac:dyDescent="0.35">
      <c r="A51" s="399"/>
      <c r="B51" s="154" t="str">
        <f>Input!A50</f>
        <v>Filler 2</v>
      </c>
      <c r="C51" s="158">
        <f>+Input!B50</f>
        <v>0.01</v>
      </c>
      <c r="D51" s="154">
        <f>Input!$O50</f>
        <v>0</v>
      </c>
      <c r="E51" s="154" t="str">
        <f>Input!$M50</f>
        <v>No</v>
      </c>
      <c r="F51" s="154" t="str">
        <f>Input!$N50</f>
        <v>No</v>
      </c>
      <c r="G51" s="154" cm="1">
        <f t="array" ref="G51">INDEX(LCI!H$2:H$73,MATCH($E51&amp;$F51,LCI!$B$2:$B$73&amp;LCI!$D$2:$D$73,0))*IF(AND($E51="Truck", OR($F51="Electric", $F51="Electric_green")), $B$6, 1)*$D51*$C51</f>
        <v>0</v>
      </c>
      <c r="H51" s="154" cm="1">
        <f t="array" ref="H51">INDEX(LCI!I$2:I$73,MATCH($E51&amp;$F51,LCI!$B$2:$B$73&amp;LCI!$D$2:$D$73,0))*IF(AND($E51="Truck", OR($F51="Electric", $F51="Electric_green")), $B$6, 1)*$D51*$C51</f>
        <v>0</v>
      </c>
      <c r="I51" s="154" cm="1">
        <f t="array" ref="I51">INDEX(LCI!J$2:J$73,MATCH($E51&amp;$F51,LCI!$B$2:$B$73&amp;LCI!$D$2:$D$73,0))*IF(AND($E51="Truck", OR($F51="Electric", $F51="Electric_green")), $B$6, 1)*$D51*$C51</f>
        <v>0</v>
      </c>
      <c r="J51" s="154" cm="1">
        <f t="array" ref="J51">INDEX(LCI!K$2:K$73,MATCH($E51&amp;$F51,LCI!$B$2:$B$73&amp;LCI!$D$2:$D$73,0))*IF(AND($E51="Truck", OR($F51="Electric", $F51="Electric_green")), $B$6, 1)*$D51*$C51</f>
        <v>0</v>
      </c>
      <c r="K51" s="154" cm="1">
        <f t="array" ref="K51">INDEX(LCI!L$2:L$73,MATCH($E51&amp;$F51,LCI!$B$2:$B$73&amp;LCI!$D$2:$D$73,0))*IF(AND($E51="Truck", OR($F51="Electric", $F51="Electric_green")), $B$6, 1)*$D51*$C51</f>
        <v>0</v>
      </c>
      <c r="L51" s="154" cm="1">
        <f t="array" ref="L51">INDEX(LCI!M$2:M$73,MATCH($E51&amp;$F51,LCI!$B$2:$B$73&amp;LCI!$D$2:$D$73,0))*IF(AND($E51="Truck", OR($F51="Electric", $F51="Electric_green")), $B$6, 1)*$D51*$C51</f>
        <v>0</v>
      </c>
      <c r="M51" s="154" cm="1">
        <f t="array" ref="M51">INDEX(LCI!N$2:N$73,MATCH($E51&amp;$F51,LCI!$B$2:$B$73&amp;LCI!$D$2:$D$73,0))*IF(AND($E51="Truck", OR($F51="Electric", $F51="Electric_green")), $B$6, 1)*$D51*$C51</f>
        <v>0</v>
      </c>
      <c r="N51" s="154" cm="1">
        <f t="array" ref="N51">INDEX(LCI!O$2:O$73,MATCH($E51&amp;$F51,LCI!$B$2:$B$73&amp;LCI!$D$2:$D$73,0))*IF(AND($E51="Truck", OR($F51="Electric", $F51="Electric_green")), $B$6, 1)*$D51*$C51</f>
        <v>0</v>
      </c>
      <c r="O51" s="154" cm="1">
        <f t="array" ref="O51">INDEX(LCI!P$2:P$73,MATCH($E51&amp;$F51,LCI!$B$2:$B$73&amp;LCI!$D$2:$D$73,0))*IF(AND($E51="Truck", OR($F51="Electric", $F51="Electric_green")), $B$6, 1)*$D51*$C51</f>
        <v>0</v>
      </c>
      <c r="P51" s="154" cm="1">
        <f t="array" ref="P51">INDEX(LCI!Q$2:Q$73,MATCH($E51&amp;$F51,LCI!$B$2:$B$73&amp;LCI!$D$2:$D$73,0))*IF(AND($E51="Truck", OR($F51="Electric", $F51="Electric_green")), $B$6, 1)*$D51*$C51</f>
        <v>0</v>
      </c>
      <c r="Q51" s="154" cm="1">
        <f t="array" ref="Q51">INDEX(LCI!R$2:R$73,MATCH($E51&amp;$F51,LCI!$B$2:$B$73&amp;LCI!$D$2:$D$73,0))*IF(AND($E51="Truck", OR($F51="Electric", $F51="Electric_green")), $B$6, 1)*$D51*$C51</f>
        <v>0</v>
      </c>
      <c r="R51" s="154" cm="1">
        <f t="array" ref="R51">INDEX(LCI!S$2:S$73,MATCH($E51&amp;$F51,LCI!$B$2:$B$73&amp;LCI!$D$2:$D$73,0))*IF(AND($E51="Truck", OR($F51="Electric", $F51="Electric_green")), $B$6, 1)*$D51*$C51</f>
        <v>0</v>
      </c>
      <c r="S51" s="154" cm="1">
        <f t="array" ref="S51">INDEX(LCI!T$2:T$73,MATCH($E51&amp;$F51,LCI!$B$2:$B$73&amp;LCI!$D$2:$D$73,0))*IF(AND($E51="Truck", OR($F51="Electric", $F51="Electric_green")), $B$6, 1)*$D51*$C51</f>
        <v>0</v>
      </c>
      <c r="T51" s="154" cm="1">
        <f t="array" ref="T51">INDEX(LCI!U$2:U$73,MATCH($E51&amp;$F51,LCI!$B$2:$B$73&amp;LCI!$D$2:$D$73,0))*IF(AND($E51="Truck", OR($F51="Electric", $F51="Electric_green")), $B$6, 1)*$D51*$C51</f>
        <v>0</v>
      </c>
      <c r="U51" s="154" cm="1">
        <f t="array" ref="U51">INDEX(LCI!V$2:V$73,MATCH($E51&amp;$F51,LCI!$B$2:$B$73&amp;LCI!$D$2:$D$73,0))*IF(AND($E51="Truck", OR($F51="Electric", $F51="Electric_green")), $B$6, 1)*$D51*$C51</f>
        <v>0</v>
      </c>
      <c r="V51" s="154" cm="1">
        <f t="array" ref="V51">INDEX(LCI!W$2:W$73,MATCH($E51&amp;$F51,LCI!$B$2:$B$73&amp;LCI!$D$2:$D$73,0))*IF(AND($E51="Truck", OR($F51="Electric", $F51="Electric_green")), $B$6, 1)*$D51*$C51</f>
        <v>0</v>
      </c>
      <c r="W51" s="154" cm="1">
        <f t="array" ref="W51">INDEX(LCI!X$2:X$73,MATCH($E51&amp;$F51,LCI!$B$2:$B$73&amp;LCI!$D$2:$D$73,0))*IF(AND($E51="Truck", OR($F51="Electric", $F51="Electric_green")), $B$6, 1)*$D51*$C51</f>
        <v>0</v>
      </c>
      <c r="X51" s="154" cm="1">
        <f t="array" ref="X51">INDEX(LCI!Y$2:Y$73,MATCH($E51&amp;$F51,LCI!$B$2:$B$73&amp;LCI!$D$2:$D$73,0))*IF(AND($E51="Truck", OR($F51="Electric", $F51="Electric_green")), $B$6, 1)*$D51*$C51</f>
        <v>0</v>
      </c>
      <c r="Y51" s="154" cm="1">
        <f t="array" ref="Y51">INDEX(LCI!Z$2:Z$73,MATCH($E51&amp;$F51,LCI!$B$2:$B$73&amp;LCI!$D$2:$D$73,0))*IF(AND($E51="Truck", OR($F51="Electric", $F51="Electric_green")), $B$6, 1)*$D51*$C51</f>
        <v>0</v>
      </c>
    </row>
    <row r="52" spans="1:25" x14ac:dyDescent="0.35">
      <c r="A52" s="400" t="s">
        <v>298</v>
      </c>
      <c r="B52" s="154" t="str">
        <f>Input!A51</f>
        <v>RAP 1</v>
      </c>
      <c r="C52" s="158"/>
      <c r="D52" s="154"/>
      <c r="E52" s="154"/>
      <c r="F52" s="154"/>
      <c r="G52" s="154"/>
      <c r="H52" s="154"/>
      <c r="I52" s="154"/>
      <c r="J52" s="154"/>
      <c r="K52" s="154"/>
      <c r="L52" s="154"/>
      <c r="M52" s="154"/>
      <c r="N52" s="154"/>
      <c r="O52" s="154"/>
      <c r="P52" s="154"/>
      <c r="Q52" s="154"/>
      <c r="R52" s="154"/>
      <c r="S52" s="154"/>
      <c r="T52" s="154"/>
      <c r="U52" s="154"/>
      <c r="V52" s="154"/>
      <c r="W52" s="154"/>
      <c r="X52" s="154"/>
      <c r="Y52" s="154"/>
    </row>
    <row r="53" spans="1:25" ht="14" customHeight="1" x14ac:dyDescent="0.35">
      <c r="A53" s="400"/>
      <c r="B53" s="154" t="str">
        <f>Input!A52</f>
        <v>RAP 2</v>
      </c>
      <c r="C53" s="158"/>
      <c r="D53" s="154"/>
      <c r="E53" s="154"/>
      <c r="F53" s="154"/>
      <c r="G53" s="154"/>
      <c r="H53" s="154"/>
      <c r="I53" s="154"/>
      <c r="J53" s="154"/>
      <c r="K53" s="154"/>
      <c r="L53" s="154"/>
      <c r="M53" s="154"/>
      <c r="N53" s="154"/>
      <c r="O53" s="154"/>
      <c r="P53" s="154"/>
      <c r="Q53" s="154"/>
      <c r="R53" s="154"/>
      <c r="S53" s="154"/>
      <c r="T53" s="154"/>
      <c r="U53" s="154"/>
      <c r="V53" s="154"/>
      <c r="W53" s="154"/>
      <c r="X53" s="154"/>
      <c r="Y53" s="154"/>
    </row>
    <row r="54" spans="1:25" x14ac:dyDescent="0.35">
      <c r="A54" s="401" t="s">
        <v>299</v>
      </c>
      <c r="B54" s="154" t="str">
        <f>Input!A53</f>
        <v>Other_waste 1</v>
      </c>
      <c r="C54" s="158"/>
      <c r="D54" s="154"/>
      <c r="E54" s="154"/>
      <c r="F54" s="154"/>
      <c r="G54" s="154"/>
      <c r="H54" s="154"/>
      <c r="I54" s="154"/>
      <c r="J54" s="154"/>
      <c r="K54" s="154"/>
      <c r="L54" s="154"/>
      <c r="M54" s="154"/>
      <c r="N54" s="154"/>
      <c r="O54" s="154"/>
      <c r="P54" s="154"/>
      <c r="Q54" s="154"/>
      <c r="R54" s="154"/>
      <c r="S54" s="154"/>
      <c r="T54" s="154"/>
      <c r="U54" s="154"/>
      <c r="V54" s="154"/>
      <c r="W54" s="154"/>
      <c r="X54" s="154"/>
      <c r="Y54" s="154"/>
    </row>
    <row r="55" spans="1:25" ht="14" customHeight="1" x14ac:dyDescent="0.35">
      <c r="A55" s="401"/>
      <c r="B55" s="154" t="str">
        <f>Input!A54</f>
        <v>Other_waste 2</v>
      </c>
      <c r="C55" s="158"/>
      <c r="D55" s="154"/>
      <c r="E55" s="154"/>
      <c r="F55" s="154"/>
      <c r="G55" s="154"/>
      <c r="H55" s="154"/>
      <c r="I55" s="154"/>
      <c r="J55" s="154"/>
      <c r="K55" s="154"/>
      <c r="L55" s="154"/>
      <c r="M55" s="154"/>
      <c r="N55" s="154"/>
      <c r="O55" s="154"/>
      <c r="P55" s="154"/>
      <c r="Q55" s="154"/>
      <c r="R55" s="154"/>
      <c r="S55" s="154"/>
      <c r="T55" s="154"/>
      <c r="U55" s="154"/>
      <c r="V55" s="154"/>
      <c r="W55" s="154"/>
      <c r="X55" s="154"/>
      <c r="Y55" s="154"/>
    </row>
    <row r="56" spans="1:25" x14ac:dyDescent="0.35">
      <c r="A56" s="401" t="s">
        <v>261</v>
      </c>
      <c r="B56" s="154" t="str">
        <f>Input!A55</f>
        <v>Additive 1</v>
      </c>
      <c r="C56" s="158">
        <f>+Input!B55</f>
        <v>3.3E-3</v>
      </c>
      <c r="D56" s="154">
        <f>Input!$O55</f>
        <v>0</v>
      </c>
      <c r="E56" s="154" t="str">
        <f>Input!$M55</f>
        <v>No</v>
      </c>
      <c r="F56" s="154" t="str">
        <f>Input!$N55</f>
        <v>No</v>
      </c>
      <c r="G56" s="154" cm="1">
        <f t="array" ref="G56">INDEX(LCI!H$2:H$73,MATCH($E56&amp;$F56,LCI!$B$2:$B$73&amp;LCI!$D$2:$D$73,0))*IF(AND($E56="Truck", OR($F56="Electric", $F56="Electric_green")), $B$6, 1)*$D56*$C56</f>
        <v>0</v>
      </c>
      <c r="H56" s="154" cm="1">
        <f t="array" ref="H56">INDEX(LCI!I$2:I$73,MATCH($E56&amp;$F56,LCI!$B$2:$B$73&amp;LCI!$D$2:$D$73,0))*IF(AND($E56="Truck", OR($F56="Electric", $F56="Electric_green")), $B$6, 1)*$D56*$C56</f>
        <v>0</v>
      </c>
      <c r="I56" s="154" cm="1">
        <f t="array" ref="I56">INDEX(LCI!J$2:J$73,MATCH($E56&amp;$F56,LCI!$B$2:$B$73&amp;LCI!$D$2:$D$73,0))*IF(AND($E56="Truck", OR($F56="Electric", $F56="Electric_green")), $B$6, 1)*$D56*$C56</f>
        <v>0</v>
      </c>
      <c r="J56" s="154" cm="1">
        <f t="array" ref="J56">INDEX(LCI!K$2:K$73,MATCH($E56&amp;$F56,LCI!$B$2:$B$73&amp;LCI!$D$2:$D$73,0))*IF(AND($E56="Truck", OR($F56="Electric", $F56="Electric_green")), $B$6, 1)*$D56*$C56</f>
        <v>0</v>
      </c>
      <c r="K56" s="154" cm="1">
        <f t="array" ref="K56">INDEX(LCI!L$2:L$73,MATCH($E56&amp;$F56,LCI!$B$2:$B$73&amp;LCI!$D$2:$D$73,0))*IF(AND($E56="Truck", OR($F56="Electric", $F56="Electric_green")), $B$6, 1)*$D56*$C56</f>
        <v>0</v>
      </c>
      <c r="L56" s="154" cm="1">
        <f t="array" ref="L56">INDEX(LCI!M$2:M$73,MATCH($E56&amp;$F56,LCI!$B$2:$B$73&amp;LCI!$D$2:$D$73,0))*IF(AND($E56="Truck", OR($F56="Electric", $F56="Electric_green")), $B$6, 1)*$D56*$C56</f>
        <v>0</v>
      </c>
      <c r="M56" s="154" cm="1">
        <f t="array" ref="M56">INDEX(LCI!N$2:N$73,MATCH($E56&amp;$F56,LCI!$B$2:$B$73&amp;LCI!$D$2:$D$73,0))*IF(AND($E56="Truck", OR($F56="Electric", $F56="Electric_green")), $B$6, 1)*$D56*$C56</f>
        <v>0</v>
      </c>
      <c r="N56" s="154" cm="1">
        <f t="array" ref="N56">INDEX(LCI!O$2:O$73,MATCH($E56&amp;$F56,LCI!$B$2:$B$73&amp;LCI!$D$2:$D$73,0))*IF(AND($E56="Truck", OR($F56="Electric", $F56="Electric_green")), $B$6, 1)*$D56*$C56</f>
        <v>0</v>
      </c>
      <c r="O56" s="154" cm="1">
        <f t="array" ref="O56">INDEX(LCI!P$2:P$73,MATCH($E56&amp;$F56,LCI!$B$2:$B$73&amp;LCI!$D$2:$D$73,0))*IF(AND($E56="Truck", OR($F56="Electric", $F56="Electric_green")), $B$6, 1)*$D56*$C56</f>
        <v>0</v>
      </c>
      <c r="P56" s="154" cm="1">
        <f t="array" ref="P56">INDEX(LCI!Q$2:Q$73,MATCH($E56&amp;$F56,LCI!$B$2:$B$73&amp;LCI!$D$2:$D$73,0))*IF(AND($E56="Truck", OR($F56="Electric", $F56="Electric_green")), $B$6, 1)*$D56*$C56</f>
        <v>0</v>
      </c>
      <c r="Q56" s="154" cm="1">
        <f t="array" ref="Q56">INDEX(LCI!R$2:R$73,MATCH($E56&amp;$F56,LCI!$B$2:$B$73&amp;LCI!$D$2:$D$73,0))*IF(AND($E56="Truck", OR($F56="Electric", $F56="Electric_green")), $B$6, 1)*$D56*$C56</f>
        <v>0</v>
      </c>
      <c r="R56" s="154" cm="1">
        <f t="array" ref="R56">INDEX(LCI!S$2:S$73,MATCH($E56&amp;$F56,LCI!$B$2:$B$73&amp;LCI!$D$2:$D$73,0))*IF(AND($E56="Truck", OR($F56="Electric", $F56="Electric_green")), $B$6, 1)*$D56*$C56</f>
        <v>0</v>
      </c>
      <c r="S56" s="154" cm="1">
        <f t="array" ref="S56">INDEX(LCI!T$2:T$73,MATCH($E56&amp;$F56,LCI!$B$2:$B$73&amp;LCI!$D$2:$D$73,0))*IF(AND($E56="Truck", OR($F56="Electric", $F56="Electric_green")), $B$6, 1)*$D56*$C56</f>
        <v>0</v>
      </c>
      <c r="T56" s="154" cm="1">
        <f t="array" ref="T56">INDEX(LCI!U$2:U$73,MATCH($E56&amp;$F56,LCI!$B$2:$B$73&amp;LCI!$D$2:$D$73,0))*IF(AND($E56="Truck", OR($F56="Electric", $F56="Electric_green")), $B$6, 1)*$D56*$C56</f>
        <v>0</v>
      </c>
      <c r="U56" s="154" cm="1">
        <f t="array" ref="U56">INDEX(LCI!V$2:V$73,MATCH($E56&amp;$F56,LCI!$B$2:$B$73&amp;LCI!$D$2:$D$73,0))*IF(AND($E56="Truck", OR($F56="Electric", $F56="Electric_green")), $B$6, 1)*$D56*$C56</f>
        <v>0</v>
      </c>
      <c r="V56" s="154" cm="1">
        <f t="array" ref="V56">INDEX(LCI!W$2:W$73,MATCH($E56&amp;$F56,LCI!$B$2:$B$73&amp;LCI!$D$2:$D$73,0))*IF(AND($E56="Truck", OR($F56="Electric", $F56="Electric_green")), $B$6, 1)*$D56*$C56</f>
        <v>0</v>
      </c>
      <c r="W56" s="154" cm="1">
        <f t="array" ref="W56">INDEX(LCI!X$2:X$73,MATCH($E56&amp;$F56,LCI!$B$2:$B$73&amp;LCI!$D$2:$D$73,0))*IF(AND($E56="Truck", OR($F56="Electric", $F56="Electric_green")), $B$6, 1)*$D56*$C56</f>
        <v>0</v>
      </c>
      <c r="X56" s="154" cm="1">
        <f t="array" ref="X56">INDEX(LCI!Y$2:Y$73,MATCH($E56&amp;$F56,LCI!$B$2:$B$73&amp;LCI!$D$2:$D$73,0))*IF(AND($E56="Truck", OR($F56="Electric", $F56="Electric_green")), $B$6, 1)*$D56*$C56</f>
        <v>0</v>
      </c>
      <c r="Y56" s="154" cm="1">
        <f t="array" ref="Y56">INDEX(LCI!Z$2:Z$73,MATCH($E56&amp;$F56,LCI!$B$2:$B$73&amp;LCI!$D$2:$D$73,0))*IF(AND($E56="Truck", OR($F56="Electric", $F56="Electric_green")), $B$6, 1)*$D56*$C56</f>
        <v>0</v>
      </c>
    </row>
    <row r="57" spans="1:25" ht="14" customHeight="1" x14ac:dyDescent="0.35">
      <c r="A57" s="401"/>
      <c r="B57" s="154" t="str">
        <f>Input!A56</f>
        <v>Additive 2</v>
      </c>
      <c r="C57" s="158">
        <f>+Input!B56</f>
        <v>0</v>
      </c>
      <c r="D57" s="154">
        <f>Input!$O56</f>
        <v>0</v>
      </c>
      <c r="E57" s="154" t="str">
        <f>Input!$M56</f>
        <v>No</v>
      </c>
      <c r="F57" s="154" t="str">
        <f>Input!$N56</f>
        <v>No</v>
      </c>
      <c r="G57" s="154" cm="1">
        <f t="array" ref="G57">INDEX(LCI!H$2:H$73,MATCH($E57&amp;$F57,LCI!$B$2:$B$73&amp;LCI!$D$2:$D$73,0))*IF(AND($E57="Truck", OR($F57="Electric", $F57="Electric_green")), $B$6, 1)*$D57*$C57</f>
        <v>0</v>
      </c>
      <c r="H57" s="154" cm="1">
        <f t="array" ref="H57">INDEX(LCI!I$2:I$73,MATCH($E57&amp;$F57,LCI!$B$2:$B$73&amp;LCI!$D$2:$D$73,0))*IF(AND($E57="Truck", OR($F57="Electric", $F57="Electric_green")), $B$6, 1)*$D57*$C57</f>
        <v>0</v>
      </c>
      <c r="I57" s="154" cm="1">
        <f t="array" ref="I57">INDEX(LCI!J$2:J$73,MATCH($E57&amp;$F57,LCI!$B$2:$B$73&amp;LCI!$D$2:$D$73,0))*IF(AND($E57="Truck", OR($F57="Electric", $F57="Electric_green")), $B$6, 1)*$D57*$C57</f>
        <v>0</v>
      </c>
      <c r="J57" s="154" cm="1">
        <f t="array" ref="J57">INDEX(LCI!K$2:K$73,MATCH($E57&amp;$F57,LCI!$B$2:$B$73&amp;LCI!$D$2:$D$73,0))*IF(AND($E57="Truck", OR($F57="Electric", $F57="Electric_green")), $B$6, 1)*$D57*$C57</f>
        <v>0</v>
      </c>
      <c r="K57" s="154" cm="1">
        <f t="array" ref="K57">INDEX(LCI!L$2:L$73,MATCH($E57&amp;$F57,LCI!$B$2:$B$73&amp;LCI!$D$2:$D$73,0))*IF(AND($E57="Truck", OR($F57="Electric", $F57="Electric_green")), $B$6, 1)*$D57*$C57</f>
        <v>0</v>
      </c>
      <c r="L57" s="154" cm="1">
        <f t="array" ref="L57">INDEX(LCI!M$2:M$73,MATCH($E57&amp;$F57,LCI!$B$2:$B$73&amp;LCI!$D$2:$D$73,0))*IF(AND($E57="Truck", OR($F57="Electric", $F57="Electric_green")), $B$6, 1)*$D57*$C57</f>
        <v>0</v>
      </c>
      <c r="M57" s="154" cm="1">
        <f t="array" ref="M57">INDEX(LCI!N$2:N$73,MATCH($E57&amp;$F57,LCI!$B$2:$B$73&amp;LCI!$D$2:$D$73,0))*IF(AND($E57="Truck", OR($F57="Electric", $F57="Electric_green")), $B$6, 1)*$D57*$C57</f>
        <v>0</v>
      </c>
      <c r="N57" s="154" cm="1">
        <f t="array" ref="N57">INDEX(LCI!O$2:O$73,MATCH($E57&amp;$F57,LCI!$B$2:$B$73&amp;LCI!$D$2:$D$73,0))*IF(AND($E57="Truck", OR($F57="Electric", $F57="Electric_green")), $B$6, 1)*$D57*$C57</f>
        <v>0</v>
      </c>
      <c r="O57" s="154" cm="1">
        <f t="array" ref="O57">INDEX(LCI!P$2:P$73,MATCH($E57&amp;$F57,LCI!$B$2:$B$73&amp;LCI!$D$2:$D$73,0))*IF(AND($E57="Truck", OR($F57="Electric", $F57="Electric_green")), $B$6, 1)*$D57*$C57</f>
        <v>0</v>
      </c>
      <c r="P57" s="154" cm="1">
        <f t="array" ref="P57">INDEX(LCI!Q$2:Q$73,MATCH($E57&amp;$F57,LCI!$B$2:$B$73&amp;LCI!$D$2:$D$73,0))*IF(AND($E57="Truck", OR($F57="Electric", $F57="Electric_green")), $B$6, 1)*$D57*$C57</f>
        <v>0</v>
      </c>
      <c r="Q57" s="154" cm="1">
        <f t="array" ref="Q57">INDEX(LCI!R$2:R$73,MATCH($E57&amp;$F57,LCI!$B$2:$B$73&amp;LCI!$D$2:$D$73,0))*IF(AND($E57="Truck", OR($F57="Electric", $F57="Electric_green")), $B$6, 1)*$D57*$C57</f>
        <v>0</v>
      </c>
      <c r="R57" s="154" cm="1">
        <f t="array" ref="R57">INDEX(LCI!S$2:S$73,MATCH($E57&amp;$F57,LCI!$B$2:$B$73&amp;LCI!$D$2:$D$73,0))*IF(AND($E57="Truck", OR($F57="Electric", $F57="Electric_green")), $B$6, 1)*$D57*$C57</f>
        <v>0</v>
      </c>
      <c r="S57" s="154" cm="1">
        <f t="array" ref="S57">INDEX(LCI!T$2:T$73,MATCH($E57&amp;$F57,LCI!$B$2:$B$73&amp;LCI!$D$2:$D$73,0))*IF(AND($E57="Truck", OR($F57="Electric", $F57="Electric_green")), $B$6, 1)*$D57*$C57</f>
        <v>0</v>
      </c>
      <c r="T57" s="154" cm="1">
        <f t="array" ref="T57">INDEX(LCI!U$2:U$73,MATCH($E57&amp;$F57,LCI!$B$2:$B$73&amp;LCI!$D$2:$D$73,0))*IF(AND($E57="Truck", OR($F57="Electric", $F57="Electric_green")), $B$6, 1)*$D57*$C57</f>
        <v>0</v>
      </c>
      <c r="U57" s="154" cm="1">
        <f t="array" ref="U57">INDEX(LCI!V$2:V$73,MATCH($E57&amp;$F57,LCI!$B$2:$B$73&amp;LCI!$D$2:$D$73,0))*IF(AND($E57="Truck", OR($F57="Electric", $F57="Electric_green")), $B$6, 1)*$D57*$C57</f>
        <v>0</v>
      </c>
      <c r="V57" s="154" cm="1">
        <f t="array" ref="V57">INDEX(LCI!W$2:W$73,MATCH($E57&amp;$F57,LCI!$B$2:$B$73&amp;LCI!$D$2:$D$73,0))*IF(AND($E57="Truck", OR($F57="Electric", $F57="Electric_green")), $B$6, 1)*$D57*$C57</f>
        <v>0</v>
      </c>
      <c r="W57" s="154" cm="1">
        <f t="array" ref="W57">INDEX(LCI!X$2:X$73,MATCH($E57&amp;$F57,LCI!$B$2:$B$73&amp;LCI!$D$2:$D$73,0))*IF(AND($E57="Truck", OR($F57="Electric", $F57="Electric_green")), $B$6, 1)*$D57*$C57</f>
        <v>0</v>
      </c>
      <c r="X57" s="154" cm="1">
        <f t="array" ref="X57">INDEX(LCI!Y$2:Y$73,MATCH($E57&amp;$F57,LCI!$B$2:$B$73&amp;LCI!$D$2:$D$73,0))*IF(AND($E57="Truck", OR($F57="Electric", $F57="Electric_green")), $B$6, 1)*$D57*$C57</f>
        <v>0</v>
      </c>
      <c r="Y57" s="154" cm="1">
        <f t="array" ref="Y57">INDEX(LCI!Z$2:Z$73,MATCH($E57&amp;$F57,LCI!$B$2:$B$73&amp;LCI!$D$2:$D$73,0))*IF(AND($E57="Truck", OR($F57="Electric", $F57="Electric_green")), $B$6, 1)*$D57*$C57</f>
        <v>0</v>
      </c>
    </row>
    <row r="58" spans="1:25" ht="14" customHeight="1" x14ac:dyDescent="0.35">
      <c r="A58" s="401"/>
      <c r="B58" s="154" t="str">
        <f>Input!A57</f>
        <v>Additive 3</v>
      </c>
      <c r="C58" s="158">
        <f>+Input!B57</f>
        <v>0</v>
      </c>
      <c r="D58" s="154">
        <f>Input!$O57</f>
        <v>0</v>
      </c>
      <c r="E58" s="154" t="str">
        <f>Input!$M57</f>
        <v>No</v>
      </c>
      <c r="F58" s="154" t="str">
        <f>Input!$N57</f>
        <v>No</v>
      </c>
      <c r="G58" s="154" cm="1">
        <f t="array" ref="G58">INDEX(LCI!H$2:H$73,MATCH($E58&amp;$F58,LCI!$B$2:$B$73&amp;LCI!$D$2:$D$73,0))*IF(AND($E58="Truck", OR($F58="Electric", $F58="Electric_green")), $B$6, 1)*$D58*$C58</f>
        <v>0</v>
      </c>
      <c r="H58" s="154" cm="1">
        <f t="array" ref="H58">INDEX(LCI!I$2:I$73,MATCH($E58&amp;$F58,LCI!$B$2:$B$73&amp;LCI!$D$2:$D$73,0))*IF(AND($E58="Truck", OR($F58="Electric", $F58="Electric_green")), $B$6, 1)*$D58*$C58</f>
        <v>0</v>
      </c>
      <c r="I58" s="154" cm="1">
        <f t="array" ref="I58">INDEX(LCI!J$2:J$73,MATCH($E58&amp;$F58,LCI!$B$2:$B$73&amp;LCI!$D$2:$D$73,0))*IF(AND($E58="Truck", OR($F58="Electric", $F58="Electric_green")), $B$6, 1)*$D58*$C58</f>
        <v>0</v>
      </c>
      <c r="J58" s="154" cm="1">
        <f t="array" ref="J58">INDEX(LCI!K$2:K$73,MATCH($E58&amp;$F58,LCI!$B$2:$B$73&amp;LCI!$D$2:$D$73,0))*IF(AND($E58="Truck", OR($F58="Electric", $F58="Electric_green")), $B$6, 1)*$D58*$C58</f>
        <v>0</v>
      </c>
      <c r="K58" s="154" cm="1">
        <f t="array" ref="K58">INDEX(LCI!L$2:L$73,MATCH($E58&amp;$F58,LCI!$B$2:$B$73&amp;LCI!$D$2:$D$73,0))*IF(AND($E58="Truck", OR($F58="Electric", $F58="Electric_green")), $B$6, 1)*$D58*$C58</f>
        <v>0</v>
      </c>
      <c r="L58" s="154" cm="1">
        <f t="array" ref="L58">INDEX(LCI!M$2:M$73,MATCH($E58&amp;$F58,LCI!$B$2:$B$73&amp;LCI!$D$2:$D$73,0))*IF(AND($E58="Truck", OR($F58="Electric", $F58="Electric_green")), $B$6, 1)*$D58*$C58</f>
        <v>0</v>
      </c>
      <c r="M58" s="154" cm="1">
        <f t="array" ref="M58">INDEX(LCI!N$2:N$73,MATCH($E58&amp;$F58,LCI!$B$2:$B$73&amp;LCI!$D$2:$D$73,0))*IF(AND($E58="Truck", OR($F58="Electric", $F58="Electric_green")), $B$6, 1)*$D58*$C58</f>
        <v>0</v>
      </c>
      <c r="N58" s="154" cm="1">
        <f t="array" ref="N58">INDEX(LCI!O$2:O$73,MATCH($E58&amp;$F58,LCI!$B$2:$B$73&amp;LCI!$D$2:$D$73,0))*IF(AND($E58="Truck", OR($F58="Electric", $F58="Electric_green")), $B$6, 1)*$D58*$C58</f>
        <v>0</v>
      </c>
      <c r="O58" s="154" cm="1">
        <f t="array" ref="O58">INDEX(LCI!P$2:P$73,MATCH($E58&amp;$F58,LCI!$B$2:$B$73&amp;LCI!$D$2:$D$73,0))*IF(AND($E58="Truck", OR($F58="Electric", $F58="Electric_green")), $B$6, 1)*$D58*$C58</f>
        <v>0</v>
      </c>
      <c r="P58" s="154" cm="1">
        <f t="array" ref="P58">INDEX(LCI!Q$2:Q$73,MATCH($E58&amp;$F58,LCI!$B$2:$B$73&amp;LCI!$D$2:$D$73,0))*IF(AND($E58="Truck", OR($F58="Electric", $F58="Electric_green")), $B$6, 1)*$D58*$C58</f>
        <v>0</v>
      </c>
      <c r="Q58" s="154" cm="1">
        <f t="array" ref="Q58">INDEX(LCI!R$2:R$73,MATCH($E58&amp;$F58,LCI!$B$2:$B$73&amp;LCI!$D$2:$D$73,0))*IF(AND($E58="Truck", OR($F58="Electric", $F58="Electric_green")), $B$6, 1)*$D58*$C58</f>
        <v>0</v>
      </c>
      <c r="R58" s="154" cm="1">
        <f t="array" ref="R58">INDEX(LCI!S$2:S$73,MATCH($E58&amp;$F58,LCI!$B$2:$B$73&amp;LCI!$D$2:$D$73,0))*IF(AND($E58="Truck", OR($F58="Electric", $F58="Electric_green")), $B$6, 1)*$D58*$C58</f>
        <v>0</v>
      </c>
      <c r="S58" s="154" cm="1">
        <f t="array" ref="S58">INDEX(LCI!T$2:T$73,MATCH($E58&amp;$F58,LCI!$B$2:$B$73&amp;LCI!$D$2:$D$73,0))*IF(AND($E58="Truck", OR($F58="Electric", $F58="Electric_green")), $B$6, 1)*$D58*$C58</f>
        <v>0</v>
      </c>
      <c r="T58" s="154" cm="1">
        <f t="array" ref="T58">INDEX(LCI!U$2:U$73,MATCH($E58&amp;$F58,LCI!$B$2:$B$73&amp;LCI!$D$2:$D$73,0))*IF(AND($E58="Truck", OR($F58="Electric", $F58="Electric_green")), $B$6, 1)*$D58*$C58</f>
        <v>0</v>
      </c>
      <c r="U58" s="154" cm="1">
        <f t="array" ref="U58">INDEX(LCI!V$2:V$73,MATCH($E58&amp;$F58,LCI!$B$2:$B$73&amp;LCI!$D$2:$D$73,0))*IF(AND($E58="Truck", OR($F58="Electric", $F58="Electric_green")), $B$6, 1)*$D58*$C58</f>
        <v>0</v>
      </c>
      <c r="V58" s="154" cm="1">
        <f t="array" ref="V58">INDEX(LCI!W$2:W$73,MATCH($E58&amp;$F58,LCI!$B$2:$B$73&amp;LCI!$D$2:$D$73,0))*IF(AND($E58="Truck", OR($F58="Electric", $F58="Electric_green")), $B$6, 1)*$D58*$C58</f>
        <v>0</v>
      </c>
      <c r="W58" s="154" cm="1">
        <f t="array" ref="W58">INDEX(LCI!X$2:X$73,MATCH($E58&amp;$F58,LCI!$B$2:$B$73&amp;LCI!$D$2:$D$73,0))*IF(AND($E58="Truck", OR($F58="Electric", $F58="Electric_green")), $B$6, 1)*$D58*$C58</f>
        <v>0</v>
      </c>
      <c r="X58" s="154" cm="1">
        <f t="array" ref="X58">INDEX(LCI!Y$2:Y$73,MATCH($E58&amp;$F58,LCI!$B$2:$B$73&amp;LCI!$D$2:$D$73,0))*IF(AND($E58="Truck", OR($F58="Electric", $F58="Electric_green")), $B$6, 1)*$D58*$C58</f>
        <v>0</v>
      </c>
      <c r="Y58" s="154" cm="1">
        <f t="array" ref="Y58">INDEX(LCI!Z$2:Z$73,MATCH($E58&amp;$F58,LCI!$B$2:$B$73&amp;LCI!$D$2:$D$73,0))*IF(AND($E58="Truck", OR($F58="Electric", $F58="Electric_green")), $B$6, 1)*$D58*$C58</f>
        <v>0</v>
      </c>
    </row>
    <row r="59" spans="1:25" x14ac:dyDescent="0.35">
      <c r="A59" s="406" t="s">
        <v>343</v>
      </c>
      <c r="B59" s="406"/>
      <c r="C59" s="406"/>
      <c r="D59" s="406"/>
      <c r="E59" s="406"/>
      <c r="F59" s="406"/>
      <c r="G59" s="140">
        <f t="shared" ref="G59:Y59" si="1">SUM(G40:G58)</f>
        <v>0</v>
      </c>
      <c r="H59" s="140">
        <f t="shared" si="1"/>
        <v>0</v>
      </c>
      <c r="I59" s="140">
        <f t="shared" si="1"/>
        <v>0</v>
      </c>
      <c r="J59" s="140">
        <f t="shared" si="1"/>
        <v>0</v>
      </c>
      <c r="K59" s="140">
        <f t="shared" si="1"/>
        <v>0</v>
      </c>
      <c r="L59" s="140">
        <f t="shared" si="1"/>
        <v>0</v>
      </c>
      <c r="M59" s="140">
        <f t="shared" si="1"/>
        <v>0</v>
      </c>
      <c r="N59" s="140">
        <f t="shared" si="1"/>
        <v>0</v>
      </c>
      <c r="O59" s="140">
        <f t="shared" si="1"/>
        <v>0</v>
      </c>
      <c r="P59" s="140">
        <f t="shared" si="1"/>
        <v>0</v>
      </c>
      <c r="Q59" s="140">
        <f t="shared" si="1"/>
        <v>0</v>
      </c>
      <c r="R59" s="140">
        <f t="shared" si="1"/>
        <v>0</v>
      </c>
      <c r="S59" s="140">
        <f t="shared" si="1"/>
        <v>0</v>
      </c>
      <c r="T59" s="140">
        <f t="shared" si="1"/>
        <v>0</v>
      </c>
      <c r="U59" s="140">
        <f t="shared" si="1"/>
        <v>0</v>
      </c>
      <c r="V59" s="140">
        <f t="shared" si="1"/>
        <v>0</v>
      </c>
      <c r="W59" s="140">
        <f t="shared" si="1"/>
        <v>0</v>
      </c>
      <c r="X59" s="140">
        <f t="shared" si="1"/>
        <v>0</v>
      </c>
      <c r="Y59" s="140">
        <f t="shared" si="1"/>
        <v>0</v>
      </c>
    </row>
    <row r="60" spans="1:25" x14ac:dyDescent="0.35">
      <c r="A60" s="15"/>
      <c r="B60" s="15"/>
      <c r="C60" s="15"/>
      <c r="D60" s="15"/>
      <c r="E60" s="15"/>
      <c r="F60" s="15"/>
      <c r="G60" s="254"/>
      <c r="H60" s="254"/>
      <c r="I60" s="254"/>
      <c r="J60" s="254"/>
      <c r="K60" s="254"/>
      <c r="L60" s="254"/>
      <c r="M60" s="254"/>
      <c r="N60" s="254"/>
      <c r="O60" s="254"/>
      <c r="P60" s="254"/>
      <c r="Q60" s="254"/>
      <c r="R60" s="254"/>
      <c r="S60" s="254"/>
      <c r="T60" s="254"/>
      <c r="U60" s="254"/>
      <c r="V60" s="254"/>
      <c r="W60" s="254"/>
      <c r="X60" s="254"/>
      <c r="Y60" s="254"/>
    </row>
    <row r="62" spans="1:25" ht="23.5" x14ac:dyDescent="0.55000000000000004">
      <c r="A62" s="100" t="s">
        <v>344</v>
      </c>
    </row>
    <row r="64" spans="1:25" ht="101.5" x14ac:dyDescent="0.35">
      <c r="A64" s="104" t="s">
        <v>276</v>
      </c>
      <c r="B64" s="104" t="s">
        <v>277</v>
      </c>
      <c r="C64" s="103" t="s">
        <v>278</v>
      </c>
      <c r="D64" s="103" t="s">
        <v>56</v>
      </c>
      <c r="E64" s="103" t="s">
        <v>339</v>
      </c>
      <c r="F64" s="103" t="s">
        <v>340</v>
      </c>
      <c r="G64" s="103" t="s">
        <v>279</v>
      </c>
      <c r="H64" s="103" t="s">
        <v>280</v>
      </c>
      <c r="I64" s="103" t="s">
        <v>281</v>
      </c>
      <c r="J64" s="103" t="s">
        <v>282</v>
      </c>
      <c r="K64" s="103" t="s">
        <v>283</v>
      </c>
      <c r="L64" s="103" t="s">
        <v>284</v>
      </c>
      <c r="M64" s="103" t="s">
        <v>285</v>
      </c>
      <c r="N64" s="103" t="s">
        <v>286</v>
      </c>
      <c r="O64" s="103" t="s">
        <v>287</v>
      </c>
      <c r="P64" s="103" t="s">
        <v>288</v>
      </c>
      <c r="Q64" s="103" t="s">
        <v>289</v>
      </c>
      <c r="R64" s="103" t="s">
        <v>290</v>
      </c>
      <c r="S64" s="103" t="s">
        <v>291</v>
      </c>
      <c r="T64" s="103" t="s">
        <v>292</v>
      </c>
      <c r="U64" s="103" t="s">
        <v>293</v>
      </c>
      <c r="V64" s="103" t="s">
        <v>294</v>
      </c>
      <c r="W64" s="103" t="s">
        <v>295</v>
      </c>
      <c r="X64" s="103" t="s">
        <v>296</v>
      </c>
      <c r="Y64" s="103" t="s">
        <v>297</v>
      </c>
    </row>
    <row r="65" spans="1:25" x14ac:dyDescent="0.35">
      <c r="A65" s="6" t="s">
        <v>266</v>
      </c>
      <c r="B65" s="154" t="str">
        <f>Input!A39</f>
        <v>Virgin binder</v>
      </c>
      <c r="C65" s="154">
        <f>+Input!B39</f>
        <v>2.2159999999999999E-2</v>
      </c>
      <c r="D65" s="154">
        <f>Input!$R39</f>
        <v>0</v>
      </c>
      <c r="E65" s="154" t="str">
        <f>Input!$P39</f>
        <v>No</v>
      </c>
      <c r="F65" s="154" t="str">
        <f>Input!$Q39</f>
        <v>No</v>
      </c>
      <c r="G65" s="154" cm="1">
        <f t="array" ref="G65">INDEX(LCI!H$2:H$73,MATCH($E65&amp;$F65,LCI!$B$2:$B$73&amp;LCI!$D$2:$D$73,0))*IF(AND($E65="Truck", OR($F65="Electric", $F65="Electric_green")), $B$6, 1)*$D65*$C65</f>
        <v>0</v>
      </c>
      <c r="H65" s="154" cm="1">
        <f t="array" ref="H65">INDEX(LCI!I$2:I$73,MATCH($E65&amp;$F65,LCI!$B$2:$B$73&amp;LCI!$D$2:$D$73,0))*IF(AND($E65="Truck", OR($F65="Electric", $F65="Electric_green")), $B$6, 1)*$D65*$C65</f>
        <v>0</v>
      </c>
      <c r="I65" s="154" cm="1">
        <f t="array" ref="I65">INDEX(LCI!J$2:J$73,MATCH($E65&amp;$F65,LCI!$B$2:$B$73&amp;LCI!$D$2:$D$73,0))*IF(AND($E65="Truck", OR($F65="Electric", $F65="Electric_green")), $B$6, 1)*$D65*$C65</f>
        <v>0</v>
      </c>
      <c r="J65" s="154" cm="1">
        <f t="array" ref="J65">INDEX(LCI!K$2:K$73,MATCH($E65&amp;$F65,LCI!$B$2:$B$73&amp;LCI!$D$2:$D$73,0))*IF(AND($E65="Truck", OR($F65="Electric", $F65="Electric_green")), $B$6, 1)*$D65*$C65</f>
        <v>0</v>
      </c>
      <c r="K65" s="154" cm="1">
        <f t="array" ref="K65">INDEX(LCI!L$2:L$73,MATCH($E65&amp;$F65,LCI!$B$2:$B$73&amp;LCI!$D$2:$D$73,0))*IF(AND($E65="Truck", OR($F65="Electric", $F65="Electric_green")), $B$6, 1)*$D65*$C65</f>
        <v>0</v>
      </c>
      <c r="L65" s="154" cm="1">
        <f t="array" ref="L65">INDEX(LCI!M$2:M$73,MATCH($E65&amp;$F65,LCI!$B$2:$B$73&amp;LCI!$D$2:$D$73,0))*IF(AND($E65="Truck", OR($F65="Electric", $F65="Electric_green")), $B$6, 1)*$D65*$C65</f>
        <v>0</v>
      </c>
      <c r="M65" s="154" cm="1">
        <f t="array" ref="M65">INDEX(LCI!N$2:N$73,MATCH($E65&amp;$F65,LCI!$B$2:$B$73&amp;LCI!$D$2:$D$73,0))*IF(AND($E65="Truck", OR($F65="Electric", $F65="Electric_green")), $B$6, 1)*$D65*$C65</f>
        <v>0</v>
      </c>
      <c r="N65" s="154" cm="1">
        <f t="array" ref="N65">INDEX(LCI!O$2:O$73,MATCH($E65&amp;$F65,LCI!$B$2:$B$73&amp;LCI!$D$2:$D$73,0))*IF(AND($E65="Truck", OR($F65="Electric", $F65="Electric_green")), $B$6, 1)*$D65*$C65</f>
        <v>0</v>
      </c>
      <c r="O65" s="154" cm="1">
        <f t="array" ref="O65">INDEX(LCI!P$2:P$73,MATCH($E65&amp;$F65,LCI!$B$2:$B$73&amp;LCI!$D$2:$D$73,0))*IF(AND($E65="Truck", OR($F65="Electric", $F65="Electric_green")), $B$6, 1)*$D65*$C65</f>
        <v>0</v>
      </c>
      <c r="P65" s="154" cm="1">
        <f t="array" ref="P65">INDEX(LCI!Q$2:Q$73,MATCH($E65&amp;$F65,LCI!$B$2:$B$73&amp;LCI!$D$2:$D$73,0))*IF(AND($E65="Truck", OR($F65="Electric", $F65="Electric_green")), $B$6, 1)*$D65*$C65</f>
        <v>0</v>
      </c>
      <c r="Q65" s="154" cm="1">
        <f t="array" ref="Q65">INDEX(LCI!R$2:R$73,MATCH($E65&amp;$F65,LCI!$B$2:$B$73&amp;LCI!$D$2:$D$73,0))*IF(AND($E65="Truck", OR($F65="Electric", $F65="Electric_green")), $B$6, 1)*$D65*$C65</f>
        <v>0</v>
      </c>
      <c r="R65" s="154" cm="1">
        <f t="array" ref="R65">INDEX(LCI!S$2:S$73,MATCH($E65&amp;$F65,LCI!$B$2:$B$73&amp;LCI!$D$2:$D$73,0))*IF(AND($E65="Truck", OR($F65="Electric", $F65="Electric_green")), $B$6, 1)*$D65*$C65</f>
        <v>0</v>
      </c>
      <c r="S65" s="154" cm="1">
        <f t="array" ref="S65">INDEX(LCI!T$2:T$73,MATCH($E65&amp;$F65,LCI!$B$2:$B$73&amp;LCI!$D$2:$D$73,0))*IF(AND($E65="Truck", OR($F65="Electric", $F65="Electric_green")), $B$6, 1)*$D65*$C65</f>
        <v>0</v>
      </c>
      <c r="T65" s="154" cm="1">
        <f t="array" ref="T65">INDEX(LCI!U$2:U$73,MATCH($E65&amp;$F65,LCI!$B$2:$B$73&amp;LCI!$D$2:$D$73,0))*IF(AND($E65="Truck", OR($F65="Electric", $F65="Electric_green")), $B$6, 1)*$D65*$C65</f>
        <v>0</v>
      </c>
      <c r="U65" s="154" cm="1">
        <f t="array" ref="U65">INDEX(LCI!V$2:V$73,MATCH($E65&amp;$F65,LCI!$B$2:$B$73&amp;LCI!$D$2:$D$73,0))*IF(AND($E65="Truck", OR($F65="Electric", $F65="Electric_green")), $B$6, 1)*$D65*$C65</f>
        <v>0</v>
      </c>
      <c r="V65" s="154" cm="1">
        <f t="array" ref="V65">INDEX(LCI!W$2:W$73,MATCH($E65&amp;$F65,LCI!$B$2:$B$73&amp;LCI!$D$2:$D$73,0))*IF(AND($E65="Truck", OR($F65="Electric", $F65="Electric_green")), $B$6, 1)*$D65*$C65</f>
        <v>0</v>
      </c>
      <c r="W65" s="154" cm="1">
        <f t="array" ref="W65">INDEX(LCI!X$2:X$73,MATCH($E65&amp;$F65,LCI!$B$2:$B$73&amp;LCI!$D$2:$D$73,0))*IF(AND($E65="Truck", OR($F65="Electric", $F65="Electric_green")), $B$6, 1)*$D65*$C65</f>
        <v>0</v>
      </c>
      <c r="X65" s="154" cm="1">
        <f t="array" ref="X65">INDEX(LCI!Y$2:Y$73,MATCH($E65&amp;$F65,LCI!$B$2:$B$73&amp;LCI!$D$2:$D$73,0))*IF(AND($E65="Truck", OR($F65="Electric", $F65="Electric_green")), $B$6, 1)*$D65*$C65</f>
        <v>0</v>
      </c>
      <c r="Y65" s="154" cm="1">
        <f t="array" ref="Y65">INDEX(LCI!Z$2:Z$73,MATCH($E65&amp;$F65,LCI!$B$2:$B$73&amp;LCI!$D$2:$D$73,0))*IF(AND($E65="Truck", OR($F65="Electric", $F65="Electric_green")), $B$6, 1)*$D65*$C65</f>
        <v>0</v>
      </c>
    </row>
    <row r="66" spans="1:25" x14ac:dyDescent="0.35">
      <c r="A66" s="395" t="s">
        <v>211</v>
      </c>
      <c r="B66" s="154" t="str">
        <f>Input!A40</f>
        <v>Virgin crushed coarse aggregate 1 (&gt;2 mm)</v>
      </c>
      <c r="C66" s="154">
        <f>+Input!B40</f>
        <v>5.0999999999999997E-2</v>
      </c>
      <c r="D66" s="154">
        <f>Input!$R40</f>
        <v>0</v>
      </c>
      <c r="E66" s="154" t="str">
        <f>Input!$P40</f>
        <v>No</v>
      </c>
      <c r="F66" s="154" t="str">
        <f>Input!$Q40</f>
        <v>No</v>
      </c>
      <c r="G66" s="154" cm="1">
        <f t="array" ref="G66">INDEX(LCI!H$2:H$73,MATCH($E66&amp;$F66,LCI!$B$2:$B$73&amp;LCI!$D$2:$D$73,0))*IF(AND($E66="Truck", OR($F66="Electric", $F66="Electric_green")), $B$6, 1)*$D66*$C66</f>
        <v>0</v>
      </c>
      <c r="H66" s="154" cm="1">
        <f t="array" ref="H66">INDEX(LCI!I$2:I$73,MATCH($E66&amp;$F66,LCI!$B$2:$B$73&amp;LCI!$D$2:$D$73,0))*IF(AND($E66="Truck", OR($F66="Electric", $F66="Electric_green")), $B$6, 1)*$D66*$C66</f>
        <v>0</v>
      </c>
      <c r="I66" s="154" cm="1">
        <f t="array" ref="I66">INDEX(LCI!J$2:J$73,MATCH($E66&amp;$F66,LCI!$B$2:$B$73&amp;LCI!$D$2:$D$73,0))*IF(AND($E66="Truck", OR($F66="Electric", $F66="Electric_green")), $B$6, 1)*$D66*$C66</f>
        <v>0</v>
      </c>
      <c r="J66" s="154" cm="1">
        <f t="array" ref="J66">INDEX(LCI!K$2:K$73,MATCH($E66&amp;$F66,LCI!$B$2:$B$73&amp;LCI!$D$2:$D$73,0))*IF(AND($E66="Truck", OR($F66="Electric", $F66="Electric_green")), $B$6, 1)*$D66*$C66</f>
        <v>0</v>
      </c>
      <c r="K66" s="154" cm="1">
        <f t="array" ref="K66">INDEX(LCI!L$2:L$73,MATCH($E66&amp;$F66,LCI!$B$2:$B$73&amp;LCI!$D$2:$D$73,0))*IF(AND($E66="Truck", OR($F66="Electric", $F66="Electric_green")), $B$6, 1)*$D66*$C66</f>
        <v>0</v>
      </c>
      <c r="L66" s="154" cm="1">
        <f t="array" ref="L66">INDEX(LCI!M$2:M$73,MATCH($E66&amp;$F66,LCI!$B$2:$B$73&amp;LCI!$D$2:$D$73,0))*IF(AND($E66="Truck", OR($F66="Electric", $F66="Electric_green")), $B$6, 1)*$D66*$C66</f>
        <v>0</v>
      </c>
      <c r="M66" s="154" cm="1">
        <f t="array" ref="M66">INDEX(LCI!N$2:N$73,MATCH($E66&amp;$F66,LCI!$B$2:$B$73&amp;LCI!$D$2:$D$73,0))*IF(AND($E66="Truck", OR($F66="Electric", $F66="Electric_green")), $B$6, 1)*$D66*$C66</f>
        <v>0</v>
      </c>
      <c r="N66" s="154" cm="1">
        <f t="array" ref="N66">INDEX(LCI!O$2:O$73,MATCH($E66&amp;$F66,LCI!$B$2:$B$73&amp;LCI!$D$2:$D$73,0))*IF(AND($E66="Truck", OR($F66="Electric", $F66="Electric_green")), $B$6, 1)*$D66*$C66</f>
        <v>0</v>
      </c>
      <c r="O66" s="154" cm="1">
        <f t="array" ref="O66">INDEX(LCI!P$2:P$73,MATCH($E66&amp;$F66,LCI!$B$2:$B$73&amp;LCI!$D$2:$D$73,0))*IF(AND($E66="Truck", OR($F66="Electric", $F66="Electric_green")), $B$6, 1)*$D66*$C66</f>
        <v>0</v>
      </c>
      <c r="P66" s="154" cm="1">
        <f t="array" ref="P66">INDEX(LCI!Q$2:Q$73,MATCH($E66&amp;$F66,LCI!$B$2:$B$73&amp;LCI!$D$2:$D$73,0))*IF(AND($E66="Truck", OR($F66="Electric", $F66="Electric_green")), $B$6, 1)*$D66*$C66</f>
        <v>0</v>
      </c>
      <c r="Q66" s="154" cm="1">
        <f t="array" ref="Q66">INDEX(LCI!R$2:R$73,MATCH($E66&amp;$F66,LCI!$B$2:$B$73&amp;LCI!$D$2:$D$73,0))*IF(AND($E66="Truck", OR($F66="Electric", $F66="Electric_green")), $B$6, 1)*$D66*$C66</f>
        <v>0</v>
      </c>
      <c r="R66" s="154" cm="1">
        <f t="array" ref="R66">INDEX(LCI!S$2:S$73,MATCH($E66&amp;$F66,LCI!$B$2:$B$73&amp;LCI!$D$2:$D$73,0))*IF(AND($E66="Truck", OR($F66="Electric", $F66="Electric_green")), $B$6, 1)*$D66*$C66</f>
        <v>0</v>
      </c>
      <c r="S66" s="154" cm="1">
        <f t="array" ref="S66">INDEX(LCI!T$2:T$73,MATCH($E66&amp;$F66,LCI!$B$2:$B$73&amp;LCI!$D$2:$D$73,0))*IF(AND($E66="Truck", OR($F66="Electric", $F66="Electric_green")), $B$6, 1)*$D66*$C66</f>
        <v>0</v>
      </c>
      <c r="T66" s="154" cm="1">
        <f t="array" ref="T66">INDEX(LCI!U$2:U$73,MATCH($E66&amp;$F66,LCI!$B$2:$B$73&amp;LCI!$D$2:$D$73,0))*IF(AND($E66="Truck", OR($F66="Electric", $F66="Electric_green")), $B$6, 1)*$D66*$C66</f>
        <v>0</v>
      </c>
      <c r="U66" s="154" cm="1">
        <f t="array" ref="U66">INDEX(LCI!V$2:V$73,MATCH($E66&amp;$F66,LCI!$B$2:$B$73&amp;LCI!$D$2:$D$73,0))*IF(AND($E66="Truck", OR($F66="Electric", $F66="Electric_green")), $B$6, 1)*$D66*$C66</f>
        <v>0</v>
      </c>
      <c r="V66" s="154" cm="1">
        <f t="array" ref="V66">INDEX(LCI!W$2:W$73,MATCH($E66&amp;$F66,LCI!$B$2:$B$73&amp;LCI!$D$2:$D$73,0))*IF(AND($E66="Truck", OR($F66="Electric", $F66="Electric_green")), $B$6, 1)*$D66*$C66</f>
        <v>0</v>
      </c>
      <c r="W66" s="154" cm="1">
        <f t="array" ref="W66">INDEX(LCI!X$2:X$73,MATCH($E66&amp;$F66,LCI!$B$2:$B$73&amp;LCI!$D$2:$D$73,0))*IF(AND($E66="Truck", OR($F66="Electric", $F66="Electric_green")), $B$6, 1)*$D66*$C66</f>
        <v>0</v>
      </c>
      <c r="X66" s="154" cm="1">
        <f t="array" ref="X66">INDEX(LCI!Y$2:Y$73,MATCH($E66&amp;$F66,LCI!$B$2:$B$73&amp;LCI!$D$2:$D$73,0))*IF(AND($E66="Truck", OR($F66="Electric", $F66="Electric_green")), $B$6, 1)*$D66*$C66</f>
        <v>0</v>
      </c>
      <c r="Y66" s="154" cm="1">
        <f t="array" ref="Y66">INDEX(LCI!Z$2:Z$73,MATCH($E66&amp;$F66,LCI!$B$2:$B$73&amp;LCI!$D$2:$D$73,0))*IF(AND($E66="Truck", OR($F66="Electric", $F66="Electric_green")), $B$6, 1)*$D66*$C66</f>
        <v>0</v>
      </c>
    </row>
    <row r="67" spans="1:25" x14ac:dyDescent="0.35">
      <c r="A67" s="396"/>
      <c r="B67" s="154" t="str">
        <f>Input!A41</f>
        <v>Virgin crushed coarse aggregate 2 (&gt;2 mm)</v>
      </c>
      <c r="C67" s="154">
        <f>+Input!B41</f>
        <v>0.10199999999999999</v>
      </c>
      <c r="D67" s="154">
        <f>Input!$R41</f>
        <v>0</v>
      </c>
      <c r="E67" s="154" t="str">
        <f>Input!$P41</f>
        <v>No</v>
      </c>
      <c r="F67" s="154" t="str">
        <f>Input!$Q41</f>
        <v>No</v>
      </c>
      <c r="G67" s="154" cm="1">
        <f t="array" ref="G67">INDEX(LCI!H$2:H$73,MATCH($E67&amp;$F67,LCI!$B$2:$B$73&amp;LCI!$D$2:$D$73,0))*IF(AND($E67="Truck", OR($F67="Electric", $F67="Electric_green")), $B$6, 1)*$D67*$C67</f>
        <v>0</v>
      </c>
      <c r="H67" s="154" cm="1">
        <f t="array" ref="H67">INDEX(LCI!I$2:I$73,MATCH($E67&amp;$F67,LCI!$B$2:$B$73&amp;LCI!$D$2:$D$73,0))*IF(AND($E67="Truck", OR($F67="Electric", $F67="Electric_green")), $B$6, 1)*$D67*$C67</f>
        <v>0</v>
      </c>
      <c r="I67" s="154" cm="1">
        <f t="array" ref="I67">INDEX(LCI!J$2:J$73,MATCH($E67&amp;$F67,LCI!$B$2:$B$73&amp;LCI!$D$2:$D$73,0))*IF(AND($E67="Truck", OR($F67="Electric", $F67="Electric_green")), $B$6, 1)*$D67*$C67</f>
        <v>0</v>
      </c>
      <c r="J67" s="154" cm="1">
        <f t="array" ref="J67">INDEX(LCI!K$2:K$73,MATCH($E67&amp;$F67,LCI!$B$2:$B$73&amp;LCI!$D$2:$D$73,0))*IF(AND($E67="Truck", OR($F67="Electric", $F67="Electric_green")), $B$6, 1)*$D67*$C67</f>
        <v>0</v>
      </c>
      <c r="K67" s="154" cm="1">
        <f t="array" ref="K67">INDEX(LCI!L$2:L$73,MATCH($E67&amp;$F67,LCI!$B$2:$B$73&amp;LCI!$D$2:$D$73,0))*IF(AND($E67="Truck", OR($F67="Electric", $F67="Electric_green")), $B$6, 1)*$D67*$C67</f>
        <v>0</v>
      </c>
      <c r="L67" s="154" cm="1">
        <f t="array" ref="L67">INDEX(LCI!M$2:M$73,MATCH($E67&amp;$F67,LCI!$B$2:$B$73&amp;LCI!$D$2:$D$73,0))*IF(AND($E67="Truck", OR($F67="Electric", $F67="Electric_green")), $B$6, 1)*$D67*$C67</f>
        <v>0</v>
      </c>
      <c r="M67" s="154" cm="1">
        <f t="array" ref="M67">INDEX(LCI!N$2:N$73,MATCH($E67&amp;$F67,LCI!$B$2:$B$73&amp;LCI!$D$2:$D$73,0))*IF(AND($E67="Truck", OR($F67="Electric", $F67="Electric_green")), $B$6, 1)*$D67*$C67</f>
        <v>0</v>
      </c>
      <c r="N67" s="154" cm="1">
        <f t="array" ref="N67">INDEX(LCI!O$2:O$73,MATCH($E67&amp;$F67,LCI!$B$2:$B$73&amp;LCI!$D$2:$D$73,0))*IF(AND($E67="Truck", OR($F67="Electric", $F67="Electric_green")), $B$6, 1)*$D67*$C67</f>
        <v>0</v>
      </c>
      <c r="O67" s="154" cm="1">
        <f t="array" ref="O67">INDEX(LCI!P$2:P$73,MATCH($E67&amp;$F67,LCI!$B$2:$B$73&amp;LCI!$D$2:$D$73,0))*IF(AND($E67="Truck", OR($F67="Electric", $F67="Electric_green")), $B$6, 1)*$D67*$C67</f>
        <v>0</v>
      </c>
      <c r="P67" s="154" cm="1">
        <f t="array" ref="P67">INDEX(LCI!Q$2:Q$73,MATCH($E67&amp;$F67,LCI!$B$2:$B$73&amp;LCI!$D$2:$D$73,0))*IF(AND($E67="Truck", OR($F67="Electric", $F67="Electric_green")), $B$6, 1)*$D67*$C67</f>
        <v>0</v>
      </c>
      <c r="Q67" s="154" cm="1">
        <f t="array" ref="Q67">INDEX(LCI!R$2:R$73,MATCH($E67&amp;$F67,LCI!$B$2:$B$73&amp;LCI!$D$2:$D$73,0))*IF(AND($E67="Truck", OR($F67="Electric", $F67="Electric_green")), $B$6, 1)*$D67*$C67</f>
        <v>0</v>
      </c>
      <c r="R67" s="154" cm="1">
        <f t="array" ref="R67">INDEX(LCI!S$2:S$73,MATCH($E67&amp;$F67,LCI!$B$2:$B$73&amp;LCI!$D$2:$D$73,0))*IF(AND($E67="Truck", OR($F67="Electric", $F67="Electric_green")), $B$6, 1)*$D67*$C67</f>
        <v>0</v>
      </c>
      <c r="S67" s="154" cm="1">
        <f t="array" ref="S67">INDEX(LCI!T$2:T$73,MATCH($E67&amp;$F67,LCI!$B$2:$B$73&amp;LCI!$D$2:$D$73,0))*IF(AND($E67="Truck", OR($F67="Electric", $F67="Electric_green")), $B$6, 1)*$D67*$C67</f>
        <v>0</v>
      </c>
      <c r="T67" s="154" cm="1">
        <f t="array" ref="T67">INDEX(LCI!U$2:U$73,MATCH($E67&amp;$F67,LCI!$B$2:$B$73&amp;LCI!$D$2:$D$73,0))*IF(AND($E67="Truck", OR($F67="Electric", $F67="Electric_green")), $B$6, 1)*$D67*$C67</f>
        <v>0</v>
      </c>
      <c r="U67" s="154" cm="1">
        <f t="array" ref="U67">INDEX(LCI!V$2:V$73,MATCH($E67&amp;$F67,LCI!$B$2:$B$73&amp;LCI!$D$2:$D$73,0))*IF(AND($E67="Truck", OR($F67="Electric", $F67="Electric_green")), $B$6, 1)*$D67*$C67</f>
        <v>0</v>
      </c>
      <c r="V67" s="154" cm="1">
        <f t="array" ref="V67">INDEX(LCI!W$2:W$73,MATCH($E67&amp;$F67,LCI!$B$2:$B$73&amp;LCI!$D$2:$D$73,0))*IF(AND($E67="Truck", OR($F67="Electric", $F67="Electric_green")), $B$6, 1)*$D67*$C67</f>
        <v>0</v>
      </c>
      <c r="W67" s="154" cm="1">
        <f t="array" ref="W67">INDEX(LCI!X$2:X$73,MATCH($E67&amp;$F67,LCI!$B$2:$B$73&amp;LCI!$D$2:$D$73,0))*IF(AND($E67="Truck", OR($F67="Electric", $F67="Electric_green")), $B$6, 1)*$D67*$C67</f>
        <v>0</v>
      </c>
      <c r="X67" s="154" cm="1">
        <f t="array" ref="X67">INDEX(LCI!Y$2:Y$73,MATCH($E67&amp;$F67,LCI!$B$2:$B$73&amp;LCI!$D$2:$D$73,0))*IF(AND($E67="Truck", OR($F67="Electric", $F67="Electric_green")), $B$6, 1)*$D67*$C67</f>
        <v>0</v>
      </c>
      <c r="Y67" s="154" cm="1">
        <f t="array" ref="Y67">INDEX(LCI!Z$2:Z$73,MATCH($E67&amp;$F67,LCI!$B$2:$B$73&amp;LCI!$D$2:$D$73,0))*IF(AND($E67="Truck", OR($F67="Electric", $F67="Electric_green")), $B$6, 1)*$D67*$C67</f>
        <v>0</v>
      </c>
    </row>
    <row r="68" spans="1:25" x14ac:dyDescent="0.35">
      <c r="A68" s="396"/>
      <c r="B68" s="154" t="str">
        <f>Input!A42</f>
        <v>Virgin crushed coarse aggregate 3 (&gt;2 mm)</v>
      </c>
      <c r="C68" s="154">
        <f>+Input!B42</f>
        <v>0.35299999999999998</v>
      </c>
      <c r="D68" s="154">
        <f>Input!$R42</f>
        <v>0</v>
      </c>
      <c r="E68" s="154" t="str">
        <f>Input!$P42</f>
        <v>No</v>
      </c>
      <c r="F68" s="154" t="str">
        <f>Input!$Q42</f>
        <v>No</v>
      </c>
      <c r="G68" s="154" cm="1">
        <f t="array" ref="G68">INDEX(LCI!H$2:H$73,MATCH($E68&amp;$F68,LCI!$B$2:$B$73&amp;LCI!$D$2:$D$73,0))*IF(AND($E68="Truck", OR($F68="Electric", $F68="Electric_green")), $B$6, 1)*$D68*$C68</f>
        <v>0</v>
      </c>
      <c r="H68" s="154" cm="1">
        <f t="array" ref="H68">INDEX(LCI!I$2:I$73,MATCH($E68&amp;$F68,LCI!$B$2:$B$73&amp;LCI!$D$2:$D$73,0))*IF(AND($E68="Truck", OR($F68="Electric", $F68="Electric_green")), $B$6, 1)*$D68*$C68</f>
        <v>0</v>
      </c>
      <c r="I68" s="154" cm="1">
        <f t="array" ref="I68">INDEX(LCI!J$2:J$73,MATCH($E68&amp;$F68,LCI!$B$2:$B$73&amp;LCI!$D$2:$D$73,0))*IF(AND($E68="Truck", OR($F68="Electric", $F68="Electric_green")), $B$6, 1)*$D68*$C68</f>
        <v>0</v>
      </c>
      <c r="J68" s="154" cm="1">
        <f t="array" ref="J68">INDEX(LCI!K$2:K$73,MATCH($E68&amp;$F68,LCI!$B$2:$B$73&amp;LCI!$D$2:$D$73,0))*IF(AND($E68="Truck", OR($F68="Electric", $F68="Electric_green")), $B$6, 1)*$D68*$C68</f>
        <v>0</v>
      </c>
      <c r="K68" s="154" cm="1">
        <f t="array" ref="K68">INDEX(LCI!L$2:L$73,MATCH($E68&amp;$F68,LCI!$B$2:$B$73&amp;LCI!$D$2:$D$73,0))*IF(AND($E68="Truck", OR($F68="Electric", $F68="Electric_green")), $B$6, 1)*$D68*$C68</f>
        <v>0</v>
      </c>
      <c r="L68" s="154" cm="1">
        <f t="array" ref="L68">INDEX(LCI!M$2:M$73,MATCH($E68&amp;$F68,LCI!$B$2:$B$73&amp;LCI!$D$2:$D$73,0))*IF(AND($E68="Truck", OR($F68="Electric", $F68="Electric_green")), $B$6, 1)*$D68*$C68</f>
        <v>0</v>
      </c>
      <c r="M68" s="154" cm="1">
        <f t="array" ref="M68">INDEX(LCI!N$2:N$73,MATCH($E68&amp;$F68,LCI!$B$2:$B$73&amp;LCI!$D$2:$D$73,0))*IF(AND($E68="Truck", OR($F68="Electric", $F68="Electric_green")), $B$6, 1)*$D68*$C68</f>
        <v>0</v>
      </c>
      <c r="N68" s="154" cm="1">
        <f t="array" ref="N68">INDEX(LCI!O$2:O$73,MATCH($E68&amp;$F68,LCI!$B$2:$B$73&amp;LCI!$D$2:$D$73,0))*IF(AND($E68="Truck", OR($F68="Electric", $F68="Electric_green")), $B$6, 1)*$D68*$C68</f>
        <v>0</v>
      </c>
      <c r="O68" s="154" cm="1">
        <f t="array" ref="O68">INDEX(LCI!P$2:P$73,MATCH($E68&amp;$F68,LCI!$B$2:$B$73&amp;LCI!$D$2:$D$73,0))*IF(AND($E68="Truck", OR($F68="Electric", $F68="Electric_green")), $B$6, 1)*$D68*$C68</f>
        <v>0</v>
      </c>
      <c r="P68" s="154" cm="1">
        <f t="array" ref="P68">INDEX(LCI!Q$2:Q$73,MATCH($E68&amp;$F68,LCI!$B$2:$B$73&amp;LCI!$D$2:$D$73,0))*IF(AND($E68="Truck", OR($F68="Electric", $F68="Electric_green")), $B$6, 1)*$D68*$C68</f>
        <v>0</v>
      </c>
      <c r="Q68" s="154" cm="1">
        <f t="array" ref="Q68">INDEX(LCI!R$2:R$73,MATCH($E68&amp;$F68,LCI!$B$2:$B$73&amp;LCI!$D$2:$D$73,0))*IF(AND($E68="Truck", OR($F68="Electric", $F68="Electric_green")), $B$6, 1)*$D68*$C68</f>
        <v>0</v>
      </c>
      <c r="R68" s="154" cm="1">
        <f t="array" ref="R68">INDEX(LCI!S$2:S$73,MATCH($E68&amp;$F68,LCI!$B$2:$B$73&amp;LCI!$D$2:$D$73,0))*IF(AND($E68="Truck", OR($F68="Electric", $F68="Electric_green")), $B$6, 1)*$D68*$C68</f>
        <v>0</v>
      </c>
      <c r="S68" s="154" cm="1">
        <f t="array" ref="S68">INDEX(LCI!T$2:T$73,MATCH($E68&amp;$F68,LCI!$B$2:$B$73&amp;LCI!$D$2:$D$73,0))*IF(AND($E68="Truck", OR($F68="Electric", $F68="Electric_green")), $B$6, 1)*$D68*$C68</f>
        <v>0</v>
      </c>
      <c r="T68" s="154" cm="1">
        <f t="array" ref="T68">INDEX(LCI!U$2:U$73,MATCH($E68&amp;$F68,LCI!$B$2:$B$73&amp;LCI!$D$2:$D$73,0))*IF(AND($E68="Truck", OR($F68="Electric", $F68="Electric_green")), $B$6, 1)*$D68*$C68</f>
        <v>0</v>
      </c>
      <c r="U68" s="154" cm="1">
        <f t="array" ref="U68">INDEX(LCI!V$2:V$73,MATCH($E68&amp;$F68,LCI!$B$2:$B$73&amp;LCI!$D$2:$D$73,0))*IF(AND($E68="Truck", OR($F68="Electric", $F68="Electric_green")), $B$6, 1)*$D68*$C68</f>
        <v>0</v>
      </c>
      <c r="V68" s="154" cm="1">
        <f t="array" ref="V68">INDEX(LCI!W$2:W$73,MATCH($E68&amp;$F68,LCI!$B$2:$B$73&amp;LCI!$D$2:$D$73,0))*IF(AND($E68="Truck", OR($F68="Electric", $F68="Electric_green")), $B$6, 1)*$D68*$C68</f>
        <v>0</v>
      </c>
      <c r="W68" s="154" cm="1">
        <f t="array" ref="W68">INDEX(LCI!X$2:X$73,MATCH($E68&amp;$F68,LCI!$B$2:$B$73&amp;LCI!$D$2:$D$73,0))*IF(AND($E68="Truck", OR($F68="Electric", $F68="Electric_green")), $B$6, 1)*$D68*$C68</f>
        <v>0</v>
      </c>
      <c r="X68" s="154" cm="1">
        <f t="array" ref="X68">INDEX(LCI!Y$2:Y$73,MATCH($E68&amp;$F68,LCI!$B$2:$B$73&amp;LCI!$D$2:$D$73,0))*IF(AND($E68="Truck", OR($F68="Electric", $F68="Electric_green")), $B$6, 1)*$D68*$C68</f>
        <v>0</v>
      </c>
      <c r="Y68" s="154" cm="1">
        <f t="array" ref="Y68">INDEX(LCI!Z$2:Z$73,MATCH($E68&amp;$F68,LCI!$B$2:$B$73&amp;LCI!$D$2:$D$73,0))*IF(AND($E68="Truck", OR($F68="Electric", $F68="Electric_green")), $B$6, 1)*$D68*$C68</f>
        <v>0</v>
      </c>
    </row>
    <row r="69" spans="1:25" x14ac:dyDescent="0.35">
      <c r="A69" s="396"/>
      <c r="B69" s="154" t="str">
        <f>Input!A43</f>
        <v>Virgin crushed fine aggregate 1 (≤2 mm)</v>
      </c>
      <c r="C69" s="154">
        <f>+Input!B43</f>
        <v>0</v>
      </c>
      <c r="D69" s="154">
        <f>Input!$R43</f>
        <v>0</v>
      </c>
      <c r="E69" s="154" t="str">
        <f>Input!$P43</f>
        <v>No</v>
      </c>
      <c r="F69" s="154" t="str">
        <f>Input!$Q43</f>
        <v>No</v>
      </c>
      <c r="G69" s="154" cm="1">
        <f t="array" ref="G69">INDEX(LCI!H$2:H$73,MATCH($E69&amp;$F69,LCI!$B$2:$B$73&amp;LCI!$D$2:$D$73,0))*IF(AND($E69="Truck", OR($F69="Electric", $F69="Electric_green")), $B$6, 1)*$D69*$C69</f>
        <v>0</v>
      </c>
      <c r="H69" s="154" cm="1">
        <f t="array" ref="H69">INDEX(LCI!I$2:I$73,MATCH($E69&amp;$F69,LCI!$B$2:$B$73&amp;LCI!$D$2:$D$73,0))*IF(AND($E69="Truck", OR($F69="Electric", $F69="Electric_green")), $B$6, 1)*$D69*$C69</f>
        <v>0</v>
      </c>
      <c r="I69" s="154" cm="1">
        <f t="array" ref="I69">INDEX(LCI!J$2:J$73,MATCH($E69&amp;$F69,LCI!$B$2:$B$73&amp;LCI!$D$2:$D$73,0))*IF(AND($E69="Truck", OR($F69="Electric", $F69="Electric_green")), $B$6, 1)*$D69*$C69</f>
        <v>0</v>
      </c>
      <c r="J69" s="154" cm="1">
        <f t="array" ref="J69">INDEX(LCI!K$2:K$73,MATCH($E69&amp;$F69,LCI!$B$2:$B$73&amp;LCI!$D$2:$D$73,0))*IF(AND($E69="Truck", OR($F69="Electric", $F69="Electric_green")), $B$6, 1)*$D69*$C69</f>
        <v>0</v>
      </c>
      <c r="K69" s="154" cm="1">
        <f t="array" ref="K69">INDEX(LCI!L$2:L$73,MATCH($E69&amp;$F69,LCI!$B$2:$B$73&amp;LCI!$D$2:$D$73,0))*IF(AND($E69="Truck", OR($F69="Electric", $F69="Electric_green")), $B$6, 1)*$D69*$C69</f>
        <v>0</v>
      </c>
      <c r="L69" s="154" cm="1">
        <f t="array" ref="L69">INDEX(LCI!M$2:M$73,MATCH($E69&amp;$F69,LCI!$B$2:$B$73&amp;LCI!$D$2:$D$73,0))*IF(AND($E69="Truck", OR($F69="Electric", $F69="Electric_green")), $B$6, 1)*$D69*$C69</f>
        <v>0</v>
      </c>
      <c r="M69" s="154" cm="1">
        <f t="array" ref="M69">INDEX(LCI!N$2:N$73,MATCH($E69&amp;$F69,LCI!$B$2:$B$73&amp;LCI!$D$2:$D$73,0))*IF(AND($E69="Truck", OR($F69="Electric", $F69="Electric_green")), $B$6, 1)*$D69*$C69</f>
        <v>0</v>
      </c>
      <c r="N69" s="154" cm="1">
        <f t="array" ref="N69">INDEX(LCI!O$2:O$73,MATCH($E69&amp;$F69,LCI!$B$2:$B$73&amp;LCI!$D$2:$D$73,0))*IF(AND($E69="Truck", OR($F69="Electric", $F69="Electric_green")), $B$6, 1)*$D69*$C69</f>
        <v>0</v>
      </c>
      <c r="O69" s="154" cm="1">
        <f t="array" ref="O69">INDEX(LCI!P$2:P$73,MATCH($E69&amp;$F69,LCI!$B$2:$B$73&amp;LCI!$D$2:$D$73,0))*IF(AND($E69="Truck", OR($F69="Electric", $F69="Electric_green")), $B$6, 1)*$D69*$C69</f>
        <v>0</v>
      </c>
      <c r="P69" s="154" cm="1">
        <f t="array" ref="P69">INDEX(LCI!Q$2:Q$73,MATCH($E69&amp;$F69,LCI!$B$2:$B$73&amp;LCI!$D$2:$D$73,0))*IF(AND($E69="Truck", OR($F69="Electric", $F69="Electric_green")), $B$6, 1)*$D69*$C69</f>
        <v>0</v>
      </c>
      <c r="Q69" s="154" cm="1">
        <f t="array" ref="Q69">INDEX(LCI!R$2:R$73,MATCH($E69&amp;$F69,LCI!$B$2:$B$73&amp;LCI!$D$2:$D$73,0))*IF(AND($E69="Truck", OR($F69="Electric", $F69="Electric_green")), $B$6, 1)*$D69*$C69</f>
        <v>0</v>
      </c>
      <c r="R69" s="154" cm="1">
        <f t="array" ref="R69">INDEX(LCI!S$2:S$73,MATCH($E69&amp;$F69,LCI!$B$2:$B$73&amp;LCI!$D$2:$D$73,0))*IF(AND($E69="Truck", OR($F69="Electric", $F69="Electric_green")), $B$6, 1)*$D69*$C69</f>
        <v>0</v>
      </c>
      <c r="S69" s="154" cm="1">
        <f t="array" ref="S69">INDEX(LCI!T$2:T$73,MATCH($E69&amp;$F69,LCI!$B$2:$B$73&amp;LCI!$D$2:$D$73,0))*IF(AND($E69="Truck", OR($F69="Electric", $F69="Electric_green")), $B$6, 1)*$D69*$C69</f>
        <v>0</v>
      </c>
      <c r="T69" s="154" cm="1">
        <f t="array" ref="T69">INDEX(LCI!U$2:U$73,MATCH($E69&amp;$F69,LCI!$B$2:$B$73&amp;LCI!$D$2:$D$73,0))*IF(AND($E69="Truck", OR($F69="Electric", $F69="Electric_green")), $B$6, 1)*$D69*$C69</f>
        <v>0</v>
      </c>
      <c r="U69" s="154" cm="1">
        <f t="array" ref="U69">INDEX(LCI!V$2:V$73,MATCH($E69&amp;$F69,LCI!$B$2:$B$73&amp;LCI!$D$2:$D$73,0))*IF(AND($E69="Truck", OR($F69="Electric", $F69="Electric_green")), $B$6, 1)*$D69*$C69</f>
        <v>0</v>
      </c>
      <c r="V69" s="154" cm="1">
        <f t="array" ref="V69">INDEX(LCI!W$2:W$73,MATCH($E69&amp;$F69,LCI!$B$2:$B$73&amp;LCI!$D$2:$D$73,0))*IF(AND($E69="Truck", OR($F69="Electric", $F69="Electric_green")), $B$6, 1)*$D69*$C69</f>
        <v>0</v>
      </c>
      <c r="W69" s="154" cm="1">
        <f t="array" ref="W69">INDEX(LCI!X$2:X$73,MATCH($E69&amp;$F69,LCI!$B$2:$B$73&amp;LCI!$D$2:$D$73,0))*IF(AND($E69="Truck", OR($F69="Electric", $F69="Electric_green")), $B$6, 1)*$D69*$C69</f>
        <v>0</v>
      </c>
      <c r="X69" s="154" cm="1">
        <f t="array" ref="X69">INDEX(LCI!Y$2:Y$73,MATCH($E69&amp;$F69,LCI!$B$2:$B$73&amp;LCI!$D$2:$D$73,0))*IF(AND($E69="Truck", OR($F69="Electric", $F69="Electric_green")), $B$6, 1)*$D69*$C69</f>
        <v>0</v>
      </c>
      <c r="Y69" s="154" cm="1">
        <f t="array" ref="Y69">INDEX(LCI!Z$2:Z$73,MATCH($E69&amp;$F69,LCI!$B$2:$B$73&amp;LCI!$D$2:$D$73,0))*IF(AND($E69="Truck", OR($F69="Electric", $F69="Electric_green")), $B$6, 1)*$D69*$C69</f>
        <v>0</v>
      </c>
    </row>
    <row r="70" spans="1:25" x14ac:dyDescent="0.35">
      <c r="A70" s="396"/>
      <c r="B70" s="154" t="str">
        <f>Input!A44</f>
        <v>Virgin crushed fine aggregate 2 (≤2 mm)</v>
      </c>
      <c r="C70" s="154">
        <f>+Input!B44</f>
        <v>0</v>
      </c>
      <c r="D70" s="154">
        <f>Input!$R44</f>
        <v>0</v>
      </c>
      <c r="E70" s="154" t="str">
        <f>Input!$P44</f>
        <v>No</v>
      </c>
      <c r="F70" s="154" t="str">
        <f>Input!$Q44</f>
        <v>No</v>
      </c>
      <c r="G70" s="154" cm="1">
        <f t="array" ref="G70">INDEX(LCI!H$2:H$73,MATCH($E70&amp;$F70,LCI!$B$2:$B$73&amp;LCI!$D$2:$D$73,0))*IF(AND($E70="Truck", OR($F70="Electric", $F70="Electric_green")), $B$6, 1)*$D70*$C70</f>
        <v>0</v>
      </c>
      <c r="H70" s="154" cm="1">
        <f t="array" ref="H70">INDEX(LCI!I$2:I$73,MATCH($E70&amp;$F70,LCI!$B$2:$B$73&amp;LCI!$D$2:$D$73,0))*IF(AND($E70="Truck", OR($F70="Electric", $F70="Electric_green")), $B$6, 1)*$D70*$C70</f>
        <v>0</v>
      </c>
      <c r="I70" s="154" cm="1">
        <f t="array" ref="I70">INDEX(LCI!J$2:J$73,MATCH($E70&amp;$F70,LCI!$B$2:$B$73&amp;LCI!$D$2:$D$73,0))*IF(AND($E70="Truck", OR($F70="Electric", $F70="Electric_green")), $B$6, 1)*$D70*$C70</f>
        <v>0</v>
      </c>
      <c r="J70" s="154" cm="1">
        <f t="array" ref="J70">INDEX(LCI!K$2:K$73,MATCH($E70&amp;$F70,LCI!$B$2:$B$73&amp;LCI!$D$2:$D$73,0))*IF(AND($E70="Truck", OR($F70="Electric", $F70="Electric_green")), $B$6, 1)*$D70*$C70</f>
        <v>0</v>
      </c>
      <c r="K70" s="154" cm="1">
        <f t="array" ref="K70">INDEX(LCI!L$2:L$73,MATCH($E70&amp;$F70,LCI!$B$2:$B$73&amp;LCI!$D$2:$D$73,0))*IF(AND($E70="Truck", OR($F70="Electric", $F70="Electric_green")), $B$6, 1)*$D70*$C70</f>
        <v>0</v>
      </c>
      <c r="L70" s="154" cm="1">
        <f t="array" ref="L70">INDEX(LCI!M$2:M$73,MATCH($E70&amp;$F70,LCI!$B$2:$B$73&amp;LCI!$D$2:$D$73,0))*IF(AND($E70="Truck", OR($F70="Electric", $F70="Electric_green")), $B$6, 1)*$D70*$C70</f>
        <v>0</v>
      </c>
      <c r="M70" s="154" cm="1">
        <f t="array" ref="M70">INDEX(LCI!N$2:N$73,MATCH($E70&amp;$F70,LCI!$B$2:$B$73&amp;LCI!$D$2:$D$73,0))*IF(AND($E70="Truck", OR($F70="Electric", $F70="Electric_green")), $B$6, 1)*$D70*$C70</f>
        <v>0</v>
      </c>
      <c r="N70" s="154" cm="1">
        <f t="array" ref="N70">INDEX(LCI!O$2:O$73,MATCH($E70&amp;$F70,LCI!$B$2:$B$73&amp;LCI!$D$2:$D$73,0))*IF(AND($E70="Truck", OR($F70="Electric", $F70="Electric_green")), $B$6, 1)*$D70*$C70</f>
        <v>0</v>
      </c>
      <c r="O70" s="154" cm="1">
        <f t="array" ref="O70">INDEX(LCI!P$2:P$73,MATCH($E70&amp;$F70,LCI!$B$2:$B$73&amp;LCI!$D$2:$D$73,0))*IF(AND($E70="Truck", OR($F70="Electric", $F70="Electric_green")), $B$6, 1)*$D70*$C70</f>
        <v>0</v>
      </c>
      <c r="P70" s="154" cm="1">
        <f t="array" ref="P70">INDEX(LCI!Q$2:Q$73,MATCH($E70&amp;$F70,LCI!$B$2:$B$73&amp;LCI!$D$2:$D$73,0))*IF(AND($E70="Truck", OR($F70="Electric", $F70="Electric_green")), $B$6, 1)*$D70*$C70</f>
        <v>0</v>
      </c>
      <c r="Q70" s="154" cm="1">
        <f t="array" ref="Q70">INDEX(LCI!R$2:R$73,MATCH($E70&amp;$F70,LCI!$B$2:$B$73&amp;LCI!$D$2:$D$73,0))*IF(AND($E70="Truck", OR($F70="Electric", $F70="Electric_green")), $B$6, 1)*$D70*$C70</f>
        <v>0</v>
      </c>
      <c r="R70" s="154" cm="1">
        <f t="array" ref="R70">INDEX(LCI!S$2:S$73,MATCH($E70&amp;$F70,LCI!$B$2:$B$73&amp;LCI!$D$2:$D$73,0))*IF(AND($E70="Truck", OR($F70="Electric", $F70="Electric_green")), $B$6, 1)*$D70*$C70</f>
        <v>0</v>
      </c>
      <c r="S70" s="154" cm="1">
        <f t="array" ref="S70">INDEX(LCI!T$2:T$73,MATCH($E70&amp;$F70,LCI!$B$2:$B$73&amp;LCI!$D$2:$D$73,0))*IF(AND($E70="Truck", OR($F70="Electric", $F70="Electric_green")), $B$6, 1)*$D70*$C70</f>
        <v>0</v>
      </c>
      <c r="T70" s="154" cm="1">
        <f t="array" ref="T70">INDEX(LCI!U$2:U$73,MATCH($E70&amp;$F70,LCI!$B$2:$B$73&amp;LCI!$D$2:$D$73,0))*IF(AND($E70="Truck", OR($F70="Electric", $F70="Electric_green")), $B$6, 1)*$D70*$C70</f>
        <v>0</v>
      </c>
      <c r="U70" s="154" cm="1">
        <f t="array" ref="U70">INDEX(LCI!V$2:V$73,MATCH($E70&amp;$F70,LCI!$B$2:$B$73&amp;LCI!$D$2:$D$73,0))*IF(AND($E70="Truck", OR($F70="Electric", $F70="Electric_green")), $B$6, 1)*$D70*$C70</f>
        <v>0</v>
      </c>
      <c r="V70" s="154" cm="1">
        <f t="array" ref="V70">INDEX(LCI!W$2:W$73,MATCH($E70&amp;$F70,LCI!$B$2:$B$73&amp;LCI!$D$2:$D$73,0))*IF(AND($E70="Truck", OR($F70="Electric", $F70="Electric_green")), $B$6, 1)*$D70*$C70</f>
        <v>0</v>
      </c>
      <c r="W70" s="154" cm="1">
        <f t="array" ref="W70">INDEX(LCI!X$2:X$73,MATCH($E70&amp;$F70,LCI!$B$2:$B$73&amp;LCI!$D$2:$D$73,0))*IF(AND($E70="Truck", OR($F70="Electric", $F70="Electric_green")), $B$6, 1)*$D70*$C70</f>
        <v>0</v>
      </c>
      <c r="X70" s="154" cm="1">
        <f t="array" ref="X70">INDEX(LCI!Y$2:Y$73,MATCH($E70&amp;$F70,LCI!$B$2:$B$73&amp;LCI!$D$2:$D$73,0))*IF(AND($E70="Truck", OR($F70="Electric", $F70="Electric_green")), $B$6, 1)*$D70*$C70</f>
        <v>0</v>
      </c>
      <c r="Y70" s="154" cm="1">
        <f t="array" ref="Y70">INDEX(LCI!Z$2:Z$73,MATCH($E70&amp;$F70,LCI!$B$2:$B$73&amp;LCI!$D$2:$D$73,0))*IF(AND($E70="Truck", OR($F70="Electric", $F70="Electric_green")), $B$6, 1)*$D70*$C70</f>
        <v>0</v>
      </c>
    </row>
    <row r="71" spans="1:25" x14ac:dyDescent="0.35">
      <c r="A71" s="396"/>
      <c r="B71" s="154" t="str">
        <f>Input!A45</f>
        <v>Virgin crushed fine aggregate 3 (≤2 mm)</v>
      </c>
      <c r="C71" s="154">
        <f>+Input!B45</f>
        <v>0</v>
      </c>
      <c r="D71" s="154">
        <f>Input!$R45</f>
        <v>0</v>
      </c>
      <c r="E71" s="154" t="str">
        <f>Input!$P45</f>
        <v>No</v>
      </c>
      <c r="F71" s="154" t="str">
        <f>Input!$Q45</f>
        <v>No</v>
      </c>
      <c r="G71" s="154" cm="1">
        <f t="array" ref="G71">INDEX(LCI!H$2:H$73,MATCH($E71&amp;$F71,LCI!$B$2:$B$73&amp;LCI!$D$2:$D$73,0))*IF(AND($E71="Truck", OR($F71="Electric", $F71="Electric_green")), $B$6, 1)*$D71*$C71</f>
        <v>0</v>
      </c>
      <c r="H71" s="154" cm="1">
        <f t="array" ref="H71">INDEX(LCI!I$2:I$73,MATCH($E71&amp;$F71,LCI!$B$2:$B$73&amp;LCI!$D$2:$D$73,0))*IF(AND($E71="Truck", OR($F71="Electric", $F71="Electric_green")), $B$6, 1)*$D71*$C71</f>
        <v>0</v>
      </c>
      <c r="I71" s="154" cm="1">
        <f t="array" ref="I71">INDEX(LCI!J$2:J$73,MATCH($E71&amp;$F71,LCI!$B$2:$B$73&amp;LCI!$D$2:$D$73,0))*IF(AND($E71="Truck", OR($F71="Electric", $F71="Electric_green")), $B$6, 1)*$D71*$C71</f>
        <v>0</v>
      </c>
      <c r="J71" s="154" cm="1">
        <f t="array" ref="J71">INDEX(LCI!K$2:K$73,MATCH($E71&amp;$F71,LCI!$B$2:$B$73&amp;LCI!$D$2:$D$73,0))*IF(AND($E71="Truck", OR($F71="Electric", $F71="Electric_green")), $B$6, 1)*$D71*$C71</f>
        <v>0</v>
      </c>
      <c r="K71" s="154" cm="1">
        <f t="array" ref="K71">INDEX(LCI!L$2:L$73,MATCH($E71&amp;$F71,LCI!$B$2:$B$73&amp;LCI!$D$2:$D$73,0))*IF(AND($E71="Truck", OR($F71="Electric", $F71="Electric_green")), $B$6, 1)*$D71*$C71</f>
        <v>0</v>
      </c>
      <c r="L71" s="154" cm="1">
        <f t="array" ref="L71">INDEX(LCI!M$2:M$73,MATCH($E71&amp;$F71,LCI!$B$2:$B$73&amp;LCI!$D$2:$D$73,0))*IF(AND($E71="Truck", OR($F71="Electric", $F71="Electric_green")), $B$6, 1)*$D71*$C71</f>
        <v>0</v>
      </c>
      <c r="M71" s="154" cm="1">
        <f t="array" ref="M71">INDEX(LCI!N$2:N$73,MATCH($E71&amp;$F71,LCI!$B$2:$B$73&amp;LCI!$D$2:$D$73,0))*IF(AND($E71="Truck", OR($F71="Electric", $F71="Electric_green")), $B$6, 1)*$D71*$C71</f>
        <v>0</v>
      </c>
      <c r="N71" s="154" cm="1">
        <f t="array" ref="N71">INDEX(LCI!O$2:O$73,MATCH($E71&amp;$F71,LCI!$B$2:$B$73&amp;LCI!$D$2:$D$73,0))*IF(AND($E71="Truck", OR($F71="Electric", $F71="Electric_green")), $B$6, 1)*$D71*$C71</f>
        <v>0</v>
      </c>
      <c r="O71" s="154" cm="1">
        <f t="array" ref="O71">INDEX(LCI!P$2:P$73,MATCH($E71&amp;$F71,LCI!$B$2:$B$73&amp;LCI!$D$2:$D$73,0))*IF(AND($E71="Truck", OR($F71="Electric", $F71="Electric_green")), $B$6, 1)*$D71*$C71</f>
        <v>0</v>
      </c>
      <c r="P71" s="154" cm="1">
        <f t="array" ref="P71">INDEX(LCI!Q$2:Q$73,MATCH($E71&amp;$F71,LCI!$B$2:$B$73&amp;LCI!$D$2:$D$73,0))*IF(AND($E71="Truck", OR($F71="Electric", $F71="Electric_green")), $B$6, 1)*$D71*$C71</f>
        <v>0</v>
      </c>
      <c r="Q71" s="154" cm="1">
        <f t="array" ref="Q71">INDEX(LCI!R$2:R$73,MATCH($E71&amp;$F71,LCI!$B$2:$B$73&amp;LCI!$D$2:$D$73,0))*IF(AND($E71="Truck", OR($F71="Electric", $F71="Electric_green")), $B$6, 1)*$D71*$C71</f>
        <v>0</v>
      </c>
      <c r="R71" s="154" cm="1">
        <f t="array" ref="R71">INDEX(LCI!S$2:S$73,MATCH($E71&amp;$F71,LCI!$B$2:$B$73&amp;LCI!$D$2:$D$73,0))*IF(AND($E71="Truck", OR($F71="Electric", $F71="Electric_green")), $B$6, 1)*$D71*$C71</f>
        <v>0</v>
      </c>
      <c r="S71" s="154" cm="1">
        <f t="array" ref="S71">INDEX(LCI!T$2:T$73,MATCH($E71&amp;$F71,LCI!$B$2:$B$73&amp;LCI!$D$2:$D$73,0))*IF(AND($E71="Truck", OR($F71="Electric", $F71="Electric_green")), $B$6, 1)*$D71*$C71</f>
        <v>0</v>
      </c>
      <c r="T71" s="154" cm="1">
        <f t="array" ref="T71">INDEX(LCI!U$2:U$73,MATCH($E71&amp;$F71,LCI!$B$2:$B$73&amp;LCI!$D$2:$D$73,0))*IF(AND($E71="Truck", OR($F71="Electric", $F71="Electric_green")), $B$6, 1)*$D71*$C71</f>
        <v>0</v>
      </c>
      <c r="U71" s="154" cm="1">
        <f t="array" ref="U71">INDEX(LCI!V$2:V$73,MATCH($E71&amp;$F71,LCI!$B$2:$B$73&amp;LCI!$D$2:$D$73,0))*IF(AND($E71="Truck", OR($F71="Electric", $F71="Electric_green")), $B$6, 1)*$D71*$C71</f>
        <v>0</v>
      </c>
      <c r="V71" s="154" cm="1">
        <f t="array" ref="V71">INDEX(LCI!W$2:W$73,MATCH($E71&amp;$F71,LCI!$B$2:$B$73&amp;LCI!$D$2:$D$73,0))*IF(AND($E71="Truck", OR($F71="Electric", $F71="Electric_green")), $B$6, 1)*$D71*$C71</f>
        <v>0</v>
      </c>
      <c r="W71" s="154" cm="1">
        <f t="array" ref="W71">INDEX(LCI!X$2:X$73,MATCH($E71&amp;$F71,LCI!$B$2:$B$73&amp;LCI!$D$2:$D$73,0))*IF(AND($E71="Truck", OR($F71="Electric", $F71="Electric_green")), $B$6, 1)*$D71*$C71</f>
        <v>0</v>
      </c>
      <c r="X71" s="154" cm="1">
        <f t="array" ref="X71">INDEX(LCI!Y$2:Y$73,MATCH($E71&amp;$F71,LCI!$B$2:$B$73&amp;LCI!$D$2:$D$73,0))*IF(AND($E71="Truck", OR($F71="Electric", $F71="Electric_green")), $B$6, 1)*$D71*$C71</f>
        <v>0</v>
      </c>
      <c r="Y71" s="154" cm="1">
        <f t="array" ref="Y71">INDEX(LCI!Z$2:Z$73,MATCH($E71&amp;$F71,LCI!$B$2:$B$73&amp;LCI!$D$2:$D$73,0))*IF(AND($E71="Truck", OR($F71="Electric", $F71="Electric_green")), $B$6, 1)*$D71*$C71</f>
        <v>0</v>
      </c>
    </row>
    <row r="72" spans="1:25" x14ac:dyDescent="0.35">
      <c r="A72" s="396"/>
      <c r="B72" s="154" t="str">
        <f>Input!A46</f>
        <v>Virgin natural fine aggregate 1 (≤2 mm)</v>
      </c>
      <c r="C72" s="154">
        <f>+Input!B46</f>
        <v>0.153</v>
      </c>
      <c r="D72" s="154">
        <f>Input!$R46</f>
        <v>0</v>
      </c>
      <c r="E72" s="154" t="str">
        <f>Input!$P46</f>
        <v>No</v>
      </c>
      <c r="F72" s="154" t="str">
        <f>Input!$Q46</f>
        <v>No</v>
      </c>
      <c r="G72" s="154" cm="1">
        <f t="array" ref="G72">INDEX(LCI!H$2:H$73,MATCH($E72&amp;$F72,LCI!$B$2:$B$73&amp;LCI!$D$2:$D$73,0))*IF(AND($E72="Truck", OR($F72="Electric", $F72="Electric_green")), $B$6, 1)*$D72*$C72</f>
        <v>0</v>
      </c>
      <c r="H72" s="154" cm="1">
        <f t="array" ref="H72">INDEX(LCI!I$2:I$73,MATCH($E72&amp;$F72,LCI!$B$2:$B$73&amp;LCI!$D$2:$D$73,0))*IF(AND($E72="Truck", OR($F72="Electric", $F72="Electric_green")), $B$6, 1)*$D72*$C72</f>
        <v>0</v>
      </c>
      <c r="I72" s="154" cm="1">
        <f t="array" ref="I72">INDEX(LCI!J$2:J$73,MATCH($E72&amp;$F72,LCI!$B$2:$B$73&amp;LCI!$D$2:$D$73,0))*IF(AND($E72="Truck", OR($F72="Electric", $F72="Electric_green")), $B$6, 1)*$D72*$C72</f>
        <v>0</v>
      </c>
      <c r="J72" s="154" cm="1">
        <f t="array" ref="J72">INDEX(LCI!K$2:K$73,MATCH($E72&amp;$F72,LCI!$B$2:$B$73&amp;LCI!$D$2:$D$73,0))*IF(AND($E72="Truck", OR($F72="Electric", $F72="Electric_green")), $B$6, 1)*$D72*$C72</f>
        <v>0</v>
      </c>
      <c r="K72" s="154" cm="1">
        <f t="array" ref="K72">INDEX(LCI!L$2:L$73,MATCH($E72&amp;$F72,LCI!$B$2:$B$73&amp;LCI!$D$2:$D$73,0))*IF(AND($E72="Truck", OR($F72="Electric", $F72="Electric_green")), $B$6, 1)*$D72*$C72</f>
        <v>0</v>
      </c>
      <c r="L72" s="154" cm="1">
        <f t="array" ref="L72">INDEX(LCI!M$2:M$73,MATCH($E72&amp;$F72,LCI!$B$2:$B$73&amp;LCI!$D$2:$D$73,0))*IF(AND($E72="Truck", OR($F72="Electric", $F72="Electric_green")), $B$6, 1)*$D72*$C72</f>
        <v>0</v>
      </c>
      <c r="M72" s="154" cm="1">
        <f t="array" ref="M72">INDEX(LCI!N$2:N$73,MATCH($E72&amp;$F72,LCI!$B$2:$B$73&amp;LCI!$D$2:$D$73,0))*IF(AND($E72="Truck", OR($F72="Electric", $F72="Electric_green")), $B$6, 1)*$D72*$C72</f>
        <v>0</v>
      </c>
      <c r="N72" s="154" cm="1">
        <f t="array" ref="N72">INDEX(LCI!O$2:O$73,MATCH($E72&amp;$F72,LCI!$B$2:$B$73&amp;LCI!$D$2:$D$73,0))*IF(AND($E72="Truck", OR($F72="Electric", $F72="Electric_green")), $B$6, 1)*$D72*$C72</f>
        <v>0</v>
      </c>
      <c r="O72" s="154" cm="1">
        <f t="array" ref="O72">INDEX(LCI!P$2:P$73,MATCH($E72&amp;$F72,LCI!$B$2:$B$73&amp;LCI!$D$2:$D$73,0))*IF(AND($E72="Truck", OR($F72="Electric", $F72="Electric_green")), $B$6, 1)*$D72*$C72</f>
        <v>0</v>
      </c>
      <c r="P72" s="154" cm="1">
        <f t="array" ref="P72">INDEX(LCI!Q$2:Q$73,MATCH($E72&amp;$F72,LCI!$B$2:$B$73&amp;LCI!$D$2:$D$73,0))*IF(AND($E72="Truck", OR($F72="Electric", $F72="Electric_green")), $B$6, 1)*$D72*$C72</f>
        <v>0</v>
      </c>
      <c r="Q72" s="154" cm="1">
        <f t="array" ref="Q72">INDEX(LCI!R$2:R$73,MATCH($E72&amp;$F72,LCI!$B$2:$B$73&amp;LCI!$D$2:$D$73,0))*IF(AND($E72="Truck", OR($F72="Electric", $F72="Electric_green")), $B$6, 1)*$D72*$C72</f>
        <v>0</v>
      </c>
      <c r="R72" s="154" cm="1">
        <f t="array" ref="R72">INDEX(LCI!S$2:S$73,MATCH($E72&amp;$F72,LCI!$B$2:$B$73&amp;LCI!$D$2:$D$73,0))*IF(AND($E72="Truck", OR($F72="Electric", $F72="Electric_green")), $B$6, 1)*$D72*$C72</f>
        <v>0</v>
      </c>
      <c r="S72" s="154" cm="1">
        <f t="array" ref="S72">INDEX(LCI!T$2:T$73,MATCH($E72&amp;$F72,LCI!$B$2:$B$73&amp;LCI!$D$2:$D$73,0))*IF(AND($E72="Truck", OR($F72="Electric", $F72="Electric_green")), $B$6, 1)*$D72*$C72</f>
        <v>0</v>
      </c>
      <c r="T72" s="154" cm="1">
        <f t="array" ref="T72">INDEX(LCI!U$2:U$73,MATCH($E72&amp;$F72,LCI!$B$2:$B$73&amp;LCI!$D$2:$D$73,0))*IF(AND($E72="Truck", OR($F72="Electric", $F72="Electric_green")), $B$6, 1)*$D72*$C72</f>
        <v>0</v>
      </c>
      <c r="U72" s="154" cm="1">
        <f t="array" ref="U72">INDEX(LCI!V$2:V$73,MATCH($E72&amp;$F72,LCI!$B$2:$B$73&amp;LCI!$D$2:$D$73,0))*IF(AND($E72="Truck", OR($F72="Electric", $F72="Electric_green")), $B$6, 1)*$D72*$C72</f>
        <v>0</v>
      </c>
      <c r="V72" s="154" cm="1">
        <f t="array" ref="V72">INDEX(LCI!W$2:W$73,MATCH($E72&amp;$F72,LCI!$B$2:$B$73&amp;LCI!$D$2:$D$73,0))*IF(AND($E72="Truck", OR($F72="Electric", $F72="Electric_green")), $B$6, 1)*$D72*$C72</f>
        <v>0</v>
      </c>
      <c r="W72" s="154" cm="1">
        <f t="array" ref="W72">INDEX(LCI!X$2:X$73,MATCH($E72&amp;$F72,LCI!$B$2:$B$73&amp;LCI!$D$2:$D$73,0))*IF(AND($E72="Truck", OR($F72="Electric", $F72="Electric_green")), $B$6, 1)*$D72*$C72</f>
        <v>0</v>
      </c>
      <c r="X72" s="154" cm="1">
        <f t="array" ref="X72">INDEX(LCI!Y$2:Y$73,MATCH($E72&amp;$F72,LCI!$B$2:$B$73&amp;LCI!$D$2:$D$73,0))*IF(AND($E72="Truck", OR($F72="Electric", $F72="Electric_green")), $B$6, 1)*$D72*$C72</f>
        <v>0</v>
      </c>
      <c r="Y72" s="154" cm="1">
        <f t="array" ref="Y72">INDEX(LCI!Z$2:Z$73,MATCH($E72&amp;$F72,LCI!$B$2:$B$73&amp;LCI!$D$2:$D$73,0))*IF(AND($E72="Truck", OR($F72="Electric", $F72="Electric_green")), $B$6, 1)*$D72*$C72</f>
        <v>0</v>
      </c>
    </row>
    <row r="73" spans="1:25" x14ac:dyDescent="0.35">
      <c r="A73" s="396"/>
      <c r="B73" s="154" t="str">
        <f>Input!A47</f>
        <v>Virgin natural fine aggregate 2 (≤2 mm)</v>
      </c>
      <c r="C73" s="154">
        <f>+Input!B47</f>
        <v>0</v>
      </c>
      <c r="D73" s="154">
        <f>Input!$R47</f>
        <v>0</v>
      </c>
      <c r="E73" s="154" t="str">
        <f>Input!$P47</f>
        <v>No</v>
      </c>
      <c r="F73" s="154" t="str">
        <f>Input!$Q47</f>
        <v>No</v>
      </c>
      <c r="G73" s="154" cm="1">
        <f t="array" ref="G73">INDEX(LCI!H$2:H$73,MATCH($E73&amp;$F73,LCI!$B$2:$B$73&amp;LCI!$D$2:$D$73,0))*IF(AND($E73="Truck", OR($F73="Electric", $F73="Electric_green")), $B$6, 1)*$D73*$C73</f>
        <v>0</v>
      </c>
      <c r="H73" s="154" cm="1">
        <f t="array" ref="H73">INDEX(LCI!I$2:I$73,MATCH($E73&amp;$F73,LCI!$B$2:$B$73&amp;LCI!$D$2:$D$73,0))*IF(AND($E73="Truck", OR($F73="Electric", $F73="Electric_green")), $B$6, 1)*$D73*$C73</f>
        <v>0</v>
      </c>
      <c r="I73" s="154" cm="1">
        <f t="array" ref="I73">INDEX(LCI!J$2:J$73,MATCH($E73&amp;$F73,LCI!$B$2:$B$73&amp;LCI!$D$2:$D$73,0))*IF(AND($E73="Truck", OR($F73="Electric", $F73="Electric_green")), $B$6, 1)*$D73*$C73</f>
        <v>0</v>
      </c>
      <c r="J73" s="154" cm="1">
        <f t="array" ref="J73">INDEX(LCI!K$2:K$73,MATCH($E73&amp;$F73,LCI!$B$2:$B$73&amp;LCI!$D$2:$D$73,0))*IF(AND($E73="Truck", OR($F73="Electric", $F73="Electric_green")), $B$6, 1)*$D73*$C73</f>
        <v>0</v>
      </c>
      <c r="K73" s="154" cm="1">
        <f t="array" ref="K73">INDEX(LCI!L$2:L$73,MATCH($E73&amp;$F73,LCI!$B$2:$B$73&amp;LCI!$D$2:$D$73,0))*IF(AND($E73="Truck", OR($F73="Electric", $F73="Electric_green")), $B$6, 1)*$D73*$C73</f>
        <v>0</v>
      </c>
      <c r="L73" s="154" cm="1">
        <f t="array" ref="L73">INDEX(LCI!M$2:M$73,MATCH($E73&amp;$F73,LCI!$B$2:$B$73&amp;LCI!$D$2:$D$73,0))*IF(AND($E73="Truck", OR($F73="Electric", $F73="Electric_green")), $B$6, 1)*$D73*$C73</f>
        <v>0</v>
      </c>
      <c r="M73" s="154" cm="1">
        <f t="array" ref="M73">INDEX(LCI!N$2:N$73,MATCH($E73&amp;$F73,LCI!$B$2:$B$73&amp;LCI!$D$2:$D$73,0))*IF(AND($E73="Truck", OR($F73="Electric", $F73="Electric_green")), $B$6, 1)*$D73*$C73</f>
        <v>0</v>
      </c>
      <c r="N73" s="154" cm="1">
        <f t="array" ref="N73">INDEX(LCI!O$2:O$73,MATCH($E73&amp;$F73,LCI!$B$2:$B$73&amp;LCI!$D$2:$D$73,0))*IF(AND($E73="Truck", OR($F73="Electric", $F73="Electric_green")), $B$6, 1)*$D73*$C73</f>
        <v>0</v>
      </c>
      <c r="O73" s="154" cm="1">
        <f t="array" ref="O73">INDEX(LCI!P$2:P$73,MATCH($E73&amp;$F73,LCI!$B$2:$B$73&amp;LCI!$D$2:$D$73,0))*IF(AND($E73="Truck", OR($F73="Electric", $F73="Electric_green")), $B$6, 1)*$D73*$C73</f>
        <v>0</v>
      </c>
      <c r="P73" s="154" cm="1">
        <f t="array" ref="P73">INDEX(LCI!Q$2:Q$73,MATCH($E73&amp;$F73,LCI!$B$2:$B$73&amp;LCI!$D$2:$D$73,0))*IF(AND($E73="Truck", OR($F73="Electric", $F73="Electric_green")), $B$6, 1)*$D73*$C73</f>
        <v>0</v>
      </c>
      <c r="Q73" s="154" cm="1">
        <f t="array" ref="Q73">INDEX(LCI!R$2:R$73,MATCH($E73&amp;$F73,LCI!$B$2:$B$73&amp;LCI!$D$2:$D$73,0))*IF(AND($E73="Truck", OR($F73="Electric", $F73="Electric_green")), $B$6, 1)*$D73*$C73</f>
        <v>0</v>
      </c>
      <c r="R73" s="154" cm="1">
        <f t="array" ref="R73">INDEX(LCI!S$2:S$73,MATCH($E73&amp;$F73,LCI!$B$2:$B$73&amp;LCI!$D$2:$D$73,0))*IF(AND($E73="Truck", OR($F73="Electric", $F73="Electric_green")), $B$6, 1)*$D73*$C73</f>
        <v>0</v>
      </c>
      <c r="S73" s="154" cm="1">
        <f t="array" ref="S73">INDEX(LCI!T$2:T$73,MATCH($E73&amp;$F73,LCI!$B$2:$B$73&amp;LCI!$D$2:$D$73,0))*IF(AND($E73="Truck", OR($F73="Electric", $F73="Electric_green")), $B$6, 1)*$D73*$C73</f>
        <v>0</v>
      </c>
      <c r="T73" s="154" cm="1">
        <f t="array" ref="T73">INDEX(LCI!U$2:U$73,MATCH($E73&amp;$F73,LCI!$B$2:$B$73&amp;LCI!$D$2:$D$73,0))*IF(AND($E73="Truck", OR($F73="Electric", $F73="Electric_green")), $B$6, 1)*$D73*$C73</f>
        <v>0</v>
      </c>
      <c r="U73" s="154" cm="1">
        <f t="array" ref="U73">INDEX(LCI!V$2:V$73,MATCH($E73&amp;$F73,LCI!$B$2:$B$73&amp;LCI!$D$2:$D$73,0))*IF(AND($E73="Truck", OR($F73="Electric", $F73="Electric_green")), $B$6, 1)*$D73*$C73</f>
        <v>0</v>
      </c>
      <c r="V73" s="154" cm="1">
        <f t="array" ref="V73">INDEX(LCI!W$2:W$73,MATCH($E73&amp;$F73,LCI!$B$2:$B$73&amp;LCI!$D$2:$D$73,0))*IF(AND($E73="Truck", OR($F73="Electric", $F73="Electric_green")), $B$6, 1)*$D73*$C73</f>
        <v>0</v>
      </c>
      <c r="W73" s="154" cm="1">
        <f t="array" ref="W73">INDEX(LCI!X$2:X$73,MATCH($E73&amp;$F73,LCI!$B$2:$B$73&amp;LCI!$D$2:$D$73,0))*IF(AND($E73="Truck", OR($F73="Electric", $F73="Electric_green")), $B$6, 1)*$D73*$C73</f>
        <v>0</v>
      </c>
      <c r="X73" s="154" cm="1">
        <f t="array" ref="X73">INDEX(LCI!Y$2:Y$73,MATCH($E73&amp;$F73,LCI!$B$2:$B$73&amp;LCI!$D$2:$D$73,0))*IF(AND($E73="Truck", OR($F73="Electric", $F73="Electric_green")), $B$6, 1)*$D73*$C73</f>
        <v>0</v>
      </c>
      <c r="Y73" s="154" cm="1">
        <f t="array" ref="Y73">INDEX(LCI!Z$2:Z$73,MATCH($E73&amp;$F73,LCI!$B$2:$B$73&amp;LCI!$D$2:$D$73,0))*IF(AND($E73="Truck", OR($F73="Electric", $F73="Electric_green")), $B$6, 1)*$D73*$C73</f>
        <v>0</v>
      </c>
    </row>
    <row r="74" spans="1:25" x14ac:dyDescent="0.35">
      <c r="A74" s="397"/>
      <c r="B74" s="154" t="str">
        <f>Input!A48</f>
        <v>Virgin natural fine aggregate 3 (≤2 mm)</v>
      </c>
      <c r="C74" s="154">
        <f>+Input!B48</f>
        <v>0</v>
      </c>
      <c r="D74" s="154">
        <f>Input!$R48</f>
        <v>0</v>
      </c>
      <c r="E74" s="154" t="str">
        <f>Input!$P48</f>
        <v>No</v>
      </c>
      <c r="F74" s="154" t="str">
        <f>Input!$Q48</f>
        <v>No</v>
      </c>
      <c r="G74" s="154" cm="1">
        <f t="array" ref="G74">INDEX(LCI!H$2:H$73,MATCH($E74&amp;$F74,LCI!$B$2:$B$73&amp;LCI!$D$2:$D$73,0))*IF(AND($E74="Truck", OR($F74="Electric", $F74="Electric_green")), $B$6, 1)*$D74*$C74</f>
        <v>0</v>
      </c>
      <c r="H74" s="154" cm="1">
        <f t="array" ref="H74">INDEX(LCI!I$2:I$73,MATCH($E74&amp;$F74,LCI!$B$2:$B$73&amp;LCI!$D$2:$D$73,0))*IF(AND($E74="Truck", OR($F74="Electric", $F74="Electric_green")), $B$6, 1)*$D74*$C74</f>
        <v>0</v>
      </c>
      <c r="I74" s="154" cm="1">
        <f t="array" ref="I74">INDEX(LCI!J$2:J$73,MATCH($E74&amp;$F74,LCI!$B$2:$B$73&amp;LCI!$D$2:$D$73,0))*IF(AND($E74="Truck", OR($F74="Electric", $F74="Electric_green")), $B$6, 1)*$D74*$C74</f>
        <v>0</v>
      </c>
      <c r="J74" s="154" cm="1">
        <f t="array" ref="J74">INDEX(LCI!K$2:K$73,MATCH($E74&amp;$F74,LCI!$B$2:$B$73&amp;LCI!$D$2:$D$73,0))*IF(AND($E74="Truck", OR($F74="Electric", $F74="Electric_green")), $B$6, 1)*$D74*$C74</f>
        <v>0</v>
      </c>
      <c r="K74" s="154" cm="1">
        <f t="array" ref="K74">INDEX(LCI!L$2:L$73,MATCH($E74&amp;$F74,LCI!$B$2:$B$73&amp;LCI!$D$2:$D$73,0))*IF(AND($E74="Truck", OR($F74="Electric", $F74="Electric_green")), $B$6, 1)*$D74*$C74</f>
        <v>0</v>
      </c>
      <c r="L74" s="154" cm="1">
        <f t="array" ref="L74">INDEX(LCI!M$2:M$73,MATCH($E74&amp;$F74,LCI!$B$2:$B$73&amp;LCI!$D$2:$D$73,0))*IF(AND($E74="Truck", OR($F74="Electric", $F74="Electric_green")), $B$6, 1)*$D74*$C74</f>
        <v>0</v>
      </c>
      <c r="M74" s="154" cm="1">
        <f t="array" ref="M74">INDEX(LCI!N$2:N$73,MATCH($E74&amp;$F74,LCI!$B$2:$B$73&amp;LCI!$D$2:$D$73,0))*IF(AND($E74="Truck", OR($F74="Electric", $F74="Electric_green")), $B$6, 1)*$D74*$C74</f>
        <v>0</v>
      </c>
      <c r="N74" s="154" cm="1">
        <f t="array" ref="N74">INDEX(LCI!O$2:O$73,MATCH($E74&amp;$F74,LCI!$B$2:$B$73&amp;LCI!$D$2:$D$73,0))*IF(AND($E74="Truck", OR($F74="Electric", $F74="Electric_green")), $B$6, 1)*$D74*$C74</f>
        <v>0</v>
      </c>
      <c r="O74" s="154" cm="1">
        <f t="array" ref="O74">INDEX(LCI!P$2:P$73,MATCH($E74&amp;$F74,LCI!$B$2:$B$73&amp;LCI!$D$2:$D$73,0))*IF(AND($E74="Truck", OR($F74="Electric", $F74="Electric_green")), $B$6, 1)*$D74*$C74</f>
        <v>0</v>
      </c>
      <c r="P74" s="154" cm="1">
        <f t="array" ref="P74">INDEX(LCI!Q$2:Q$73,MATCH($E74&amp;$F74,LCI!$B$2:$B$73&amp;LCI!$D$2:$D$73,0))*IF(AND($E74="Truck", OR($F74="Electric", $F74="Electric_green")), $B$6, 1)*$D74*$C74</f>
        <v>0</v>
      </c>
      <c r="Q74" s="154" cm="1">
        <f t="array" ref="Q74">INDEX(LCI!R$2:R$73,MATCH($E74&amp;$F74,LCI!$B$2:$B$73&amp;LCI!$D$2:$D$73,0))*IF(AND($E74="Truck", OR($F74="Electric", $F74="Electric_green")), $B$6, 1)*$D74*$C74</f>
        <v>0</v>
      </c>
      <c r="R74" s="154" cm="1">
        <f t="array" ref="R74">INDEX(LCI!S$2:S$73,MATCH($E74&amp;$F74,LCI!$B$2:$B$73&amp;LCI!$D$2:$D$73,0))*IF(AND($E74="Truck", OR($F74="Electric", $F74="Electric_green")), $B$6, 1)*$D74*$C74</f>
        <v>0</v>
      </c>
      <c r="S74" s="154" cm="1">
        <f t="array" ref="S74">INDEX(LCI!T$2:T$73,MATCH($E74&amp;$F74,LCI!$B$2:$B$73&amp;LCI!$D$2:$D$73,0))*IF(AND($E74="Truck", OR($F74="Electric", $F74="Electric_green")), $B$6, 1)*$D74*$C74</f>
        <v>0</v>
      </c>
      <c r="T74" s="154" cm="1">
        <f t="array" ref="T74">INDEX(LCI!U$2:U$73,MATCH($E74&amp;$F74,LCI!$B$2:$B$73&amp;LCI!$D$2:$D$73,0))*IF(AND($E74="Truck", OR($F74="Electric", $F74="Electric_green")), $B$6, 1)*$D74*$C74</f>
        <v>0</v>
      </c>
      <c r="U74" s="154" cm="1">
        <f t="array" ref="U74">INDEX(LCI!V$2:V$73,MATCH($E74&amp;$F74,LCI!$B$2:$B$73&amp;LCI!$D$2:$D$73,0))*IF(AND($E74="Truck", OR($F74="Electric", $F74="Electric_green")), $B$6, 1)*$D74*$C74</f>
        <v>0</v>
      </c>
      <c r="V74" s="154" cm="1">
        <f t="array" ref="V74">INDEX(LCI!W$2:W$73,MATCH($E74&amp;$F74,LCI!$B$2:$B$73&amp;LCI!$D$2:$D$73,0))*IF(AND($E74="Truck", OR($F74="Electric", $F74="Electric_green")), $B$6, 1)*$D74*$C74</f>
        <v>0</v>
      </c>
      <c r="W74" s="154" cm="1">
        <f t="array" ref="W74">INDEX(LCI!X$2:X$73,MATCH($E74&amp;$F74,LCI!$B$2:$B$73&amp;LCI!$D$2:$D$73,0))*IF(AND($E74="Truck", OR($F74="Electric", $F74="Electric_green")), $B$6, 1)*$D74*$C74</f>
        <v>0</v>
      </c>
      <c r="X74" s="154" cm="1">
        <f t="array" ref="X74">INDEX(LCI!Y$2:Y$73,MATCH($E74&amp;$F74,LCI!$B$2:$B$73&amp;LCI!$D$2:$D$73,0))*IF(AND($E74="Truck", OR($F74="Electric", $F74="Electric_green")), $B$6, 1)*$D74*$C74</f>
        <v>0</v>
      </c>
      <c r="Y74" s="154" cm="1">
        <f t="array" ref="Y74">INDEX(LCI!Z$2:Z$73,MATCH($E74&amp;$F74,LCI!$B$2:$B$73&amp;LCI!$D$2:$D$73,0))*IF(AND($E74="Truck", OR($F74="Electric", $F74="Electric_green")), $B$6, 1)*$D74*$C74</f>
        <v>0</v>
      </c>
    </row>
    <row r="75" spans="1:25" x14ac:dyDescent="0.35">
      <c r="A75" s="398" t="s">
        <v>212</v>
      </c>
      <c r="B75" s="154" t="str">
        <f>Input!A49</f>
        <v>Filler 1</v>
      </c>
      <c r="C75" s="154">
        <f>+Input!B49</f>
        <v>5.4999999999999997E-3</v>
      </c>
      <c r="D75" s="154">
        <f>Input!$R49</f>
        <v>0</v>
      </c>
      <c r="E75" s="154" t="str">
        <f>Input!$P49</f>
        <v>No</v>
      </c>
      <c r="F75" s="154" t="str">
        <f>Input!$Q49</f>
        <v>No</v>
      </c>
      <c r="G75" s="154" cm="1">
        <f t="array" ref="G75">INDEX(LCI!H$2:H$73,MATCH($E75&amp;$F75,LCI!$B$2:$B$73&amp;LCI!$D$2:$D$73,0))*IF(AND($E75="Truck", OR($F75="Electric", $F75="Electric_green")), $B$6, 1)*$D75*$C75</f>
        <v>0</v>
      </c>
      <c r="H75" s="154" cm="1">
        <f t="array" ref="H75">INDEX(LCI!I$2:I$73,MATCH($E75&amp;$F75,LCI!$B$2:$B$73&amp;LCI!$D$2:$D$73,0))*IF(AND($E75="Truck", OR($F75="Electric", $F75="Electric_green")), $B$6, 1)*$D75*$C75</f>
        <v>0</v>
      </c>
      <c r="I75" s="154" cm="1">
        <f t="array" ref="I75">INDEX(LCI!J$2:J$73,MATCH($E75&amp;$F75,LCI!$B$2:$B$73&amp;LCI!$D$2:$D$73,0))*IF(AND($E75="Truck", OR($F75="Electric", $F75="Electric_green")), $B$6, 1)*$D75*$C75</f>
        <v>0</v>
      </c>
      <c r="J75" s="154" cm="1">
        <f t="array" ref="J75">INDEX(LCI!K$2:K$73,MATCH($E75&amp;$F75,LCI!$B$2:$B$73&amp;LCI!$D$2:$D$73,0))*IF(AND($E75="Truck", OR($F75="Electric", $F75="Electric_green")), $B$6, 1)*$D75*$C75</f>
        <v>0</v>
      </c>
      <c r="K75" s="154" cm="1">
        <f t="array" ref="K75">INDEX(LCI!L$2:L$73,MATCH($E75&amp;$F75,LCI!$B$2:$B$73&amp;LCI!$D$2:$D$73,0))*IF(AND($E75="Truck", OR($F75="Electric", $F75="Electric_green")), $B$6, 1)*$D75*$C75</f>
        <v>0</v>
      </c>
      <c r="L75" s="154" cm="1">
        <f t="array" ref="L75">INDEX(LCI!M$2:M$73,MATCH($E75&amp;$F75,LCI!$B$2:$B$73&amp;LCI!$D$2:$D$73,0))*IF(AND($E75="Truck", OR($F75="Electric", $F75="Electric_green")), $B$6, 1)*$D75*$C75</f>
        <v>0</v>
      </c>
      <c r="M75" s="154" cm="1">
        <f t="array" ref="M75">INDEX(LCI!N$2:N$73,MATCH($E75&amp;$F75,LCI!$B$2:$B$73&amp;LCI!$D$2:$D$73,0))*IF(AND($E75="Truck", OR($F75="Electric", $F75="Electric_green")), $B$6, 1)*$D75*$C75</f>
        <v>0</v>
      </c>
      <c r="N75" s="154" cm="1">
        <f t="array" ref="N75">INDEX(LCI!O$2:O$73,MATCH($E75&amp;$F75,LCI!$B$2:$B$73&amp;LCI!$D$2:$D$73,0))*IF(AND($E75="Truck", OR($F75="Electric", $F75="Electric_green")), $B$6, 1)*$D75*$C75</f>
        <v>0</v>
      </c>
      <c r="O75" s="154" cm="1">
        <f t="array" ref="O75">INDEX(LCI!P$2:P$73,MATCH($E75&amp;$F75,LCI!$B$2:$B$73&amp;LCI!$D$2:$D$73,0))*IF(AND($E75="Truck", OR($F75="Electric", $F75="Electric_green")), $B$6, 1)*$D75*$C75</f>
        <v>0</v>
      </c>
      <c r="P75" s="154" cm="1">
        <f t="array" ref="P75">INDEX(LCI!Q$2:Q$73,MATCH($E75&amp;$F75,LCI!$B$2:$B$73&amp;LCI!$D$2:$D$73,0))*IF(AND($E75="Truck", OR($F75="Electric", $F75="Electric_green")), $B$6, 1)*$D75*$C75</f>
        <v>0</v>
      </c>
      <c r="Q75" s="154" cm="1">
        <f t="array" ref="Q75">INDEX(LCI!R$2:R$73,MATCH($E75&amp;$F75,LCI!$B$2:$B$73&amp;LCI!$D$2:$D$73,0))*IF(AND($E75="Truck", OR($F75="Electric", $F75="Electric_green")), $B$6, 1)*$D75*$C75</f>
        <v>0</v>
      </c>
      <c r="R75" s="154" cm="1">
        <f t="array" ref="R75">INDEX(LCI!S$2:S$73,MATCH($E75&amp;$F75,LCI!$B$2:$B$73&amp;LCI!$D$2:$D$73,0))*IF(AND($E75="Truck", OR($F75="Electric", $F75="Electric_green")), $B$6, 1)*$D75*$C75</f>
        <v>0</v>
      </c>
      <c r="S75" s="154" cm="1">
        <f t="array" ref="S75">INDEX(LCI!T$2:T$73,MATCH($E75&amp;$F75,LCI!$B$2:$B$73&amp;LCI!$D$2:$D$73,0))*IF(AND($E75="Truck", OR($F75="Electric", $F75="Electric_green")), $B$6, 1)*$D75*$C75</f>
        <v>0</v>
      </c>
      <c r="T75" s="154" cm="1">
        <f t="array" ref="T75">INDEX(LCI!U$2:U$73,MATCH($E75&amp;$F75,LCI!$B$2:$B$73&amp;LCI!$D$2:$D$73,0))*IF(AND($E75="Truck", OR($F75="Electric", $F75="Electric_green")), $B$6, 1)*$D75*$C75</f>
        <v>0</v>
      </c>
      <c r="U75" s="154" cm="1">
        <f t="array" ref="U75">INDEX(LCI!V$2:V$73,MATCH($E75&amp;$F75,LCI!$B$2:$B$73&amp;LCI!$D$2:$D$73,0))*IF(AND($E75="Truck", OR($F75="Electric", $F75="Electric_green")), $B$6, 1)*$D75*$C75</f>
        <v>0</v>
      </c>
      <c r="V75" s="154" cm="1">
        <f t="array" ref="V75">INDEX(LCI!W$2:W$73,MATCH($E75&amp;$F75,LCI!$B$2:$B$73&amp;LCI!$D$2:$D$73,0))*IF(AND($E75="Truck", OR($F75="Electric", $F75="Electric_green")), $B$6, 1)*$D75*$C75</f>
        <v>0</v>
      </c>
      <c r="W75" s="154" cm="1">
        <f t="array" ref="W75">INDEX(LCI!X$2:X$73,MATCH($E75&amp;$F75,LCI!$B$2:$B$73&amp;LCI!$D$2:$D$73,0))*IF(AND($E75="Truck", OR($F75="Electric", $F75="Electric_green")), $B$6, 1)*$D75*$C75</f>
        <v>0</v>
      </c>
      <c r="X75" s="154" cm="1">
        <f t="array" ref="X75">INDEX(LCI!Y$2:Y$73,MATCH($E75&amp;$F75,LCI!$B$2:$B$73&amp;LCI!$D$2:$D$73,0))*IF(AND($E75="Truck", OR($F75="Electric", $F75="Electric_green")), $B$6, 1)*$D75*$C75</f>
        <v>0</v>
      </c>
      <c r="Y75" s="154" cm="1">
        <f t="array" ref="Y75">INDEX(LCI!Z$2:Z$73,MATCH($E75&amp;$F75,LCI!$B$2:$B$73&amp;LCI!$D$2:$D$73,0))*IF(AND($E75="Truck", OR($F75="Electric", $F75="Electric_green")), $B$6, 1)*$D75*$C75</f>
        <v>0</v>
      </c>
    </row>
    <row r="76" spans="1:25" ht="14" customHeight="1" x14ac:dyDescent="0.35">
      <c r="A76" s="399"/>
      <c r="B76" s="154" t="str">
        <f>Input!A50</f>
        <v>Filler 2</v>
      </c>
      <c r="C76" s="154">
        <f>+Input!B50</f>
        <v>0.01</v>
      </c>
      <c r="D76" s="154">
        <f>Input!$R50</f>
        <v>0</v>
      </c>
      <c r="E76" s="154" t="str">
        <f>Input!$P50</f>
        <v>No</v>
      </c>
      <c r="F76" s="154" t="str">
        <f>Input!$Q50</f>
        <v>No</v>
      </c>
      <c r="G76" s="154" cm="1">
        <f t="array" ref="G76">INDEX(LCI!H$2:H$73,MATCH($E76&amp;$F76,LCI!$B$2:$B$73&amp;LCI!$D$2:$D$73,0))*IF(AND($E76="Truck", OR($F76="Electric", $F76="Electric_green")), $B$6, 1)*$D76*$C76</f>
        <v>0</v>
      </c>
      <c r="H76" s="154" cm="1">
        <f t="array" ref="H76">INDEX(LCI!I$2:I$73,MATCH($E76&amp;$F76,LCI!$B$2:$B$73&amp;LCI!$D$2:$D$73,0))*IF(AND($E76="Truck", OR($F76="Electric", $F76="Electric_green")), $B$6, 1)*$D76*$C76</f>
        <v>0</v>
      </c>
      <c r="I76" s="154" cm="1">
        <f t="array" ref="I76">INDEX(LCI!J$2:J$73,MATCH($E76&amp;$F76,LCI!$B$2:$B$73&amp;LCI!$D$2:$D$73,0))*IF(AND($E76="Truck", OR($F76="Electric", $F76="Electric_green")), $B$6, 1)*$D76*$C76</f>
        <v>0</v>
      </c>
      <c r="J76" s="154" cm="1">
        <f t="array" ref="J76">INDEX(LCI!K$2:K$73,MATCH($E76&amp;$F76,LCI!$B$2:$B$73&amp;LCI!$D$2:$D$73,0))*IF(AND($E76="Truck", OR($F76="Electric", $F76="Electric_green")), $B$6, 1)*$D76*$C76</f>
        <v>0</v>
      </c>
      <c r="K76" s="154" cm="1">
        <f t="array" ref="K76">INDEX(LCI!L$2:L$73,MATCH($E76&amp;$F76,LCI!$B$2:$B$73&amp;LCI!$D$2:$D$73,0))*IF(AND($E76="Truck", OR($F76="Electric", $F76="Electric_green")), $B$6, 1)*$D76*$C76</f>
        <v>0</v>
      </c>
      <c r="L76" s="154" cm="1">
        <f t="array" ref="L76">INDEX(LCI!M$2:M$73,MATCH($E76&amp;$F76,LCI!$B$2:$B$73&amp;LCI!$D$2:$D$73,0))*IF(AND($E76="Truck", OR($F76="Electric", $F76="Electric_green")), $B$6, 1)*$D76*$C76</f>
        <v>0</v>
      </c>
      <c r="M76" s="154" cm="1">
        <f t="array" ref="M76">INDEX(LCI!N$2:N$73,MATCH($E76&amp;$F76,LCI!$B$2:$B$73&amp;LCI!$D$2:$D$73,0))*IF(AND($E76="Truck", OR($F76="Electric", $F76="Electric_green")), $B$6, 1)*$D76*$C76</f>
        <v>0</v>
      </c>
      <c r="N76" s="154" cm="1">
        <f t="array" ref="N76">INDEX(LCI!O$2:O$73,MATCH($E76&amp;$F76,LCI!$B$2:$B$73&amp;LCI!$D$2:$D$73,0))*IF(AND($E76="Truck", OR($F76="Electric", $F76="Electric_green")), $B$6, 1)*$D76*$C76</f>
        <v>0</v>
      </c>
      <c r="O76" s="154" cm="1">
        <f t="array" ref="O76">INDEX(LCI!P$2:P$73,MATCH($E76&amp;$F76,LCI!$B$2:$B$73&amp;LCI!$D$2:$D$73,0))*IF(AND($E76="Truck", OR($F76="Electric", $F76="Electric_green")), $B$6, 1)*$D76*$C76</f>
        <v>0</v>
      </c>
      <c r="P76" s="154" cm="1">
        <f t="array" ref="P76">INDEX(LCI!Q$2:Q$73,MATCH($E76&amp;$F76,LCI!$B$2:$B$73&amp;LCI!$D$2:$D$73,0))*IF(AND($E76="Truck", OR($F76="Electric", $F76="Electric_green")), $B$6, 1)*$D76*$C76</f>
        <v>0</v>
      </c>
      <c r="Q76" s="154" cm="1">
        <f t="array" ref="Q76">INDEX(LCI!R$2:R$73,MATCH($E76&amp;$F76,LCI!$B$2:$B$73&amp;LCI!$D$2:$D$73,0))*IF(AND($E76="Truck", OR($F76="Electric", $F76="Electric_green")), $B$6, 1)*$D76*$C76</f>
        <v>0</v>
      </c>
      <c r="R76" s="154" cm="1">
        <f t="array" ref="R76">INDEX(LCI!S$2:S$73,MATCH($E76&amp;$F76,LCI!$B$2:$B$73&amp;LCI!$D$2:$D$73,0))*IF(AND($E76="Truck", OR($F76="Electric", $F76="Electric_green")), $B$6, 1)*$D76*$C76</f>
        <v>0</v>
      </c>
      <c r="S76" s="154" cm="1">
        <f t="array" ref="S76">INDEX(LCI!T$2:T$73,MATCH($E76&amp;$F76,LCI!$B$2:$B$73&amp;LCI!$D$2:$D$73,0))*IF(AND($E76="Truck", OR($F76="Electric", $F76="Electric_green")), $B$6, 1)*$D76*$C76</f>
        <v>0</v>
      </c>
      <c r="T76" s="154" cm="1">
        <f t="array" ref="T76">INDEX(LCI!U$2:U$73,MATCH($E76&amp;$F76,LCI!$B$2:$B$73&amp;LCI!$D$2:$D$73,0))*IF(AND($E76="Truck", OR($F76="Electric", $F76="Electric_green")), $B$6, 1)*$D76*$C76</f>
        <v>0</v>
      </c>
      <c r="U76" s="154" cm="1">
        <f t="array" ref="U76">INDEX(LCI!V$2:V$73,MATCH($E76&amp;$F76,LCI!$B$2:$B$73&amp;LCI!$D$2:$D$73,0))*IF(AND($E76="Truck", OR($F76="Electric", $F76="Electric_green")), $B$6, 1)*$D76*$C76</f>
        <v>0</v>
      </c>
      <c r="V76" s="154" cm="1">
        <f t="array" ref="V76">INDEX(LCI!W$2:W$73,MATCH($E76&amp;$F76,LCI!$B$2:$B$73&amp;LCI!$D$2:$D$73,0))*IF(AND($E76="Truck", OR($F76="Electric", $F76="Electric_green")), $B$6, 1)*$D76*$C76</f>
        <v>0</v>
      </c>
      <c r="W76" s="154" cm="1">
        <f t="array" ref="W76">INDEX(LCI!X$2:X$73,MATCH($E76&amp;$F76,LCI!$B$2:$B$73&amp;LCI!$D$2:$D$73,0))*IF(AND($E76="Truck", OR($F76="Electric", $F76="Electric_green")), $B$6, 1)*$D76*$C76</f>
        <v>0</v>
      </c>
      <c r="X76" s="154" cm="1">
        <f t="array" ref="X76">INDEX(LCI!Y$2:Y$73,MATCH($E76&amp;$F76,LCI!$B$2:$B$73&amp;LCI!$D$2:$D$73,0))*IF(AND($E76="Truck", OR($F76="Electric", $F76="Electric_green")), $B$6, 1)*$D76*$C76</f>
        <v>0</v>
      </c>
      <c r="Y76" s="154" cm="1">
        <f t="array" ref="Y76">INDEX(LCI!Z$2:Z$73,MATCH($E76&amp;$F76,LCI!$B$2:$B$73&amp;LCI!$D$2:$D$73,0))*IF(AND($E76="Truck", OR($F76="Electric", $F76="Electric_green")), $B$6, 1)*$D76*$C76</f>
        <v>0</v>
      </c>
    </row>
    <row r="77" spans="1:25" x14ac:dyDescent="0.35">
      <c r="A77" s="400" t="s">
        <v>298</v>
      </c>
      <c r="B77" s="154" t="str">
        <f>Input!A51</f>
        <v>RAP 1</v>
      </c>
      <c r="C77" s="154"/>
      <c r="D77" s="154"/>
      <c r="E77" s="154"/>
      <c r="F77" s="154"/>
      <c r="G77" s="154"/>
      <c r="H77" s="154"/>
      <c r="I77" s="154"/>
      <c r="J77" s="154"/>
      <c r="K77" s="154"/>
      <c r="L77" s="154"/>
      <c r="M77" s="154"/>
      <c r="N77" s="154"/>
      <c r="O77" s="154"/>
      <c r="P77" s="154"/>
      <c r="Q77" s="154"/>
      <c r="R77" s="154"/>
      <c r="S77" s="154"/>
      <c r="T77" s="154"/>
      <c r="U77" s="154"/>
      <c r="V77" s="154"/>
      <c r="W77" s="154"/>
      <c r="X77" s="154"/>
      <c r="Y77" s="154"/>
    </row>
    <row r="78" spans="1:25" x14ac:dyDescent="0.35">
      <c r="A78" s="400"/>
      <c r="B78" s="154" t="str">
        <f>Input!A52</f>
        <v>RAP 2</v>
      </c>
      <c r="C78" s="154"/>
      <c r="D78" s="154"/>
      <c r="E78" s="154"/>
      <c r="F78" s="154"/>
      <c r="G78" s="154"/>
      <c r="H78" s="154"/>
      <c r="I78" s="154"/>
      <c r="J78" s="154"/>
      <c r="K78" s="154"/>
      <c r="L78" s="154"/>
      <c r="M78" s="154"/>
      <c r="N78" s="154"/>
      <c r="O78" s="154"/>
      <c r="P78" s="154"/>
      <c r="Q78" s="154"/>
      <c r="R78" s="154"/>
      <c r="S78" s="154"/>
      <c r="T78" s="154"/>
      <c r="U78" s="154"/>
      <c r="V78" s="154"/>
      <c r="W78" s="154"/>
      <c r="X78" s="154"/>
      <c r="Y78" s="154"/>
    </row>
    <row r="79" spans="1:25" x14ac:dyDescent="0.35">
      <c r="A79" s="401" t="s">
        <v>299</v>
      </c>
      <c r="B79" s="154" t="str">
        <f>Input!A53</f>
        <v>Other_waste 1</v>
      </c>
      <c r="C79" s="154"/>
      <c r="D79" s="154"/>
      <c r="E79" s="154"/>
      <c r="F79" s="154"/>
      <c r="G79" s="154"/>
      <c r="H79" s="154"/>
      <c r="I79" s="154"/>
      <c r="J79" s="154"/>
      <c r="K79" s="154"/>
      <c r="L79" s="154"/>
      <c r="M79" s="154"/>
      <c r="N79" s="154"/>
      <c r="O79" s="154"/>
      <c r="P79" s="154"/>
      <c r="Q79" s="154"/>
      <c r="R79" s="154"/>
      <c r="S79" s="154"/>
      <c r="T79" s="154"/>
      <c r="U79" s="154"/>
      <c r="V79" s="154"/>
      <c r="W79" s="154"/>
      <c r="X79" s="154"/>
      <c r="Y79" s="154"/>
    </row>
    <row r="80" spans="1:25" x14ac:dyDescent="0.35">
      <c r="A80" s="401"/>
      <c r="B80" s="154" t="str">
        <f>Input!A54</f>
        <v>Other_waste 2</v>
      </c>
      <c r="C80" s="154"/>
      <c r="D80" s="154"/>
      <c r="E80" s="154"/>
      <c r="F80" s="154"/>
      <c r="G80" s="154"/>
      <c r="H80" s="154"/>
      <c r="I80" s="154"/>
      <c r="J80" s="154"/>
      <c r="K80" s="154"/>
      <c r="L80" s="154"/>
      <c r="M80" s="154"/>
      <c r="N80" s="154"/>
      <c r="O80" s="154"/>
      <c r="P80" s="154"/>
      <c r="Q80" s="154"/>
      <c r="R80" s="154"/>
      <c r="S80" s="154"/>
      <c r="T80" s="154"/>
      <c r="U80" s="154"/>
      <c r="V80" s="154"/>
      <c r="W80" s="154"/>
      <c r="X80" s="154"/>
      <c r="Y80" s="154"/>
    </row>
    <row r="81" spans="1:25" x14ac:dyDescent="0.35">
      <c r="A81" s="401" t="s">
        <v>261</v>
      </c>
      <c r="B81" s="154" t="str">
        <f>Input!A55</f>
        <v>Additive 1</v>
      </c>
      <c r="C81" s="154">
        <f>+Input!B55</f>
        <v>3.3E-3</v>
      </c>
      <c r="D81" s="154">
        <f>Input!$R55</f>
        <v>0</v>
      </c>
      <c r="E81" s="154" t="str">
        <f>Input!$P55</f>
        <v>No</v>
      </c>
      <c r="F81" s="154" t="str">
        <f>Input!$Q55</f>
        <v>No</v>
      </c>
      <c r="G81" s="154" cm="1">
        <f t="array" ref="G81">INDEX(LCI!H$2:H$73,MATCH($E81&amp;$F81,LCI!$B$2:$B$73&amp;LCI!$D$2:$D$73,0))*IF(AND($E81="Truck", OR($F81="Electric", $F81="Electric_green")), $B$6, 1)*$D81*$C81</f>
        <v>0</v>
      </c>
      <c r="H81" s="154" cm="1">
        <f t="array" ref="H81">INDEX(LCI!I$2:I$73,MATCH($E81&amp;$F81,LCI!$B$2:$B$73&amp;LCI!$D$2:$D$73,0))*IF(AND($E81="Truck", OR($F81="Electric", $F81="Electric_green")), $B$6, 1)*$D81*$C81</f>
        <v>0</v>
      </c>
      <c r="I81" s="154" cm="1">
        <f t="array" ref="I81">INDEX(LCI!J$2:J$73,MATCH($E81&amp;$F81,LCI!$B$2:$B$73&amp;LCI!$D$2:$D$73,0))*IF(AND($E81="Truck", OR($F81="Electric", $F81="Electric_green")), $B$6, 1)*$D81*$C81</f>
        <v>0</v>
      </c>
      <c r="J81" s="154" cm="1">
        <f t="array" ref="J81">INDEX(LCI!K$2:K$73,MATCH($E81&amp;$F81,LCI!$B$2:$B$73&amp;LCI!$D$2:$D$73,0))*IF(AND($E81="Truck", OR($F81="Electric", $F81="Electric_green")), $B$6, 1)*$D81*$C81</f>
        <v>0</v>
      </c>
      <c r="K81" s="154" cm="1">
        <f t="array" ref="K81">INDEX(LCI!L$2:L$73,MATCH($E81&amp;$F81,LCI!$B$2:$B$73&amp;LCI!$D$2:$D$73,0))*IF(AND($E81="Truck", OR($F81="Electric", $F81="Electric_green")), $B$6, 1)*$D81*$C81</f>
        <v>0</v>
      </c>
      <c r="L81" s="154" cm="1">
        <f t="array" ref="L81">INDEX(LCI!M$2:M$73,MATCH($E81&amp;$F81,LCI!$B$2:$B$73&amp;LCI!$D$2:$D$73,0))*IF(AND($E81="Truck", OR($F81="Electric", $F81="Electric_green")), $B$6, 1)*$D81*$C81</f>
        <v>0</v>
      </c>
      <c r="M81" s="154" cm="1">
        <f t="array" ref="M81">INDEX(LCI!N$2:N$73,MATCH($E81&amp;$F81,LCI!$B$2:$B$73&amp;LCI!$D$2:$D$73,0))*IF(AND($E81="Truck", OR($F81="Electric", $F81="Electric_green")), $B$6, 1)*$D81*$C81</f>
        <v>0</v>
      </c>
      <c r="N81" s="154" cm="1">
        <f t="array" ref="N81">INDEX(LCI!O$2:O$73,MATCH($E81&amp;$F81,LCI!$B$2:$B$73&amp;LCI!$D$2:$D$73,0))*IF(AND($E81="Truck", OR($F81="Electric", $F81="Electric_green")), $B$6, 1)*$D81*$C81</f>
        <v>0</v>
      </c>
      <c r="O81" s="154" cm="1">
        <f t="array" ref="O81">INDEX(LCI!P$2:P$73,MATCH($E81&amp;$F81,LCI!$B$2:$B$73&amp;LCI!$D$2:$D$73,0))*IF(AND($E81="Truck", OR($F81="Electric", $F81="Electric_green")), $B$6, 1)*$D81*$C81</f>
        <v>0</v>
      </c>
      <c r="P81" s="154" cm="1">
        <f t="array" ref="P81">INDEX(LCI!Q$2:Q$73,MATCH($E81&amp;$F81,LCI!$B$2:$B$73&amp;LCI!$D$2:$D$73,0))*IF(AND($E81="Truck", OR($F81="Electric", $F81="Electric_green")), $B$6, 1)*$D81*$C81</f>
        <v>0</v>
      </c>
      <c r="Q81" s="154" cm="1">
        <f t="array" ref="Q81">INDEX(LCI!R$2:R$73,MATCH($E81&amp;$F81,LCI!$B$2:$B$73&amp;LCI!$D$2:$D$73,0))*IF(AND($E81="Truck", OR($F81="Electric", $F81="Electric_green")), $B$6, 1)*$D81*$C81</f>
        <v>0</v>
      </c>
      <c r="R81" s="154" cm="1">
        <f t="array" ref="R81">INDEX(LCI!S$2:S$73,MATCH($E81&amp;$F81,LCI!$B$2:$B$73&amp;LCI!$D$2:$D$73,0))*IF(AND($E81="Truck", OR($F81="Electric", $F81="Electric_green")), $B$6, 1)*$D81*$C81</f>
        <v>0</v>
      </c>
      <c r="S81" s="154" cm="1">
        <f t="array" ref="S81">INDEX(LCI!T$2:T$73,MATCH($E81&amp;$F81,LCI!$B$2:$B$73&amp;LCI!$D$2:$D$73,0))*IF(AND($E81="Truck", OR($F81="Electric", $F81="Electric_green")), $B$6, 1)*$D81*$C81</f>
        <v>0</v>
      </c>
      <c r="T81" s="154" cm="1">
        <f t="array" ref="T81">INDEX(LCI!U$2:U$73,MATCH($E81&amp;$F81,LCI!$B$2:$B$73&amp;LCI!$D$2:$D$73,0))*IF(AND($E81="Truck", OR($F81="Electric", $F81="Electric_green")), $B$6, 1)*$D81*$C81</f>
        <v>0</v>
      </c>
      <c r="U81" s="154" cm="1">
        <f t="array" ref="U81">INDEX(LCI!V$2:V$73,MATCH($E81&amp;$F81,LCI!$B$2:$B$73&amp;LCI!$D$2:$D$73,0))*IF(AND($E81="Truck", OR($F81="Electric", $F81="Electric_green")), $B$6, 1)*$D81*$C81</f>
        <v>0</v>
      </c>
      <c r="V81" s="154" cm="1">
        <f t="array" ref="V81">INDEX(LCI!W$2:W$73,MATCH($E81&amp;$F81,LCI!$B$2:$B$73&amp;LCI!$D$2:$D$73,0))*IF(AND($E81="Truck", OR($F81="Electric", $F81="Electric_green")), $B$6, 1)*$D81*$C81</f>
        <v>0</v>
      </c>
      <c r="W81" s="154" cm="1">
        <f t="array" ref="W81">INDEX(LCI!X$2:X$73,MATCH($E81&amp;$F81,LCI!$B$2:$B$73&amp;LCI!$D$2:$D$73,0))*IF(AND($E81="Truck", OR($F81="Electric", $F81="Electric_green")), $B$6, 1)*$D81*$C81</f>
        <v>0</v>
      </c>
      <c r="X81" s="154" cm="1">
        <f t="array" ref="X81">INDEX(LCI!Y$2:Y$73,MATCH($E81&amp;$F81,LCI!$B$2:$B$73&amp;LCI!$D$2:$D$73,0))*IF(AND($E81="Truck", OR($F81="Electric", $F81="Electric_green")), $B$6, 1)*$D81*$C81</f>
        <v>0</v>
      </c>
      <c r="Y81" s="154" cm="1">
        <f t="array" ref="Y81">INDEX(LCI!Z$2:Z$73,MATCH($E81&amp;$F81,LCI!$B$2:$B$73&amp;LCI!$D$2:$D$73,0))*IF(AND($E81="Truck", OR($F81="Electric", $F81="Electric_green")), $B$6, 1)*$D81*$C81</f>
        <v>0</v>
      </c>
    </row>
    <row r="82" spans="1:25" x14ac:dyDescent="0.35">
      <c r="A82" s="401"/>
      <c r="B82" s="154" t="str">
        <f>Input!A56</f>
        <v>Additive 2</v>
      </c>
      <c r="C82" s="154">
        <f>+Input!B56</f>
        <v>0</v>
      </c>
      <c r="D82" s="154">
        <f>Input!$R56</f>
        <v>0</v>
      </c>
      <c r="E82" s="154" t="str">
        <f>Input!$P56</f>
        <v>No</v>
      </c>
      <c r="F82" s="154" t="str">
        <f>Input!$Q56</f>
        <v>No</v>
      </c>
      <c r="G82" s="154" cm="1">
        <f t="array" ref="G82">INDEX(LCI!H$2:H$73,MATCH($E82&amp;$F82,LCI!$B$2:$B$73&amp;LCI!$D$2:$D$73,0))*IF(AND($E82="Truck", OR($F82="Electric", $F82="Electric_green")), $B$6, 1)*$D82*$C82</f>
        <v>0</v>
      </c>
      <c r="H82" s="154" cm="1">
        <f t="array" ref="H82">INDEX(LCI!I$2:I$73,MATCH($E82&amp;$F82,LCI!$B$2:$B$73&amp;LCI!$D$2:$D$73,0))*IF(AND($E82="Truck", OR($F82="Electric", $F82="Electric_green")), $B$6, 1)*$D82*$C82</f>
        <v>0</v>
      </c>
      <c r="I82" s="154" cm="1">
        <f t="array" ref="I82">INDEX(LCI!J$2:J$73,MATCH($E82&amp;$F82,LCI!$B$2:$B$73&amp;LCI!$D$2:$D$73,0))*IF(AND($E82="Truck", OR($F82="Electric", $F82="Electric_green")), $B$6, 1)*$D82*$C82</f>
        <v>0</v>
      </c>
      <c r="J82" s="154" cm="1">
        <f t="array" ref="J82">INDEX(LCI!K$2:K$73,MATCH($E82&amp;$F82,LCI!$B$2:$B$73&amp;LCI!$D$2:$D$73,0))*IF(AND($E82="Truck", OR($F82="Electric", $F82="Electric_green")), $B$6, 1)*$D82*$C82</f>
        <v>0</v>
      </c>
      <c r="K82" s="154" cm="1">
        <f t="array" ref="K82">INDEX(LCI!L$2:L$73,MATCH($E82&amp;$F82,LCI!$B$2:$B$73&amp;LCI!$D$2:$D$73,0))*IF(AND($E82="Truck", OR($F82="Electric", $F82="Electric_green")), $B$6, 1)*$D82*$C82</f>
        <v>0</v>
      </c>
      <c r="L82" s="154" cm="1">
        <f t="array" ref="L82">INDEX(LCI!M$2:M$73,MATCH($E82&amp;$F82,LCI!$B$2:$B$73&amp;LCI!$D$2:$D$73,0))*IF(AND($E82="Truck", OR($F82="Electric", $F82="Electric_green")), $B$6, 1)*$D82*$C82</f>
        <v>0</v>
      </c>
      <c r="M82" s="154" cm="1">
        <f t="array" ref="M82">INDEX(LCI!N$2:N$73,MATCH($E82&amp;$F82,LCI!$B$2:$B$73&amp;LCI!$D$2:$D$73,0))*IF(AND($E82="Truck", OR($F82="Electric", $F82="Electric_green")), $B$6, 1)*$D82*$C82</f>
        <v>0</v>
      </c>
      <c r="N82" s="154" cm="1">
        <f t="array" ref="N82">INDEX(LCI!O$2:O$73,MATCH($E82&amp;$F82,LCI!$B$2:$B$73&amp;LCI!$D$2:$D$73,0))*IF(AND($E82="Truck", OR($F82="Electric", $F82="Electric_green")), $B$6, 1)*$D82*$C82</f>
        <v>0</v>
      </c>
      <c r="O82" s="154" cm="1">
        <f t="array" ref="O82">INDEX(LCI!P$2:P$73,MATCH($E82&amp;$F82,LCI!$B$2:$B$73&amp;LCI!$D$2:$D$73,0))*IF(AND($E82="Truck", OR($F82="Electric", $F82="Electric_green")), $B$6, 1)*$D82*$C82</f>
        <v>0</v>
      </c>
      <c r="P82" s="154" cm="1">
        <f t="array" ref="P82">INDEX(LCI!Q$2:Q$73,MATCH($E82&amp;$F82,LCI!$B$2:$B$73&amp;LCI!$D$2:$D$73,0))*IF(AND($E82="Truck", OR($F82="Electric", $F82="Electric_green")), $B$6, 1)*$D82*$C82</f>
        <v>0</v>
      </c>
      <c r="Q82" s="154" cm="1">
        <f t="array" ref="Q82">INDEX(LCI!R$2:R$73,MATCH($E82&amp;$F82,LCI!$B$2:$B$73&amp;LCI!$D$2:$D$73,0))*IF(AND($E82="Truck", OR($F82="Electric", $F82="Electric_green")), $B$6, 1)*$D82*$C82</f>
        <v>0</v>
      </c>
      <c r="R82" s="154" cm="1">
        <f t="array" ref="R82">INDEX(LCI!S$2:S$73,MATCH($E82&amp;$F82,LCI!$B$2:$B$73&amp;LCI!$D$2:$D$73,0))*IF(AND($E82="Truck", OR($F82="Electric", $F82="Electric_green")), $B$6, 1)*$D82*$C82</f>
        <v>0</v>
      </c>
      <c r="S82" s="154" cm="1">
        <f t="array" ref="S82">INDEX(LCI!T$2:T$73,MATCH($E82&amp;$F82,LCI!$B$2:$B$73&amp;LCI!$D$2:$D$73,0))*IF(AND($E82="Truck", OR($F82="Electric", $F82="Electric_green")), $B$6, 1)*$D82*$C82</f>
        <v>0</v>
      </c>
      <c r="T82" s="154" cm="1">
        <f t="array" ref="T82">INDEX(LCI!U$2:U$73,MATCH($E82&amp;$F82,LCI!$B$2:$B$73&amp;LCI!$D$2:$D$73,0))*IF(AND($E82="Truck", OR($F82="Electric", $F82="Electric_green")), $B$6, 1)*$D82*$C82</f>
        <v>0</v>
      </c>
      <c r="U82" s="154" cm="1">
        <f t="array" ref="U82">INDEX(LCI!V$2:V$73,MATCH($E82&amp;$F82,LCI!$B$2:$B$73&amp;LCI!$D$2:$D$73,0))*IF(AND($E82="Truck", OR($F82="Electric", $F82="Electric_green")), $B$6, 1)*$D82*$C82</f>
        <v>0</v>
      </c>
      <c r="V82" s="154" cm="1">
        <f t="array" ref="V82">INDEX(LCI!W$2:W$73,MATCH($E82&amp;$F82,LCI!$B$2:$B$73&amp;LCI!$D$2:$D$73,0))*IF(AND($E82="Truck", OR($F82="Electric", $F82="Electric_green")), $B$6, 1)*$D82*$C82</f>
        <v>0</v>
      </c>
      <c r="W82" s="154" cm="1">
        <f t="array" ref="W82">INDEX(LCI!X$2:X$73,MATCH($E82&amp;$F82,LCI!$B$2:$B$73&amp;LCI!$D$2:$D$73,0))*IF(AND($E82="Truck", OR($F82="Electric", $F82="Electric_green")), $B$6, 1)*$D82*$C82</f>
        <v>0</v>
      </c>
      <c r="X82" s="154" cm="1">
        <f t="array" ref="X82">INDEX(LCI!Y$2:Y$73,MATCH($E82&amp;$F82,LCI!$B$2:$B$73&amp;LCI!$D$2:$D$73,0))*IF(AND($E82="Truck", OR($F82="Electric", $F82="Electric_green")), $B$6, 1)*$D82*$C82</f>
        <v>0</v>
      </c>
      <c r="Y82" s="154" cm="1">
        <f t="array" ref="Y82">INDEX(LCI!Z$2:Z$73,MATCH($E82&amp;$F82,LCI!$B$2:$B$73&amp;LCI!$D$2:$D$73,0))*IF(AND($E82="Truck", OR($F82="Electric", $F82="Electric_green")), $B$6, 1)*$D82*$C82</f>
        <v>0</v>
      </c>
    </row>
    <row r="83" spans="1:25" x14ac:dyDescent="0.35">
      <c r="A83" s="401"/>
      <c r="B83" s="154" t="str">
        <f>Input!A57</f>
        <v>Additive 3</v>
      </c>
      <c r="C83" s="154">
        <f>+Input!B57</f>
        <v>0</v>
      </c>
      <c r="D83" s="154">
        <f>Input!$R57</f>
        <v>0</v>
      </c>
      <c r="E83" s="154" t="str">
        <f>Input!$P57</f>
        <v>No</v>
      </c>
      <c r="F83" s="154" t="str">
        <f>Input!$Q57</f>
        <v>No</v>
      </c>
      <c r="G83" s="154" cm="1">
        <f t="array" ref="G83">INDEX(LCI!H$2:H$73,MATCH($E83&amp;$F83,LCI!$B$2:$B$73&amp;LCI!$D$2:$D$73,0))*IF(AND($E83="Truck", OR($F83="Electric", $F83="Electric_green")), $B$6, 1)*$D83*$C83</f>
        <v>0</v>
      </c>
      <c r="H83" s="154" cm="1">
        <f t="array" ref="H83">INDEX(LCI!I$2:I$73,MATCH($E83&amp;$F83,LCI!$B$2:$B$73&amp;LCI!$D$2:$D$73,0))*IF(AND($E83="Truck", OR($F83="Electric", $F83="Electric_green")), $B$6, 1)*$D83*$C83</f>
        <v>0</v>
      </c>
      <c r="I83" s="154" cm="1">
        <f t="array" ref="I83">INDEX(LCI!J$2:J$73,MATCH($E83&amp;$F83,LCI!$B$2:$B$73&amp;LCI!$D$2:$D$73,0))*IF(AND($E83="Truck", OR($F83="Electric", $F83="Electric_green")), $B$6, 1)*$D83*$C83</f>
        <v>0</v>
      </c>
      <c r="J83" s="154" cm="1">
        <f t="array" ref="J83">INDEX(LCI!K$2:K$73,MATCH($E83&amp;$F83,LCI!$B$2:$B$73&amp;LCI!$D$2:$D$73,0))*IF(AND($E83="Truck", OR($F83="Electric", $F83="Electric_green")), $B$6, 1)*$D83*$C83</f>
        <v>0</v>
      </c>
      <c r="K83" s="154" cm="1">
        <f t="array" ref="K83">INDEX(LCI!L$2:L$73,MATCH($E83&amp;$F83,LCI!$B$2:$B$73&amp;LCI!$D$2:$D$73,0))*IF(AND($E83="Truck", OR($F83="Electric", $F83="Electric_green")), $B$6, 1)*$D83*$C83</f>
        <v>0</v>
      </c>
      <c r="L83" s="154" cm="1">
        <f t="array" ref="L83">INDEX(LCI!M$2:M$73,MATCH($E83&amp;$F83,LCI!$B$2:$B$73&amp;LCI!$D$2:$D$73,0))*IF(AND($E83="Truck", OR($F83="Electric", $F83="Electric_green")), $B$6, 1)*$D83*$C83</f>
        <v>0</v>
      </c>
      <c r="M83" s="154" cm="1">
        <f t="array" ref="M83">INDEX(LCI!N$2:N$73,MATCH($E83&amp;$F83,LCI!$B$2:$B$73&amp;LCI!$D$2:$D$73,0))*IF(AND($E83="Truck", OR($F83="Electric", $F83="Electric_green")), $B$6, 1)*$D83*$C83</f>
        <v>0</v>
      </c>
      <c r="N83" s="154" cm="1">
        <f t="array" ref="N83">INDEX(LCI!O$2:O$73,MATCH($E83&amp;$F83,LCI!$B$2:$B$73&amp;LCI!$D$2:$D$73,0))*IF(AND($E83="Truck", OR($F83="Electric", $F83="Electric_green")), $B$6, 1)*$D83*$C83</f>
        <v>0</v>
      </c>
      <c r="O83" s="154" cm="1">
        <f t="array" ref="O83">INDEX(LCI!P$2:P$73,MATCH($E83&amp;$F83,LCI!$B$2:$B$73&amp;LCI!$D$2:$D$73,0))*IF(AND($E83="Truck", OR($F83="Electric", $F83="Electric_green")), $B$6, 1)*$D83*$C83</f>
        <v>0</v>
      </c>
      <c r="P83" s="154" cm="1">
        <f t="array" ref="P83">INDEX(LCI!Q$2:Q$73,MATCH($E83&amp;$F83,LCI!$B$2:$B$73&amp;LCI!$D$2:$D$73,0))*IF(AND($E83="Truck", OR($F83="Electric", $F83="Electric_green")), $B$6, 1)*$D83*$C83</f>
        <v>0</v>
      </c>
      <c r="Q83" s="154" cm="1">
        <f t="array" ref="Q83">INDEX(LCI!R$2:R$73,MATCH($E83&amp;$F83,LCI!$B$2:$B$73&amp;LCI!$D$2:$D$73,0))*IF(AND($E83="Truck", OR($F83="Electric", $F83="Electric_green")), $B$6, 1)*$D83*$C83</f>
        <v>0</v>
      </c>
      <c r="R83" s="154" cm="1">
        <f t="array" ref="R83">INDEX(LCI!S$2:S$73,MATCH($E83&amp;$F83,LCI!$B$2:$B$73&amp;LCI!$D$2:$D$73,0))*IF(AND($E83="Truck", OR($F83="Electric", $F83="Electric_green")), $B$6, 1)*$D83*$C83</f>
        <v>0</v>
      </c>
      <c r="S83" s="154" cm="1">
        <f t="array" ref="S83">INDEX(LCI!T$2:T$73,MATCH($E83&amp;$F83,LCI!$B$2:$B$73&amp;LCI!$D$2:$D$73,0))*IF(AND($E83="Truck", OR($F83="Electric", $F83="Electric_green")), $B$6, 1)*$D83*$C83</f>
        <v>0</v>
      </c>
      <c r="T83" s="154" cm="1">
        <f t="array" ref="T83">INDEX(LCI!U$2:U$73,MATCH($E83&amp;$F83,LCI!$B$2:$B$73&amp;LCI!$D$2:$D$73,0))*IF(AND($E83="Truck", OR($F83="Electric", $F83="Electric_green")), $B$6, 1)*$D83*$C83</f>
        <v>0</v>
      </c>
      <c r="U83" s="154" cm="1">
        <f t="array" ref="U83">INDEX(LCI!V$2:V$73,MATCH($E83&amp;$F83,LCI!$B$2:$B$73&amp;LCI!$D$2:$D$73,0))*IF(AND($E83="Truck", OR($F83="Electric", $F83="Electric_green")), $B$6, 1)*$D83*$C83</f>
        <v>0</v>
      </c>
      <c r="V83" s="154" cm="1">
        <f t="array" ref="V83">INDEX(LCI!W$2:W$73,MATCH($E83&amp;$F83,LCI!$B$2:$B$73&amp;LCI!$D$2:$D$73,0))*IF(AND($E83="Truck", OR($F83="Electric", $F83="Electric_green")), $B$6, 1)*$D83*$C83</f>
        <v>0</v>
      </c>
      <c r="W83" s="154" cm="1">
        <f t="array" ref="W83">INDEX(LCI!X$2:X$73,MATCH($E83&amp;$F83,LCI!$B$2:$B$73&amp;LCI!$D$2:$D$73,0))*IF(AND($E83="Truck", OR($F83="Electric", $F83="Electric_green")), $B$6, 1)*$D83*$C83</f>
        <v>0</v>
      </c>
      <c r="X83" s="154" cm="1">
        <f t="array" ref="X83">INDEX(LCI!Y$2:Y$73,MATCH($E83&amp;$F83,LCI!$B$2:$B$73&amp;LCI!$D$2:$D$73,0))*IF(AND($E83="Truck", OR($F83="Electric", $F83="Electric_green")), $B$6, 1)*$D83*$C83</f>
        <v>0</v>
      </c>
      <c r="Y83" s="154" cm="1">
        <f t="array" ref="Y83">INDEX(LCI!Z$2:Z$73,MATCH($E83&amp;$F83,LCI!$B$2:$B$73&amp;LCI!$D$2:$D$73,0))*IF(AND($E83="Truck", OR($F83="Electric", $F83="Electric_green")), $B$6, 1)*$D83*$C83</f>
        <v>0</v>
      </c>
    </row>
    <row r="84" spans="1:25" x14ac:dyDescent="0.35">
      <c r="A84" s="406" t="s">
        <v>1018</v>
      </c>
      <c r="B84" s="406"/>
      <c r="C84" s="406"/>
      <c r="D84" s="406"/>
      <c r="E84" s="406"/>
      <c r="F84" s="406"/>
      <c r="G84" s="139">
        <f t="shared" ref="G84:Y84" si="2">SUM(G65:G83)</f>
        <v>0</v>
      </c>
      <c r="H84" s="139">
        <f t="shared" si="2"/>
        <v>0</v>
      </c>
      <c r="I84" s="139">
        <f t="shared" si="2"/>
        <v>0</v>
      </c>
      <c r="J84" s="139">
        <f t="shared" si="2"/>
        <v>0</v>
      </c>
      <c r="K84" s="139">
        <f t="shared" si="2"/>
        <v>0</v>
      </c>
      <c r="L84" s="139">
        <f t="shared" si="2"/>
        <v>0</v>
      </c>
      <c r="M84" s="139">
        <f t="shared" si="2"/>
        <v>0</v>
      </c>
      <c r="N84" s="139">
        <f t="shared" si="2"/>
        <v>0</v>
      </c>
      <c r="O84" s="139">
        <f t="shared" si="2"/>
        <v>0</v>
      </c>
      <c r="P84" s="139">
        <f t="shared" si="2"/>
        <v>0</v>
      </c>
      <c r="Q84" s="139">
        <f t="shared" si="2"/>
        <v>0</v>
      </c>
      <c r="R84" s="139">
        <f t="shared" si="2"/>
        <v>0</v>
      </c>
      <c r="S84" s="139">
        <f t="shared" si="2"/>
        <v>0</v>
      </c>
      <c r="T84" s="139">
        <f t="shared" si="2"/>
        <v>0</v>
      </c>
      <c r="U84" s="139">
        <f t="shared" si="2"/>
        <v>0</v>
      </c>
      <c r="V84" s="139">
        <f t="shared" si="2"/>
        <v>0</v>
      </c>
      <c r="W84" s="139">
        <f t="shared" si="2"/>
        <v>0</v>
      </c>
      <c r="X84" s="139">
        <f t="shared" si="2"/>
        <v>0</v>
      </c>
      <c r="Y84" s="139">
        <f t="shared" si="2"/>
        <v>0</v>
      </c>
    </row>
    <row r="85" spans="1:25" x14ac:dyDescent="0.35">
      <c r="A85" s="109"/>
      <c r="B85" s="109"/>
      <c r="C85" s="109"/>
      <c r="D85" s="109"/>
      <c r="E85" s="109"/>
      <c r="F85" s="109"/>
    </row>
    <row r="86" spans="1:25" x14ac:dyDescent="0.35">
      <c r="A86" s="109"/>
      <c r="B86" s="109"/>
      <c r="C86" s="109"/>
      <c r="D86" s="109"/>
      <c r="E86" s="109"/>
      <c r="F86" s="109"/>
    </row>
    <row r="88" spans="1:25" ht="23.5" x14ac:dyDescent="0.55000000000000004">
      <c r="A88" s="100" t="s">
        <v>345</v>
      </c>
      <c r="B88" s="37"/>
      <c r="C88" s="37"/>
      <c r="D88" s="37"/>
      <c r="E88" s="37"/>
      <c r="F88" s="37"/>
      <c r="G88" s="3"/>
      <c r="H88" s="3"/>
      <c r="I88" s="3"/>
      <c r="J88" s="3"/>
      <c r="K88" s="3"/>
      <c r="L88" s="3"/>
      <c r="M88" s="3"/>
      <c r="N88" s="3"/>
      <c r="O88" s="3"/>
      <c r="P88" s="3"/>
      <c r="Q88" s="3"/>
      <c r="R88" s="3"/>
      <c r="S88" s="3"/>
      <c r="T88" s="3"/>
      <c r="U88" s="3"/>
      <c r="V88" s="3"/>
      <c r="W88" s="3"/>
      <c r="X88" s="3"/>
      <c r="Y88" s="3"/>
    </row>
    <row r="90" spans="1:25" ht="100.25" customHeight="1" x14ac:dyDescent="0.35">
      <c r="A90" s="104" t="s">
        <v>276</v>
      </c>
      <c r="B90" s="104" t="s">
        <v>277</v>
      </c>
      <c r="C90" s="103" t="s">
        <v>278</v>
      </c>
      <c r="D90" s="103" t="s">
        <v>56</v>
      </c>
      <c r="E90" s="103" t="s">
        <v>339</v>
      </c>
      <c r="F90" s="103" t="s">
        <v>340</v>
      </c>
      <c r="G90" s="103" t="s">
        <v>279</v>
      </c>
      <c r="H90" s="103" t="s">
        <v>280</v>
      </c>
      <c r="I90" s="103" t="s">
        <v>281</v>
      </c>
      <c r="J90" s="103" t="s">
        <v>282</v>
      </c>
      <c r="K90" s="103" t="s">
        <v>283</v>
      </c>
      <c r="L90" s="103" t="s">
        <v>284</v>
      </c>
      <c r="M90" s="103" t="s">
        <v>285</v>
      </c>
      <c r="N90" s="103" t="s">
        <v>286</v>
      </c>
      <c r="O90" s="103" t="s">
        <v>287</v>
      </c>
      <c r="P90" s="103" t="s">
        <v>288</v>
      </c>
      <c r="Q90" s="103" t="s">
        <v>289</v>
      </c>
      <c r="R90" s="103" t="s">
        <v>290</v>
      </c>
      <c r="S90" s="103" t="s">
        <v>291</v>
      </c>
      <c r="T90" s="103" t="s">
        <v>292</v>
      </c>
      <c r="U90" s="103" t="s">
        <v>293</v>
      </c>
      <c r="V90" s="103" t="s">
        <v>294</v>
      </c>
      <c r="W90" s="103" t="s">
        <v>295</v>
      </c>
      <c r="X90" s="103" t="s">
        <v>296</v>
      </c>
      <c r="Y90" s="103" t="s">
        <v>297</v>
      </c>
    </row>
    <row r="91" spans="1:25" x14ac:dyDescent="0.35">
      <c r="A91" s="6" t="s">
        <v>266</v>
      </c>
      <c r="B91" s="1" t="str">
        <f>Input!A39</f>
        <v>Virgin binder</v>
      </c>
      <c r="C91" s="154">
        <f>+Input!B39</f>
        <v>2.2159999999999999E-2</v>
      </c>
      <c r="D91" s="158">
        <f t="shared" ref="D91:D102" si="3">D15+D40+D65</f>
        <v>262</v>
      </c>
      <c r="E91" s="154" t="s">
        <v>346</v>
      </c>
      <c r="F91" s="154" t="s">
        <v>346</v>
      </c>
      <c r="G91" s="154">
        <f t="shared" ref="G91:Y91" si="4">G15+G40+G65</f>
        <v>1.3743889942399998E-3</v>
      </c>
      <c r="H91" s="154">
        <f t="shared" si="4"/>
        <v>0.92165995176527982</v>
      </c>
      <c r="I91" s="154">
        <f t="shared" si="4"/>
        <v>4.30742946576E-4</v>
      </c>
      <c r="J91" s="154">
        <f t="shared" si="4"/>
        <v>0.92115589920863994</v>
      </c>
      <c r="K91" s="154">
        <f t="shared" si="4"/>
        <v>7.3308448880000007E-5</v>
      </c>
      <c r="L91" s="154">
        <f t="shared" si="4"/>
        <v>0.79160206037808001</v>
      </c>
      <c r="M91" s="154">
        <f t="shared" si="4"/>
        <v>12.4045847292992</v>
      </c>
      <c r="N91" s="154">
        <f t="shared" si="4"/>
        <v>2.1497521924799997E-5</v>
      </c>
      <c r="O91" s="154">
        <f t="shared" si="4"/>
        <v>2.99569215424E-4</v>
      </c>
      <c r="P91" s="154">
        <f t="shared" si="4"/>
        <v>3.2425656785599996E-3</v>
      </c>
      <c r="Q91" s="154">
        <f t="shared" si="4"/>
        <v>8.168755262399998E-11</v>
      </c>
      <c r="R91" s="154">
        <f t="shared" si="4"/>
        <v>6.6465010976000005E-9</v>
      </c>
      <c r="S91" s="154">
        <f t="shared" si="4"/>
        <v>5.6248101315199998E-3</v>
      </c>
      <c r="T91" s="154">
        <f t="shared" si="4"/>
        <v>0.78244359896287996</v>
      </c>
      <c r="U91" s="154">
        <f t="shared" si="4"/>
        <v>1.0168314110399999E-6</v>
      </c>
      <c r="V91" s="154">
        <f t="shared" si="4"/>
        <v>2.0493852534400002E-8</v>
      </c>
      <c r="W91" s="154">
        <f t="shared" si="4"/>
        <v>5.7127756254399995E-8</v>
      </c>
      <c r="X91" s="154">
        <f t="shared" si="4"/>
        <v>2.3961960787199999E-3</v>
      </c>
      <c r="Y91" s="154">
        <f t="shared" si="4"/>
        <v>2.825270403888E-2</v>
      </c>
    </row>
    <row r="92" spans="1:25" ht="14" customHeight="1" x14ac:dyDescent="0.35">
      <c r="A92" s="395" t="s">
        <v>211</v>
      </c>
      <c r="B92" s="1" t="str">
        <f>Input!A40</f>
        <v>Virgin crushed coarse aggregate 1 (&gt;2 mm)</v>
      </c>
      <c r="C92" s="154">
        <f>+Input!B40</f>
        <v>5.0999999999999997E-2</v>
      </c>
      <c r="D92" s="158">
        <f t="shared" si="3"/>
        <v>115</v>
      </c>
      <c r="E92" s="154" t="s">
        <v>346</v>
      </c>
      <c r="F92" s="154" t="s">
        <v>346</v>
      </c>
      <c r="G92" s="154">
        <f t="shared" ref="G92:Y92" si="5">G16+G41+G66</f>
        <v>1.38837453E-3</v>
      </c>
      <c r="H92" s="154">
        <f t="shared" si="5"/>
        <v>0.931038598035</v>
      </c>
      <c r="I92" s="154">
        <f t="shared" si="5"/>
        <v>4.3512610949999998E-4</v>
      </c>
      <c r="J92" s="154">
        <f t="shared" si="5"/>
        <v>0.93052941632999997</v>
      </c>
      <c r="K92" s="154">
        <f t="shared" si="5"/>
        <v>7.4054422499999985E-5</v>
      </c>
      <c r="L92" s="154">
        <f t="shared" si="5"/>
        <v>0.79965726088499989</v>
      </c>
      <c r="M92" s="154">
        <f t="shared" si="5"/>
        <v>12.530811557399998</v>
      </c>
      <c r="N92" s="154">
        <f t="shared" si="5"/>
        <v>2.1716276849999997E-5</v>
      </c>
      <c r="O92" s="154">
        <f t="shared" si="5"/>
        <v>3.02617578E-4</v>
      </c>
      <c r="P92" s="154">
        <f t="shared" si="5"/>
        <v>3.2755614449999997E-3</v>
      </c>
      <c r="Q92" s="154">
        <f t="shared" si="5"/>
        <v>8.2518790499999987E-11</v>
      </c>
      <c r="R92" s="154">
        <f t="shared" si="5"/>
        <v>6.7141346999999997E-9</v>
      </c>
      <c r="S92" s="154">
        <f t="shared" si="5"/>
        <v>5.6820471900000001E-3</v>
      </c>
      <c r="T92" s="154">
        <f t="shared" si="5"/>
        <v>0.79040560460999998</v>
      </c>
      <c r="U92" s="154">
        <f t="shared" si="5"/>
        <v>1.0271785049999999E-6</v>
      </c>
      <c r="V92" s="154">
        <f t="shared" si="5"/>
        <v>2.0702394300000001E-8</v>
      </c>
      <c r="W92" s="154">
        <f t="shared" si="5"/>
        <v>5.7709078049999987E-8</v>
      </c>
      <c r="X92" s="154">
        <f t="shared" si="5"/>
        <v>2.4205793399999995E-3</v>
      </c>
      <c r="Y92" s="154">
        <f t="shared" si="5"/>
        <v>2.8540198485000001E-2</v>
      </c>
    </row>
    <row r="93" spans="1:25" ht="14" customHeight="1" x14ac:dyDescent="0.35">
      <c r="A93" s="396"/>
      <c r="B93" s="1" t="str">
        <f>Input!A41</f>
        <v>Virgin crushed coarse aggregate 2 (&gt;2 mm)</v>
      </c>
      <c r="C93" s="154">
        <f>+Input!B41</f>
        <v>0.10199999999999999</v>
      </c>
      <c r="D93" s="158">
        <f t="shared" si="3"/>
        <v>51</v>
      </c>
      <c r="E93" s="154" t="s">
        <v>346</v>
      </c>
      <c r="F93" s="154" t="s">
        <v>346</v>
      </c>
      <c r="G93" s="154">
        <f t="shared" ref="G93:Y93" si="6">G17+G42+G67</f>
        <v>2.3017804922428001E-3</v>
      </c>
      <c r="H93" s="154">
        <f t="shared" si="6"/>
        <v>0.26236359250816671</v>
      </c>
      <c r="I93" s="154">
        <f t="shared" si="6"/>
        <v>7.2266263553386908E-5</v>
      </c>
      <c r="J93" s="154">
        <f t="shared" si="6"/>
        <v>0.26204799183095967</v>
      </c>
      <c r="K93" s="154">
        <f t="shared" si="6"/>
        <v>2.4333441365364736E-4</v>
      </c>
      <c r="L93" s="154">
        <f t="shared" si="6"/>
        <v>0.26562566705141782</v>
      </c>
      <c r="M93" s="154">
        <f t="shared" si="6"/>
        <v>3.2181158695123191</v>
      </c>
      <c r="N93" s="154">
        <f t="shared" si="6"/>
        <v>2.3657858956379437E-5</v>
      </c>
      <c r="O93" s="154">
        <f t="shared" si="6"/>
        <v>1.0435443557752222E-3</v>
      </c>
      <c r="P93" s="154">
        <f t="shared" si="6"/>
        <v>1.1409946455097584E-2</v>
      </c>
      <c r="Q93" s="154">
        <f t="shared" si="6"/>
        <v>3.5418325976628641E-11</v>
      </c>
      <c r="R93" s="154">
        <f t="shared" si="6"/>
        <v>7.8226390248690636E-10</v>
      </c>
      <c r="S93" s="154">
        <f t="shared" si="6"/>
        <v>8.8028607430854569E-3</v>
      </c>
      <c r="T93" s="154">
        <f t="shared" si="6"/>
        <v>2.1479757364809067</v>
      </c>
      <c r="U93" s="154">
        <f t="shared" si="6"/>
        <v>3.6147503511793655E-7</v>
      </c>
      <c r="V93" s="154">
        <f t="shared" si="6"/>
        <v>4.8574287853847173E-9</v>
      </c>
      <c r="W93" s="154">
        <f t="shared" si="6"/>
        <v>5.539524102189045E-9</v>
      </c>
      <c r="X93" s="154">
        <f t="shared" si="6"/>
        <v>3.1900115945870848E-3</v>
      </c>
      <c r="Y93" s="154">
        <f t="shared" si="6"/>
        <v>2.4880459710116803E-2</v>
      </c>
    </row>
    <row r="94" spans="1:25" ht="14" customHeight="1" x14ac:dyDescent="0.35">
      <c r="A94" s="396"/>
      <c r="B94" s="1" t="str">
        <f>Input!A42</f>
        <v>Virgin crushed coarse aggregate 3 (&gt;2 mm)</v>
      </c>
      <c r="C94" s="154">
        <f>+Input!B42</f>
        <v>0.35299999999999998</v>
      </c>
      <c r="D94" s="158">
        <f t="shared" si="3"/>
        <v>188</v>
      </c>
      <c r="E94" s="154" t="s">
        <v>346</v>
      </c>
      <c r="F94" s="154" t="s">
        <v>346</v>
      </c>
      <c r="G94" s="154">
        <f t="shared" ref="G94:Y94" si="7">G18+G43+G68</f>
        <v>1.5709818807999997E-2</v>
      </c>
      <c r="H94" s="154">
        <f t="shared" si="7"/>
        <v>10.534943822675999</v>
      </c>
      <c r="I94" s="154">
        <f t="shared" si="7"/>
        <v>4.9235650691999994E-3</v>
      </c>
      <c r="J94" s="154">
        <f t="shared" si="7"/>
        <v>10.529182299287999</v>
      </c>
      <c r="K94" s="154">
        <f t="shared" si="7"/>
        <v>8.3794504600000002E-4</v>
      </c>
      <c r="L94" s="154">
        <f t="shared" si="7"/>
        <v>9.0483298314359981</v>
      </c>
      <c r="M94" s="154">
        <f t="shared" si="7"/>
        <v>141.78939099663998</v>
      </c>
      <c r="N94" s="154">
        <f t="shared" si="7"/>
        <v>2.4572531915999999E-4</v>
      </c>
      <c r="O94" s="154">
        <f t="shared" si="7"/>
        <v>3.4241965807999997E-3</v>
      </c>
      <c r="P94" s="154">
        <f t="shared" si="7"/>
        <v>3.7063829451999999E-2</v>
      </c>
      <c r="Q94" s="154">
        <f t="shared" si="7"/>
        <v>9.3372157079999979E-10</v>
      </c>
      <c r="R94" s="154">
        <f t="shared" si="7"/>
        <v>7.5972179920000006E-8</v>
      </c>
      <c r="S94" s="154">
        <f t="shared" si="7"/>
        <v>6.4293841384000003E-2</v>
      </c>
      <c r="T94" s="154">
        <f t="shared" si="7"/>
        <v>8.9436449350959997</v>
      </c>
      <c r="U94" s="154">
        <f t="shared" si="7"/>
        <v>1.1622791868E-5</v>
      </c>
      <c r="V94" s="154">
        <f t="shared" si="7"/>
        <v>2.3425297448E-7</v>
      </c>
      <c r="W94" s="154">
        <f t="shared" si="7"/>
        <v>6.5299322347999993E-7</v>
      </c>
      <c r="X94" s="154">
        <f t="shared" si="7"/>
        <v>2.7389484623999996E-2</v>
      </c>
      <c r="Y94" s="154">
        <f t="shared" si="7"/>
        <v>0.32293976679599995</v>
      </c>
    </row>
    <row r="95" spans="1:25" ht="14" customHeight="1" x14ac:dyDescent="0.35">
      <c r="A95" s="396"/>
      <c r="B95" s="1" t="str">
        <f>Input!A43</f>
        <v>Virgin crushed fine aggregate 1 (≤2 mm)</v>
      </c>
      <c r="C95" s="154">
        <f>+Input!B43</f>
        <v>0</v>
      </c>
      <c r="D95" s="158">
        <f t="shared" si="3"/>
        <v>0</v>
      </c>
      <c r="E95" s="154" t="s">
        <v>346</v>
      </c>
      <c r="F95" s="154" t="s">
        <v>346</v>
      </c>
      <c r="G95" s="154">
        <f t="shared" ref="G95:Y95" si="8">G19+G44+G69</f>
        <v>0</v>
      </c>
      <c r="H95" s="154">
        <f t="shared" si="8"/>
        <v>0</v>
      </c>
      <c r="I95" s="154">
        <f t="shared" si="8"/>
        <v>0</v>
      </c>
      <c r="J95" s="154">
        <f t="shared" si="8"/>
        <v>0</v>
      </c>
      <c r="K95" s="154">
        <f t="shared" si="8"/>
        <v>0</v>
      </c>
      <c r="L95" s="154">
        <f t="shared" si="8"/>
        <v>0</v>
      </c>
      <c r="M95" s="154">
        <f t="shared" si="8"/>
        <v>0</v>
      </c>
      <c r="N95" s="154">
        <f t="shared" si="8"/>
        <v>0</v>
      </c>
      <c r="O95" s="154">
        <f t="shared" si="8"/>
        <v>0</v>
      </c>
      <c r="P95" s="154">
        <f t="shared" si="8"/>
        <v>0</v>
      </c>
      <c r="Q95" s="154">
        <f t="shared" si="8"/>
        <v>0</v>
      </c>
      <c r="R95" s="154">
        <f t="shared" si="8"/>
        <v>0</v>
      </c>
      <c r="S95" s="154">
        <f t="shared" si="8"/>
        <v>0</v>
      </c>
      <c r="T95" s="154">
        <f t="shared" si="8"/>
        <v>0</v>
      </c>
      <c r="U95" s="154">
        <f t="shared" si="8"/>
        <v>0</v>
      </c>
      <c r="V95" s="154">
        <f t="shared" si="8"/>
        <v>0</v>
      </c>
      <c r="W95" s="154">
        <f t="shared" si="8"/>
        <v>0</v>
      </c>
      <c r="X95" s="154">
        <f t="shared" si="8"/>
        <v>0</v>
      </c>
      <c r="Y95" s="154">
        <f t="shared" si="8"/>
        <v>0</v>
      </c>
    </row>
    <row r="96" spans="1:25" ht="14" customHeight="1" x14ac:dyDescent="0.35">
      <c r="A96" s="396"/>
      <c r="B96" s="1" t="str">
        <f>Input!A44</f>
        <v>Virgin crushed fine aggregate 2 (≤2 mm)</v>
      </c>
      <c r="C96" s="154">
        <f>+Input!B44</f>
        <v>0</v>
      </c>
      <c r="D96" s="158">
        <f t="shared" si="3"/>
        <v>0</v>
      </c>
      <c r="E96" s="154" t="s">
        <v>346</v>
      </c>
      <c r="F96" s="154" t="s">
        <v>346</v>
      </c>
      <c r="G96" s="154">
        <f t="shared" ref="G96:Y96" si="9">G20+G45+G70</f>
        <v>0</v>
      </c>
      <c r="H96" s="154">
        <f t="shared" si="9"/>
        <v>0</v>
      </c>
      <c r="I96" s="154">
        <f t="shared" si="9"/>
        <v>0</v>
      </c>
      <c r="J96" s="154">
        <f t="shared" si="9"/>
        <v>0</v>
      </c>
      <c r="K96" s="154">
        <f t="shared" si="9"/>
        <v>0</v>
      </c>
      <c r="L96" s="154">
        <f t="shared" si="9"/>
        <v>0</v>
      </c>
      <c r="M96" s="154">
        <f t="shared" si="9"/>
        <v>0</v>
      </c>
      <c r="N96" s="154">
        <f t="shared" si="9"/>
        <v>0</v>
      </c>
      <c r="O96" s="154">
        <f t="shared" si="9"/>
        <v>0</v>
      </c>
      <c r="P96" s="154">
        <f t="shared" si="9"/>
        <v>0</v>
      </c>
      <c r="Q96" s="154">
        <f t="shared" si="9"/>
        <v>0</v>
      </c>
      <c r="R96" s="154">
        <f t="shared" si="9"/>
        <v>0</v>
      </c>
      <c r="S96" s="154">
        <f t="shared" si="9"/>
        <v>0</v>
      </c>
      <c r="T96" s="154">
        <f t="shared" si="9"/>
        <v>0</v>
      </c>
      <c r="U96" s="154">
        <f t="shared" si="9"/>
        <v>0</v>
      </c>
      <c r="V96" s="154">
        <f t="shared" si="9"/>
        <v>0</v>
      </c>
      <c r="W96" s="154">
        <f t="shared" si="9"/>
        <v>0</v>
      </c>
      <c r="X96" s="154">
        <f t="shared" si="9"/>
        <v>0</v>
      </c>
      <c r="Y96" s="154">
        <f t="shared" si="9"/>
        <v>0</v>
      </c>
    </row>
    <row r="97" spans="1:25" ht="14" customHeight="1" x14ac:dyDescent="0.35">
      <c r="A97" s="396"/>
      <c r="B97" s="1" t="str">
        <f>Input!A45</f>
        <v>Virgin crushed fine aggregate 3 (≤2 mm)</v>
      </c>
      <c r="C97" s="154">
        <f>+Input!B45</f>
        <v>0</v>
      </c>
      <c r="D97" s="158">
        <f t="shared" si="3"/>
        <v>0</v>
      </c>
      <c r="E97" s="154" t="s">
        <v>346</v>
      </c>
      <c r="F97" s="154" t="s">
        <v>346</v>
      </c>
      <c r="G97" s="154">
        <f t="shared" ref="G97:Y97" si="10">G21+G46+G71</f>
        <v>0</v>
      </c>
      <c r="H97" s="154">
        <f t="shared" si="10"/>
        <v>0</v>
      </c>
      <c r="I97" s="154">
        <f t="shared" si="10"/>
        <v>0</v>
      </c>
      <c r="J97" s="154">
        <f t="shared" si="10"/>
        <v>0</v>
      </c>
      <c r="K97" s="154">
        <f t="shared" si="10"/>
        <v>0</v>
      </c>
      <c r="L97" s="154">
        <f t="shared" si="10"/>
        <v>0</v>
      </c>
      <c r="M97" s="154">
        <f t="shared" si="10"/>
        <v>0</v>
      </c>
      <c r="N97" s="154">
        <f t="shared" si="10"/>
        <v>0</v>
      </c>
      <c r="O97" s="154">
        <f t="shared" si="10"/>
        <v>0</v>
      </c>
      <c r="P97" s="154">
        <f t="shared" si="10"/>
        <v>0</v>
      </c>
      <c r="Q97" s="154">
        <f t="shared" si="10"/>
        <v>0</v>
      </c>
      <c r="R97" s="154">
        <f t="shared" si="10"/>
        <v>0</v>
      </c>
      <c r="S97" s="154">
        <f t="shared" si="10"/>
        <v>0</v>
      </c>
      <c r="T97" s="154">
        <f t="shared" si="10"/>
        <v>0</v>
      </c>
      <c r="U97" s="154">
        <f t="shared" si="10"/>
        <v>0</v>
      </c>
      <c r="V97" s="154">
        <f t="shared" si="10"/>
        <v>0</v>
      </c>
      <c r="W97" s="154">
        <f t="shared" si="10"/>
        <v>0</v>
      </c>
      <c r="X97" s="154">
        <f t="shared" si="10"/>
        <v>0</v>
      </c>
      <c r="Y97" s="154">
        <f t="shared" si="10"/>
        <v>0</v>
      </c>
    </row>
    <row r="98" spans="1:25" ht="14" customHeight="1" x14ac:dyDescent="0.35">
      <c r="A98" s="396"/>
      <c r="B98" s="1" t="str">
        <f>Input!A46</f>
        <v>Virgin natural fine aggregate 1 (≤2 mm)</v>
      </c>
      <c r="C98" s="154">
        <f>+Input!B46</f>
        <v>0.153</v>
      </c>
      <c r="D98" s="158">
        <f t="shared" si="3"/>
        <v>44</v>
      </c>
      <c r="E98" s="154" t="s">
        <v>346</v>
      </c>
      <c r="F98" s="154" t="s">
        <v>346</v>
      </c>
      <c r="G98" s="154">
        <f t="shared" ref="G98:Y98" si="11">G22+G47+G72</f>
        <v>2.9787747546671539E-3</v>
      </c>
      <c r="H98" s="154">
        <f t="shared" si="11"/>
        <v>0.33952935501056869</v>
      </c>
      <c r="I98" s="154">
        <f t="shared" si="11"/>
        <v>9.3521046951441895E-5</v>
      </c>
      <c r="J98" s="154">
        <f t="shared" si="11"/>
        <v>0.33912093060477139</v>
      </c>
      <c r="K98" s="154">
        <f t="shared" si="11"/>
        <v>3.1490335884589663E-4</v>
      </c>
      <c r="L98" s="154">
        <f t="shared" si="11"/>
        <v>0.3437508632430113</v>
      </c>
      <c r="M98" s="154">
        <f t="shared" si="11"/>
        <v>4.1646205370159421</v>
      </c>
      <c r="N98" s="154">
        <f t="shared" si="11"/>
        <v>3.0616052767079273E-5</v>
      </c>
      <c r="O98" s="154">
        <f t="shared" si="11"/>
        <v>1.3504691662973463E-3</v>
      </c>
      <c r="P98" s="154">
        <f t="shared" si="11"/>
        <v>1.4765813059538047E-2</v>
      </c>
      <c r="Q98" s="154">
        <f t="shared" si="11"/>
        <v>4.5835480675637068E-11</v>
      </c>
      <c r="R98" s="154">
        <f t="shared" si="11"/>
        <v>1.0123415208654083E-9</v>
      </c>
      <c r="S98" s="154">
        <f t="shared" si="11"/>
        <v>1.1391937432228239E-2</v>
      </c>
      <c r="T98" s="154">
        <f t="shared" si="11"/>
        <v>2.7797333060341143</v>
      </c>
      <c r="U98" s="154">
        <f t="shared" si="11"/>
        <v>4.6779122191732971E-7</v>
      </c>
      <c r="V98" s="154">
        <f t="shared" si="11"/>
        <v>6.2860843104978695E-9</v>
      </c>
      <c r="W98" s="154">
        <f t="shared" si="11"/>
        <v>7.168795896950529E-9</v>
      </c>
      <c r="X98" s="154">
        <f t="shared" si="11"/>
        <v>4.1282502988774037E-3</v>
      </c>
      <c r="Y98" s="154">
        <f t="shared" si="11"/>
        <v>3.2198241977798213E-2</v>
      </c>
    </row>
    <row r="99" spans="1:25" ht="14" customHeight="1" x14ac:dyDescent="0.35">
      <c r="A99" s="396"/>
      <c r="B99" s="1" t="str">
        <f>Input!A47</f>
        <v>Virgin natural fine aggregate 2 (≤2 mm)</v>
      </c>
      <c r="C99" s="154">
        <f>+Input!B47</f>
        <v>0</v>
      </c>
      <c r="D99" s="158">
        <f t="shared" si="3"/>
        <v>0</v>
      </c>
      <c r="E99" s="154" t="s">
        <v>346</v>
      </c>
      <c r="F99" s="154" t="s">
        <v>346</v>
      </c>
      <c r="G99" s="154">
        <f t="shared" ref="G99:Y99" si="12">G23+G48+G73</f>
        <v>0</v>
      </c>
      <c r="H99" s="154">
        <f t="shared" si="12"/>
        <v>0</v>
      </c>
      <c r="I99" s="154">
        <f t="shared" si="12"/>
        <v>0</v>
      </c>
      <c r="J99" s="154">
        <f t="shared" si="12"/>
        <v>0</v>
      </c>
      <c r="K99" s="154">
        <f t="shared" si="12"/>
        <v>0</v>
      </c>
      <c r="L99" s="154">
        <f t="shared" si="12"/>
        <v>0</v>
      </c>
      <c r="M99" s="154">
        <f t="shared" si="12"/>
        <v>0</v>
      </c>
      <c r="N99" s="154">
        <f t="shared" si="12"/>
        <v>0</v>
      </c>
      <c r="O99" s="154">
        <f t="shared" si="12"/>
        <v>0</v>
      </c>
      <c r="P99" s="154">
        <f t="shared" si="12"/>
        <v>0</v>
      </c>
      <c r="Q99" s="154">
        <f t="shared" si="12"/>
        <v>0</v>
      </c>
      <c r="R99" s="154">
        <f t="shared" si="12"/>
        <v>0</v>
      </c>
      <c r="S99" s="154">
        <f t="shared" si="12"/>
        <v>0</v>
      </c>
      <c r="T99" s="154">
        <f t="shared" si="12"/>
        <v>0</v>
      </c>
      <c r="U99" s="154">
        <f t="shared" si="12"/>
        <v>0</v>
      </c>
      <c r="V99" s="154">
        <f t="shared" si="12"/>
        <v>0</v>
      </c>
      <c r="W99" s="154">
        <f t="shared" si="12"/>
        <v>0</v>
      </c>
      <c r="X99" s="154">
        <f t="shared" si="12"/>
        <v>0</v>
      </c>
      <c r="Y99" s="154">
        <f t="shared" si="12"/>
        <v>0</v>
      </c>
    </row>
    <row r="100" spans="1:25" ht="14" customHeight="1" x14ac:dyDescent="0.35">
      <c r="A100" s="397"/>
      <c r="B100" s="1" t="str">
        <f>Input!A48</f>
        <v>Virgin natural fine aggregate 3 (≤2 mm)</v>
      </c>
      <c r="C100" s="154">
        <f>+Input!B48</f>
        <v>0</v>
      </c>
      <c r="D100" s="158">
        <f t="shared" si="3"/>
        <v>0</v>
      </c>
      <c r="E100" s="154" t="s">
        <v>346</v>
      </c>
      <c r="F100" s="154" t="s">
        <v>346</v>
      </c>
      <c r="G100" s="154">
        <f t="shared" ref="G100:Y100" si="13">G24+G49+G74</f>
        <v>0</v>
      </c>
      <c r="H100" s="154">
        <f t="shared" si="13"/>
        <v>0</v>
      </c>
      <c r="I100" s="154">
        <f t="shared" si="13"/>
        <v>0</v>
      </c>
      <c r="J100" s="154">
        <f t="shared" si="13"/>
        <v>0</v>
      </c>
      <c r="K100" s="154">
        <f t="shared" si="13"/>
        <v>0</v>
      </c>
      <c r="L100" s="154">
        <f t="shared" si="13"/>
        <v>0</v>
      </c>
      <c r="M100" s="154">
        <f t="shared" si="13"/>
        <v>0</v>
      </c>
      <c r="N100" s="154">
        <f t="shared" si="13"/>
        <v>0</v>
      </c>
      <c r="O100" s="154">
        <f t="shared" si="13"/>
        <v>0</v>
      </c>
      <c r="P100" s="154">
        <f t="shared" si="13"/>
        <v>0</v>
      </c>
      <c r="Q100" s="154">
        <f t="shared" si="13"/>
        <v>0</v>
      </c>
      <c r="R100" s="154">
        <f t="shared" si="13"/>
        <v>0</v>
      </c>
      <c r="S100" s="154">
        <f t="shared" si="13"/>
        <v>0</v>
      </c>
      <c r="T100" s="154">
        <f t="shared" si="13"/>
        <v>0</v>
      </c>
      <c r="U100" s="154">
        <f t="shared" si="13"/>
        <v>0</v>
      </c>
      <c r="V100" s="154">
        <f t="shared" si="13"/>
        <v>0</v>
      </c>
      <c r="W100" s="154">
        <f t="shared" si="13"/>
        <v>0</v>
      </c>
      <c r="X100" s="154">
        <f t="shared" si="13"/>
        <v>0</v>
      </c>
      <c r="Y100" s="154">
        <f t="shared" si="13"/>
        <v>0</v>
      </c>
    </row>
    <row r="101" spans="1:25" x14ac:dyDescent="0.35">
      <c r="A101" s="398" t="s">
        <v>212</v>
      </c>
      <c r="B101" s="1" t="str">
        <f>Input!A49</f>
        <v>Filler 1</v>
      </c>
      <c r="C101" s="154">
        <f>+Input!B49</f>
        <v>5.4999999999999997E-3</v>
      </c>
      <c r="D101" s="158">
        <f t="shared" si="3"/>
        <v>190</v>
      </c>
      <c r="E101" s="154" t="s">
        <v>346</v>
      </c>
      <c r="F101" s="154" t="s">
        <v>346</v>
      </c>
      <c r="G101" s="154">
        <f t="shared" ref="G101:Y101" si="14">G25+G50+G75</f>
        <v>2.4737449000000001E-4</v>
      </c>
      <c r="H101" s="154">
        <f t="shared" si="14"/>
        <v>0.16588837765499997</v>
      </c>
      <c r="I101" s="154">
        <f t="shared" si="14"/>
        <v>7.7528863499999999E-5</v>
      </c>
      <c r="J101" s="154">
        <f t="shared" si="14"/>
        <v>0.16579765389000001</v>
      </c>
      <c r="K101" s="154">
        <f t="shared" si="14"/>
        <v>1.3194692499999999E-5</v>
      </c>
      <c r="L101" s="154">
        <f t="shared" si="14"/>
        <v>0.14247942670499997</v>
      </c>
      <c r="M101" s="154">
        <f t="shared" si="14"/>
        <v>2.2326850941999998</v>
      </c>
      <c r="N101" s="154">
        <f t="shared" si="14"/>
        <v>3.8693110499999996E-6</v>
      </c>
      <c r="O101" s="154">
        <f t="shared" si="14"/>
        <v>5.3919073999999992E-5</v>
      </c>
      <c r="P101" s="154">
        <f t="shared" si="14"/>
        <v>5.8362518499999996E-4</v>
      </c>
      <c r="Q101" s="154">
        <f t="shared" si="14"/>
        <v>1.4702836500000001E-11</v>
      </c>
      <c r="R101" s="154">
        <f t="shared" si="14"/>
        <v>1.1962951E-9</v>
      </c>
      <c r="S101" s="154">
        <f t="shared" si="14"/>
        <v>1.0124022699999999E-3</v>
      </c>
      <c r="T101" s="154">
        <f t="shared" si="14"/>
        <v>0.14083100712999999</v>
      </c>
      <c r="U101" s="154">
        <f t="shared" si="14"/>
        <v>1.8301816499999997E-7</v>
      </c>
      <c r="V101" s="154">
        <f t="shared" si="14"/>
        <v>3.6886618999999997E-9</v>
      </c>
      <c r="W101" s="154">
        <f t="shared" si="14"/>
        <v>1.0282350649999999E-8</v>
      </c>
      <c r="X101" s="154">
        <f t="shared" si="14"/>
        <v>4.3128821999999998E-4</v>
      </c>
      <c r="Y101" s="154">
        <f t="shared" si="14"/>
        <v>5.085167505E-3</v>
      </c>
    </row>
    <row r="102" spans="1:25" ht="14" customHeight="1" x14ac:dyDescent="0.35">
      <c r="A102" s="399"/>
      <c r="B102" s="1" t="str">
        <f>Input!A50</f>
        <v>Filler 2</v>
      </c>
      <c r="C102" s="154">
        <f>+Input!B50</f>
        <v>0.01</v>
      </c>
      <c r="D102" s="158">
        <f t="shared" si="3"/>
        <v>0</v>
      </c>
      <c r="E102" s="154" t="s">
        <v>346</v>
      </c>
      <c r="F102" s="154" t="s">
        <v>346</v>
      </c>
      <c r="G102" s="154">
        <f t="shared" ref="G102:Y102" si="15">G26+G51+G76</f>
        <v>0</v>
      </c>
      <c r="H102" s="154">
        <f t="shared" si="15"/>
        <v>0</v>
      </c>
      <c r="I102" s="154">
        <f t="shared" si="15"/>
        <v>0</v>
      </c>
      <c r="J102" s="154">
        <f t="shared" si="15"/>
        <v>0</v>
      </c>
      <c r="K102" s="154">
        <f t="shared" si="15"/>
        <v>0</v>
      </c>
      <c r="L102" s="154">
        <f t="shared" si="15"/>
        <v>0</v>
      </c>
      <c r="M102" s="154">
        <f t="shared" si="15"/>
        <v>0</v>
      </c>
      <c r="N102" s="154">
        <f t="shared" si="15"/>
        <v>0</v>
      </c>
      <c r="O102" s="154">
        <f t="shared" si="15"/>
        <v>0</v>
      </c>
      <c r="P102" s="154">
        <f t="shared" si="15"/>
        <v>0</v>
      </c>
      <c r="Q102" s="154">
        <f t="shared" si="15"/>
        <v>0</v>
      </c>
      <c r="R102" s="154">
        <f t="shared" si="15"/>
        <v>0</v>
      </c>
      <c r="S102" s="154">
        <f t="shared" si="15"/>
        <v>0</v>
      </c>
      <c r="T102" s="154">
        <f t="shared" si="15"/>
        <v>0</v>
      </c>
      <c r="U102" s="154">
        <f t="shared" si="15"/>
        <v>0</v>
      </c>
      <c r="V102" s="154">
        <f t="shared" si="15"/>
        <v>0</v>
      </c>
      <c r="W102" s="154">
        <f t="shared" si="15"/>
        <v>0</v>
      </c>
      <c r="X102" s="154">
        <f t="shared" si="15"/>
        <v>0</v>
      </c>
      <c r="Y102" s="154">
        <f t="shared" si="15"/>
        <v>0</v>
      </c>
    </row>
    <row r="103" spans="1:25" x14ac:dyDescent="0.35">
      <c r="A103" s="400" t="s">
        <v>298</v>
      </c>
      <c r="B103" s="1" t="str">
        <f>Input!A51</f>
        <v>RAP 1</v>
      </c>
      <c r="C103" s="154"/>
      <c r="D103" s="158"/>
      <c r="E103" s="154"/>
      <c r="F103" s="154"/>
      <c r="G103" s="154"/>
      <c r="H103" s="154"/>
      <c r="I103" s="154"/>
      <c r="J103" s="154"/>
      <c r="K103" s="154"/>
      <c r="L103" s="154"/>
      <c r="M103" s="154"/>
      <c r="N103" s="154"/>
      <c r="O103" s="154"/>
      <c r="P103" s="154"/>
      <c r="Q103" s="154"/>
      <c r="R103" s="154"/>
      <c r="S103" s="154"/>
      <c r="T103" s="154"/>
      <c r="U103" s="154"/>
      <c r="V103" s="154"/>
      <c r="W103" s="154"/>
      <c r="X103" s="154"/>
      <c r="Y103" s="154"/>
    </row>
    <row r="104" spans="1:25" ht="14" customHeight="1" x14ac:dyDescent="0.35">
      <c r="A104" s="400"/>
      <c r="B104" s="1" t="str">
        <f>Input!A52</f>
        <v>RAP 2</v>
      </c>
      <c r="C104" s="154"/>
      <c r="D104" s="158"/>
      <c r="E104" s="154"/>
      <c r="F104" s="154"/>
      <c r="G104" s="154"/>
      <c r="H104" s="154"/>
      <c r="I104" s="154"/>
      <c r="J104" s="154"/>
      <c r="K104" s="154"/>
      <c r="L104" s="154"/>
      <c r="M104" s="154"/>
      <c r="N104" s="154"/>
      <c r="O104" s="154"/>
      <c r="P104" s="154"/>
      <c r="Q104" s="154"/>
      <c r="R104" s="154"/>
      <c r="S104" s="154"/>
      <c r="T104" s="154"/>
      <c r="U104" s="154"/>
      <c r="V104" s="154"/>
      <c r="W104" s="154"/>
      <c r="X104" s="154"/>
      <c r="Y104" s="154"/>
    </row>
    <row r="105" spans="1:25" x14ac:dyDescent="0.35">
      <c r="A105" s="401" t="s">
        <v>299</v>
      </c>
      <c r="B105" s="1" t="str">
        <f>Input!A53</f>
        <v>Other_waste 1</v>
      </c>
      <c r="C105" s="154"/>
      <c r="D105" s="158"/>
      <c r="E105" s="154"/>
      <c r="F105" s="154"/>
      <c r="G105" s="154"/>
      <c r="H105" s="154"/>
      <c r="I105" s="154"/>
      <c r="J105" s="154"/>
      <c r="K105" s="154"/>
      <c r="L105" s="154"/>
      <c r="M105" s="154"/>
      <c r="N105" s="154"/>
      <c r="O105" s="154"/>
      <c r="P105" s="154"/>
      <c r="Q105" s="154"/>
      <c r="R105" s="154"/>
      <c r="S105" s="154"/>
      <c r="T105" s="154"/>
      <c r="U105" s="154"/>
      <c r="V105" s="154"/>
      <c r="W105" s="154"/>
      <c r="X105" s="154"/>
      <c r="Y105" s="154"/>
    </row>
    <row r="106" spans="1:25" ht="14" customHeight="1" x14ac:dyDescent="0.35">
      <c r="A106" s="401"/>
      <c r="B106" s="1" t="str">
        <f>Input!A54</f>
        <v>Other_waste 2</v>
      </c>
      <c r="C106" s="154"/>
      <c r="D106" s="158"/>
      <c r="E106" s="154"/>
      <c r="F106" s="154"/>
      <c r="G106" s="154"/>
      <c r="H106" s="154"/>
      <c r="I106" s="154"/>
      <c r="J106" s="154"/>
      <c r="K106" s="154"/>
      <c r="L106" s="154"/>
      <c r="M106" s="154"/>
      <c r="N106" s="154"/>
      <c r="O106" s="154"/>
      <c r="P106" s="154"/>
      <c r="Q106" s="154"/>
      <c r="R106" s="154"/>
      <c r="S106" s="154"/>
      <c r="T106" s="154"/>
      <c r="U106" s="154"/>
      <c r="V106" s="154"/>
      <c r="W106" s="154"/>
      <c r="X106" s="154"/>
      <c r="Y106" s="154"/>
    </row>
    <row r="107" spans="1:25" x14ac:dyDescent="0.35">
      <c r="A107" s="401" t="s">
        <v>261</v>
      </c>
      <c r="B107" s="1" t="str">
        <f>Input!A55</f>
        <v>Additive 1</v>
      </c>
      <c r="C107" s="154">
        <f>+Input!B55</f>
        <v>3.3E-3</v>
      </c>
      <c r="D107" s="158">
        <f>D31+D56+D81</f>
        <v>1239</v>
      </c>
      <c r="E107" s="154" t="s">
        <v>346</v>
      </c>
      <c r="F107" s="154" t="s">
        <v>346</v>
      </c>
      <c r="G107" s="154">
        <f t="shared" ref="G107:Y107" si="16">G31+G56+G81</f>
        <v>9.6788524140000007E-4</v>
      </c>
      <c r="H107" s="154">
        <f t="shared" si="16"/>
        <v>0.64906010499329991</v>
      </c>
      <c r="I107" s="154">
        <f t="shared" si="16"/>
        <v>3.0334187961000001E-4</v>
      </c>
      <c r="J107" s="154">
        <f t="shared" si="16"/>
        <v>0.64870513632540006</v>
      </c>
      <c r="K107" s="154">
        <f t="shared" si="16"/>
        <v>5.1625970550000002E-5</v>
      </c>
      <c r="L107" s="154">
        <f t="shared" si="16"/>
        <v>0.55746950427629993</v>
      </c>
      <c r="M107" s="154">
        <f t="shared" si="16"/>
        <v>8.7356742054119998</v>
      </c>
      <c r="N107" s="154">
        <f t="shared" si="16"/>
        <v>1.5139188602999998E-5</v>
      </c>
      <c r="O107" s="154">
        <f t="shared" si="16"/>
        <v>2.1096547164E-4</v>
      </c>
      <c r="P107" s="154">
        <f t="shared" si="16"/>
        <v>2.2835103290999997E-3</v>
      </c>
      <c r="Q107" s="154">
        <f t="shared" si="16"/>
        <v>5.7526782389999992E-11</v>
      </c>
      <c r="R107" s="154">
        <f t="shared" si="16"/>
        <v>4.680661986E-9</v>
      </c>
      <c r="S107" s="154">
        <f t="shared" si="16"/>
        <v>3.9611570922000001E-3</v>
      </c>
      <c r="T107" s="154">
        <f t="shared" si="16"/>
        <v>0.55101984579180008</v>
      </c>
      <c r="U107" s="154">
        <f t="shared" si="16"/>
        <v>7.1608265190000001E-7</v>
      </c>
      <c r="V107" s="154">
        <f t="shared" si="16"/>
        <v>1.4432375034E-8</v>
      </c>
      <c r="W107" s="154">
        <f t="shared" si="16"/>
        <v>4.0231049858999998E-8</v>
      </c>
      <c r="X107" s="154">
        <f t="shared" si="16"/>
        <v>1.6874719092000001E-3</v>
      </c>
      <c r="Y107" s="154">
        <f t="shared" si="16"/>
        <v>1.98963869643E-2</v>
      </c>
    </row>
    <row r="108" spans="1:25" ht="14" customHeight="1" x14ac:dyDescent="0.35">
      <c r="A108" s="401"/>
      <c r="B108" s="1" t="str">
        <f>Input!A56</f>
        <v>Additive 2</v>
      </c>
      <c r="C108" s="154">
        <f>+Input!B56</f>
        <v>0</v>
      </c>
      <c r="D108" s="158">
        <f>D32+D57+D82</f>
        <v>0</v>
      </c>
      <c r="E108" s="154" t="s">
        <v>346</v>
      </c>
      <c r="F108" s="154" t="s">
        <v>346</v>
      </c>
      <c r="G108" s="154">
        <f t="shared" ref="G108:Y108" si="17">G32+G57+G82</f>
        <v>0</v>
      </c>
      <c r="H108" s="154">
        <f t="shared" si="17"/>
        <v>0</v>
      </c>
      <c r="I108" s="154">
        <f t="shared" si="17"/>
        <v>0</v>
      </c>
      <c r="J108" s="154">
        <f t="shared" si="17"/>
        <v>0</v>
      </c>
      <c r="K108" s="154">
        <f t="shared" si="17"/>
        <v>0</v>
      </c>
      <c r="L108" s="154">
        <f t="shared" si="17"/>
        <v>0</v>
      </c>
      <c r="M108" s="154">
        <f t="shared" si="17"/>
        <v>0</v>
      </c>
      <c r="N108" s="154">
        <f t="shared" si="17"/>
        <v>0</v>
      </c>
      <c r="O108" s="154">
        <f t="shared" si="17"/>
        <v>0</v>
      </c>
      <c r="P108" s="154">
        <f t="shared" si="17"/>
        <v>0</v>
      </c>
      <c r="Q108" s="154">
        <f t="shared" si="17"/>
        <v>0</v>
      </c>
      <c r="R108" s="154">
        <f t="shared" si="17"/>
        <v>0</v>
      </c>
      <c r="S108" s="154">
        <f t="shared" si="17"/>
        <v>0</v>
      </c>
      <c r="T108" s="154">
        <f t="shared" si="17"/>
        <v>0</v>
      </c>
      <c r="U108" s="154">
        <f t="shared" si="17"/>
        <v>0</v>
      </c>
      <c r="V108" s="154">
        <f t="shared" si="17"/>
        <v>0</v>
      </c>
      <c r="W108" s="154">
        <f t="shared" si="17"/>
        <v>0</v>
      </c>
      <c r="X108" s="154">
        <f t="shared" si="17"/>
        <v>0</v>
      </c>
      <c r="Y108" s="154">
        <f t="shared" si="17"/>
        <v>0</v>
      </c>
    </row>
    <row r="109" spans="1:25" ht="14" customHeight="1" x14ac:dyDescent="0.35">
      <c r="A109" s="401"/>
      <c r="B109" s="1" t="str">
        <f>Input!A57</f>
        <v>Additive 3</v>
      </c>
      <c r="C109" s="154">
        <f>+Input!B57</f>
        <v>0</v>
      </c>
      <c r="D109" s="158">
        <f>D33+D58+D83</f>
        <v>0</v>
      </c>
      <c r="E109" s="154" t="s">
        <v>346</v>
      </c>
      <c r="F109" s="154" t="s">
        <v>346</v>
      </c>
      <c r="G109" s="154">
        <f t="shared" ref="G109:Y109" si="18">G33+G58+G83</f>
        <v>0</v>
      </c>
      <c r="H109" s="154">
        <f t="shared" si="18"/>
        <v>0</v>
      </c>
      <c r="I109" s="154">
        <f t="shared" si="18"/>
        <v>0</v>
      </c>
      <c r="J109" s="154">
        <f t="shared" si="18"/>
        <v>0</v>
      </c>
      <c r="K109" s="154">
        <f t="shared" si="18"/>
        <v>0</v>
      </c>
      <c r="L109" s="154">
        <f t="shared" si="18"/>
        <v>0</v>
      </c>
      <c r="M109" s="154">
        <f t="shared" si="18"/>
        <v>0</v>
      </c>
      <c r="N109" s="154">
        <f t="shared" si="18"/>
        <v>0</v>
      </c>
      <c r="O109" s="154">
        <f t="shared" si="18"/>
        <v>0</v>
      </c>
      <c r="P109" s="154">
        <f t="shared" si="18"/>
        <v>0</v>
      </c>
      <c r="Q109" s="154">
        <f t="shared" si="18"/>
        <v>0</v>
      </c>
      <c r="R109" s="154">
        <f t="shared" si="18"/>
        <v>0</v>
      </c>
      <c r="S109" s="154">
        <f t="shared" si="18"/>
        <v>0</v>
      </c>
      <c r="T109" s="154">
        <f t="shared" si="18"/>
        <v>0</v>
      </c>
      <c r="U109" s="154">
        <f t="shared" si="18"/>
        <v>0</v>
      </c>
      <c r="V109" s="154">
        <f t="shared" si="18"/>
        <v>0</v>
      </c>
      <c r="W109" s="154">
        <f t="shared" si="18"/>
        <v>0</v>
      </c>
      <c r="X109" s="154">
        <f t="shared" si="18"/>
        <v>0</v>
      </c>
      <c r="Y109" s="154">
        <f t="shared" si="18"/>
        <v>0</v>
      </c>
    </row>
    <row r="110" spans="1:25" x14ac:dyDescent="0.35">
      <c r="A110" s="406" t="s">
        <v>347</v>
      </c>
      <c r="B110" s="406"/>
      <c r="C110" s="407"/>
      <c r="D110" s="407"/>
      <c r="E110" s="407"/>
      <c r="F110" s="407"/>
      <c r="G110" s="139">
        <f t="shared" ref="G110:Y110" si="19">SUM(G91:G109)</f>
        <v>2.4968397310549954E-2</v>
      </c>
      <c r="H110" s="139">
        <f t="shared" si="19"/>
        <v>13.804483802643313</v>
      </c>
      <c r="I110" s="139">
        <f t="shared" si="19"/>
        <v>6.3360921788908281E-3</v>
      </c>
      <c r="J110" s="139">
        <f t="shared" si="19"/>
        <v>13.79653932747777</v>
      </c>
      <c r="K110" s="139">
        <f t="shared" si="19"/>
        <v>1.6083663529295441E-3</v>
      </c>
      <c r="L110" s="139">
        <f t="shared" si="19"/>
        <v>11.948914613974807</v>
      </c>
      <c r="M110" s="139">
        <f t="shared" si="19"/>
        <v>185.07588298947945</v>
      </c>
      <c r="N110" s="139">
        <f t="shared" si="19"/>
        <v>3.6222152931125864E-4</v>
      </c>
      <c r="O110" s="139">
        <f t="shared" si="19"/>
        <v>6.6852814419365685E-3</v>
      </c>
      <c r="P110" s="139">
        <f t="shared" si="19"/>
        <v>7.2624851604295632E-2</v>
      </c>
      <c r="Q110" s="139">
        <f t="shared" si="19"/>
        <v>1.2514113394662655E-9</v>
      </c>
      <c r="R110" s="139">
        <f t="shared" si="19"/>
        <v>9.7004378226952321E-8</v>
      </c>
      <c r="S110" s="139">
        <f t="shared" si="19"/>
        <v>0.10076905624303371</v>
      </c>
      <c r="T110" s="139">
        <f t="shared" si="19"/>
        <v>16.136054034105701</v>
      </c>
      <c r="U110" s="139">
        <f t="shared" si="19"/>
        <v>1.5395168857975265E-5</v>
      </c>
      <c r="V110" s="139">
        <f t="shared" si="19"/>
        <v>3.0471377134428263E-7</v>
      </c>
      <c r="W110" s="139">
        <f t="shared" si="19"/>
        <v>8.3105177829253941E-7</v>
      </c>
      <c r="X110" s="139">
        <f t="shared" si="19"/>
        <v>4.1643282065384486E-2</v>
      </c>
      <c r="Y110" s="139">
        <f t="shared" si="19"/>
        <v>0.46179292547709494</v>
      </c>
    </row>
    <row r="112" spans="1:25" x14ac:dyDescent="0.35">
      <c r="A112" t="s">
        <v>348</v>
      </c>
    </row>
    <row r="114" spans="1:28" x14ac:dyDescent="0.35">
      <c r="A114" s="32"/>
    </row>
    <row r="115" spans="1:28" ht="23.5" x14ac:dyDescent="0.55000000000000004">
      <c r="A115" s="100" t="s">
        <v>349</v>
      </c>
    </row>
    <row r="117" spans="1:28" ht="50" customHeight="1" x14ac:dyDescent="0.35">
      <c r="A117" s="104" t="s">
        <v>203</v>
      </c>
      <c r="B117" s="104" t="s">
        <v>266</v>
      </c>
      <c r="C117" s="103" t="s">
        <v>62</v>
      </c>
      <c r="D117" s="103" t="s">
        <v>65</v>
      </c>
      <c r="E117" s="103" t="s">
        <v>66</v>
      </c>
      <c r="F117" s="103" t="s">
        <v>67</v>
      </c>
      <c r="G117" s="103" t="s">
        <v>71</v>
      </c>
      <c r="H117" s="103" t="s">
        <v>72</v>
      </c>
      <c r="I117" s="103" t="s">
        <v>73</v>
      </c>
      <c r="J117" s="103" t="s">
        <v>75</v>
      </c>
      <c r="K117" s="103" t="s">
        <v>76</v>
      </c>
      <c r="L117" s="103" t="s">
        <v>310</v>
      </c>
      <c r="M117" s="108" t="s">
        <v>311</v>
      </c>
      <c r="N117" s="108" t="s">
        <v>312</v>
      </c>
      <c r="O117" s="103" t="s">
        <v>350</v>
      </c>
      <c r="P117" s="103" t="s">
        <v>81</v>
      </c>
      <c r="Q117" s="108" t="s">
        <v>83</v>
      </c>
      <c r="R117" s="103" t="s">
        <v>314</v>
      </c>
      <c r="S117" s="103" t="s">
        <v>315</v>
      </c>
      <c r="T117" s="103" t="s">
        <v>316</v>
      </c>
      <c r="U117" s="103" t="s">
        <v>323</v>
      </c>
      <c r="V117" s="103" t="s">
        <v>90</v>
      </c>
      <c r="W117" s="103" t="s">
        <v>93</v>
      </c>
      <c r="X117" s="103" t="s">
        <v>95</v>
      </c>
      <c r="Y117" s="103" t="s">
        <v>317</v>
      </c>
      <c r="Z117" s="103" t="s">
        <v>351</v>
      </c>
    </row>
    <row r="118" spans="1:28" x14ac:dyDescent="0.35">
      <c r="A118" s="1" t="s">
        <v>318</v>
      </c>
      <c r="B118" s="154">
        <f>'A2 - Transport'!G91</f>
        <v>1.3743889942399998E-3</v>
      </c>
      <c r="C118" s="154">
        <f>G16+G41+G66</f>
        <v>1.38837453E-3</v>
      </c>
      <c r="D118" s="154">
        <f>G17+G42+G67</f>
        <v>2.3017804922428001E-3</v>
      </c>
      <c r="E118" s="154">
        <f>G18+G43+G68</f>
        <v>1.5709818807999997E-2</v>
      </c>
      <c r="F118" s="154">
        <f>G19+G44+G69</f>
        <v>0</v>
      </c>
      <c r="G118" s="154">
        <f>G20+G45+G70</f>
        <v>0</v>
      </c>
      <c r="H118" s="154">
        <f>G21+G46+G71</f>
        <v>0</v>
      </c>
      <c r="I118" s="154">
        <f>G22+G47+G72</f>
        <v>2.9787747546671539E-3</v>
      </c>
      <c r="J118" s="154">
        <f>G23+G48+G73</f>
        <v>0</v>
      </c>
      <c r="K118" s="154">
        <f>G24+G49+G74</f>
        <v>0</v>
      </c>
      <c r="L118" s="154">
        <f>SUM(C118:K118)</f>
        <v>2.2378748584909954E-2</v>
      </c>
      <c r="M118" s="154">
        <f>'A2 - Transport'!G101</f>
        <v>2.4737449000000001E-4</v>
      </c>
      <c r="N118" s="154">
        <f>'A2 - Transport'!G102</f>
        <v>0</v>
      </c>
      <c r="O118" s="154">
        <f t="shared" ref="O118:O136" si="20">SUM(M118:N118)</f>
        <v>2.4737449000000001E-4</v>
      </c>
      <c r="P118" s="154">
        <f>'A2 - Transport'!G103</f>
        <v>0</v>
      </c>
      <c r="Q118" s="154">
        <f>'A2 - Transport'!G104</f>
        <v>0</v>
      </c>
      <c r="R118" s="154">
        <f>SUM(P118:Q118)</f>
        <v>0</v>
      </c>
      <c r="S118" s="154">
        <f>'A2 - Transport'!G105</f>
        <v>0</v>
      </c>
      <c r="T118" s="154">
        <f>'A2 - Transport'!G106</f>
        <v>0</v>
      </c>
      <c r="U118" s="154">
        <f>SUM(S118:T118)</f>
        <v>0</v>
      </c>
      <c r="V118" s="154">
        <f>'A2 - Transport'!G107</f>
        <v>9.6788524140000007E-4</v>
      </c>
      <c r="W118" s="154">
        <f>'A2 - Transport'!G108</f>
        <v>0</v>
      </c>
      <c r="X118" s="154">
        <f>'A2 - Transport'!G109</f>
        <v>0</v>
      </c>
      <c r="Y118" s="154">
        <f>SUM(V118:X118)</f>
        <v>9.6788524140000007E-4</v>
      </c>
      <c r="Z118" s="154">
        <f>+SUM(B118+L118+O118+Y118)</f>
        <v>2.4968397310549954E-2</v>
      </c>
      <c r="AB118" s="87"/>
    </row>
    <row r="119" spans="1:28" x14ac:dyDescent="0.35">
      <c r="A119" s="1" t="s">
        <v>280</v>
      </c>
      <c r="B119" s="154">
        <f>'A2 - Transport'!H91</f>
        <v>0.92165995176527982</v>
      </c>
      <c r="C119" s="154">
        <f>H16+H41+H66</f>
        <v>0.931038598035</v>
      </c>
      <c r="D119" s="154">
        <f>H17+H42+H67</f>
        <v>0.26236359250816671</v>
      </c>
      <c r="E119" s="154">
        <f>H18+H43+H68</f>
        <v>10.534943822675999</v>
      </c>
      <c r="F119" s="154">
        <f>H19+H44+H69</f>
        <v>0</v>
      </c>
      <c r="G119" s="154">
        <f>H20+H45+H70</f>
        <v>0</v>
      </c>
      <c r="H119" s="154">
        <f>H21+H46+H71</f>
        <v>0</v>
      </c>
      <c r="I119" s="154">
        <f>H22+H47+H72</f>
        <v>0.33952935501056869</v>
      </c>
      <c r="J119" s="154">
        <f>H23+H48+H73</f>
        <v>0</v>
      </c>
      <c r="K119" s="154">
        <f>H24+H49+H74</f>
        <v>0</v>
      </c>
      <c r="L119" s="154">
        <f t="shared" ref="L119:L136" si="21">SUM(C119:K119)</f>
        <v>12.067875368229734</v>
      </c>
      <c r="M119" s="154">
        <f>'A2 - Transport'!H101</f>
        <v>0.16588837765499997</v>
      </c>
      <c r="N119" s="154">
        <f>'A2 - Transport'!H102</f>
        <v>0</v>
      </c>
      <c r="O119" s="154">
        <f t="shared" si="20"/>
        <v>0.16588837765499997</v>
      </c>
      <c r="P119" s="154">
        <f>'A2 - Transport'!H103</f>
        <v>0</v>
      </c>
      <c r="Q119" s="154">
        <f>'A2 - Transport'!H104</f>
        <v>0</v>
      </c>
      <c r="R119" s="154">
        <f t="shared" ref="R119:R136" si="22">SUM(P119:Q119)</f>
        <v>0</v>
      </c>
      <c r="S119" s="154">
        <f>'A2 - Transport'!H105</f>
        <v>0</v>
      </c>
      <c r="T119" s="154">
        <f>'A2 - Transport'!H106</f>
        <v>0</v>
      </c>
      <c r="U119" s="154">
        <f t="shared" ref="U119:U136" si="23">SUM(S119:T119)</f>
        <v>0</v>
      </c>
      <c r="V119" s="154">
        <f>'A2 - Transport'!H107</f>
        <v>0.64906010499329991</v>
      </c>
      <c r="W119" s="154">
        <f>'A2 - Transport'!H108</f>
        <v>0</v>
      </c>
      <c r="X119" s="154">
        <f>'A2 - Transport'!H109</f>
        <v>0</v>
      </c>
      <c r="Y119" s="154">
        <f t="shared" ref="Y119:Y136" si="24">SUM(V119:X119)</f>
        <v>0.64906010499329991</v>
      </c>
      <c r="Z119" s="154">
        <f t="shared" ref="Z119:Z136" si="25">+SUM(B119+L119+O119+Y119)</f>
        <v>13.804483802643313</v>
      </c>
      <c r="AB119" s="87"/>
    </row>
    <row r="120" spans="1:28" x14ac:dyDescent="0.35">
      <c r="A120" s="1" t="s">
        <v>281</v>
      </c>
      <c r="B120" s="154">
        <f>'A2 - Transport'!I91</f>
        <v>4.30742946576E-4</v>
      </c>
      <c r="C120" s="154">
        <f>I16+I41+I66</f>
        <v>4.3512610949999998E-4</v>
      </c>
      <c r="D120" s="154">
        <f>I17+I42+I67</f>
        <v>7.2266263553386908E-5</v>
      </c>
      <c r="E120" s="154">
        <f>I18+I43+I68</f>
        <v>4.9235650691999994E-3</v>
      </c>
      <c r="F120" s="154">
        <f>I19+I44+I69</f>
        <v>0</v>
      </c>
      <c r="G120" s="154">
        <f>I20+I45+I70</f>
        <v>0</v>
      </c>
      <c r="H120" s="154">
        <f>I21+I46+I71</f>
        <v>0</v>
      </c>
      <c r="I120" s="154">
        <f>I22+I47+I72</f>
        <v>9.3521046951441895E-5</v>
      </c>
      <c r="J120" s="154">
        <f>I23+I48+I73</f>
        <v>0</v>
      </c>
      <c r="K120" s="154">
        <f>I24+I49+I74</f>
        <v>0</v>
      </c>
      <c r="L120" s="154">
        <f t="shared" si="21"/>
        <v>5.5244784892048279E-3</v>
      </c>
      <c r="M120" s="154">
        <f>'A2 - Transport'!I101</f>
        <v>7.7528863499999999E-5</v>
      </c>
      <c r="N120" s="154">
        <f>'A2 - Transport'!I102</f>
        <v>0</v>
      </c>
      <c r="O120" s="154">
        <f t="shared" si="20"/>
        <v>7.7528863499999999E-5</v>
      </c>
      <c r="P120" s="154">
        <f>'A2 - Transport'!I103</f>
        <v>0</v>
      </c>
      <c r="Q120" s="154">
        <f>'A2 - Transport'!I104</f>
        <v>0</v>
      </c>
      <c r="R120" s="154">
        <f t="shared" si="22"/>
        <v>0</v>
      </c>
      <c r="S120" s="154">
        <f>'A2 - Transport'!I105</f>
        <v>0</v>
      </c>
      <c r="T120" s="154">
        <f>'A2 - Transport'!I106</f>
        <v>0</v>
      </c>
      <c r="U120" s="154">
        <f t="shared" si="23"/>
        <v>0</v>
      </c>
      <c r="V120" s="154">
        <f>'A2 - Transport'!I107</f>
        <v>3.0334187961000001E-4</v>
      </c>
      <c r="W120" s="154">
        <f>'A2 - Transport'!I108</f>
        <v>0</v>
      </c>
      <c r="X120" s="154">
        <f>'A2 - Transport'!I109</f>
        <v>0</v>
      </c>
      <c r="Y120" s="154">
        <f t="shared" si="24"/>
        <v>3.0334187961000001E-4</v>
      </c>
      <c r="Z120" s="154">
        <f t="shared" si="25"/>
        <v>6.3360921788908281E-3</v>
      </c>
      <c r="AB120" s="87"/>
    </row>
    <row r="121" spans="1:28" x14ac:dyDescent="0.35">
      <c r="A121" s="1" t="s">
        <v>282</v>
      </c>
      <c r="B121" s="154">
        <f>'A2 - Transport'!J91</f>
        <v>0.92115589920863994</v>
      </c>
      <c r="C121" s="154">
        <f>J16+J41+J66</f>
        <v>0.93052941632999997</v>
      </c>
      <c r="D121" s="154">
        <f>J17+J42+J67</f>
        <v>0.26204799183095967</v>
      </c>
      <c r="E121" s="154">
        <f>J18+J43+J68</f>
        <v>10.529182299287999</v>
      </c>
      <c r="F121" s="154">
        <f>J19+J44+J69</f>
        <v>0</v>
      </c>
      <c r="G121" s="154">
        <f>J20+J45+J70</f>
        <v>0</v>
      </c>
      <c r="H121" s="154">
        <f>J21+J46+J71</f>
        <v>0</v>
      </c>
      <c r="I121" s="154">
        <f>J22+J47+J72</f>
        <v>0.33912093060477139</v>
      </c>
      <c r="J121" s="154">
        <f>J23+J48+J73</f>
        <v>0</v>
      </c>
      <c r="K121" s="154">
        <f>J24+J49+J74</f>
        <v>0</v>
      </c>
      <c r="L121" s="154">
        <f t="shared" si="21"/>
        <v>12.06088063805373</v>
      </c>
      <c r="M121" s="154">
        <f>'A2 - Transport'!J101</f>
        <v>0.16579765389000001</v>
      </c>
      <c r="N121" s="154">
        <f>'A2 - Transport'!J102</f>
        <v>0</v>
      </c>
      <c r="O121" s="154">
        <f t="shared" si="20"/>
        <v>0.16579765389000001</v>
      </c>
      <c r="P121" s="154">
        <f>'A2 - Transport'!J103</f>
        <v>0</v>
      </c>
      <c r="Q121" s="154">
        <f>'A2 - Transport'!J104</f>
        <v>0</v>
      </c>
      <c r="R121" s="154">
        <f t="shared" si="22"/>
        <v>0</v>
      </c>
      <c r="S121" s="154">
        <f>'A2 - Transport'!J105</f>
        <v>0</v>
      </c>
      <c r="T121" s="154">
        <f>'A2 - Transport'!J106</f>
        <v>0</v>
      </c>
      <c r="U121" s="154">
        <f t="shared" si="23"/>
        <v>0</v>
      </c>
      <c r="V121" s="154">
        <f>'A2 - Transport'!J107</f>
        <v>0.64870513632540006</v>
      </c>
      <c r="W121" s="154">
        <f>'A2 - Transport'!J108</f>
        <v>0</v>
      </c>
      <c r="X121" s="154">
        <f>'A2 - Transport'!J109</f>
        <v>0</v>
      </c>
      <c r="Y121" s="154">
        <f t="shared" si="24"/>
        <v>0.64870513632540006</v>
      </c>
      <c r="Z121" s="154">
        <f t="shared" si="25"/>
        <v>13.79653932747777</v>
      </c>
      <c r="AB121" s="87"/>
    </row>
    <row r="122" spans="1:28" x14ac:dyDescent="0.35">
      <c r="A122" s="1" t="s">
        <v>283</v>
      </c>
      <c r="B122" s="154">
        <f>'A2 - Transport'!K91</f>
        <v>7.3308448880000007E-5</v>
      </c>
      <c r="C122" s="154">
        <f>K16+K41+K66</f>
        <v>7.4054422499999985E-5</v>
      </c>
      <c r="D122" s="154">
        <f>K17+K42+K67</f>
        <v>2.4333441365364736E-4</v>
      </c>
      <c r="E122" s="154">
        <f>K18+K43+K68</f>
        <v>8.3794504600000002E-4</v>
      </c>
      <c r="F122" s="154">
        <f>K19+K44+K69</f>
        <v>0</v>
      </c>
      <c r="G122" s="154">
        <f>K20+K45+K70</f>
        <v>0</v>
      </c>
      <c r="H122" s="154">
        <f>K21+K46+K71</f>
        <v>0</v>
      </c>
      <c r="I122" s="154">
        <f>K22+K47+K72</f>
        <v>3.1490335884589663E-4</v>
      </c>
      <c r="J122" s="154">
        <f>K23+K48+K73</f>
        <v>0</v>
      </c>
      <c r="K122" s="154">
        <f>K24+K49+K74</f>
        <v>0</v>
      </c>
      <c r="L122" s="154">
        <f t="shared" si="21"/>
        <v>1.470237240999544E-3</v>
      </c>
      <c r="M122" s="154">
        <f>'A2 - Transport'!K101</f>
        <v>1.3194692499999999E-5</v>
      </c>
      <c r="N122" s="154">
        <f>'A2 - Transport'!K102</f>
        <v>0</v>
      </c>
      <c r="O122" s="154">
        <f t="shared" si="20"/>
        <v>1.3194692499999999E-5</v>
      </c>
      <c r="P122" s="154">
        <f>'A2 - Transport'!K103</f>
        <v>0</v>
      </c>
      <c r="Q122" s="154">
        <f>'A2 - Transport'!K104</f>
        <v>0</v>
      </c>
      <c r="R122" s="154">
        <f t="shared" si="22"/>
        <v>0</v>
      </c>
      <c r="S122" s="154">
        <f>'A2 - Transport'!K105</f>
        <v>0</v>
      </c>
      <c r="T122" s="154">
        <f>'A2 - Transport'!K106</f>
        <v>0</v>
      </c>
      <c r="U122" s="154">
        <f t="shared" si="23"/>
        <v>0</v>
      </c>
      <c r="V122" s="154">
        <f>'A2 - Transport'!K107</f>
        <v>5.1625970550000002E-5</v>
      </c>
      <c r="W122" s="154">
        <f>'A2 - Transport'!K108</f>
        <v>0</v>
      </c>
      <c r="X122" s="154">
        <f>'A2 - Transport'!K109</f>
        <v>0</v>
      </c>
      <c r="Y122" s="154">
        <f t="shared" si="24"/>
        <v>5.1625970550000002E-5</v>
      </c>
      <c r="Z122" s="154">
        <f t="shared" si="25"/>
        <v>1.6083663529295441E-3</v>
      </c>
      <c r="AB122" s="87"/>
    </row>
    <row r="123" spans="1:28" x14ac:dyDescent="0.35">
      <c r="A123" s="1" t="s">
        <v>284</v>
      </c>
      <c r="B123" s="154">
        <f>'A2 - Transport'!L91</f>
        <v>0.79160206037808001</v>
      </c>
      <c r="C123" s="154">
        <f>L16+L41+L66</f>
        <v>0.79965726088499989</v>
      </c>
      <c r="D123" s="154">
        <f>L17+L42+L67</f>
        <v>0.26562566705141782</v>
      </c>
      <c r="E123" s="154">
        <f>L18+L43+L68</f>
        <v>9.0483298314359981</v>
      </c>
      <c r="F123" s="154">
        <f>L19+L44+L69</f>
        <v>0</v>
      </c>
      <c r="G123" s="154">
        <f>L20+L45+L70</f>
        <v>0</v>
      </c>
      <c r="H123" s="154">
        <f>L21+L46+L71</f>
        <v>0</v>
      </c>
      <c r="I123" s="154">
        <f>L22+L47+L72</f>
        <v>0.3437508632430113</v>
      </c>
      <c r="J123" s="154">
        <f>L23+L48+L73</f>
        <v>0</v>
      </c>
      <c r="K123" s="154">
        <f>L24+L49+L74</f>
        <v>0</v>
      </c>
      <c r="L123" s="154">
        <f t="shared" si="21"/>
        <v>10.457363622615427</v>
      </c>
      <c r="M123" s="154">
        <f>'A2 - Transport'!L101</f>
        <v>0.14247942670499997</v>
      </c>
      <c r="N123" s="154">
        <f>'A2 - Transport'!L102</f>
        <v>0</v>
      </c>
      <c r="O123" s="154">
        <f t="shared" si="20"/>
        <v>0.14247942670499997</v>
      </c>
      <c r="P123" s="154">
        <f>'A2 - Transport'!L103</f>
        <v>0</v>
      </c>
      <c r="Q123" s="154">
        <f>'A2 - Transport'!L104</f>
        <v>0</v>
      </c>
      <c r="R123" s="154">
        <f t="shared" si="22"/>
        <v>0</v>
      </c>
      <c r="S123" s="154">
        <f>'A2 - Transport'!L105</f>
        <v>0</v>
      </c>
      <c r="T123" s="154">
        <f>'A2 - Transport'!L106</f>
        <v>0</v>
      </c>
      <c r="U123" s="154">
        <f t="shared" si="23"/>
        <v>0</v>
      </c>
      <c r="V123" s="154">
        <f>'A2 - Transport'!L107</f>
        <v>0.55746950427629993</v>
      </c>
      <c r="W123" s="154">
        <f>'A2 - Transport'!L108</f>
        <v>0</v>
      </c>
      <c r="X123" s="154">
        <f>'A2 - Transport'!L109</f>
        <v>0</v>
      </c>
      <c r="Y123" s="154">
        <f t="shared" si="24"/>
        <v>0.55746950427629993</v>
      </c>
      <c r="Z123" s="154">
        <f t="shared" si="25"/>
        <v>11.948914613974807</v>
      </c>
      <c r="AB123" s="87"/>
    </row>
    <row r="124" spans="1:28" x14ac:dyDescent="0.35">
      <c r="A124" s="1" t="s">
        <v>285</v>
      </c>
      <c r="B124" s="154">
        <f>'A2 - Transport'!M91</f>
        <v>12.4045847292992</v>
      </c>
      <c r="C124" s="154">
        <f>M16+M41+M66</f>
        <v>12.530811557399998</v>
      </c>
      <c r="D124" s="154">
        <f>M17+M42+M67</f>
        <v>3.2181158695123191</v>
      </c>
      <c r="E124" s="154">
        <f>M18+M43+M68</f>
        <v>141.78939099663998</v>
      </c>
      <c r="F124" s="154">
        <f>M19+M44+M69</f>
        <v>0</v>
      </c>
      <c r="G124" s="154">
        <f>M20+M45+M70</f>
        <v>0</v>
      </c>
      <c r="H124" s="154">
        <f>M21+M46+M71</f>
        <v>0</v>
      </c>
      <c r="I124" s="154">
        <f>M22+M47+M72</f>
        <v>4.1646205370159421</v>
      </c>
      <c r="J124" s="154">
        <f>M23+M48+M73</f>
        <v>0</v>
      </c>
      <c r="K124" s="154">
        <f>M24+M49+M74</f>
        <v>0</v>
      </c>
      <c r="L124" s="154">
        <f t="shared" si="21"/>
        <v>161.70293896056825</v>
      </c>
      <c r="M124" s="154">
        <f>'A2 - Transport'!M101</f>
        <v>2.2326850941999998</v>
      </c>
      <c r="N124" s="154">
        <f>'A2 - Transport'!M102</f>
        <v>0</v>
      </c>
      <c r="O124" s="154">
        <f t="shared" si="20"/>
        <v>2.2326850941999998</v>
      </c>
      <c r="P124" s="154">
        <f>'A2 - Transport'!M103</f>
        <v>0</v>
      </c>
      <c r="Q124" s="154">
        <f>'A2 - Transport'!M104</f>
        <v>0</v>
      </c>
      <c r="R124" s="154">
        <f t="shared" si="22"/>
        <v>0</v>
      </c>
      <c r="S124" s="154">
        <f>'A2 - Transport'!M105</f>
        <v>0</v>
      </c>
      <c r="T124" s="154">
        <f>'A2 - Transport'!M106</f>
        <v>0</v>
      </c>
      <c r="U124" s="154">
        <f t="shared" si="23"/>
        <v>0</v>
      </c>
      <c r="V124" s="154">
        <f>'A2 - Transport'!M107</f>
        <v>8.7356742054119998</v>
      </c>
      <c r="W124" s="154">
        <f>'A2 - Transport'!M108</f>
        <v>0</v>
      </c>
      <c r="X124" s="154">
        <f>'A2 - Transport'!M109</f>
        <v>0</v>
      </c>
      <c r="Y124" s="154">
        <f t="shared" si="24"/>
        <v>8.7356742054119998</v>
      </c>
      <c r="Z124" s="154">
        <f t="shared" si="25"/>
        <v>185.07588298947945</v>
      </c>
      <c r="AB124" s="87"/>
    </row>
    <row r="125" spans="1:28" x14ac:dyDescent="0.35">
      <c r="A125" s="1" t="s">
        <v>286</v>
      </c>
      <c r="B125" s="154">
        <f>'A2 - Transport'!N91</f>
        <v>2.1497521924799997E-5</v>
      </c>
      <c r="C125" s="154">
        <f>N16+N41+N66</f>
        <v>2.1716276849999997E-5</v>
      </c>
      <c r="D125" s="154">
        <f>N17+N42+N67</f>
        <v>2.3657858956379437E-5</v>
      </c>
      <c r="E125" s="154">
        <f>N18+N43+N68</f>
        <v>2.4572531915999999E-4</v>
      </c>
      <c r="F125" s="154">
        <f>N19+N44+N69</f>
        <v>0</v>
      </c>
      <c r="G125" s="154">
        <f>N20+N45+N70</f>
        <v>0</v>
      </c>
      <c r="H125" s="154">
        <f>N21+N46+N71</f>
        <v>0</v>
      </c>
      <c r="I125" s="154">
        <f>N22+N47+N72</f>
        <v>3.0616052767079273E-5</v>
      </c>
      <c r="J125" s="154">
        <f>N23+N48+N73</f>
        <v>0</v>
      </c>
      <c r="K125" s="154">
        <f>N24+N49+N74</f>
        <v>0</v>
      </c>
      <c r="L125" s="154">
        <f t="shared" si="21"/>
        <v>3.2171550773345866E-4</v>
      </c>
      <c r="M125" s="154">
        <f>'A2 - Transport'!N101</f>
        <v>3.8693110499999996E-6</v>
      </c>
      <c r="N125" s="154">
        <f>'A2 - Transport'!N102</f>
        <v>0</v>
      </c>
      <c r="O125" s="154">
        <f t="shared" si="20"/>
        <v>3.8693110499999996E-6</v>
      </c>
      <c r="P125" s="154">
        <f>'A2 - Transport'!N103</f>
        <v>0</v>
      </c>
      <c r="Q125" s="154">
        <f>'A2 - Transport'!N104</f>
        <v>0</v>
      </c>
      <c r="R125" s="154">
        <f t="shared" si="22"/>
        <v>0</v>
      </c>
      <c r="S125" s="154">
        <f>'A2 - Transport'!N105</f>
        <v>0</v>
      </c>
      <c r="T125" s="154">
        <f>'A2 - Transport'!N106</f>
        <v>0</v>
      </c>
      <c r="U125" s="154">
        <f t="shared" si="23"/>
        <v>0</v>
      </c>
      <c r="V125" s="154">
        <f>'A2 - Transport'!N107</f>
        <v>1.5139188602999998E-5</v>
      </c>
      <c r="W125" s="154">
        <f>'A2 - Transport'!N108</f>
        <v>0</v>
      </c>
      <c r="X125" s="154">
        <f>'A2 - Transport'!N109</f>
        <v>0</v>
      </c>
      <c r="Y125" s="154">
        <f t="shared" si="24"/>
        <v>1.5139188602999998E-5</v>
      </c>
      <c r="Z125" s="154">
        <f t="shared" si="25"/>
        <v>3.6222152931125864E-4</v>
      </c>
      <c r="AB125" s="87"/>
    </row>
    <row r="126" spans="1:28" x14ac:dyDescent="0.35">
      <c r="A126" s="1" t="s">
        <v>287</v>
      </c>
      <c r="B126" s="154">
        <f>'A2 - Transport'!O91</f>
        <v>2.99569215424E-4</v>
      </c>
      <c r="C126" s="154">
        <f>O16+O41+O66</f>
        <v>3.02617578E-4</v>
      </c>
      <c r="D126" s="154">
        <f>O17+O42+O67</f>
        <v>1.0435443557752222E-3</v>
      </c>
      <c r="E126" s="154">
        <f>O18+O43+O68</f>
        <v>3.4241965807999997E-3</v>
      </c>
      <c r="F126" s="154">
        <f>O19+O44+O69</f>
        <v>0</v>
      </c>
      <c r="G126" s="154">
        <f>O20+O45+O70</f>
        <v>0</v>
      </c>
      <c r="H126" s="154">
        <f>O21+O46+O71</f>
        <v>0</v>
      </c>
      <c r="I126" s="154">
        <f>O22+O47+O72</f>
        <v>1.3504691662973463E-3</v>
      </c>
      <c r="J126" s="154">
        <f>O23+O48+O73</f>
        <v>0</v>
      </c>
      <c r="K126" s="154">
        <f>O24+O49+O74</f>
        <v>0</v>
      </c>
      <c r="L126" s="154">
        <f t="shared" si="21"/>
        <v>6.1208276808725681E-3</v>
      </c>
      <c r="M126" s="154">
        <f>'A2 - Transport'!O101</f>
        <v>5.3919073999999992E-5</v>
      </c>
      <c r="N126" s="154">
        <f>'A2 - Transport'!O102</f>
        <v>0</v>
      </c>
      <c r="O126" s="154">
        <f t="shared" si="20"/>
        <v>5.3919073999999992E-5</v>
      </c>
      <c r="P126" s="154">
        <f>'A2 - Transport'!O103</f>
        <v>0</v>
      </c>
      <c r="Q126" s="154">
        <f>'A2 - Transport'!O104</f>
        <v>0</v>
      </c>
      <c r="R126" s="154">
        <f t="shared" si="22"/>
        <v>0</v>
      </c>
      <c r="S126" s="154">
        <f>'A2 - Transport'!O105</f>
        <v>0</v>
      </c>
      <c r="T126" s="154">
        <f>'A2 - Transport'!O106</f>
        <v>0</v>
      </c>
      <c r="U126" s="154">
        <f t="shared" si="23"/>
        <v>0</v>
      </c>
      <c r="V126" s="154">
        <f>'A2 - Transport'!O107</f>
        <v>2.1096547164E-4</v>
      </c>
      <c r="W126" s="154">
        <f>'A2 - Transport'!O108</f>
        <v>0</v>
      </c>
      <c r="X126" s="154">
        <f>'A2 - Transport'!O109</f>
        <v>0</v>
      </c>
      <c r="Y126" s="154">
        <f t="shared" si="24"/>
        <v>2.1096547164E-4</v>
      </c>
      <c r="Z126" s="154">
        <f t="shared" si="25"/>
        <v>6.6852814419365685E-3</v>
      </c>
      <c r="AB126" s="87"/>
    </row>
    <row r="127" spans="1:28" x14ac:dyDescent="0.35">
      <c r="A127" s="1" t="s">
        <v>288</v>
      </c>
      <c r="B127" s="154">
        <f>'A2 - Transport'!P91</f>
        <v>3.2425656785599996E-3</v>
      </c>
      <c r="C127" s="154">
        <f>P16+P41+P66</f>
        <v>3.2755614449999997E-3</v>
      </c>
      <c r="D127" s="154">
        <f>P17+P42+P67</f>
        <v>1.1409946455097584E-2</v>
      </c>
      <c r="E127" s="154">
        <f>P18+P43+P68</f>
        <v>3.7063829451999999E-2</v>
      </c>
      <c r="F127" s="154">
        <f>P19+P44+P69</f>
        <v>0</v>
      </c>
      <c r="G127" s="154">
        <f>P20+P45+P70</f>
        <v>0</v>
      </c>
      <c r="H127" s="154">
        <f>P21+P46+P71</f>
        <v>0</v>
      </c>
      <c r="I127" s="154">
        <f>P22+P47+P72</f>
        <v>1.4765813059538047E-2</v>
      </c>
      <c r="J127" s="154">
        <f>P23+P48+P73</f>
        <v>0</v>
      </c>
      <c r="K127" s="154">
        <f>P24+P49+P74</f>
        <v>0</v>
      </c>
      <c r="L127" s="154">
        <f t="shared" si="21"/>
        <v>6.6515150411635623E-2</v>
      </c>
      <c r="M127" s="154">
        <f>'A2 - Transport'!P101</f>
        <v>5.8362518499999996E-4</v>
      </c>
      <c r="N127" s="154">
        <f>'A2 - Transport'!P102</f>
        <v>0</v>
      </c>
      <c r="O127" s="154">
        <f t="shared" si="20"/>
        <v>5.8362518499999996E-4</v>
      </c>
      <c r="P127" s="154">
        <f>'A2 - Transport'!P103</f>
        <v>0</v>
      </c>
      <c r="Q127" s="154">
        <f>'A2 - Transport'!P104</f>
        <v>0</v>
      </c>
      <c r="R127" s="154">
        <f t="shared" si="22"/>
        <v>0</v>
      </c>
      <c r="S127" s="154">
        <f>'A2 - Transport'!P105</f>
        <v>0</v>
      </c>
      <c r="T127" s="154">
        <f>'A2 - Transport'!P106</f>
        <v>0</v>
      </c>
      <c r="U127" s="154">
        <f t="shared" si="23"/>
        <v>0</v>
      </c>
      <c r="V127" s="154">
        <f>'A2 - Transport'!P107</f>
        <v>2.2835103290999997E-3</v>
      </c>
      <c r="W127" s="154">
        <f>'A2 - Transport'!P108</f>
        <v>0</v>
      </c>
      <c r="X127" s="154">
        <f>'A2 - Transport'!P109</f>
        <v>0</v>
      </c>
      <c r="Y127" s="154">
        <f t="shared" si="24"/>
        <v>2.2835103290999997E-3</v>
      </c>
      <c r="Z127" s="154">
        <f t="shared" si="25"/>
        <v>7.2624851604295632E-2</v>
      </c>
      <c r="AB127" s="87"/>
    </row>
    <row r="128" spans="1:28" x14ac:dyDescent="0.35">
      <c r="A128" s="1" t="s">
        <v>289</v>
      </c>
      <c r="B128" s="154">
        <f>'A2 - Transport'!Q91</f>
        <v>8.168755262399998E-11</v>
      </c>
      <c r="C128" s="154">
        <f>Q16+Q41+Q66</f>
        <v>8.2518790499999987E-11</v>
      </c>
      <c r="D128" s="154">
        <f>Q17+Q42+Q67</f>
        <v>3.5418325976628641E-11</v>
      </c>
      <c r="E128" s="154">
        <f>Q18+Q43+Q68</f>
        <v>9.3372157079999979E-10</v>
      </c>
      <c r="F128" s="154">
        <f>Q19+Q44+Q69</f>
        <v>0</v>
      </c>
      <c r="G128" s="154">
        <f>Q20+Q45+Q70</f>
        <v>0</v>
      </c>
      <c r="H128" s="154">
        <f>Q21+Q46+Q71</f>
        <v>0</v>
      </c>
      <c r="I128" s="154">
        <f>Q22+Q47+Q72</f>
        <v>4.5835480675637068E-11</v>
      </c>
      <c r="J128" s="154">
        <f>Q23+Q48+Q73</f>
        <v>0</v>
      </c>
      <c r="K128" s="154">
        <f>Q24+Q49+Q74</f>
        <v>0</v>
      </c>
      <c r="L128" s="154">
        <f t="shared" si="21"/>
        <v>1.0974941679522655E-9</v>
      </c>
      <c r="M128" s="154">
        <f>'A2 - Transport'!Q101</f>
        <v>1.4702836500000001E-11</v>
      </c>
      <c r="N128" s="154">
        <f>'A2 - Transport'!Q102</f>
        <v>0</v>
      </c>
      <c r="O128" s="154">
        <f t="shared" si="20"/>
        <v>1.4702836500000001E-11</v>
      </c>
      <c r="P128" s="154">
        <f>'A2 - Transport'!Q103</f>
        <v>0</v>
      </c>
      <c r="Q128" s="154">
        <f>'A2 - Transport'!Q104</f>
        <v>0</v>
      </c>
      <c r="R128" s="154">
        <f t="shared" si="22"/>
        <v>0</v>
      </c>
      <c r="S128" s="154">
        <f>'A2 - Transport'!Q105</f>
        <v>0</v>
      </c>
      <c r="T128" s="154">
        <f>'A2 - Transport'!Q106</f>
        <v>0</v>
      </c>
      <c r="U128" s="154">
        <f t="shared" si="23"/>
        <v>0</v>
      </c>
      <c r="V128" s="154">
        <f>'A2 - Transport'!Q107</f>
        <v>5.7526782389999992E-11</v>
      </c>
      <c r="W128" s="154">
        <f>'A2 - Transport'!Q108</f>
        <v>0</v>
      </c>
      <c r="X128" s="154">
        <f>'A2 - Transport'!Q109</f>
        <v>0</v>
      </c>
      <c r="Y128" s="154">
        <f t="shared" si="24"/>
        <v>5.7526782389999992E-11</v>
      </c>
      <c r="Z128" s="154">
        <f t="shared" si="25"/>
        <v>1.2514113394662655E-9</v>
      </c>
      <c r="AB128" s="87"/>
    </row>
    <row r="129" spans="1:28" x14ac:dyDescent="0.35">
      <c r="A129" s="1" t="s">
        <v>319</v>
      </c>
      <c r="B129" s="154">
        <f>'A2 - Transport'!R91</f>
        <v>6.6465010976000005E-9</v>
      </c>
      <c r="C129" s="154">
        <f>R16+R41+R66</f>
        <v>6.7141346999999997E-9</v>
      </c>
      <c r="D129" s="154">
        <f>R17+R42+R67</f>
        <v>7.8226390248690636E-10</v>
      </c>
      <c r="E129" s="154">
        <f>R18+R43+R68</f>
        <v>7.5972179920000006E-8</v>
      </c>
      <c r="F129" s="154">
        <f>R19+R44+R69</f>
        <v>0</v>
      </c>
      <c r="G129" s="154">
        <f>R20+R45+R70</f>
        <v>0</v>
      </c>
      <c r="H129" s="154">
        <f>R21+R46+R71</f>
        <v>0</v>
      </c>
      <c r="I129" s="154">
        <f>R22+R47+R72</f>
        <v>1.0123415208654083E-9</v>
      </c>
      <c r="J129" s="154">
        <f>R23+R48+R73</f>
        <v>0</v>
      </c>
      <c r="K129" s="154">
        <f>R24+R49+R74</f>
        <v>0</v>
      </c>
      <c r="L129" s="154">
        <f t="shared" si="21"/>
        <v>8.4480920043352312E-8</v>
      </c>
      <c r="M129" s="154">
        <f>'A2 - Transport'!R101</f>
        <v>1.1962951E-9</v>
      </c>
      <c r="N129" s="154">
        <f>'A2 - Transport'!R102</f>
        <v>0</v>
      </c>
      <c r="O129" s="154">
        <f t="shared" si="20"/>
        <v>1.1962951E-9</v>
      </c>
      <c r="P129" s="154">
        <f>'A2 - Transport'!R103</f>
        <v>0</v>
      </c>
      <c r="Q129" s="154">
        <f>'A2 - Transport'!R104</f>
        <v>0</v>
      </c>
      <c r="R129" s="154">
        <f t="shared" si="22"/>
        <v>0</v>
      </c>
      <c r="S129" s="154">
        <f>'A2 - Transport'!R105</f>
        <v>0</v>
      </c>
      <c r="T129" s="154">
        <f>'A2 - Transport'!R106</f>
        <v>0</v>
      </c>
      <c r="U129" s="154">
        <f t="shared" si="23"/>
        <v>0</v>
      </c>
      <c r="V129" s="154">
        <f>'A2 - Transport'!R107</f>
        <v>4.680661986E-9</v>
      </c>
      <c r="W129" s="154">
        <f>'A2 - Transport'!R108</f>
        <v>0</v>
      </c>
      <c r="X129" s="154">
        <f>'A2 - Transport'!R109</f>
        <v>0</v>
      </c>
      <c r="Y129" s="154">
        <f t="shared" si="24"/>
        <v>4.680661986E-9</v>
      </c>
      <c r="Z129" s="154">
        <f t="shared" si="25"/>
        <v>9.7004378226952321E-8</v>
      </c>
      <c r="AB129" s="87"/>
    </row>
    <row r="130" spans="1:28" x14ac:dyDescent="0.35">
      <c r="A130" s="1" t="s">
        <v>291</v>
      </c>
      <c r="B130" s="154">
        <f>'A2 - Transport'!S91</f>
        <v>5.6248101315199998E-3</v>
      </c>
      <c r="C130" s="154">
        <f>S16+S41+S66</f>
        <v>5.6820471900000001E-3</v>
      </c>
      <c r="D130" s="154">
        <f>S17+S42+S67</f>
        <v>8.8028607430854569E-3</v>
      </c>
      <c r="E130" s="154">
        <f>S18+S43+S68</f>
        <v>6.4293841384000003E-2</v>
      </c>
      <c r="F130" s="154">
        <f>S19+S44+S69</f>
        <v>0</v>
      </c>
      <c r="G130" s="154">
        <f>S20+S45+S70</f>
        <v>0</v>
      </c>
      <c r="H130" s="154">
        <f>S21+S46+S71</f>
        <v>0</v>
      </c>
      <c r="I130" s="154">
        <f>S22+S47+S72</f>
        <v>1.1391937432228239E-2</v>
      </c>
      <c r="J130" s="154">
        <f>S23+S48+S73</f>
        <v>0</v>
      </c>
      <c r="K130" s="154">
        <f>S24+S49+S74</f>
        <v>0</v>
      </c>
      <c r="L130" s="154">
        <f t="shared" si="21"/>
        <v>9.0170686749313708E-2</v>
      </c>
      <c r="M130" s="154">
        <f>'A2 - Transport'!S101</f>
        <v>1.0124022699999999E-3</v>
      </c>
      <c r="N130" s="154">
        <f>'A2 - Transport'!S102</f>
        <v>0</v>
      </c>
      <c r="O130" s="154">
        <f t="shared" si="20"/>
        <v>1.0124022699999999E-3</v>
      </c>
      <c r="P130" s="154">
        <f>'A2 - Transport'!S103</f>
        <v>0</v>
      </c>
      <c r="Q130" s="154">
        <f>'A2 - Transport'!S104</f>
        <v>0</v>
      </c>
      <c r="R130" s="154">
        <f t="shared" si="22"/>
        <v>0</v>
      </c>
      <c r="S130" s="154">
        <f>'A2 - Transport'!S105</f>
        <v>0</v>
      </c>
      <c r="T130" s="154">
        <f>'A2 - Transport'!S106</f>
        <v>0</v>
      </c>
      <c r="U130" s="154">
        <f t="shared" si="23"/>
        <v>0</v>
      </c>
      <c r="V130" s="154">
        <f>'A2 - Transport'!S107</f>
        <v>3.9611570922000001E-3</v>
      </c>
      <c r="W130" s="154">
        <f>'A2 - Transport'!S108</f>
        <v>0</v>
      </c>
      <c r="X130" s="154">
        <f>'A2 - Transport'!S109</f>
        <v>0</v>
      </c>
      <c r="Y130" s="154">
        <f t="shared" si="24"/>
        <v>3.9611570922000001E-3</v>
      </c>
      <c r="Z130" s="154">
        <f t="shared" si="25"/>
        <v>0.10076905624303371</v>
      </c>
      <c r="AB130" s="87"/>
    </row>
    <row r="131" spans="1:28" x14ac:dyDescent="0.35">
      <c r="A131" s="1" t="s">
        <v>292</v>
      </c>
      <c r="B131" s="154">
        <f>'A2 - Transport'!T91</f>
        <v>0.78244359896287996</v>
      </c>
      <c r="C131" s="154">
        <f>T16+T41+T66</f>
        <v>0.79040560460999998</v>
      </c>
      <c r="D131" s="154">
        <f>T17+T42+T67</f>
        <v>2.1479757364809067</v>
      </c>
      <c r="E131" s="154">
        <f>T18+T43+T68</f>
        <v>8.9436449350959997</v>
      </c>
      <c r="F131" s="154">
        <f>T19+T44+T69</f>
        <v>0</v>
      </c>
      <c r="G131" s="154">
        <f>T20+T45+T70</f>
        <v>0</v>
      </c>
      <c r="H131" s="154">
        <f>T21+T46+T71</f>
        <v>0</v>
      </c>
      <c r="I131" s="154">
        <f>T22+T47+T72</f>
        <v>2.7797333060341143</v>
      </c>
      <c r="J131" s="154">
        <f>T23+T48+T73</f>
        <v>0</v>
      </c>
      <c r="K131" s="154">
        <f>T24+T49+T74</f>
        <v>0</v>
      </c>
      <c r="L131" s="154">
        <f t="shared" si="21"/>
        <v>14.66175958222102</v>
      </c>
      <c r="M131" s="154">
        <f>'A2 - Transport'!T101</f>
        <v>0.14083100712999999</v>
      </c>
      <c r="N131" s="154">
        <f>'A2 - Transport'!T102</f>
        <v>0</v>
      </c>
      <c r="O131" s="154">
        <f t="shared" si="20"/>
        <v>0.14083100712999999</v>
      </c>
      <c r="P131" s="154">
        <f>'A2 - Transport'!T103</f>
        <v>0</v>
      </c>
      <c r="Q131" s="154">
        <f>'A2 - Transport'!T104</f>
        <v>0</v>
      </c>
      <c r="R131" s="154">
        <f t="shared" si="22"/>
        <v>0</v>
      </c>
      <c r="S131" s="154">
        <f>'A2 - Transport'!T105</f>
        <v>0</v>
      </c>
      <c r="T131" s="154">
        <f>'A2 - Transport'!T106</f>
        <v>0</v>
      </c>
      <c r="U131" s="154">
        <f t="shared" si="23"/>
        <v>0</v>
      </c>
      <c r="V131" s="154">
        <f>'A2 - Transport'!T107</f>
        <v>0.55101984579180008</v>
      </c>
      <c r="W131" s="154">
        <f>'A2 - Transport'!T108</f>
        <v>0</v>
      </c>
      <c r="X131" s="154">
        <f>'A2 - Transport'!T109</f>
        <v>0</v>
      </c>
      <c r="Y131" s="154">
        <f t="shared" si="24"/>
        <v>0.55101984579180008</v>
      </c>
      <c r="Z131" s="154">
        <f t="shared" si="25"/>
        <v>16.136054034105701</v>
      </c>
      <c r="AB131" s="87"/>
    </row>
    <row r="132" spans="1:28" x14ac:dyDescent="0.35">
      <c r="A132" s="1" t="s">
        <v>293</v>
      </c>
      <c r="B132" s="154">
        <f>'A2 - Transport'!U91</f>
        <v>1.0168314110399999E-6</v>
      </c>
      <c r="C132" s="154">
        <f>U16+U41+U66</f>
        <v>1.0271785049999999E-6</v>
      </c>
      <c r="D132" s="154">
        <f>U17+U42+U67</f>
        <v>3.6147503511793655E-7</v>
      </c>
      <c r="E132" s="154">
        <f>U18+U43+U68</f>
        <v>1.1622791868E-5</v>
      </c>
      <c r="F132" s="154">
        <f>U19+U44+U69</f>
        <v>0</v>
      </c>
      <c r="G132" s="154">
        <f>U20+U45+U70</f>
        <v>0</v>
      </c>
      <c r="H132" s="154">
        <f>U21+U46+U71</f>
        <v>0</v>
      </c>
      <c r="I132" s="154">
        <f>U22+U47+U72</f>
        <v>4.6779122191732971E-7</v>
      </c>
      <c r="J132" s="154">
        <f>U23+U48+U73</f>
        <v>0</v>
      </c>
      <c r="K132" s="154">
        <f>U24+U49+U74</f>
        <v>0</v>
      </c>
      <c r="L132" s="154">
        <f t="shared" si="21"/>
        <v>1.3479236630035266E-5</v>
      </c>
      <c r="M132" s="154">
        <f>'A2 - Transport'!U101</f>
        <v>1.8301816499999997E-7</v>
      </c>
      <c r="N132" s="154">
        <f>'A2 - Transport'!U102</f>
        <v>0</v>
      </c>
      <c r="O132" s="154">
        <f t="shared" si="20"/>
        <v>1.8301816499999997E-7</v>
      </c>
      <c r="P132" s="154">
        <f>'A2 - Transport'!U103</f>
        <v>0</v>
      </c>
      <c r="Q132" s="154">
        <f>'A2 - Transport'!U104</f>
        <v>0</v>
      </c>
      <c r="R132" s="154">
        <f t="shared" si="22"/>
        <v>0</v>
      </c>
      <c r="S132" s="154">
        <f>'A2 - Transport'!U105</f>
        <v>0</v>
      </c>
      <c r="T132" s="154">
        <f>'A2 - Transport'!U106</f>
        <v>0</v>
      </c>
      <c r="U132" s="154">
        <f t="shared" si="23"/>
        <v>0</v>
      </c>
      <c r="V132" s="154">
        <f>'A2 - Transport'!U107</f>
        <v>7.1608265190000001E-7</v>
      </c>
      <c r="W132" s="154">
        <f>'A2 - Transport'!U108</f>
        <v>0</v>
      </c>
      <c r="X132" s="154">
        <f>'A2 - Transport'!U109</f>
        <v>0</v>
      </c>
      <c r="Y132" s="154">
        <f t="shared" si="24"/>
        <v>7.1608265190000001E-7</v>
      </c>
      <c r="Z132" s="154">
        <f t="shared" si="25"/>
        <v>1.5395168857975265E-5</v>
      </c>
      <c r="AB132" s="87"/>
    </row>
    <row r="133" spans="1:28" x14ac:dyDescent="0.35">
      <c r="A133" s="1" t="s">
        <v>294</v>
      </c>
      <c r="B133" s="154">
        <f>'A2 - Transport'!V91</f>
        <v>2.0493852534400002E-8</v>
      </c>
      <c r="C133" s="154">
        <f>V16+V41+V66</f>
        <v>2.0702394300000001E-8</v>
      </c>
      <c r="D133" s="154">
        <f>V17+V42+V67</f>
        <v>4.8574287853847173E-9</v>
      </c>
      <c r="E133" s="154">
        <f>V18+V43+V68</f>
        <v>2.3425297448E-7</v>
      </c>
      <c r="F133" s="154">
        <f>V19+V44+V69</f>
        <v>0</v>
      </c>
      <c r="G133" s="154">
        <f>V20+V45+V70</f>
        <v>0</v>
      </c>
      <c r="H133" s="154">
        <f>V21+V46+V71</f>
        <v>0</v>
      </c>
      <c r="I133" s="154">
        <f>V22+V47+V72</f>
        <v>6.2860843104978695E-9</v>
      </c>
      <c r="J133" s="154">
        <f>V23+V48+V73</f>
        <v>0</v>
      </c>
      <c r="K133" s="154">
        <f>V24+V49+V74</f>
        <v>0</v>
      </c>
      <c r="L133" s="154">
        <f t="shared" si="21"/>
        <v>2.6609888187588262E-7</v>
      </c>
      <c r="M133" s="154">
        <f>'A2 - Transport'!V101</f>
        <v>3.6886618999999997E-9</v>
      </c>
      <c r="N133" s="154">
        <f>'A2 - Transport'!V102</f>
        <v>0</v>
      </c>
      <c r="O133" s="154">
        <f t="shared" si="20"/>
        <v>3.6886618999999997E-9</v>
      </c>
      <c r="P133" s="154">
        <f>'A2 - Transport'!V103</f>
        <v>0</v>
      </c>
      <c r="Q133" s="154">
        <f>'A2 - Transport'!V104</f>
        <v>0</v>
      </c>
      <c r="R133" s="154">
        <f t="shared" si="22"/>
        <v>0</v>
      </c>
      <c r="S133" s="154">
        <f>'A2 - Transport'!V105</f>
        <v>0</v>
      </c>
      <c r="T133" s="154">
        <f>'A2 - Transport'!V106</f>
        <v>0</v>
      </c>
      <c r="U133" s="154">
        <f t="shared" si="23"/>
        <v>0</v>
      </c>
      <c r="V133" s="154">
        <f>'A2 - Transport'!V107</f>
        <v>1.4432375034E-8</v>
      </c>
      <c r="W133" s="154">
        <f>'A2 - Transport'!V108</f>
        <v>0</v>
      </c>
      <c r="X133" s="154">
        <f>'A2 - Transport'!V109</f>
        <v>0</v>
      </c>
      <c r="Y133" s="154">
        <f t="shared" si="24"/>
        <v>1.4432375034E-8</v>
      </c>
      <c r="Z133" s="154">
        <f t="shared" si="25"/>
        <v>3.0471377134428263E-7</v>
      </c>
      <c r="AB133" s="87"/>
    </row>
    <row r="134" spans="1:28" x14ac:dyDescent="0.35">
      <c r="A134" s="1" t="s">
        <v>295</v>
      </c>
      <c r="B134" s="154">
        <f>'A2 - Transport'!W91</f>
        <v>5.7127756254399995E-8</v>
      </c>
      <c r="C134" s="154">
        <f>W16+W41+W66</f>
        <v>5.7709078049999987E-8</v>
      </c>
      <c r="D134" s="154">
        <f>W17+W42+W67</f>
        <v>5.539524102189045E-9</v>
      </c>
      <c r="E134" s="154">
        <f>W18+W43+W68</f>
        <v>6.5299322347999993E-7</v>
      </c>
      <c r="F134" s="154">
        <f>W19+W44+W69</f>
        <v>0</v>
      </c>
      <c r="G134" s="154">
        <f>W20+W45+W70</f>
        <v>0</v>
      </c>
      <c r="H134" s="154">
        <f>W21+W46+W71</f>
        <v>0</v>
      </c>
      <c r="I134" s="154">
        <f>W22+W47+W72</f>
        <v>7.168795896950529E-9</v>
      </c>
      <c r="J134" s="154">
        <f>W23+W48+W73</f>
        <v>0</v>
      </c>
      <c r="K134" s="154">
        <f>W24+W49+W74</f>
        <v>0</v>
      </c>
      <c r="L134" s="154">
        <f t="shared" si="21"/>
        <v>7.2341062152913949E-7</v>
      </c>
      <c r="M134" s="154">
        <f>'A2 - Transport'!W101</f>
        <v>1.0282350649999999E-8</v>
      </c>
      <c r="N134" s="154">
        <f>'A2 - Transport'!W102</f>
        <v>0</v>
      </c>
      <c r="O134" s="154">
        <f t="shared" si="20"/>
        <v>1.0282350649999999E-8</v>
      </c>
      <c r="P134" s="154">
        <f>'A2 - Transport'!W103</f>
        <v>0</v>
      </c>
      <c r="Q134" s="154">
        <f>'A2 - Transport'!W104</f>
        <v>0</v>
      </c>
      <c r="R134" s="154">
        <f t="shared" si="22"/>
        <v>0</v>
      </c>
      <c r="S134" s="154">
        <f>'A2 - Transport'!W105</f>
        <v>0</v>
      </c>
      <c r="T134" s="154">
        <f>'A2 - Transport'!W106</f>
        <v>0</v>
      </c>
      <c r="U134" s="154">
        <f t="shared" si="23"/>
        <v>0</v>
      </c>
      <c r="V134" s="154">
        <f>'A2 - Transport'!W107</f>
        <v>4.0231049858999998E-8</v>
      </c>
      <c r="W134" s="154">
        <f>'A2 - Transport'!W108</f>
        <v>0</v>
      </c>
      <c r="X134" s="154">
        <f>'A2 - Transport'!W109</f>
        <v>0</v>
      </c>
      <c r="Y134" s="154">
        <f t="shared" si="24"/>
        <v>4.0231049858999998E-8</v>
      </c>
      <c r="Z134" s="154">
        <f t="shared" si="25"/>
        <v>8.3105177829253952E-7</v>
      </c>
      <c r="AB134" s="87"/>
    </row>
    <row r="135" spans="1:28" x14ac:dyDescent="0.35">
      <c r="A135" s="1" t="s">
        <v>296</v>
      </c>
      <c r="B135" s="154">
        <f>'A2 - Transport'!X91</f>
        <v>2.3961960787199999E-3</v>
      </c>
      <c r="C135" s="154">
        <f>X16+X41+X66</f>
        <v>2.4205793399999995E-3</v>
      </c>
      <c r="D135" s="154">
        <f>X17+X42+X67</f>
        <v>3.1900115945870848E-3</v>
      </c>
      <c r="E135" s="154">
        <f>X18+X43+X68</f>
        <v>2.7389484623999996E-2</v>
      </c>
      <c r="F135" s="154">
        <f>X19+X44+X69</f>
        <v>0</v>
      </c>
      <c r="G135" s="154">
        <f>X20+X45+X70</f>
        <v>0</v>
      </c>
      <c r="H135" s="154">
        <f>X21+X46+X71</f>
        <v>0</v>
      </c>
      <c r="I135" s="154">
        <f>X22+X47+X72</f>
        <v>4.1282502988774037E-3</v>
      </c>
      <c r="J135" s="154">
        <f>X23+X48+X73</f>
        <v>0</v>
      </c>
      <c r="K135" s="154">
        <f>X24+X49+X74</f>
        <v>0</v>
      </c>
      <c r="L135" s="154">
        <f t="shared" si="21"/>
        <v>3.7128325857464485E-2</v>
      </c>
      <c r="M135" s="154">
        <f>'A2 - Transport'!X101</f>
        <v>4.3128821999999998E-4</v>
      </c>
      <c r="N135" s="154">
        <f>'A2 - Transport'!X102</f>
        <v>0</v>
      </c>
      <c r="O135" s="154">
        <f t="shared" si="20"/>
        <v>4.3128821999999998E-4</v>
      </c>
      <c r="P135" s="154">
        <f>'A2 - Transport'!X103</f>
        <v>0</v>
      </c>
      <c r="Q135" s="154">
        <f>'A2 - Transport'!X104</f>
        <v>0</v>
      </c>
      <c r="R135" s="154">
        <f t="shared" si="22"/>
        <v>0</v>
      </c>
      <c r="S135" s="154">
        <f>'A2 - Transport'!X105</f>
        <v>0</v>
      </c>
      <c r="T135" s="154">
        <f>'A2 - Transport'!X106</f>
        <v>0</v>
      </c>
      <c r="U135" s="154">
        <f t="shared" si="23"/>
        <v>0</v>
      </c>
      <c r="V135" s="154">
        <f>'A2 - Transport'!X107</f>
        <v>1.6874719092000001E-3</v>
      </c>
      <c r="W135" s="154">
        <f>'A2 - Transport'!X108</f>
        <v>0</v>
      </c>
      <c r="X135" s="154">
        <f>'A2 - Transport'!X109</f>
        <v>0</v>
      </c>
      <c r="Y135" s="154">
        <f t="shared" si="24"/>
        <v>1.6874719092000001E-3</v>
      </c>
      <c r="Z135" s="154">
        <f t="shared" si="25"/>
        <v>4.1643282065384486E-2</v>
      </c>
      <c r="AB135" s="87"/>
    </row>
    <row r="136" spans="1:28" x14ac:dyDescent="0.35">
      <c r="A136" s="1" t="s">
        <v>297</v>
      </c>
      <c r="B136" s="154">
        <f>'A2 - Transport'!Y91</f>
        <v>2.825270403888E-2</v>
      </c>
      <c r="C136" s="154">
        <f>Y16+Y41+Y66</f>
        <v>2.8540198485000001E-2</v>
      </c>
      <c r="D136" s="154">
        <f>Y17+Y42+Y67</f>
        <v>2.4880459710116803E-2</v>
      </c>
      <c r="E136" s="154">
        <f>Y18+Y43+Y68</f>
        <v>0.32293976679599995</v>
      </c>
      <c r="F136" s="154">
        <f>Y19+Y44+Y69</f>
        <v>0</v>
      </c>
      <c r="G136" s="154">
        <f>Y20+Y45+Y70</f>
        <v>0</v>
      </c>
      <c r="H136" s="154">
        <f>Y21+Y46+Y71</f>
        <v>0</v>
      </c>
      <c r="I136" s="154">
        <f>Y22+Y47+Y72</f>
        <v>3.2198241977798213E-2</v>
      </c>
      <c r="J136" s="154">
        <f>Y23+Y48+Y73</f>
        <v>0</v>
      </c>
      <c r="K136" s="154">
        <f>Y24+Y49+Y74</f>
        <v>0</v>
      </c>
      <c r="L136" s="154">
        <f t="shared" si="21"/>
        <v>0.40855866696891496</v>
      </c>
      <c r="M136" s="154">
        <f>'A2 - Transport'!Y101</f>
        <v>5.085167505E-3</v>
      </c>
      <c r="N136" s="154">
        <f>'A2 - Transport'!Y102</f>
        <v>0</v>
      </c>
      <c r="O136" s="154">
        <f t="shared" si="20"/>
        <v>5.085167505E-3</v>
      </c>
      <c r="P136" s="154">
        <f>'A2 - Transport'!Y103</f>
        <v>0</v>
      </c>
      <c r="Q136" s="154">
        <f>'A2 - Transport'!Y104</f>
        <v>0</v>
      </c>
      <c r="R136" s="154">
        <f t="shared" si="22"/>
        <v>0</v>
      </c>
      <c r="S136" s="154">
        <f>'A2 - Transport'!Y105</f>
        <v>0</v>
      </c>
      <c r="T136" s="154">
        <f>'A2 - Transport'!Y106</f>
        <v>0</v>
      </c>
      <c r="U136" s="154">
        <f t="shared" si="23"/>
        <v>0</v>
      </c>
      <c r="V136" s="154">
        <f>'A2 - Transport'!Y107</f>
        <v>1.98963869643E-2</v>
      </c>
      <c r="W136" s="154">
        <f>'A2 - Transport'!Y108</f>
        <v>0</v>
      </c>
      <c r="X136" s="154">
        <f>'A2 - Transport'!Y109</f>
        <v>0</v>
      </c>
      <c r="Y136" s="154">
        <f t="shared" si="24"/>
        <v>1.98963869643E-2</v>
      </c>
      <c r="Z136" s="154">
        <f t="shared" si="25"/>
        <v>0.461792925477095</v>
      </c>
      <c r="AB136" s="87"/>
    </row>
    <row r="140" spans="1:28" x14ac:dyDescent="0.35">
      <c r="B140" t="s">
        <v>352</v>
      </c>
    </row>
    <row r="141" spans="1:28" x14ac:dyDescent="0.35">
      <c r="A141" s="95" t="s">
        <v>326</v>
      </c>
      <c r="B141" s="1">
        <f>SUM(G110:Y110)</f>
        <v>241.47868187107468</v>
      </c>
    </row>
    <row r="142" spans="1:28" x14ac:dyDescent="0.35">
      <c r="A142" s="95" t="s">
        <v>327</v>
      </c>
      <c r="B142" s="1">
        <f>SUM(B118:K136)+SUM(M118:N136)+SUM(P118:Q136)+SUM(S118:T136)+SUM(V118:X136)</f>
        <v>241.47868187107463</v>
      </c>
    </row>
    <row r="143" spans="1:28" x14ac:dyDescent="0.35">
      <c r="A143" s="95" t="s">
        <v>58</v>
      </c>
      <c r="B143" s="204">
        <f>+B141-B142</f>
        <v>0</v>
      </c>
    </row>
    <row r="147" spans="1:1" ht="29" x14ac:dyDescent="0.35">
      <c r="A147" s="28" t="s">
        <v>353</v>
      </c>
    </row>
  </sheetData>
  <mergeCells count="25">
    <mergeCell ref="A101:A102"/>
    <mergeCell ref="A103:A104"/>
    <mergeCell ref="A105:A106"/>
    <mergeCell ref="A107:A109"/>
    <mergeCell ref="A75:A76"/>
    <mergeCell ref="A77:A78"/>
    <mergeCell ref="A79:A80"/>
    <mergeCell ref="A81:A83"/>
    <mergeCell ref="A92:A100"/>
    <mergeCell ref="A59:F59"/>
    <mergeCell ref="A84:F84"/>
    <mergeCell ref="A110:F110"/>
    <mergeCell ref="A34:F34"/>
    <mergeCell ref="A3:B3"/>
    <mergeCell ref="A16:A24"/>
    <mergeCell ref="A25:A26"/>
    <mergeCell ref="A27:A28"/>
    <mergeCell ref="A29:A30"/>
    <mergeCell ref="A31:A33"/>
    <mergeCell ref="A41:A49"/>
    <mergeCell ref="A50:A51"/>
    <mergeCell ref="A52:A53"/>
    <mergeCell ref="A54:A55"/>
    <mergeCell ref="A56:A58"/>
    <mergeCell ref="A66:A74"/>
  </mergeCells>
  <hyperlinks>
    <hyperlink ref="D4" r:id="rId1" xr:uid="{8079873F-9305-4E7F-8E65-E01EF55DD73F}"/>
  </hyperlinks>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7BD42-E859-4A78-B2B1-56D399A32D52}">
  <sheetPr codeName="Sheet9"/>
  <dimension ref="A1:AB127"/>
  <sheetViews>
    <sheetView showGridLines="0" zoomScale="70" zoomScaleNormal="70" workbookViewId="0"/>
  </sheetViews>
  <sheetFormatPr defaultColWidth="8.81640625" defaultRowHeight="14.5" x14ac:dyDescent="0.35"/>
  <cols>
    <col min="1" max="1" width="87.1796875" customWidth="1"/>
    <col min="2" max="2" width="40.1796875" customWidth="1"/>
    <col min="3" max="3" width="24.453125" customWidth="1"/>
    <col min="4" max="4" width="27.453125" customWidth="1"/>
    <col min="5" max="5" width="19.81640625" customWidth="1"/>
    <col min="6" max="6" width="18.1796875" customWidth="1"/>
    <col min="7" max="7" width="21.1796875" customWidth="1"/>
    <col min="8" max="8" width="20.81640625" customWidth="1"/>
    <col min="9" max="9" width="21.54296875" customWidth="1"/>
    <col min="10" max="10" width="19" customWidth="1"/>
    <col min="11" max="11" width="20.1796875" customWidth="1"/>
    <col min="12" max="12" width="19.1796875" customWidth="1"/>
    <col min="13" max="13" width="22.1796875" customWidth="1"/>
    <col min="14" max="14" width="23.1796875" customWidth="1"/>
    <col min="15" max="15" width="21.1796875" customWidth="1"/>
    <col min="16" max="16" width="18.1796875" customWidth="1"/>
    <col min="17" max="17" width="19" customWidth="1"/>
    <col min="18" max="18" width="16.81640625" customWidth="1"/>
    <col min="19" max="19" width="20.1796875" customWidth="1"/>
    <col min="20" max="20" width="20.81640625" customWidth="1"/>
    <col min="21" max="21" width="19" customWidth="1"/>
    <col min="22" max="22" width="20.81640625" customWidth="1"/>
    <col min="23" max="23" width="18.1796875" customWidth="1"/>
    <col min="24" max="24" width="19.1796875" customWidth="1"/>
    <col min="25" max="25" width="17.453125" customWidth="1"/>
    <col min="27" max="27" width="8.81640625" customWidth="1"/>
    <col min="28" max="28" width="12.453125" customWidth="1"/>
  </cols>
  <sheetData>
    <row r="1" spans="1:25" ht="23.5" x14ac:dyDescent="0.55000000000000004">
      <c r="A1" s="100" t="s">
        <v>328</v>
      </c>
    </row>
    <row r="3" spans="1:25" x14ac:dyDescent="0.35">
      <c r="A3" s="408" t="s">
        <v>329</v>
      </c>
      <c r="B3" s="408"/>
      <c r="C3" s="62" t="s">
        <v>330</v>
      </c>
      <c r="D3" s="62" t="s">
        <v>331</v>
      </c>
    </row>
    <row r="4" spans="1:25" x14ac:dyDescent="0.35">
      <c r="A4" s="1" t="s">
        <v>332</v>
      </c>
      <c r="B4" s="106">
        <v>1.24</v>
      </c>
      <c r="C4" t="s">
        <v>333</v>
      </c>
      <c r="D4" s="30" t="s">
        <v>334</v>
      </c>
      <c r="E4" s="20"/>
    </row>
    <row r="5" spans="1:25" x14ac:dyDescent="0.35">
      <c r="A5" s="1" t="s">
        <v>335</v>
      </c>
      <c r="B5" s="106">
        <v>36.286999999999999</v>
      </c>
      <c r="C5" s="1"/>
      <c r="D5" s="1"/>
    </row>
    <row r="6" spans="1:25" x14ac:dyDescent="0.35">
      <c r="A6" s="1" t="s">
        <v>336</v>
      </c>
      <c r="B6" s="163">
        <f>B4/B5</f>
        <v>3.417201752693802E-2</v>
      </c>
      <c r="C6" s="1"/>
      <c r="D6" s="1"/>
    </row>
    <row r="10" spans="1:25" x14ac:dyDescent="0.35">
      <c r="A10" t="s">
        <v>337</v>
      </c>
    </row>
    <row r="12" spans="1:25" ht="23.5" x14ac:dyDescent="0.55000000000000004">
      <c r="A12" s="100" t="s">
        <v>338</v>
      </c>
    </row>
    <row r="14" spans="1:25" ht="100.25" customHeight="1" x14ac:dyDescent="0.35">
      <c r="A14" s="104" t="s">
        <v>276</v>
      </c>
      <c r="B14" s="104" t="s">
        <v>277</v>
      </c>
      <c r="C14" s="103" t="s">
        <v>278</v>
      </c>
      <c r="D14" s="103" t="s">
        <v>56</v>
      </c>
      <c r="E14" s="103" t="s">
        <v>339</v>
      </c>
      <c r="F14" s="103" t="s">
        <v>340</v>
      </c>
      <c r="G14" s="103" t="s">
        <v>279</v>
      </c>
      <c r="H14" s="103" t="s">
        <v>280</v>
      </c>
      <c r="I14" s="103" t="s">
        <v>281</v>
      </c>
      <c r="J14" s="103" t="s">
        <v>282</v>
      </c>
      <c r="K14" s="103" t="s">
        <v>283</v>
      </c>
      <c r="L14" s="103" t="s">
        <v>284</v>
      </c>
      <c r="M14" s="103" t="s">
        <v>285</v>
      </c>
      <c r="N14" s="103" t="s">
        <v>286</v>
      </c>
      <c r="O14" s="103" t="s">
        <v>287</v>
      </c>
      <c r="P14" s="103" t="s">
        <v>288</v>
      </c>
      <c r="Q14" s="103" t="s">
        <v>289</v>
      </c>
      <c r="R14" s="103" t="s">
        <v>290</v>
      </c>
      <c r="S14" s="103" t="s">
        <v>291</v>
      </c>
      <c r="T14" s="103" t="s">
        <v>292</v>
      </c>
      <c r="U14" s="103" t="s">
        <v>293</v>
      </c>
      <c r="V14" s="103" t="s">
        <v>294</v>
      </c>
      <c r="W14" s="103" t="s">
        <v>295</v>
      </c>
      <c r="X14" s="103" t="s">
        <v>296</v>
      </c>
      <c r="Y14" s="103" t="s">
        <v>297</v>
      </c>
    </row>
    <row r="15" spans="1:25" x14ac:dyDescent="0.35">
      <c r="A15" s="400" t="s">
        <v>298</v>
      </c>
      <c r="B15" s="158" t="str">
        <f>Input!A51</f>
        <v>RAP 1</v>
      </c>
      <c r="C15" s="158">
        <f>+Input!B51</f>
        <v>0.3</v>
      </c>
      <c r="D15" s="158">
        <f>Input!$L51</f>
        <v>50</v>
      </c>
      <c r="E15" s="158" t="str">
        <f>Input!$J51</f>
        <v>Truck</v>
      </c>
      <c r="F15" s="158" t="str">
        <f>Input!$K51</f>
        <v>Diesel_Euro6</v>
      </c>
      <c r="G15" s="158" cm="1">
        <f t="array" ref="G15">INDEX(LCI!H$2:H$73, MATCH($E15&amp;$F15, LCI!$B$2:$B$73&amp;LCI!$D$2:$D$73, 0))* IF(AND($E15="Truck", OR($F15="Electric", $F15="Electric_green")), $B$6, 1)* $C15* $D15</f>
        <v>3.55083E-3</v>
      </c>
      <c r="H15" s="158" cm="1">
        <f t="array" ref="H15">INDEX(LCI!I$2:I$73, MATCH($E15&amp;$F15, LCI!$B$2:$B$73&amp;LCI!$D$2:$D$73, 0))* IF(AND($E15="Truck", OR($F15="Electric", $F15="Electric_green")), $B$6, 1)* $C15* $D15</f>
        <v>2.3811728849999998</v>
      </c>
      <c r="I15" s="158" cm="1">
        <f t="array" ref="I15">INDEX(LCI!J$2:J$73, MATCH($E15&amp;$F15, LCI!$B$2:$B$73&amp;LCI!$D$2:$D$73, 0))* IF(AND($E15="Truck", OR($F15="Electric", $F15="Electric_green")), $B$6, 1)* $C15* $D15</f>
        <v>1.1128545000000001E-3</v>
      </c>
      <c r="J15" s="158" cm="1">
        <f t="array" ref="J15">INDEX(LCI!K$2:K$73, MATCH($E15&amp;$F15, LCI!$B$2:$B$73&amp;LCI!$D$2:$D$73, 0))* IF(AND($E15="Truck", OR($F15="Electric", $F15="Electric_green")), $B$6, 1)* $C15* $D15</f>
        <v>2.3798706300000001</v>
      </c>
      <c r="K15" s="158" cm="1">
        <f t="array" ref="K15">INDEX(LCI!L$2:L$73, MATCH($E15&amp;$F15, LCI!$B$2:$B$73&amp;LCI!$D$2:$D$73, 0))* IF(AND($E15="Truck", OR($F15="Electric", $F15="Electric_green")), $B$6, 1)* $C15* $D15</f>
        <v>1.8939749999999998E-4</v>
      </c>
      <c r="L15" s="158" cm="1">
        <f t="array" ref="L15">INDEX(LCI!M$2:M$73, MATCH($E15&amp;$F15, LCI!$B$2:$B$73&amp;LCI!$D$2:$D$73, 0))* IF(AND($E15="Truck", OR($F15="Electric", $F15="Electric_green")), $B$6, 1)* $C15* $D15</f>
        <v>2.0451592349999999</v>
      </c>
      <c r="M15" s="158" cm="1">
        <f t="array" ref="M15">INDEX(LCI!N$2:N$73, MATCH($E15&amp;$F15, LCI!$B$2:$B$73&amp;LCI!$D$2:$D$73, 0))* IF(AND($E15="Truck", OR($F15="Electric", $F15="Electric_green")), $B$6, 1)* $C15* $D15</f>
        <v>32.048111399999996</v>
      </c>
      <c r="N15" s="158" cm="1">
        <f t="array" ref="N15">INDEX(LCI!O$2:O$73, MATCH($E15&amp;$F15, LCI!$B$2:$B$73&amp;LCI!$D$2:$D$73, 0))* IF(AND($E15="Truck", OR($F15="Electric", $F15="Electric_green")), $B$6, 1)* $C15* $D15</f>
        <v>5.5540349999999998E-5</v>
      </c>
      <c r="O15" s="158" cm="1">
        <f t="array" ref="O15">INDEX(LCI!P$2:P$73, MATCH($E15&amp;$F15, LCI!$B$2:$B$73&amp;LCI!$D$2:$D$73, 0))* IF(AND($E15="Truck", OR($F15="Electric", $F15="Electric_green")), $B$6, 1)* $C15* $D15</f>
        <v>7.7395799999999994E-4</v>
      </c>
      <c r="P15" s="158" cm="1">
        <f t="array" ref="P15">INDEX(LCI!Q$2:Q$73, MATCH($E15&amp;$F15, LCI!$B$2:$B$73&amp;LCI!$D$2:$D$73, 0))* IF(AND($E15="Truck", OR($F15="Electric", $F15="Electric_green")), $B$6, 1)* $C15* $D15</f>
        <v>8.3773949999999993E-3</v>
      </c>
      <c r="Q15" s="158" cm="1">
        <f t="array" ref="Q15">INDEX(LCI!R$2:R$73, MATCH($E15&amp;$F15, LCI!$B$2:$B$73&amp;LCI!$D$2:$D$73, 0))* IF(AND($E15="Truck", OR($F15="Electric", $F15="Electric_green")), $B$6, 1)* $C15* $D15</f>
        <v>2.1104549999999997E-10</v>
      </c>
      <c r="R15" s="158" cm="1">
        <f t="array" ref="R15">INDEX(LCI!S$2:S$73, MATCH($E15&amp;$F15, LCI!$B$2:$B$73&amp;LCI!$D$2:$D$73, 0))* IF(AND($E15="Truck", OR($F15="Electric", $F15="Electric_green")), $B$6, 1)* $C15* $D15</f>
        <v>1.71717E-8</v>
      </c>
      <c r="S15" s="158" cm="1">
        <f t="array" ref="S15">INDEX(LCI!T$2:T$73, MATCH($E15&amp;$F15, LCI!$B$2:$B$73&amp;LCI!$D$2:$D$73, 0))* IF(AND($E15="Truck", OR($F15="Electric", $F15="Electric_green")), $B$6, 1)* $C15* $D15</f>
        <v>1.4532090000000001E-2</v>
      </c>
      <c r="T15" s="158" cm="1">
        <f t="array" ref="T15">INDEX(LCI!U$2:U$73, MATCH($E15&amp;$F15, LCI!$B$2:$B$73&amp;LCI!$D$2:$D$73, 0))* IF(AND($E15="Truck", OR($F15="Electric", $F15="Electric_green")), $B$6, 1)* $C15* $D15</f>
        <v>2.0214977099999998</v>
      </c>
      <c r="U15" s="158" cm="1">
        <f t="array" ref="U15">INDEX(LCI!V$2:V$73, MATCH($E15&amp;$F15, LCI!$B$2:$B$73&amp;LCI!$D$2:$D$73, 0))* IF(AND($E15="Truck", OR($F15="Electric", $F15="Electric_green")), $B$6, 1)* $C15* $D15</f>
        <v>2.6270549999999996E-6</v>
      </c>
      <c r="V15" s="158" cm="1">
        <f t="array" ref="V15">INDEX(LCI!W$2:W$73, MATCH($E15&amp;$F15, LCI!$B$2:$B$73&amp;LCI!$D$2:$D$73, 0))* IF(AND($E15="Truck", OR($F15="Electric", $F15="Electric_green")), $B$6, 1)* $C15* $D15</f>
        <v>5.2947299999999994E-8</v>
      </c>
      <c r="W15" s="158" cm="1">
        <f t="array" ref="W15">INDEX(LCI!X$2:X$73, MATCH($E15&amp;$F15, LCI!$B$2:$B$73&amp;LCI!$D$2:$D$73, 0))* IF(AND($E15="Truck", OR($F15="Electric", $F15="Electric_green")), $B$6, 1)* $C15* $D15</f>
        <v>1.4759354999999997E-7</v>
      </c>
      <c r="X15" s="158" cm="1">
        <f t="array" ref="X15">INDEX(LCI!Y$2:Y$73, MATCH($E15&amp;$F15, LCI!$B$2:$B$73&amp;LCI!$D$2:$D$73, 0))* IF(AND($E15="Truck", OR($F15="Electric", $F15="Electric_green")), $B$6, 1)* $C15* $D15</f>
        <v>6.1907399999999993E-3</v>
      </c>
      <c r="Y15" s="158" cm="1">
        <f t="array" ref="Y15">INDEX(LCI!Z$2:Z$73, MATCH($E15&amp;$F15, LCI!$B$2:$B$73&amp;LCI!$D$2:$D$73, 0))* IF(AND($E15="Truck", OR($F15="Electric", $F15="Electric_green")), $B$6, 1)* $C15* $D15</f>
        <v>7.2992834999999992E-2</v>
      </c>
    </row>
    <row r="16" spans="1:25" ht="14" customHeight="1" x14ac:dyDescent="0.35">
      <c r="A16" s="400"/>
      <c r="B16" s="158" t="str">
        <f>Input!A52</f>
        <v>RAP 2</v>
      </c>
      <c r="C16" s="158">
        <f>+Input!B52</f>
        <v>0</v>
      </c>
      <c r="D16" s="158">
        <f>Input!$L52</f>
        <v>0</v>
      </c>
      <c r="E16" s="158" t="str">
        <f>Input!$J52</f>
        <v>No</v>
      </c>
      <c r="F16" s="158" t="str">
        <f>Input!$K52</f>
        <v>No</v>
      </c>
      <c r="G16" s="158" cm="1">
        <f t="array" ref="G16">INDEX(LCI!H$2:H$73, MATCH($E16&amp;$F16, LCI!$B$2:$B$73&amp;LCI!$D$2:$D$73, 0))* IF(AND($E16="Truck", OR($F16="Electric", $F16="Electric_green")), $B$6, 1)* $C16* $D16</f>
        <v>0</v>
      </c>
      <c r="H16" s="158" cm="1">
        <f t="array" ref="H16">INDEX(LCI!I$2:I$73, MATCH($E16&amp;$F16, LCI!$B$2:$B$73&amp;LCI!$D$2:$D$73, 0))* IF(AND($E16="Truck", OR($F16="Electric", $F16="Electric_green")), $B$6, 1)* $C16* $D16</f>
        <v>0</v>
      </c>
      <c r="I16" s="158" cm="1">
        <f t="array" ref="I16">INDEX(LCI!J$2:J$73, MATCH($E16&amp;$F16, LCI!$B$2:$B$73&amp;LCI!$D$2:$D$73, 0))* IF(AND($E16="Truck", OR($F16="Electric", $F16="Electric_green")), $B$6, 1)* $C16* $D16</f>
        <v>0</v>
      </c>
      <c r="J16" s="158" cm="1">
        <f t="array" ref="J16">INDEX(LCI!K$2:K$73, MATCH($E16&amp;$F16, LCI!$B$2:$B$73&amp;LCI!$D$2:$D$73, 0))* IF(AND($E16="Truck", OR($F16="Electric", $F16="Electric_green")), $B$6, 1)* $C16* $D16</f>
        <v>0</v>
      </c>
      <c r="K16" s="158" cm="1">
        <f t="array" ref="K16">INDEX(LCI!L$2:L$73, MATCH($E16&amp;$F16, LCI!$B$2:$B$73&amp;LCI!$D$2:$D$73, 0))* IF(AND($E16="Truck", OR($F16="Electric", $F16="Electric_green")), $B$6, 1)* $C16* $D16</f>
        <v>0</v>
      </c>
      <c r="L16" s="158" cm="1">
        <f t="array" ref="L16">INDEX(LCI!M$2:M$73, MATCH($E16&amp;$F16, LCI!$B$2:$B$73&amp;LCI!$D$2:$D$73, 0))* IF(AND($E16="Truck", OR($F16="Electric", $F16="Electric_green")), $B$6, 1)* $C16* $D16</f>
        <v>0</v>
      </c>
      <c r="M16" s="158" cm="1">
        <f t="array" ref="M16">INDEX(LCI!N$2:N$73, MATCH($E16&amp;$F16, LCI!$B$2:$B$73&amp;LCI!$D$2:$D$73, 0))* IF(AND($E16="Truck", OR($F16="Electric", $F16="Electric_green")), $B$6, 1)* $C16* $D16</f>
        <v>0</v>
      </c>
      <c r="N16" s="158" cm="1">
        <f t="array" ref="N16">INDEX(LCI!O$2:O$73, MATCH($E16&amp;$F16, LCI!$B$2:$B$73&amp;LCI!$D$2:$D$73, 0))* IF(AND($E16="Truck", OR($F16="Electric", $F16="Electric_green")), $B$6, 1)* $C16* $D16</f>
        <v>0</v>
      </c>
      <c r="O16" s="158" cm="1">
        <f t="array" ref="O16">INDEX(LCI!P$2:P$73, MATCH($E16&amp;$F16, LCI!$B$2:$B$73&amp;LCI!$D$2:$D$73, 0))* IF(AND($E16="Truck", OR($F16="Electric", $F16="Electric_green")), $B$6, 1)* $C16* $D16</f>
        <v>0</v>
      </c>
      <c r="P16" s="158" cm="1">
        <f t="array" ref="P16">INDEX(LCI!Q$2:Q$73, MATCH($E16&amp;$F16, LCI!$B$2:$B$73&amp;LCI!$D$2:$D$73, 0))* IF(AND($E16="Truck", OR($F16="Electric", $F16="Electric_green")), $B$6, 1)* $C16* $D16</f>
        <v>0</v>
      </c>
      <c r="Q16" s="158" cm="1">
        <f t="array" ref="Q16">INDEX(LCI!R$2:R$73, MATCH($E16&amp;$F16, LCI!$B$2:$B$73&amp;LCI!$D$2:$D$73, 0))* IF(AND($E16="Truck", OR($F16="Electric", $F16="Electric_green")), $B$6, 1)* $C16* $D16</f>
        <v>0</v>
      </c>
      <c r="R16" s="158" cm="1">
        <f t="array" ref="R16">INDEX(LCI!S$2:S$73, MATCH($E16&amp;$F16, LCI!$B$2:$B$73&amp;LCI!$D$2:$D$73, 0))* IF(AND($E16="Truck", OR($F16="Electric", $F16="Electric_green")), $B$6, 1)* $C16* $D16</f>
        <v>0</v>
      </c>
      <c r="S16" s="158" cm="1">
        <f t="array" ref="S16">INDEX(LCI!T$2:T$73, MATCH($E16&amp;$F16, LCI!$B$2:$B$73&amp;LCI!$D$2:$D$73, 0))* IF(AND($E16="Truck", OR($F16="Electric", $F16="Electric_green")), $B$6, 1)* $C16* $D16</f>
        <v>0</v>
      </c>
      <c r="T16" s="158" cm="1">
        <f t="array" ref="T16">INDEX(LCI!U$2:U$73, MATCH($E16&amp;$F16, LCI!$B$2:$B$73&amp;LCI!$D$2:$D$73, 0))* IF(AND($E16="Truck", OR($F16="Electric", $F16="Electric_green")), $B$6, 1)* $C16* $D16</f>
        <v>0</v>
      </c>
      <c r="U16" s="158" cm="1">
        <f t="array" ref="U16">INDEX(LCI!V$2:V$73, MATCH($E16&amp;$F16, LCI!$B$2:$B$73&amp;LCI!$D$2:$D$73, 0))* IF(AND($E16="Truck", OR($F16="Electric", $F16="Electric_green")), $B$6, 1)* $C16* $D16</f>
        <v>0</v>
      </c>
      <c r="V16" s="158" cm="1">
        <f t="array" ref="V16">INDEX(LCI!W$2:W$73, MATCH($E16&amp;$F16, LCI!$B$2:$B$73&amp;LCI!$D$2:$D$73, 0))* IF(AND($E16="Truck", OR($F16="Electric", $F16="Electric_green")), $B$6, 1)* $C16* $D16</f>
        <v>0</v>
      </c>
      <c r="W16" s="158" cm="1">
        <f t="array" ref="W16">INDEX(LCI!X$2:X$73, MATCH($E16&amp;$F16, LCI!$B$2:$B$73&amp;LCI!$D$2:$D$73, 0))* IF(AND($E16="Truck", OR($F16="Electric", $F16="Electric_green")), $B$6, 1)* $C16* $D16</f>
        <v>0</v>
      </c>
      <c r="X16" s="158" cm="1">
        <f t="array" ref="X16">INDEX(LCI!Y$2:Y$73, MATCH($E16&amp;$F16, LCI!$B$2:$B$73&amp;LCI!$D$2:$D$73, 0))* IF(AND($E16="Truck", OR($F16="Electric", $F16="Electric_green")), $B$6, 1)* $C16* $D16</f>
        <v>0</v>
      </c>
      <c r="Y16" s="158" cm="1">
        <f t="array" ref="Y16">INDEX(LCI!Z$2:Z$73, MATCH($E16&amp;$F16, LCI!$B$2:$B$73&amp;LCI!$D$2:$D$73, 0))* IF(AND($E16="Truck", OR($F16="Electric", $F16="Electric_green")), $B$6, 1)* $C16* $D16</f>
        <v>0</v>
      </c>
    </row>
    <row r="17" spans="1:25" ht="14" customHeight="1" x14ac:dyDescent="0.35">
      <c r="A17" s="401" t="s">
        <v>299</v>
      </c>
      <c r="B17" s="158" t="str">
        <f>Input!A53</f>
        <v>Other_waste 1</v>
      </c>
      <c r="C17" s="158">
        <f>+Input!B53</f>
        <v>0</v>
      </c>
      <c r="D17" s="158">
        <f>Input!$L53</f>
        <v>0</v>
      </c>
      <c r="E17" s="158" t="str">
        <f>Input!$J53</f>
        <v>No</v>
      </c>
      <c r="F17" s="158" t="str">
        <f>Input!$K53</f>
        <v>No</v>
      </c>
      <c r="G17" s="158" cm="1">
        <f t="array" ref="G17">INDEX(LCI!H$2:H$73, MATCH($E17&amp;$F17, LCI!$B$2:$B$73&amp;LCI!$D$2:$D$73, 0))* IF(AND($E17="Truck", OR($F17="Electric", $F17="Electric_green")), $B$6, 1)* $C17* $D17</f>
        <v>0</v>
      </c>
      <c r="H17" s="158" cm="1">
        <f t="array" ref="H17">INDEX(LCI!I$2:I$73, MATCH($E17&amp;$F17, LCI!$B$2:$B$73&amp;LCI!$D$2:$D$73, 0))* IF(AND($E17="Truck", OR($F17="Electric", $F17="Electric_green")), $B$6, 1)* $C17* $D17</f>
        <v>0</v>
      </c>
      <c r="I17" s="158" cm="1">
        <f t="array" ref="I17">INDEX(LCI!J$2:J$73, MATCH($E17&amp;$F17, LCI!$B$2:$B$73&amp;LCI!$D$2:$D$73, 0))* IF(AND($E17="Truck", OR($F17="Electric", $F17="Electric_green")), $B$6, 1)* $C17* $D17</f>
        <v>0</v>
      </c>
      <c r="J17" s="158" cm="1">
        <f t="array" ref="J17">INDEX(LCI!K$2:K$73, MATCH($E17&amp;$F17, LCI!$B$2:$B$73&amp;LCI!$D$2:$D$73, 0))* IF(AND($E17="Truck", OR($F17="Electric", $F17="Electric_green")), $B$6, 1)* $C17* $D17</f>
        <v>0</v>
      </c>
      <c r="K17" s="158" cm="1">
        <f t="array" ref="K17">INDEX(LCI!L$2:L$73, MATCH($E17&amp;$F17, LCI!$B$2:$B$73&amp;LCI!$D$2:$D$73, 0))* IF(AND($E17="Truck", OR($F17="Electric", $F17="Electric_green")), $B$6, 1)* $C17* $D17</f>
        <v>0</v>
      </c>
      <c r="L17" s="158" cm="1">
        <f t="array" ref="L17">INDEX(LCI!M$2:M$73, MATCH($E17&amp;$F17, LCI!$B$2:$B$73&amp;LCI!$D$2:$D$73, 0))* IF(AND($E17="Truck", OR($F17="Electric", $F17="Electric_green")), $B$6, 1)* $C17* $D17</f>
        <v>0</v>
      </c>
      <c r="M17" s="158" cm="1">
        <f t="array" ref="M17">INDEX(LCI!N$2:N$73, MATCH($E17&amp;$F17, LCI!$B$2:$B$73&amp;LCI!$D$2:$D$73, 0))* IF(AND($E17="Truck", OR($F17="Electric", $F17="Electric_green")), $B$6, 1)* $C17* $D17</f>
        <v>0</v>
      </c>
      <c r="N17" s="158" cm="1">
        <f t="array" ref="N17">INDEX(LCI!O$2:O$73, MATCH($E17&amp;$F17, LCI!$B$2:$B$73&amp;LCI!$D$2:$D$73, 0))* IF(AND($E17="Truck", OR($F17="Electric", $F17="Electric_green")), $B$6, 1)* $C17* $D17</f>
        <v>0</v>
      </c>
      <c r="O17" s="158" cm="1">
        <f t="array" ref="O17">INDEX(LCI!P$2:P$73, MATCH($E17&amp;$F17, LCI!$B$2:$B$73&amp;LCI!$D$2:$D$73, 0))* IF(AND($E17="Truck", OR($F17="Electric", $F17="Electric_green")), $B$6, 1)* $C17* $D17</f>
        <v>0</v>
      </c>
      <c r="P17" s="158" cm="1">
        <f t="array" ref="P17">INDEX(LCI!Q$2:Q$73, MATCH($E17&amp;$F17, LCI!$B$2:$B$73&amp;LCI!$D$2:$D$73, 0))* IF(AND($E17="Truck", OR($F17="Electric", $F17="Electric_green")), $B$6, 1)* $C17* $D17</f>
        <v>0</v>
      </c>
      <c r="Q17" s="158" cm="1">
        <f t="array" ref="Q17">INDEX(LCI!R$2:R$73, MATCH($E17&amp;$F17, LCI!$B$2:$B$73&amp;LCI!$D$2:$D$73, 0))* IF(AND($E17="Truck", OR($F17="Electric", $F17="Electric_green")), $B$6, 1)* $C17* $D17</f>
        <v>0</v>
      </c>
      <c r="R17" s="158" cm="1">
        <f t="array" ref="R17">INDEX(LCI!S$2:S$73, MATCH($E17&amp;$F17, LCI!$B$2:$B$73&amp;LCI!$D$2:$D$73, 0))* IF(AND($E17="Truck", OR($F17="Electric", $F17="Electric_green")), $B$6, 1)* $C17* $D17</f>
        <v>0</v>
      </c>
      <c r="S17" s="158" cm="1">
        <f t="array" ref="S17">INDEX(LCI!T$2:T$73, MATCH($E17&amp;$F17, LCI!$B$2:$B$73&amp;LCI!$D$2:$D$73, 0))* IF(AND($E17="Truck", OR($F17="Electric", $F17="Electric_green")), $B$6, 1)* $C17* $D17</f>
        <v>0</v>
      </c>
      <c r="T17" s="158" cm="1">
        <f t="array" ref="T17">INDEX(LCI!U$2:U$73, MATCH($E17&amp;$F17, LCI!$B$2:$B$73&amp;LCI!$D$2:$D$73, 0))* IF(AND($E17="Truck", OR($F17="Electric", $F17="Electric_green")), $B$6, 1)* $C17* $D17</f>
        <v>0</v>
      </c>
      <c r="U17" s="158" cm="1">
        <f t="array" ref="U17">INDEX(LCI!V$2:V$73, MATCH($E17&amp;$F17, LCI!$B$2:$B$73&amp;LCI!$D$2:$D$73, 0))* IF(AND($E17="Truck", OR($F17="Electric", $F17="Electric_green")), $B$6, 1)* $C17* $D17</f>
        <v>0</v>
      </c>
      <c r="V17" s="158" cm="1">
        <f t="array" ref="V17">INDEX(LCI!W$2:W$73, MATCH($E17&amp;$F17, LCI!$B$2:$B$73&amp;LCI!$D$2:$D$73, 0))* IF(AND($E17="Truck", OR($F17="Electric", $F17="Electric_green")), $B$6, 1)* $C17* $D17</f>
        <v>0</v>
      </c>
      <c r="W17" s="158" cm="1">
        <f t="array" ref="W17">INDEX(LCI!X$2:X$73, MATCH($E17&amp;$F17, LCI!$B$2:$B$73&amp;LCI!$D$2:$D$73, 0))* IF(AND($E17="Truck", OR($F17="Electric", $F17="Electric_green")), $B$6, 1)* $C17* $D17</f>
        <v>0</v>
      </c>
      <c r="X17" s="158" cm="1">
        <f t="array" ref="X17">INDEX(LCI!Y$2:Y$73, MATCH($E17&amp;$F17, LCI!$B$2:$B$73&amp;LCI!$D$2:$D$73, 0))* IF(AND($E17="Truck", OR($F17="Electric", $F17="Electric_green")), $B$6, 1)* $C17* $D17</f>
        <v>0</v>
      </c>
      <c r="Y17" s="158" cm="1">
        <f t="array" ref="Y17">INDEX(LCI!Z$2:Z$73, MATCH($E17&amp;$F17, LCI!$B$2:$B$73&amp;LCI!$D$2:$D$73, 0))* IF(AND($E17="Truck", OR($F17="Electric", $F17="Electric_green")), $B$6, 1)* $C17* $D17</f>
        <v>0</v>
      </c>
    </row>
    <row r="18" spans="1:25" ht="14" customHeight="1" x14ac:dyDescent="0.35">
      <c r="A18" s="401"/>
      <c r="B18" s="158" t="str">
        <f>Input!A54</f>
        <v>Other_waste 2</v>
      </c>
      <c r="C18" s="158">
        <f>+Input!B54</f>
        <v>0</v>
      </c>
      <c r="D18" s="158">
        <f>Input!$L54</f>
        <v>0</v>
      </c>
      <c r="E18" s="158" t="str">
        <f>Input!$J54</f>
        <v>No</v>
      </c>
      <c r="F18" s="158" t="str">
        <f>Input!$K54</f>
        <v>No</v>
      </c>
      <c r="G18" s="158" cm="1">
        <f t="array" ref="G18">INDEX(LCI!H$2:H$73, MATCH($E18&amp;$F18, LCI!$B$2:$B$73&amp;LCI!$D$2:$D$73, 0))* IF(AND($E18="Truck", OR($F18="Electric", $F18="Electric_green")), $B$6, 1)* $C18* $D18</f>
        <v>0</v>
      </c>
      <c r="H18" s="158" cm="1">
        <f t="array" ref="H18">INDEX(LCI!I$2:I$73, MATCH($E18&amp;$F18, LCI!$B$2:$B$73&amp;LCI!$D$2:$D$73, 0))* IF(AND($E18="Truck", OR($F18="Electric", $F18="Electric_green")), $B$6, 1)* $C18* $D18</f>
        <v>0</v>
      </c>
      <c r="I18" s="158" cm="1">
        <f t="array" ref="I18">INDEX(LCI!J$2:J$73, MATCH($E18&amp;$F18, LCI!$B$2:$B$73&amp;LCI!$D$2:$D$73, 0))* IF(AND($E18="Truck", OR($F18="Electric", $F18="Electric_green")), $B$6, 1)* $C18* $D18</f>
        <v>0</v>
      </c>
      <c r="J18" s="158" cm="1">
        <f t="array" ref="J18">INDEX(LCI!K$2:K$73, MATCH($E18&amp;$F18, LCI!$B$2:$B$73&amp;LCI!$D$2:$D$73, 0))* IF(AND($E18="Truck", OR($F18="Electric", $F18="Electric_green")), $B$6, 1)* $C18* $D18</f>
        <v>0</v>
      </c>
      <c r="K18" s="158" cm="1">
        <f t="array" ref="K18">INDEX(LCI!L$2:L$73, MATCH($E18&amp;$F18, LCI!$B$2:$B$73&amp;LCI!$D$2:$D$73, 0))* IF(AND($E18="Truck", OR($F18="Electric", $F18="Electric_green")), $B$6, 1)* $C18* $D18</f>
        <v>0</v>
      </c>
      <c r="L18" s="158" cm="1">
        <f t="array" ref="L18">INDEX(LCI!M$2:M$73, MATCH($E18&amp;$F18, LCI!$B$2:$B$73&amp;LCI!$D$2:$D$73, 0))* IF(AND($E18="Truck", OR($F18="Electric", $F18="Electric_green")), $B$6, 1)* $C18* $D18</f>
        <v>0</v>
      </c>
      <c r="M18" s="158" cm="1">
        <f t="array" ref="M18">INDEX(LCI!N$2:N$73, MATCH($E18&amp;$F18, LCI!$B$2:$B$73&amp;LCI!$D$2:$D$73, 0))* IF(AND($E18="Truck", OR($F18="Electric", $F18="Electric_green")), $B$6, 1)* $C18* $D18</f>
        <v>0</v>
      </c>
      <c r="N18" s="158" cm="1">
        <f t="array" ref="N18">INDEX(LCI!O$2:O$73, MATCH($E18&amp;$F18, LCI!$B$2:$B$73&amp;LCI!$D$2:$D$73, 0))* IF(AND($E18="Truck", OR($F18="Electric", $F18="Electric_green")), $B$6, 1)* $C18* $D18</f>
        <v>0</v>
      </c>
      <c r="O18" s="158" cm="1">
        <f t="array" ref="O18">INDEX(LCI!P$2:P$73, MATCH($E18&amp;$F18, LCI!$B$2:$B$73&amp;LCI!$D$2:$D$73, 0))* IF(AND($E18="Truck", OR($F18="Electric", $F18="Electric_green")), $B$6, 1)* $C18* $D18</f>
        <v>0</v>
      </c>
      <c r="P18" s="158" cm="1">
        <f t="array" ref="P18">INDEX(LCI!Q$2:Q$73, MATCH($E18&amp;$F18, LCI!$B$2:$B$73&amp;LCI!$D$2:$D$73, 0))* IF(AND($E18="Truck", OR($F18="Electric", $F18="Electric_green")), $B$6, 1)* $C18* $D18</f>
        <v>0</v>
      </c>
      <c r="Q18" s="158" cm="1">
        <f t="array" ref="Q18">INDEX(LCI!R$2:R$73, MATCH($E18&amp;$F18, LCI!$B$2:$B$73&amp;LCI!$D$2:$D$73, 0))* IF(AND($E18="Truck", OR($F18="Electric", $F18="Electric_green")), $B$6, 1)* $C18* $D18</f>
        <v>0</v>
      </c>
      <c r="R18" s="158" cm="1">
        <f t="array" ref="R18">INDEX(LCI!S$2:S$73, MATCH($E18&amp;$F18, LCI!$B$2:$B$73&amp;LCI!$D$2:$D$73, 0))* IF(AND($E18="Truck", OR($F18="Electric", $F18="Electric_green")), $B$6, 1)* $C18* $D18</f>
        <v>0</v>
      </c>
      <c r="S18" s="158" cm="1">
        <f t="array" ref="S18">INDEX(LCI!T$2:T$73, MATCH($E18&amp;$F18, LCI!$B$2:$B$73&amp;LCI!$D$2:$D$73, 0))* IF(AND($E18="Truck", OR($F18="Electric", $F18="Electric_green")), $B$6, 1)* $C18* $D18</f>
        <v>0</v>
      </c>
      <c r="T18" s="158" cm="1">
        <f t="array" ref="T18">INDEX(LCI!U$2:U$73, MATCH($E18&amp;$F18, LCI!$B$2:$B$73&amp;LCI!$D$2:$D$73, 0))* IF(AND($E18="Truck", OR($F18="Electric", $F18="Electric_green")), $B$6, 1)* $C18* $D18</f>
        <v>0</v>
      </c>
      <c r="U18" s="158" cm="1">
        <f t="array" ref="U18">INDEX(LCI!V$2:V$73, MATCH($E18&amp;$F18, LCI!$B$2:$B$73&amp;LCI!$D$2:$D$73, 0))* IF(AND($E18="Truck", OR($F18="Electric", $F18="Electric_green")), $B$6, 1)* $C18* $D18</f>
        <v>0</v>
      </c>
      <c r="V18" s="158" cm="1">
        <f t="array" ref="V18">INDEX(LCI!W$2:W$73, MATCH($E18&amp;$F18, LCI!$B$2:$B$73&amp;LCI!$D$2:$D$73, 0))* IF(AND($E18="Truck", OR($F18="Electric", $F18="Electric_green")), $B$6, 1)* $C18* $D18</f>
        <v>0</v>
      </c>
      <c r="W18" s="158" cm="1">
        <f t="array" ref="W18">INDEX(LCI!X$2:X$73, MATCH($E18&amp;$F18, LCI!$B$2:$B$73&amp;LCI!$D$2:$D$73, 0))* IF(AND($E18="Truck", OR($F18="Electric", $F18="Electric_green")), $B$6, 1)* $C18* $D18</f>
        <v>0</v>
      </c>
      <c r="X18" s="158" cm="1">
        <f t="array" ref="X18">INDEX(LCI!Y$2:Y$73, MATCH($E18&amp;$F18, LCI!$B$2:$B$73&amp;LCI!$D$2:$D$73, 0))* IF(AND($E18="Truck", OR($F18="Electric", $F18="Electric_green")), $B$6, 1)* $C18* $D18</f>
        <v>0</v>
      </c>
      <c r="Y18" s="158" cm="1">
        <f t="array" ref="Y18">INDEX(LCI!Z$2:Z$73, MATCH($E18&amp;$F18, LCI!$B$2:$B$73&amp;LCI!$D$2:$D$73, 0))* IF(AND($E18="Truck", OR($F18="Electric", $F18="Electric_green")), $B$6, 1)* $C18* $D18</f>
        <v>0</v>
      </c>
    </row>
    <row r="19" spans="1:25" ht="14" customHeight="1" x14ac:dyDescent="0.35">
      <c r="A19" s="406" t="s">
        <v>341</v>
      </c>
      <c r="B19" s="406"/>
      <c r="C19" s="406"/>
      <c r="D19" s="406"/>
      <c r="E19" s="406"/>
      <c r="F19" s="406"/>
      <c r="G19" s="139">
        <f t="shared" ref="G19:Y19" si="0">SUM(G15:G18)</f>
        <v>3.55083E-3</v>
      </c>
      <c r="H19" s="139">
        <f t="shared" si="0"/>
        <v>2.3811728849999998</v>
      </c>
      <c r="I19" s="139">
        <f t="shared" si="0"/>
        <v>1.1128545000000001E-3</v>
      </c>
      <c r="J19" s="139">
        <f t="shared" si="0"/>
        <v>2.3798706300000001</v>
      </c>
      <c r="K19" s="139">
        <f t="shared" si="0"/>
        <v>1.8939749999999998E-4</v>
      </c>
      <c r="L19" s="139">
        <f t="shared" si="0"/>
        <v>2.0451592349999999</v>
      </c>
      <c r="M19" s="139">
        <f t="shared" si="0"/>
        <v>32.048111399999996</v>
      </c>
      <c r="N19" s="139">
        <f t="shared" si="0"/>
        <v>5.5540349999999998E-5</v>
      </c>
      <c r="O19" s="139">
        <f t="shared" si="0"/>
        <v>7.7395799999999994E-4</v>
      </c>
      <c r="P19" s="139">
        <f t="shared" si="0"/>
        <v>8.3773949999999993E-3</v>
      </c>
      <c r="Q19" s="139">
        <f t="shared" si="0"/>
        <v>2.1104549999999997E-10</v>
      </c>
      <c r="R19" s="139">
        <f t="shared" si="0"/>
        <v>1.71717E-8</v>
      </c>
      <c r="S19" s="139">
        <f t="shared" si="0"/>
        <v>1.4532090000000001E-2</v>
      </c>
      <c r="T19" s="139">
        <f t="shared" si="0"/>
        <v>2.0214977099999998</v>
      </c>
      <c r="U19" s="139">
        <f t="shared" si="0"/>
        <v>2.6270549999999996E-6</v>
      </c>
      <c r="V19" s="139">
        <f t="shared" si="0"/>
        <v>5.2947299999999994E-8</v>
      </c>
      <c r="W19" s="139">
        <f t="shared" si="0"/>
        <v>1.4759354999999997E-7</v>
      </c>
      <c r="X19" s="139">
        <f t="shared" si="0"/>
        <v>6.1907399999999993E-3</v>
      </c>
      <c r="Y19" s="139">
        <f t="shared" si="0"/>
        <v>7.2992834999999992E-2</v>
      </c>
    </row>
    <row r="20" spans="1:25" ht="14" customHeight="1" x14ac:dyDescent="0.35"/>
    <row r="21" spans="1:25" ht="14" customHeight="1" x14ac:dyDescent="0.35"/>
    <row r="22" spans="1:25" ht="23.5" x14ac:dyDescent="0.55000000000000004">
      <c r="A22" s="100" t="s">
        <v>342</v>
      </c>
    </row>
    <row r="23" spans="1:25" ht="14" customHeight="1" x14ac:dyDescent="0.35"/>
    <row r="24" spans="1:25" ht="14" customHeight="1" x14ac:dyDescent="0.35">
      <c r="A24" s="104" t="s">
        <v>276</v>
      </c>
      <c r="B24" s="104" t="s">
        <v>277</v>
      </c>
      <c r="C24" s="103" t="s">
        <v>278</v>
      </c>
      <c r="D24" s="103" t="s">
        <v>56</v>
      </c>
      <c r="E24" s="103" t="s">
        <v>339</v>
      </c>
      <c r="F24" s="103" t="s">
        <v>340</v>
      </c>
      <c r="G24" s="103" t="s">
        <v>279</v>
      </c>
      <c r="H24" s="103" t="s">
        <v>280</v>
      </c>
      <c r="I24" s="103" t="s">
        <v>281</v>
      </c>
      <c r="J24" s="103" t="s">
        <v>282</v>
      </c>
      <c r="K24" s="103" t="s">
        <v>283</v>
      </c>
      <c r="L24" s="103" t="s">
        <v>284</v>
      </c>
      <c r="M24" s="103" t="s">
        <v>285</v>
      </c>
      <c r="N24" s="103" t="s">
        <v>286</v>
      </c>
      <c r="O24" s="103" t="s">
        <v>287</v>
      </c>
      <c r="P24" s="103" t="s">
        <v>288</v>
      </c>
      <c r="Q24" s="103" t="s">
        <v>289</v>
      </c>
      <c r="R24" s="103" t="s">
        <v>290</v>
      </c>
      <c r="S24" s="103" t="s">
        <v>291</v>
      </c>
      <c r="T24" s="103" t="s">
        <v>292</v>
      </c>
      <c r="U24" s="103" t="s">
        <v>293</v>
      </c>
      <c r="V24" s="103" t="s">
        <v>294</v>
      </c>
      <c r="W24" s="103" t="s">
        <v>295</v>
      </c>
      <c r="X24" s="103" t="s">
        <v>296</v>
      </c>
      <c r="Y24" s="103" t="s">
        <v>297</v>
      </c>
    </row>
    <row r="25" spans="1:25" x14ac:dyDescent="0.35">
      <c r="A25" s="400" t="s">
        <v>298</v>
      </c>
      <c r="B25" s="154" t="str">
        <f>Input!A51</f>
        <v>RAP 1</v>
      </c>
      <c r="C25" s="158">
        <f>+Input!B51</f>
        <v>0.3</v>
      </c>
      <c r="D25" s="154">
        <f>Input!$O51</f>
        <v>0</v>
      </c>
      <c r="E25" s="154" t="str">
        <f>Input!$M51</f>
        <v>No</v>
      </c>
      <c r="F25" s="154" t="str">
        <f>Input!$N51</f>
        <v>No</v>
      </c>
      <c r="G25" s="154" cm="1">
        <f t="array" ref="G25">INDEX(LCI!H$2:H$73,MATCH($E25&amp;$F25,LCI!$B$2:$B$73&amp;LCI!$D$2:$D$73,0))*IF(AND($E25="Truck", OR($F25="Electric", $F25="Electric_green")), $B$6, 1)*$D25*$C25</f>
        <v>0</v>
      </c>
      <c r="H25" s="154" cm="1">
        <f t="array" ref="H25">INDEX(LCI!I$2:I$73,MATCH($E25&amp;$F25,LCI!$B$2:$B$73&amp;LCI!$D$2:$D$73,0))*IF(AND($E25="Truck", OR($F25="Electric", $F25="Electric_green")), $B$6, 1)*$D25*$C25</f>
        <v>0</v>
      </c>
      <c r="I25" s="154" cm="1">
        <f t="array" ref="I25">INDEX(LCI!J$2:J$73,MATCH($E25&amp;$F25,LCI!$B$2:$B$73&amp;LCI!$D$2:$D$73,0))*IF(AND($E25="Truck", OR($F25="Electric", $F25="Electric_green")), $B$6, 1)*$D25*$C25</f>
        <v>0</v>
      </c>
      <c r="J25" s="154" cm="1">
        <f t="array" ref="J25">INDEX(LCI!K$2:K$73,MATCH($E25&amp;$F25,LCI!$B$2:$B$73&amp;LCI!$D$2:$D$73,0))*IF(AND($E25="Truck", OR($F25="Electric", $F25="Electric_green")), $B$6, 1)*$D25*$C25</f>
        <v>0</v>
      </c>
      <c r="K25" s="154" cm="1">
        <f t="array" ref="K25">INDEX(LCI!L$2:L$73,MATCH($E25&amp;$F25,LCI!$B$2:$B$73&amp;LCI!$D$2:$D$73,0))*IF(AND($E25="Truck", OR($F25="Electric", $F25="Electric_green")), $B$6, 1)*$D25*$C25</f>
        <v>0</v>
      </c>
      <c r="L25" s="154" cm="1">
        <f t="array" ref="L25">INDEX(LCI!M$2:M$73,MATCH($E25&amp;$F25,LCI!$B$2:$B$73&amp;LCI!$D$2:$D$73,0))*IF(AND($E25="Truck", OR($F25="Electric", $F25="Electric_green")), $B$6, 1)*$D25*$C25</f>
        <v>0</v>
      </c>
      <c r="M25" s="154" cm="1">
        <f t="array" ref="M25">INDEX(LCI!N$2:N$73,MATCH($E25&amp;$F25,LCI!$B$2:$B$73&amp;LCI!$D$2:$D$73,0))*IF(AND($E25="Truck", OR($F25="Electric", $F25="Electric_green")), $B$6, 1)*$D25*$C25</f>
        <v>0</v>
      </c>
      <c r="N25" s="154" cm="1">
        <f t="array" ref="N25">INDEX(LCI!O$2:O$73,MATCH($E25&amp;$F25,LCI!$B$2:$B$73&amp;LCI!$D$2:$D$73,0))*IF(AND($E25="Truck", OR($F25="Electric", $F25="Electric_green")), $B$6, 1)*$D25*$C25</f>
        <v>0</v>
      </c>
      <c r="O25" s="154" cm="1">
        <f t="array" ref="O25">INDEX(LCI!P$2:P$73,MATCH($E25&amp;$F25,LCI!$B$2:$B$73&amp;LCI!$D$2:$D$73,0))*IF(AND($E25="Truck", OR($F25="Electric", $F25="Electric_green")), $B$6, 1)*$D25*$C25</f>
        <v>0</v>
      </c>
      <c r="P25" s="154" cm="1">
        <f t="array" ref="P25">INDEX(LCI!Q$2:Q$73,MATCH($E25&amp;$F25,LCI!$B$2:$B$73&amp;LCI!$D$2:$D$73,0))*IF(AND($E25="Truck", OR($F25="Electric", $F25="Electric_green")), $B$6, 1)*$D25*$C25</f>
        <v>0</v>
      </c>
      <c r="Q25" s="154" cm="1">
        <f t="array" ref="Q25">INDEX(LCI!R$2:R$73,MATCH($E25&amp;$F25,LCI!$B$2:$B$73&amp;LCI!$D$2:$D$73,0))*IF(AND($E25="Truck", OR($F25="Electric", $F25="Electric_green")), $B$6, 1)*$D25*$C25</f>
        <v>0</v>
      </c>
      <c r="R25" s="154" cm="1">
        <f t="array" ref="R25">INDEX(LCI!S$2:S$73,MATCH($E25&amp;$F25,LCI!$B$2:$B$73&amp;LCI!$D$2:$D$73,0))*IF(AND($E25="Truck", OR($F25="Electric", $F25="Electric_green")), $B$6, 1)*$D25*$C25</f>
        <v>0</v>
      </c>
      <c r="S25" s="154" cm="1">
        <f t="array" ref="S25">INDEX(LCI!T$2:T$73,MATCH($E25&amp;$F25,LCI!$B$2:$B$73&amp;LCI!$D$2:$D$73,0))*IF(AND($E25="Truck", OR($F25="Electric", $F25="Electric_green")), $B$6, 1)*$D25*$C25</f>
        <v>0</v>
      </c>
      <c r="T25" s="154" cm="1">
        <f t="array" ref="T25">INDEX(LCI!U$2:U$73,MATCH($E25&amp;$F25,LCI!$B$2:$B$73&amp;LCI!$D$2:$D$73,0))*IF(AND($E25="Truck", OR($F25="Electric", $F25="Electric_green")), $B$6, 1)*$D25*$C25</f>
        <v>0</v>
      </c>
      <c r="U25" s="154" cm="1">
        <f t="array" ref="U25">INDEX(LCI!V$2:V$73,MATCH($E25&amp;$F25,LCI!$B$2:$B$73&amp;LCI!$D$2:$D$73,0))*IF(AND($E25="Truck", OR($F25="Electric", $F25="Electric_green")), $B$6, 1)*$D25*$C25</f>
        <v>0</v>
      </c>
      <c r="V25" s="154" cm="1">
        <f t="array" ref="V25">INDEX(LCI!W$2:W$73,MATCH($E25&amp;$F25,LCI!$B$2:$B$73&amp;LCI!$D$2:$D$73,0))*IF(AND($E25="Truck", OR($F25="Electric", $F25="Electric_green")), $B$6, 1)*$D25*$C25</f>
        <v>0</v>
      </c>
      <c r="W25" s="154" cm="1">
        <f t="array" ref="W25">INDEX(LCI!X$2:X$73,MATCH($E25&amp;$F25,LCI!$B$2:$B$73&amp;LCI!$D$2:$D$73,0))*IF(AND($E25="Truck", OR($F25="Electric", $F25="Electric_green")), $B$6, 1)*$D25*$C25</f>
        <v>0</v>
      </c>
      <c r="X25" s="154" cm="1">
        <f t="array" ref="X25">INDEX(LCI!Y$2:Y$73,MATCH($E25&amp;$F25,LCI!$B$2:$B$73&amp;LCI!$D$2:$D$73,0))*IF(AND($E25="Truck", OR($F25="Electric", $F25="Electric_green")), $B$6, 1)*$D25*$C25</f>
        <v>0</v>
      </c>
      <c r="Y25" s="154" cm="1">
        <f t="array" ref="Y25">INDEX(LCI!Z$2:Z$73,MATCH($E25&amp;$F25,LCI!$B$2:$B$73&amp;LCI!$D$2:$D$73,0))*IF(AND($E25="Truck", OR($F25="Electric", $F25="Electric_green")), $B$6, 1)*$D25*$C25</f>
        <v>0</v>
      </c>
    </row>
    <row r="26" spans="1:25" ht="14" customHeight="1" x14ac:dyDescent="0.35">
      <c r="A26" s="400"/>
      <c r="B26" s="154" t="str">
        <f>Input!A52</f>
        <v>RAP 2</v>
      </c>
      <c r="C26" s="158">
        <f>+Input!B52</f>
        <v>0</v>
      </c>
      <c r="D26" s="154">
        <f>Input!$O52</f>
        <v>0</v>
      </c>
      <c r="E26" s="154" t="str">
        <f>Input!$M52</f>
        <v>No</v>
      </c>
      <c r="F26" s="154" t="str">
        <f>Input!$N52</f>
        <v>No</v>
      </c>
      <c r="G26" s="154" cm="1">
        <f t="array" ref="G26">INDEX(LCI!H$2:H$73,MATCH($E26&amp;$F26,LCI!$B$2:$B$73&amp;LCI!$D$2:$D$73,0))*IF(AND($E26="Truck", OR($F26="Electric", $F26="Electric_green")), $B$6, 1)*$D26*$C26</f>
        <v>0</v>
      </c>
      <c r="H26" s="154" cm="1">
        <f t="array" ref="H26">INDEX(LCI!I$2:I$73,MATCH($E26&amp;$F26,LCI!$B$2:$B$73&amp;LCI!$D$2:$D$73,0))*IF(AND($E26="Truck", OR($F26="Electric", $F26="Electric_green")), $B$6, 1)*$D26*$C26</f>
        <v>0</v>
      </c>
      <c r="I26" s="154" cm="1">
        <f t="array" ref="I26">INDEX(LCI!J$2:J$73,MATCH($E26&amp;$F26,LCI!$B$2:$B$73&amp;LCI!$D$2:$D$73,0))*IF(AND($E26="Truck", OR($F26="Electric", $F26="Electric_green")), $B$6, 1)*$D26*$C26</f>
        <v>0</v>
      </c>
      <c r="J26" s="154" cm="1">
        <f t="array" ref="J26">INDEX(LCI!K$2:K$73,MATCH($E26&amp;$F26,LCI!$B$2:$B$73&amp;LCI!$D$2:$D$73,0))*IF(AND($E26="Truck", OR($F26="Electric", $F26="Electric_green")), $B$6, 1)*$D26*$C26</f>
        <v>0</v>
      </c>
      <c r="K26" s="154" cm="1">
        <f t="array" ref="K26">INDEX(LCI!L$2:L$73,MATCH($E26&amp;$F26,LCI!$B$2:$B$73&amp;LCI!$D$2:$D$73,0))*IF(AND($E26="Truck", OR($F26="Electric", $F26="Electric_green")), $B$6, 1)*$D26*$C26</f>
        <v>0</v>
      </c>
      <c r="L26" s="154" cm="1">
        <f t="array" ref="L26">INDEX(LCI!M$2:M$73,MATCH($E26&amp;$F26,LCI!$B$2:$B$73&amp;LCI!$D$2:$D$73,0))*IF(AND($E26="Truck", OR($F26="Electric", $F26="Electric_green")), $B$6, 1)*$D26*$C26</f>
        <v>0</v>
      </c>
      <c r="M26" s="154" cm="1">
        <f t="array" ref="M26">INDEX(LCI!N$2:N$73,MATCH($E26&amp;$F26,LCI!$B$2:$B$73&amp;LCI!$D$2:$D$73,0))*IF(AND($E26="Truck", OR($F26="Electric", $F26="Electric_green")), $B$6, 1)*$D26*$C26</f>
        <v>0</v>
      </c>
      <c r="N26" s="154" cm="1">
        <f t="array" ref="N26">INDEX(LCI!O$2:O$73,MATCH($E26&amp;$F26,LCI!$B$2:$B$73&amp;LCI!$D$2:$D$73,0))*IF(AND($E26="Truck", OR($F26="Electric", $F26="Electric_green")), $B$6, 1)*$D26*$C26</f>
        <v>0</v>
      </c>
      <c r="O26" s="154" cm="1">
        <f t="array" ref="O26">INDEX(LCI!P$2:P$73,MATCH($E26&amp;$F26,LCI!$B$2:$B$73&amp;LCI!$D$2:$D$73,0))*IF(AND($E26="Truck", OR($F26="Electric", $F26="Electric_green")), $B$6, 1)*$D26*$C26</f>
        <v>0</v>
      </c>
      <c r="P26" s="154" cm="1">
        <f t="array" ref="P26">INDEX(LCI!Q$2:Q$73,MATCH($E26&amp;$F26,LCI!$B$2:$B$73&amp;LCI!$D$2:$D$73,0))*IF(AND($E26="Truck", OR($F26="Electric", $F26="Electric_green")), $B$6, 1)*$D26*$C26</f>
        <v>0</v>
      </c>
      <c r="Q26" s="154" cm="1">
        <f t="array" ref="Q26">INDEX(LCI!R$2:R$73,MATCH($E26&amp;$F26,LCI!$B$2:$B$73&amp;LCI!$D$2:$D$73,0))*IF(AND($E26="Truck", OR($F26="Electric", $F26="Electric_green")), $B$6, 1)*$D26*$C26</f>
        <v>0</v>
      </c>
      <c r="R26" s="154" cm="1">
        <f t="array" ref="R26">INDEX(LCI!S$2:S$73,MATCH($E26&amp;$F26,LCI!$B$2:$B$73&amp;LCI!$D$2:$D$73,0))*IF(AND($E26="Truck", OR($F26="Electric", $F26="Electric_green")), $B$6, 1)*$D26*$C26</f>
        <v>0</v>
      </c>
      <c r="S26" s="154" cm="1">
        <f t="array" ref="S26">INDEX(LCI!T$2:T$73,MATCH($E26&amp;$F26,LCI!$B$2:$B$73&amp;LCI!$D$2:$D$73,0))*IF(AND($E26="Truck", OR($F26="Electric", $F26="Electric_green")), $B$6, 1)*$D26*$C26</f>
        <v>0</v>
      </c>
      <c r="T26" s="154" cm="1">
        <f t="array" ref="T26">INDEX(LCI!U$2:U$73,MATCH($E26&amp;$F26,LCI!$B$2:$B$73&amp;LCI!$D$2:$D$73,0))*IF(AND($E26="Truck", OR($F26="Electric", $F26="Electric_green")), $B$6, 1)*$D26*$C26</f>
        <v>0</v>
      </c>
      <c r="U26" s="154" cm="1">
        <f t="array" ref="U26">INDEX(LCI!V$2:V$73,MATCH($E26&amp;$F26,LCI!$B$2:$B$73&amp;LCI!$D$2:$D$73,0))*IF(AND($E26="Truck", OR($F26="Electric", $F26="Electric_green")), $B$6, 1)*$D26*$C26</f>
        <v>0</v>
      </c>
      <c r="V26" s="154" cm="1">
        <f t="array" ref="V26">INDEX(LCI!W$2:W$73,MATCH($E26&amp;$F26,LCI!$B$2:$B$73&amp;LCI!$D$2:$D$73,0))*IF(AND($E26="Truck", OR($F26="Electric", $F26="Electric_green")), $B$6, 1)*$D26*$C26</f>
        <v>0</v>
      </c>
      <c r="W26" s="154" cm="1">
        <f t="array" ref="W26">INDEX(LCI!X$2:X$73,MATCH($E26&amp;$F26,LCI!$B$2:$B$73&amp;LCI!$D$2:$D$73,0))*IF(AND($E26="Truck", OR($F26="Electric", $F26="Electric_green")), $B$6, 1)*$D26*$C26</f>
        <v>0</v>
      </c>
      <c r="X26" s="154" cm="1">
        <f t="array" ref="X26">INDEX(LCI!Y$2:Y$73,MATCH($E26&amp;$F26,LCI!$B$2:$B$73&amp;LCI!$D$2:$D$73,0))*IF(AND($E26="Truck", OR($F26="Electric", $F26="Electric_green")), $B$6, 1)*$D26*$C26</f>
        <v>0</v>
      </c>
      <c r="Y26" s="154" cm="1">
        <f t="array" ref="Y26">INDEX(LCI!Z$2:Z$73,MATCH($E26&amp;$F26,LCI!$B$2:$B$73&amp;LCI!$D$2:$D$73,0))*IF(AND($E26="Truck", OR($F26="Electric", $F26="Electric_green")), $B$6, 1)*$D26*$C26</f>
        <v>0</v>
      </c>
    </row>
    <row r="27" spans="1:25" x14ac:dyDescent="0.35">
      <c r="A27" s="401" t="s">
        <v>299</v>
      </c>
      <c r="B27" s="154" t="str">
        <f>Input!A53</f>
        <v>Other_waste 1</v>
      </c>
      <c r="C27" s="158">
        <f>+Input!B53</f>
        <v>0</v>
      </c>
      <c r="D27" s="154">
        <f>Input!$O53</f>
        <v>0</v>
      </c>
      <c r="E27" s="154" t="str">
        <f>Input!$M53</f>
        <v>No</v>
      </c>
      <c r="F27" s="154" t="str">
        <f>Input!$N53</f>
        <v>No</v>
      </c>
      <c r="G27" s="154" cm="1">
        <f t="array" ref="G27">INDEX(LCI!H$2:H$73,MATCH($E27&amp;$F27,LCI!$B$2:$B$73&amp;LCI!$D$2:$D$73,0))*IF(AND($E27="Truck", OR($F27="Electric", $F27="Electric_green")), $B$6, 1)*$D27*$C27</f>
        <v>0</v>
      </c>
      <c r="H27" s="154" cm="1">
        <f t="array" ref="H27">INDEX(LCI!I$2:I$73,MATCH($E27&amp;$F27,LCI!$B$2:$B$73&amp;LCI!$D$2:$D$73,0))*IF(AND($E27="Truck", OR($F27="Electric", $F27="Electric_green")), $B$6, 1)*$D27*$C27</f>
        <v>0</v>
      </c>
      <c r="I27" s="154" cm="1">
        <f t="array" ref="I27">INDEX(LCI!J$2:J$73,MATCH($E27&amp;$F27,LCI!$B$2:$B$73&amp;LCI!$D$2:$D$73,0))*IF(AND($E27="Truck", OR($F27="Electric", $F27="Electric_green")), $B$6, 1)*$D27*$C27</f>
        <v>0</v>
      </c>
      <c r="J27" s="154" cm="1">
        <f t="array" ref="J27">INDEX(LCI!K$2:K$73,MATCH($E27&amp;$F27,LCI!$B$2:$B$73&amp;LCI!$D$2:$D$73,0))*IF(AND($E27="Truck", OR($F27="Electric", $F27="Electric_green")), $B$6, 1)*$D27*$C27</f>
        <v>0</v>
      </c>
      <c r="K27" s="154" cm="1">
        <f t="array" ref="K27">INDEX(LCI!L$2:L$73,MATCH($E27&amp;$F27,LCI!$B$2:$B$73&amp;LCI!$D$2:$D$73,0))*IF(AND($E27="Truck", OR($F27="Electric", $F27="Electric_green")), $B$6, 1)*$D27*$C27</f>
        <v>0</v>
      </c>
      <c r="L27" s="154" cm="1">
        <f t="array" ref="L27">INDEX(LCI!M$2:M$73,MATCH($E27&amp;$F27,LCI!$B$2:$B$73&amp;LCI!$D$2:$D$73,0))*IF(AND($E27="Truck", OR($F27="Electric", $F27="Electric_green")), $B$6, 1)*$D27*$C27</f>
        <v>0</v>
      </c>
      <c r="M27" s="154" cm="1">
        <f t="array" ref="M27">INDEX(LCI!N$2:N$73,MATCH($E27&amp;$F27,LCI!$B$2:$B$73&amp;LCI!$D$2:$D$73,0))*IF(AND($E27="Truck", OR($F27="Electric", $F27="Electric_green")), $B$6, 1)*$D27*$C27</f>
        <v>0</v>
      </c>
      <c r="N27" s="154" cm="1">
        <f t="array" ref="N27">INDEX(LCI!O$2:O$73,MATCH($E27&amp;$F27,LCI!$B$2:$B$73&amp;LCI!$D$2:$D$73,0))*IF(AND($E27="Truck", OR($F27="Electric", $F27="Electric_green")), $B$6, 1)*$D27*$C27</f>
        <v>0</v>
      </c>
      <c r="O27" s="154" cm="1">
        <f t="array" ref="O27">INDEX(LCI!P$2:P$73,MATCH($E27&amp;$F27,LCI!$B$2:$B$73&amp;LCI!$D$2:$D$73,0))*IF(AND($E27="Truck", OR($F27="Electric", $F27="Electric_green")), $B$6, 1)*$D27*$C27</f>
        <v>0</v>
      </c>
      <c r="P27" s="154" cm="1">
        <f t="array" ref="P27">INDEX(LCI!Q$2:Q$73,MATCH($E27&amp;$F27,LCI!$B$2:$B$73&amp;LCI!$D$2:$D$73,0))*IF(AND($E27="Truck", OR($F27="Electric", $F27="Electric_green")), $B$6, 1)*$D27*$C27</f>
        <v>0</v>
      </c>
      <c r="Q27" s="154" cm="1">
        <f t="array" ref="Q27">INDEX(LCI!R$2:R$73,MATCH($E27&amp;$F27,LCI!$B$2:$B$73&amp;LCI!$D$2:$D$73,0))*IF(AND($E27="Truck", OR($F27="Electric", $F27="Electric_green")), $B$6, 1)*$D27*$C27</f>
        <v>0</v>
      </c>
      <c r="R27" s="154" cm="1">
        <f t="array" ref="R27">INDEX(LCI!S$2:S$73,MATCH($E27&amp;$F27,LCI!$B$2:$B$73&amp;LCI!$D$2:$D$73,0))*IF(AND($E27="Truck", OR($F27="Electric", $F27="Electric_green")), $B$6, 1)*$D27*$C27</f>
        <v>0</v>
      </c>
      <c r="S27" s="154" cm="1">
        <f t="array" ref="S27">INDEX(LCI!T$2:T$73,MATCH($E27&amp;$F27,LCI!$B$2:$B$73&amp;LCI!$D$2:$D$73,0))*IF(AND($E27="Truck", OR($F27="Electric", $F27="Electric_green")), $B$6, 1)*$D27*$C27</f>
        <v>0</v>
      </c>
      <c r="T27" s="154" cm="1">
        <f t="array" ref="T27">INDEX(LCI!U$2:U$73,MATCH($E27&amp;$F27,LCI!$B$2:$B$73&amp;LCI!$D$2:$D$73,0))*IF(AND($E27="Truck", OR($F27="Electric", $F27="Electric_green")), $B$6, 1)*$D27*$C27</f>
        <v>0</v>
      </c>
      <c r="U27" s="154" cm="1">
        <f t="array" ref="U27">INDEX(LCI!V$2:V$73,MATCH($E27&amp;$F27,LCI!$B$2:$B$73&amp;LCI!$D$2:$D$73,0))*IF(AND($E27="Truck", OR($F27="Electric", $F27="Electric_green")), $B$6, 1)*$D27*$C27</f>
        <v>0</v>
      </c>
      <c r="V27" s="154" cm="1">
        <f t="array" ref="V27">INDEX(LCI!W$2:W$73,MATCH($E27&amp;$F27,LCI!$B$2:$B$73&amp;LCI!$D$2:$D$73,0))*IF(AND($E27="Truck", OR($F27="Electric", $F27="Electric_green")), $B$6, 1)*$D27*$C27</f>
        <v>0</v>
      </c>
      <c r="W27" s="154" cm="1">
        <f t="array" ref="W27">INDEX(LCI!X$2:X$73,MATCH($E27&amp;$F27,LCI!$B$2:$B$73&amp;LCI!$D$2:$D$73,0))*IF(AND($E27="Truck", OR($F27="Electric", $F27="Electric_green")), $B$6, 1)*$D27*$C27</f>
        <v>0</v>
      </c>
      <c r="X27" s="154" cm="1">
        <f t="array" ref="X27">INDEX(LCI!Y$2:Y$73,MATCH($E27&amp;$F27,LCI!$B$2:$B$73&amp;LCI!$D$2:$D$73,0))*IF(AND($E27="Truck", OR($F27="Electric", $F27="Electric_green")), $B$6, 1)*$D27*$C27</f>
        <v>0</v>
      </c>
      <c r="Y27" s="154" cm="1">
        <f t="array" ref="Y27">INDEX(LCI!Z$2:Z$73,MATCH($E27&amp;$F27,LCI!$B$2:$B$73&amp;LCI!$D$2:$D$73,0))*IF(AND($E27="Truck", OR($F27="Electric", $F27="Electric_green")), $B$6, 1)*$D27*$C27</f>
        <v>0</v>
      </c>
    </row>
    <row r="28" spans="1:25" ht="14" customHeight="1" x14ac:dyDescent="0.35">
      <c r="A28" s="401"/>
      <c r="B28" s="154" t="str">
        <f>Input!A54</f>
        <v>Other_waste 2</v>
      </c>
      <c r="C28" s="158">
        <f>+Input!B54</f>
        <v>0</v>
      </c>
      <c r="D28" s="154">
        <f>Input!$O54</f>
        <v>0</v>
      </c>
      <c r="E28" s="154" t="str">
        <f>Input!$M54</f>
        <v>No</v>
      </c>
      <c r="F28" s="154" t="str">
        <f>Input!$N54</f>
        <v>No</v>
      </c>
      <c r="G28" s="154" cm="1">
        <f t="array" ref="G28">INDEX(LCI!H$2:H$73,MATCH($E28&amp;$F28,LCI!$B$2:$B$73&amp;LCI!$D$2:$D$73,0))*IF(AND($E28="Truck", OR($F28="Electric", $F28="Electric_green")), $B$6, 1)*$D28*$C28</f>
        <v>0</v>
      </c>
      <c r="H28" s="154" cm="1">
        <f t="array" ref="H28">INDEX(LCI!I$2:I$73,MATCH($E28&amp;$F28,LCI!$B$2:$B$73&amp;LCI!$D$2:$D$73,0))*IF(AND($E28="Truck", OR($F28="Electric", $F28="Electric_green")), $B$6, 1)*$D28*$C28</f>
        <v>0</v>
      </c>
      <c r="I28" s="154" cm="1">
        <f t="array" ref="I28">INDEX(LCI!J$2:J$73,MATCH($E28&amp;$F28,LCI!$B$2:$B$73&amp;LCI!$D$2:$D$73,0))*IF(AND($E28="Truck", OR($F28="Electric", $F28="Electric_green")), $B$6, 1)*$D28*$C28</f>
        <v>0</v>
      </c>
      <c r="J28" s="154" cm="1">
        <f t="array" ref="J28">INDEX(LCI!K$2:K$73,MATCH($E28&amp;$F28,LCI!$B$2:$B$73&amp;LCI!$D$2:$D$73,0))*IF(AND($E28="Truck", OR($F28="Electric", $F28="Electric_green")), $B$6, 1)*$D28*$C28</f>
        <v>0</v>
      </c>
      <c r="K28" s="154" cm="1">
        <f t="array" ref="K28">INDEX(LCI!L$2:L$73,MATCH($E28&amp;$F28,LCI!$B$2:$B$73&amp;LCI!$D$2:$D$73,0))*IF(AND($E28="Truck", OR($F28="Electric", $F28="Electric_green")), $B$6, 1)*$D28*$C28</f>
        <v>0</v>
      </c>
      <c r="L28" s="154" cm="1">
        <f t="array" ref="L28">INDEX(LCI!M$2:M$73,MATCH($E28&amp;$F28,LCI!$B$2:$B$73&amp;LCI!$D$2:$D$73,0))*IF(AND($E28="Truck", OR($F28="Electric", $F28="Electric_green")), $B$6, 1)*$D28*$C28</f>
        <v>0</v>
      </c>
      <c r="M28" s="154" cm="1">
        <f t="array" ref="M28">INDEX(LCI!N$2:N$73,MATCH($E28&amp;$F28,LCI!$B$2:$B$73&amp;LCI!$D$2:$D$73,0))*IF(AND($E28="Truck", OR($F28="Electric", $F28="Electric_green")), $B$6, 1)*$D28*$C28</f>
        <v>0</v>
      </c>
      <c r="N28" s="154" cm="1">
        <f t="array" ref="N28">INDEX(LCI!O$2:O$73,MATCH($E28&amp;$F28,LCI!$B$2:$B$73&amp;LCI!$D$2:$D$73,0))*IF(AND($E28="Truck", OR($F28="Electric", $F28="Electric_green")), $B$6, 1)*$D28*$C28</f>
        <v>0</v>
      </c>
      <c r="O28" s="154" cm="1">
        <f t="array" ref="O28">INDEX(LCI!P$2:P$73,MATCH($E28&amp;$F28,LCI!$B$2:$B$73&amp;LCI!$D$2:$D$73,0))*IF(AND($E28="Truck", OR($F28="Electric", $F28="Electric_green")), $B$6, 1)*$D28*$C28</f>
        <v>0</v>
      </c>
      <c r="P28" s="154" cm="1">
        <f t="array" ref="P28">INDEX(LCI!Q$2:Q$73,MATCH($E28&amp;$F28,LCI!$B$2:$B$73&amp;LCI!$D$2:$D$73,0))*IF(AND($E28="Truck", OR($F28="Electric", $F28="Electric_green")), $B$6, 1)*$D28*$C28</f>
        <v>0</v>
      </c>
      <c r="Q28" s="154" cm="1">
        <f t="array" ref="Q28">INDEX(LCI!R$2:R$73,MATCH($E28&amp;$F28,LCI!$B$2:$B$73&amp;LCI!$D$2:$D$73,0))*IF(AND($E28="Truck", OR($F28="Electric", $F28="Electric_green")), $B$6, 1)*$D28*$C28</f>
        <v>0</v>
      </c>
      <c r="R28" s="154" cm="1">
        <f t="array" ref="R28">INDEX(LCI!S$2:S$73,MATCH($E28&amp;$F28,LCI!$B$2:$B$73&amp;LCI!$D$2:$D$73,0))*IF(AND($E28="Truck", OR($F28="Electric", $F28="Electric_green")), $B$6, 1)*$D28*$C28</f>
        <v>0</v>
      </c>
      <c r="S28" s="154" cm="1">
        <f t="array" ref="S28">INDEX(LCI!T$2:T$73,MATCH($E28&amp;$F28,LCI!$B$2:$B$73&amp;LCI!$D$2:$D$73,0))*IF(AND($E28="Truck", OR($F28="Electric", $F28="Electric_green")), $B$6, 1)*$D28*$C28</f>
        <v>0</v>
      </c>
      <c r="T28" s="154" cm="1">
        <f t="array" ref="T28">INDEX(LCI!U$2:U$73,MATCH($E28&amp;$F28,LCI!$B$2:$B$73&amp;LCI!$D$2:$D$73,0))*IF(AND($E28="Truck", OR($F28="Electric", $F28="Electric_green")), $B$6, 1)*$D28*$C28</f>
        <v>0</v>
      </c>
      <c r="U28" s="154" cm="1">
        <f t="array" ref="U28">INDEX(LCI!V$2:V$73,MATCH($E28&amp;$F28,LCI!$B$2:$B$73&amp;LCI!$D$2:$D$73,0))*IF(AND($E28="Truck", OR($F28="Electric", $F28="Electric_green")), $B$6, 1)*$D28*$C28</f>
        <v>0</v>
      </c>
      <c r="V28" s="154" cm="1">
        <f t="array" ref="V28">INDEX(LCI!W$2:W$73,MATCH($E28&amp;$F28,LCI!$B$2:$B$73&amp;LCI!$D$2:$D$73,0))*IF(AND($E28="Truck", OR($F28="Electric", $F28="Electric_green")), $B$6, 1)*$D28*$C28</f>
        <v>0</v>
      </c>
      <c r="W28" s="154" cm="1">
        <f t="array" ref="W28">INDEX(LCI!X$2:X$73,MATCH($E28&amp;$F28,LCI!$B$2:$B$73&amp;LCI!$D$2:$D$73,0))*IF(AND($E28="Truck", OR($F28="Electric", $F28="Electric_green")), $B$6, 1)*$D28*$C28</f>
        <v>0</v>
      </c>
      <c r="X28" s="154" cm="1">
        <f t="array" ref="X28">INDEX(LCI!Y$2:Y$73,MATCH($E28&amp;$F28,LCI!$B$2:$B$73&amp;LCI!$D$2:$D$73,0))*IF(AND($E28="Truck", OR($F28="Electric", $F28="Electric_green")), $B$6, 1)*$D28*$C28</f>
        <v>0</v>
      </c>
      <c r="Y28" s="154" cm="1">
        <f t="array" ref="Y28">INDEX(LCI!Z$2:Z$73,MATCH($E28&amp;$F28,LCI!$B$2:$B$73&amp;LCI!$D$2:$D$73,0))*IF(AND($E28="Truck", OR($F28="Electric", $F28="Electric_green")), $B$6, 1)*$D28*$C28</f>
        <v>0</v>
      </c>
    </row>
    <row r="29" spans="1:25" x14ac:dyDescent="0.35">
      <c r="A29" s="406" t="s">
        <v>343</v>
      </c>
      <c r="B29" s="406"/>
      <c r="C29" s="406"/>
      <c r="D29" s="406"/>
      <c r="E29" s="406"/>
      <c r="F29" s="406"/>
      <c r="G29" s="140">
        <f t="shared" ref="G29:Y29" si="1">SUM(G25:G28)</f>
        <v>0</v>
      </c>
      <c r="H29" s="140">
        <f t="shared" si="1"/>
        <v>0</v>
      </c>
      <c r="I29" s="140">
        <f t="shared" si="1"/>
        <v>0</v>
      </c>
      <c r="J29" s="140">
        <f t="shared" si="1"/>
        <v>0</v>
      </c>
      <c r="K29" s="140">
        <f t="shared" si="1"/>
        <v>0</v>
      </c>
      <c r="L29" s="140">
        <f t="shared" si="1"/>
        <v>0</v>
      </c>
      <c r="M29" s="140">
        <f t="shared" si="1"/>
        <v>0</v>
      </c>
      <c r="N29" s="140">
        <f t="shared" si="1"/>
        <v>0</v>
      </c>
      <c r="O29" s="140">
        <f t="shared" si="1"/>
        <v>0</v>
      </c>
      <c r="P29" s="140">
        <f t="shared" si="1"/>
        <v>0</v>
      </c>
      <c r="Q29" s="140">
        <f t="shared" si="1"/>
        <v>0</v>
      </c>
      <c r="R29" s="140">
        <f t="shared" si="1"/>
        <v>0</v>
      </c>
      <c r="S29" s="140">
        <f t="shared" si="1"/>
        <v>0</v>
      </c>
      <c r="T29" s="140">
        <f t="shared" si="1"/>
        <v>0</v>
      </c>
      <c r="U29" s="140">
        <f t="shared" si="1"/>
        <v>0</v>
      </c>
      <c r="V29" s="140">
        <f t="shared" si="1"/>
        <v>0</v>
      </c>
      <c r="W29" s="140">
        <f t="shared" si="1"/>
        <v>0</v>
      </c>
      <c r="X29" s="140">
        <f t="shared" si="1"/>
        <v>0</v>
      </c>
      <c r="Y29" s="140">
        <f t="shared" si="1"/>
        <v>0</v>
      </c>
    </row>
    <row r="30" spans="1:25" ht="14" customHeight="1" x14ac:dyDescent="0.35">
      <c r="A30" s="15"/>
      <c r="B30" s="15"/>
      <c r="C30" s="15"/>
      <c r="D30" s="15"/>
      <c r="E30" s="15"/>
      <c r="F30" s="15"/>
      <c r="G30" s="254"/>
      <c r="H30" s="254"/>
      <c r="I30" s="254"/>
      <c r="J30" s="254"/>
      <c r="K30" s="254"/>
      <c r="L30" s="254"/>
      <c r="M30" s="254"/>
      <c r="N30" s="254"/>
      <c r="O30" s="254"/>
      <c r="P30" s="254"/>
      <c r="Q30" s="254"/>
      <c r="R30" s="254"/>
      <c r="S30" s="254"/>
      <c r="T30" s="254"/>
      <c r="U30" s="254"/>
      <c r="V30" s="254"/>
      <c r="W30" s="254"/>
      <c r="X30" s="254"/>
      <c r="Y30" s="254"/>
    </row>
    <row r="32" spans="1:25" ht="23.5" x14ac:dyDescent="0.55000000000000004">
      <c r="A32" s="100" t="s">
        <v>344</v>
      </c>
    </row>
    <row r="33" spans="1:25" ht="14" customHeight="1" x14ac:dyDescent="0.35"/>
    <row r="34" spans="1:25" ht="101.5" x14ac:dyDescent="0.35">
      <c r="A34" s="104" t="s">
        <v>276</v>
      </c>
      <c r="B34" s="104" t="s">
        <v>277</v>
      </c>
      <c r="C34" s="103" t="s">
        <v>278</v>
      </c>
      <c r="D34" s="103" t="s">
        <v>56</v>
      </c>
      <c r="E34" s="103" t="s">
        <v>339</v>
      </c>
      <c r="F34" s="103" t="s">
        <v>340</v>
      </c>
      <c r="G34" s="103" t="s">
        <v>279</v>
      </c>
      <c r="H34" s="103" t="s">
        <v>280</v>
      </c>
      <c r="I34" s="103" t="s">
        <v>281</v>
      </c>
      <c r="J34" s="103" t="s">
        <v>282</v>
      </c>
      <c r="K34" s="103" t="s">
        <v>283</v>
      </c>
      <c r="L34" s="103" t="s">
        <v>284</v>
      </c>
      <c r="M34" s="103" t="s">
        <v>285</v>
      </c>
      <c r="N34" s="103" t="s">
        <v>286</v>
      </c>
      <c r="O34" s="103" t="s">
        <v>287</v>
      </c>
      <c r="P34" s="103" t="s">
        <v>288</v>
      </c>
      <c r="Q34" s="103" t="s">
        <v>289</v>
      </c>
      <c r="R34" s="103" t="s">
        <v>290</v>
      </c>
      <c r="S34" s="103" t="s">
        <v>291</v>
      </c>
      <c r="T34" s="103" t="s">
        <v>292</v>
      </c>
      <c r="U34" s="103" t="s">
        <v>293</v>
      </c>
      <c r="V34" s="103" t="s">
        <v>294</v>
      </c>
      <c r="W34" s="103" t="s">
        <v>295</v>
      </c>
      <c r="X34" s="103" t="s">
        <v>296</v>
      </c>
      <c r="Y34" s="103" t="s">
        <v>297</v>
      </c>
    </row>
    <row r="35" spans="1:25" x14ac:dyDescent="0.35">
      <c r="A35" s="400" t="s">
        <v>298</v>
      </c>
      <c r="B35" s="154" t="str">
        <f>Input!A51</f>
        <v>RAP 1</v>
      </c>
      <c r="C35" s="154">
        <f>+Input!B51</f>
        <v>0.3</v>
      </c>
      <c r="D35" s="154">
        <f>Input!$R51</f>
        <v>0</v>
      </c>
      <c r="E35" s="154" t="str">
        <f>Input!$P51</f>
        <v>No</v>
      </c>
      <c r="F35" s="154" t="str">
        <f>Input!$Q51</f>
        <v>No</v>
      </c>
      <c r="G35" s="154" cm="1">
        <f t="array" ref="G35">INDEX(LCI!H$2:H$73,MATCH($E35&amp;$F35,LCI!$B$2:$B$73&amp;LCI!$D$2:$D$73,0))*IF(AND($E35="Truck", OR($F35="Electric", $F35="Electric_green")), $B$6, 1)*$D35*$C35</f>
        <v>0</v>
      </c>
      <c r="H35" s="154" cm="1">
        <f t="array" ref="H35">INDEX(LCI!I$2:I$73,MATCH($E35&amp;$F35,LCI!$B$2:$B$73&amp;LCI!$D$2:$D$73,0))*IF(AND($E35="Truck", OR($F35="Electric", $F35="Electric_green")), $B$6, 1)*$D35*$C35</f>
        <v>0</v>
      </c>
      <c r="I35" s="154" cm="1">
        <f t="array" ref="I35">INDEX(LCI!J$2:J$73,MATCH($E35&amp;$F35,LCI!$B$2:$B$73&amp;LCI!$D$2:$D$73,0))*IF(AND($E35="Truck", OR($F35="Electric", $F35="Electric_green")), $B$6, 1)*$D35*$C35</f>
        <v>0</v>
      </c>
      <c r="J35" s="154" cm="1">
        <f t="array" ref="J35">INDEX(LCI!K$2:K$73,MATCH($E35&amp;$F35,LCI!$B$2:$B$73&amp;LCI!$D$2:$D$73,0))*IF(AND($E35="Truck", OR($F35="Electric", $F35="Electric_green")), $B$6, 1)*$D35*$C35</f>
        <v>0</v>
      </c>
      <c r="K35" s="154" cm="1">
        <f t="array" ref="K35">INDEX(LCI!L$2:L$73,MATCH($E35&amp;$F35,LCI!$B$2:$B$73&amp;LCI!$D$2:$D$73,0))*IF(AND($E35="Truck", OR($F35="Electric", $F35="Electric_green")), $B$6, 1)*$D35*$C35</f>
        <v>0</v>
      </c>
      <c r="L35" s="154" cm="1">
        <f t="array" ref="L35">INDEX(LCI!M$2:M$73,MATCH($E35&amp;$F35,LCI!$B$2:$B$73&amp;LCI!$D$2:$D$73,0))*IF(AND($E35="Truck", OR($F35="Electric", $F35="Electric_green")), $B$6, 1)*$D35*$C35</f>
        <v>0</v>
      </c>
      <c r="M35" s="154" cm="1">
        <f t="array" ref="M35">INDEX(LCI!N$2:N$73,MATCH($E35&amp;$F35,LCI!$B$2:$B$73&amp;LCI!$D$2:$D$73,0))*IF(AND($E35="Truck", OR($F35="Electric", $F35="Electric_green")), $B$6, 1)*$D35*$C35</f>
        <v>0</v>
      </c>
      <c r="N35" s="154" cm="1">
        <f t="array" ref="N35">INDEX(LCI!O$2:O$73,MATCH($E35&amp;$F35,LCI!$B$2:$B$73&amp;LCI!$D$2:$D$73,0))*IF(AND($E35="Truck", OR($F35="Electric", $F35="Electric_green")), $B$6, 1)*$D35*$C35</f>
        <v>0</v>
      </c>
      <c r="O35" s="154" cm="1">
        <f t="array" ref="O35">INDEX(LCI!P$2:P$73,MATCH($E35&amp;$F35,LCI!$B$2:$B$73&amp;LCI!$D$2:$D$73,0))*IF(AND($E35="Truck", OR($F35="Electric", $F35="Electric_green")), $B$6, 1)*$D35*$C35</f>
        <v>0</v>
      </c>
      <c r="P35" s="154" cm="1">
        <f t="array" ref="P35">INDEX(LCI!Q$2:Q$73,MATCH($E35&amp;$F35,LCI!$B$2:$B$73&amp;LCI!$D$2:$D$73,0))*IF(AND($E35="Truck", OR($F35="Electric", $F35="Electric_green")), $B$6, 1)*$D35*$C35</f>
        <v>0</v>
      </c>
      <c r="Q35" s="154" cm="1">
        <f t="array" ref="Q35">INDEX(LCI!R$2:R$73,MATCH($E35&amp;$F35,LCI!$B$2:$B$73&amp;LCI!$D$2:$D$73,0))*IF(AND($E35="Truck", OR($F35="Electric", $F35="Electric_green")), $B$6, 1)*$D35*$C35</f>
        <v>0</v>
      </c>
      <c r="R35" s="154" cm="1">
        <f t="array" ref="R35">INDEX(LCI!S$2:S$73,MATCH($E35&amp;$F35,LCI!$B$2:$B$73&amp;LCI!$D$2:$D$73,0))*IF(AND($E35="Truck", OR($F35="Electric", $F35="Electric_green")), $B$6, 1)*$D35*$C35</f>
        <v>0</v>
      </c>
      <c r="S35" s="154" cm="1">
        <f t="array" ref="S35">INDEX(LCI!T$2:T$73,MATCH($E35&amp;$F35,LCI!$B$2:$B$73&amp;LCI!$D$2:$D$73,0))*IF(AND($E35="Truck", OR($F35="Electric", $F35="Electric_green")), $B$6, 1)*$D35*$C35</f>
        <v>0</v>
      </c>
      <c r="T35" s="154" cm="1">
        <f t="array" ref="T35">INDEX(LCI!U$2:U$73,MATCH($E35&amp;$F35,LCI!$B$2:$B$73&amp;LCI!$D$2:$D$73,0))*IF(AND($E35="Truck", OR($F35="Electric", $F35="Electric_green")), $B$6, 1)*$D35*$C35</f>
        <v>0</v>
      </c>
      <c r="U35" s="154" cm="1">
        <f t="array" ref="U35">INDEX(LCI!V$2:V$73,MATCH($E35&amp;$F35,LCI!$B$2:$B$73&amp;LCI!$D$2:$D$73,0))*IF(AND($E35="Truck", OR($F35="Electric", $F35="Electric_green")), $B$6, 1)*$D35*$C35</f>
        <v>0</v>
      </c>
      <c r="V35" s="154" cm="1">
        <f t="array" ref="V35">INDEX(LCI!W$2:W$73,MATCH($E35&amp;$F35,LCI!$B$2:$B$73&amp;LCI!$D$2:$D$73,0))*IF(AND($E35="Truck", OR($F35="Electric", $F35="Electric_green")), $B$6, 1)*$D35*$C35</f>
        <v>0</v>
      </c>
      <c r="W35" s="154" cm="1">
        <f t="array" ref="W35">INDEX(LCI!X$2:X$73,MATCH($E35&amp;$F35,LCI!$B$2:$B$73&amp;LCI!$D$2:$D$73,0))*IF(AND($E35="Truck", OR($F35="Electric", $F35="Electric_green")), $B$6, 1)*$D35*$C35</f>
        <v>0</v>
      </c>
      <c r="X35" s="154" cm="1">
        <f t="array" ref="X35">INDEX(LCI!Y$2:Y$73,MATCH($E35&amp;$F35,LCI!$B$2:$B$73&amp;LCI!$D$2:$D$73,0))*IF(AND($E35="Truck", OR($F35="Electric", $F35="Electric_green")), $B$6, 1)*$D35*$C35</f>
        <v>0</v>
      </c>
      <c r="Y35" s="154" cm="1">
        <f t="array" ref="Y35">INDEX(LCI!Z$2:Z$73,MATCH($E35&amp;$F35,LCI!$B$2:$B$73&amp;LCI!$D$2:$D$73,0))*IF(AND($E35="Truck", OR($F35="Electric", $F35="Electric_green")), $B$6, 1)*$D35*$C35</f>
        <v>0</v>
      </c>
    </row>
    <row r="36" spans="1:25" x14ac:dyDescent="0.35">
      <c r="A36" s="400"/>
      <c r="B36" s="154" t="str">
        <f>Input!A52</f>
        <v>RAP 2</v>
      </c>
      <c r="C36" s="154">
        <f>+Input!B52</f>
        <v>0</v>
      </c>
      <c r="D36" s="154">
        <f>Input!$R52</f>
        <v>0</v>
      </c>
      <c r="E36" s="154" t="str">
        <f>Input!$P52</f>
        <v>No</v>
      </c>
      <c r="F36" s="154" t="str">
        <f>Input!$Q52</f>
        <v>No</v>
      </c>
      <c r="G36" s="154" cm="1">
        <f t="array" ref="G36">INDEX(LCI!H$2:H$73,MATCH($E36&amp;$F36,LCI!$B$2:$B$73&amp;LCI!$D$2:$D$73,0))*IF(AND($E36="Truck", OR($F36="Electric", $F36="Electric_green")), $B$6, 1)*$D36*$C36</f>
        <v>0</v>
      </c>
      <c r="H36" s="154" cm="1">
        <f t="array" ref="H36">INDEX(LCI!I$2:I$73,MATCH($E36&amp;$F36,LCI!$B$2:$B$73&amp;LCI!$D$2:$D$73,0))*IF(AND($E36="Truck", OR($F36="Electric", $F36="Electric_green")), $B$6, 1)*$D36*$C36</f>
        <v>0</v>
      </c>
      <c r="I36" s="154" cm="1">
        <f t="array" ref="I36">INDEX(LCI!J$2:J$73,MATCH($E36&amp;$F36,LCI!$B$2:$B$73&amp;LCI!$D$2:$D$73,0))*IF(AND($E36="Truck", OR($F36="Electric", $F36="Electric_green")), $B$6, 1)*$D36*$C36</f>
        <v>0</v>
      </c>
      <c r="J36" s="154" cm="1">
        <f t="array" ref="J36">INDEX(LCI!K$2:K$73,MATCH($E36&amp;$F36,LCI!$B$2:$B$73&amp;LCI!$D$2:$D$73,0))*IF(AND($E36="Truck", OR($F36="Electric", $F36="Electric_green")), $B$6, 1)*$D36*$C36</f>
        <v>0</v>
      </c>
      <c r="K36" s="154" cm="1">
        <f t="array" ref="K36">INDEX(LCI!L$2:L$73,MATCH($E36&amp;$F36,LCI!$B$2:$B$73&amp;LCI!$D$2:$D$73,0))*IF(AND($E36="Truck", OR($F36="Electric", $F36="Electric_green")), $B$6, 1)*$D36*$C36</f>
        <v>0</v>
      </c>
      <c r="L36" s="154" cm="1">
        <f t="array" ref="L36">INDEX(LCI!M$2:M$73,MATCH($E36&amp;$F36,LCI!$B$2:$B$73&amp;LCI!$D$2:$D$73,0))*IF(AND($E36="Truck", OR($F36="Electric", $F36="Electric_green")), $B$6, 1)*$D36*$C36</f>
        <v>0</v>
      </c>
      <c r="M36" s="154" cm="1">
        <f t="array" ref="M36">INDEX(LCI!N$2:N$73,MATCH($E36&amp;$F36,LCI!$B$2:$B$73&amp;LCI!$D$2:$D$73,0))*IF(AND($E36="Truck", OR($F36="Electric", $F36="Electric_green")), $B$6, 1)*$D36*$C36</f>
        <v>0</v>
      </c>
      <c r="N36" s="154" cm="1">
        <f t="array" ref="N36">INDEX(LCI!O$2:O$73,MATCH($E36&amp;$F36,LCI!$B$2:$B$73&amp;LCI!$D$2:$D$73,0))*IF(AND($E36="Truck", OR($F36="Electric", $F36="Electric_green")), $B$6, 1)*$D36*$C36</f>
        <v>0</v>
      </c>
      <c r="O36" s="154" cm="1">
        <f t="array" ref="O36">INDEX(LCI!P$2:P$73,MATCH($E36&amp;$F36,LCI!$B$2:$B$73&amp;LCI!$D$2:$D$73,0))*IF(AND($E36="Truck", OR($F36="Electric", $F36="Electric_green")), $B$6, 1)*$D36*$C36</f>
        <v>0</v>
      </c>
      <c r="P36" s="154" cm="1">
        <f t="array" ref="P36">INDEX(LCI!Q$2:Q$73,MATCH($E36&amp;$F36,LCI!$B$2:$B$73&amp;LCI!$D$2:$D$73,0))*IF(AND($E36="Truck", OR($F36="Electric", $F36="Electric_green")), $B$6, 1)*$D36*$C36</f>
        <v>0</v>
      </c>
      <c r="Q36" s="154" cm="1">
        <f t="array" ref="Q36">INDEX(LCI!R$2:R$73,MATCH($E36&amp;$F36,LCI!$B$2:$B$73&amp;LCI!$D$2:$D$73,0))*IF(AND($E36="Truck", OR($F36="Electric", $F36="Electric_green")), $B$6, 1)*$D36*$C36</f>
        <v>0</v>
      </c>
      <c r="R36" s="154" cm="1">
        <f t="array" ref="R36">INDEX(LCI!S$2:S$73,MATCH($E36&amp;$F36,LCI!$B$2:$B$73&amp;LCI!$D$2:$D$73,0))*IF(AND($E36="Truck", OR($F36="Electric", $F36="Electric_green")), $B$6, 1)*$D36*$C36</f>
        <v>0</v>
      </c>
      <c r="S36" s="154" cm="1">
        <f t="array" ref="S36">INDEX(LCI!T$2:T$73,MATCH($E36&amp;$F36,LCI!$B$2:$B$73&amp;LCI!$D$2:$D$73,0))*IF(AND($E36="Truck", OR($F36="Electric", $F36="Electric_green")), $B$6, 1)*$D36*$C36</f>
        <v>0</v>
      </c>
      <c r="T36" s="154" cm="1">
        <f t="array" ref="T36">INDEX(LCI!U$2:U$73,MATCH($E36&amp;$F36,LCI!$B$2:$B$73&amp;LCI!$D$2:$D$73,0))*IF(AND($E36="Truck", OR($F36="Electric", $F36="Electric_green")), $B$6, 1)*$D36*$C36</f>
        <v>0</v>
      </c>
      <c r="U36" s="154" cm="1">
        <f t="array" ref="U36">INDEX(LCI!V$2:V$73,MATCH($E36&amp;$F36,LCI!$B$2:$B$73&amp;LCI!$D$2:$D$73,0))*IF(AND($E36="Truck", OR($F36="Electric", $F36="Electric_green")), $B$6, 1)*$D36*$C36</f>
        <v>0</v>
      </c>
      <c r="V36" s="154" cm="1">
        <f t="array" ref="V36">INDEX(LCI!W$2:W$73,MATCH($E36&amp;$F36,LCI!$B$2:$B$73&amp;LCI!$D$2:$D$73,0))*IF(AND($E36="Truck", OR($F36="Electric", $F36="Electric_green")), $B$6, 1)*$D36*$C36</f>
        <v>0</v>
      </c>
      <c r="W36" s="154" cm="1">
        <f t="array" ref="W36">INDEX(LCI!X$2:X$73,MATCH($E36&amp;$F36,LCI!$B$2:$B$73&amp;LCI!$D$2:$D$73,0))*IF(AND($E36="Truck", OR($F36="Electric", $F36="Electric_green")), $B$6, 1)*$D36*$C36</f>
        <v>0</v>
      </c>
      <c r="X36" s="154" cm="1">
        <f t="array" ref="X36">INDEX(LCI!Y$2:Y$73,MATCH($E36&amp;$F36,LCI!$B$2:$B$73&amp;LCI!$D$2:$D$73,0))*IF(AND($E36="Truck", OR($F36="Electric", $F36="Electric_green")), $B$6, 1)*$D36*$C36</f>
        <v>0</v>
      </c>
      <c r="Y36" s="154" cm="1">
        <f t="array" ref="Y36">INDEX(LCI!Z$2:Z$73,MATCH($E36&amp;$F36,LCI!$B$2:$B$73&amp;LCI!$D$2:$D$73,0))*IF(AND($E36="Truck", OR($F36="Electric", $F36="Electric_green")), $B$6, 1)*$D36*$C36</f>
        <v>0</v>
      </c>
    </row>
    <row r="37" spans="1:25" x14ac:dyDescent="0.35">
      <c r="A37" s="401" t="s">
        <v>299</v>
      </c>
      <c r="B37" s="154" t="str">
        <f>Input!A53</f>
        <v>Other_waste 1</v>
      </c>
      <c r="C37" s="154">
        <f>+Input!B53</f>
        <v>0</v>
      </c>
      <c r="D37" s="154">
        <f>Input!$R53</f>
        <v>0</v>
      </c>
      <c r="E37" s="154" t="str">
        <f>Input!$P53</f>
        <v>No</v>
      </c>
      <c r="F37" s="154" t="str">
        <f>Input!$Q53</f>
        <v>No</v>
      </c>
      <c r="G37" s="154" cm="1">
        <f t="array" ref="G37">INDEX(LCI!H$2:H$73,MATCH($E37&amp;$F37,LCI!$B$2:$B$73&amp;LCI!$D$2:$D$73,0))*IF(AND($E37="Truck", OR($F37="Electric", $F37="Electric_green")), $B$6, 1)*$D37*$C37</f>
        <v>0</v>
      </c>
      <c r="H37" s="154" cm="1">
        <f t="array" ref="H37">INDEX(LCI!I$2:I$73,MATCH($E37&amp;$F37,LCI!$B$2:$B$73&amp;LCI!$D$2:$D$73,0))*IF(AND($E37="Truck", OR($F37="Electric", $F37="Electric_green")), $B$6, 1)*$D37*$C37</f>
        <v>0</v>
      </c>
      <c r="I37" s="154" cm="1">
        <f t="array" ref="I37">INDEX(LCI!J$2:J$73,MATCH($E37&amp;$F37,LCI!$B$2:$B$73&amp;LCI!$D$2:$D$73,0))*IF(AND($E37="Truck", OR($F37="Electric", $F37="Electric_green")), $B$6, 1)*$D37*$C37</f>
        <v>0</v>
      </c>
      <c r="J37" s="154" cm="1">
        <f t="array" ref="J37">INDEX(LCI!K$2:K$73,MATCH($E37&amp;$F37,LCI!$B$2:$B$73&amp;LCI!$D$2:$D$73,0))*IF(AND($E37="Truck", OR($F37="Electric", $F37="Electric_green")), $B$6, 1)*$D37*$C37</f>
        <v>0</v>
      </c>
      <c r="K37" s="154" cm="1">
        <f t="array" ref="K37">INDEX(LCI!L$2:L$73,MATCH($E37&amp;$F37,LCI!$B$2:$B$73&amp;LCI!$D$2:$D$73,0))*IF(AND($E37="Truck", OR($F37="Electric", $F37="Electric_green")), $B$6, 1)*$D37*$C37</f>
        <v>0</v>
      </c>
      <c r="L37" s="154" cm="1">
        <f t="array" ref="L37">INDEX(LCI!M$2:M$73,MATCH($E37&amp;$F37,LCI!$B$2:$B$73&amp;LCI!$D$2:$D$73,0))*IF(AND($E37="Truck", OR($F37="Electric", $F37="Electric_green")), $B$6, 1)*$D37*$C37</f>
        <v>0</v>
      </c>
      <c r="M37" s="154" cm="1">
        <f t="array" ref="M37">INDEX(LCI!N$2:N$73,MATCH($E37&amp;$F37,LCI!$B$2:$B$73&amp;LCI!$D$2:$D$73,0))*IF(AND($E37="Truck", OR($F37="Electric", $F37="Electric_green")), $B$6, 1)*$D37*$C37</f>
        <v>0</v>
      </c>
      <c r="N37" s="154" cm="1">
        <f t="array" ref="N37">INDEX(LCI!O$2:O$73,MATCH($E37&amp;$F37,LCI!$B$2:$B$73&amp;LCI!$D$2:$D$73,0))*IF(AND($E37="Truck", OR($F37="Electric", $F37="Electric_green")), $B$6, 1)*$D37*$C37</f>
        <v>0</v>
      </c>
      <c r="O37" s="154" cm="1">
        <f t="array" ref="O37">INDEX(LCI!P$2:P$73,MATCH($E37&amp;$F37,LCI!$B$2:$B$73&amp;LCI!$D$2:$D$73,0))*IF(AND($E37="Truck", OR($F37="Electric", $F37="Electric_green")), $B$6, 1)*$D37*$C37</f>
        <v>0</v>
      </c>
      <c r="P37" s="154" cm="1">
        <f t="array" ref="P37">INDEX(LCI!Q$2:Q$73,MATCH($E37&amp;$F37,LCI!$B$2:$B$73&amp;LCI!$D$2:$D$73,0))*IF(AND($E37="Truck", OR($F37="Electric", $F37="Electric_green")), $B$6, 1)*$D37*$C37</f>
        <v>0</v>
      </c>
      <c r="Q37" s="154" cm="1">
        <f t="array" ref="Q37">INDEX(LCI!R$2:R$73,MATCH($E37&amp;$F37,LCI!$B$2:$B$73&amp;LCI!$D$2:$D$73,0))*IF(AND($E37="Truck", OR($F37="Electric", $F37="Electric_green")), $B$6, 1)*$D37*$C37</f>
        <v>0</v>
      </c>
      <c r="R37" s="154" cm="1">
        <f t="array" ref="R37">INDEX(LCI!S$2:S$73,MATCH($E37&amp;$F37,LCI!$B$2:$B$73&amp;LCI!$D$2:$D$73,0))*IF(AND($E37="Truck", OR($F37="Electric", $F37="Electric_green")), $B$6, 1)*$D37*$C37</f>
        <v>0</v>
      </c>
      <c r="S37" s="154" cm="1">
        <f t="array" ref="S37">INDEX(LCI!T$2:T$73,MATCH($E37&amp;$F37,LCI!$B$2:$B$73&amp;LCI!$D$2:$D$73,0))*IF(AND($E37="Truck", OR($F37="Electric", $F37="Electric_green")), $B$6, 1)*$D37*$C37</f>
        <v>0</v>
      </c>
      <c r="T37" s="154" cm="1">
        <f t="array" ref="T37">INDEX(LCI!U$2:U$73,MATCH($E37&amp;$F37,LCI!$B$2:$B$73&amp;LCI!$D$2:$D$73,0))*IF(AND($E37="Truck", OR($F37="Electric", $F37="Electric_green")), $B$6, 1)*$D37*$C37</f>
        <v>0</v>
      </c>
      <c r="U37" s="154" cm="1">
        <f t="array" ref="U37">INDEX(LCI!V$2:V$73,MATCH($E37&amp;$F37,LCI!$B$2:$B$73&amp;LCI!$D$2:$D$73,0))*IF(AND($E37="Truck", OR($F37="Electric", $F37="Electric_green")), $B$6, 1)*$D37*$C37</f>
        <v>0</v>
      </c>
      <c r="V37" s="154" cm="1">
        <f t="array" ref="V37">INDEX(LCI!W$2:W$73,MATCH($E37&amp;$F37,LCI!$B$2:$B$73&amp;LCI!$D$2:$D$73,0))*IF(AND($E37="Truck", OR($F37="Electric", $F37="Electric_green")), $B$6, 1)*$D37*$C37</f>
        <v>0</v>
      </c>
      <c r="W37" s="154" cm="1">
        <f t="array" ref="W37">INDEX(LCI!X$2:X$73,MATCH($E37&amp;$F37,LCI!$B$2:$B$73&amp;LCI!$D$2:$D$73,0))*IF(AND($E37="Truck", OR($F37="Electric", $F37="Electric_green")), $B$6, 1)*$D37*$C37</f>
        <v>0</v>
      </c>
      <c r="X37" s="154" cm="1">
        <f t="array" ref="X37">INDEX(LCI!Y$2:Y$73,MATCH($E37&amp;$F37,LCI!$B$2:$B$73&amp;LCI!$D$2:$D$73,0))*IF(AND($E37="Truck", OR($F37="Electric", $F37="Electric_green")), $B$6, 1)*$D37*$C37</f>
        <v>0</v>
      </c>
      <c r="Y37" s="154" cm="1">
        <f t="array" ref="Y37">INDEX(LCI!Z$2:Z$73,MATCH($E37&amp;$F37,LCI!$B$2:$B$73&amp;LCI!$D$2:$D$73,0))*IF(AND($E37="Truck", OR($F37="Electric", $F37="Electric_green")), $B$6, 1)*$D37*$C37</f>
        <v>0</v>
      </c>
    </row>
    <row r="38" spans="1:25" x14ac:dyDescent="0.35">
      <c r="A38" s="401"/>
      <c r="B38" s="154" t="str">
        <f>Input!A54</f>
        <v>Other_waste 2</v>
      </c>
      <c r="C38" s="154">
        <f>+Input!B54</f>
        <v>0</v>
      </c>
      <c r="D38" s="154">
        <f>Input!$R54</f>
        <v>0</v>
      </c>
      <c r="E38" s="154" t="str">
        <f>Input!$P54</f>
        <v>No</v>
      </c>
      <c r="F38" s="154" t="str">
        <f>Input!$Q54</f>
        <v>No</v>
      </c>
      <c r="G38" s="154" cm="1">
        <f t="array" ref="G38">INDEX(LCI!H$2:H$73,MATCH($E38&amp;$F38,LCI!$B$2:$B$73&amp;LCI!$D$2:$D$73,0))*IF(AND($E38="Truck", OR($F38="Electric", $F38="Electric_green")), $B$6, 1)*$D38*$C38</f>
        <v>0</v>
      </c>
      <c r="H38" s="154" cm="1">
        <f t="array" ref="H38">INDEX(LCI!I$2:I$73,MATCH($E38&amp;$F38,LCI!$B$2:$B$73&amp;LCI!$D$2:$D$73,0))*IF(AND($E38="Truck", OR($F38="Electric", $F38="Electric_green")), $B$6, 1)*$D38*$C38</f>
        <v>0</v>
      </c>
      <c r="I38" s="154" cm="1">
        <f t="array" ref="I38">INDEX(LCI!J$2:J$73,MATCH($E38&amp;$F38,LCI!$B$2:$B$73&amp;LCI!$D$2:$D$73,0))*IF(AND($E38="Truck", OR($F38="Electric", $F38="Electric_green")), $B$6, 1)*$D38*$C38</f>
        <v>0</v>
      </c>
      <c r="J38" s="154" cm="1">
        <f t="array" ref="J38">INDEX(LCI!K$2:K$73,MATCH($E38&amp;$F38,LCI!$B$2:$B$73&amp;LCI!$D$2:$D$73,0))*IF(AND($E38="Truck", OR($F38="Electric", $F38="Electric_green")), $B$6, 1)*$D38*$C38</f>
        <v>0</v>
      </c>
      <c r="K38" s="154" cm="1">
        <f t="array" ref="K38">INDEX(LCI!L$2:L$73,MATCH($E38&amp;$F38,LCI!$B$2:$B$73&amp;LCI!$D$2:$D$73,0))*IF(AND($E38="Truck", OR($F38="Electric", $F38="Electric_green")), $B$6, 1)*$D38*$C38</f>
        <v>0</v>
      </c>
      <c r="L38" s="154" cm="1">
        <f t="array" ref="L38">INDEX(LCI!M$2:M$73,MATCH($E38&amp;$F38,LCI!$B$2:$B$73&amp;LCI!$D$2:$D$73,0))*IF(AND($E38="Truck", OR($F38="Electric", $F38="Electric_green")), $B$6, 1)*$D38*$C38</f>
        <v>0</v>
      </c>
      <c r="M38" s="154" cm="1">
        <f t="array" ref="M38">INDEX(LCI!N$2:N$73,MATCH($E38&amp;$F38,LCI!$B$2:$B$73&amp;LCI!$D$2:$D$73,0))*IF(AND($E38="Truck", OR($F38="Electric", $F38="Electric_green")), $B$6, 1)*$D38*$C38</f>
        <v>0</v>
      </c>
      <c r="N38" s="154" cm="1">
        <f t="array" ref="N38">INDEX(LCI!O$2:O$73,MATCH($E38&amp;$F38,LCI!$B$2:$B$73&amp;LCI!$D$2:$D$73,0))*IF(AND($E38="Truck", OR($F38="Electric", $F38="Electric_green")), $B$6, 1)*$D38*$C38</f>
        <v>0</v>
      </c>
      <c r="O38" s="154" cm="1">
        <f t="array" ref="O38">INDEX(LCI!P$2:P$73,MATCH($E38&amp;$F38,LCI!$B$2:$B$73&amp;LCI!$D$2:$D$73,0))*IF(AND($E38="Truck", OR($F38="Electric", $F38="Electric_green")), $B$6, 1)*$D38*$C38</f>
        <v>0</v>
      </c>
      <c r="P38" s="154" cm="1">
        <f t="array" ref="P38">INDEX(LCI!Q$2:Q$73,MATCH($E38&amp;$F38,LCI!$B$2:$B$73&amp;LCI!$D$2:$D$73,0))*IF(AND($E38="Truck", OR($F38="Electric", $F38="Electric_green")), $B$6, 1)*$D38*$C38</f>
        <v>0</v>
      </c>
      <c r="Q38" s="154" cm="1">
        <f t="array" ref="Q38">INDEX(LCI!R$2:R$73,MATCH($E38&amp;$F38,LCI!$B$2:$B$73&amp;LCI!$D$2:$D$73,0))*IF(AND($E38="Truck", OR($F38="Electric", $F38="Electric_green")), $B$6, 1)*$D38*$C38</f>
        <v>0</v>
      </c>
      <c r="R38" s="154" cm="1">
        <f t="array" ref="R38">INDEX(LCI!S$2:S$73,MATCH($E38&amp;$F38,LCI!$B$2:$B$73&amp;LCI!$D$2:$D$73,0))*IF(AND($E38="Truck", OR($F38="Electric", $F38="Electric_green")), $B$6, 1)*$D38*$C38</f>
        <v>0</v>
      </c>
      <c r="S38" s="154" cm="1">
        <f t="array" ref="S38">INDEX(LCI!T$2:T$73,MATCH($E38&amp;$F38,LCI!$B$2:$B$73&amp;LCI!$D$2:$D$73,0))*IF(AND($E38="Truck", OR($F38="Electric", $F38="Electric_green")), $B$6, 1)*$D38*$C38</f>
        <v>0</v>
      </c>
      <c r="T38" s="154" cm="1">
        <f t="array" ref="T38">INDEX(LCI!U$2:U$73,MATCH($E38&amp;$F38,LCI!$B$2:$B$73&amp;LCI!$D$2:$D$73,0))*IF(AND($E38="Truck", OR($F38="Electric", $F38="Electric_green")), $B$6, 1)*$D38*$C38</f>
        <v>0</v>
      </c>
      <c r="U38" s="154" cm="1">
        <f t="array" ref="U38">INDEX(LCI!V$2:V$73,MATCH($E38&amp;$F38,LCI!$B$2:$B$73&amp;LCI!$D$2:$D$73,0))*IF(AND($E38="Truck", OR($F38="Electric", $F38="Electric_green")), $B$6, 1)*$D38*$C38</f>
        <v>0</v>
      </c>
      <c r="V38" s="154" cm="1">
        <f t="array" ref="V38">INDEX(LCI!W$2:W$73,MATCH($E38&amp;$F38,LCI!$B$2:$B$73&amp;LCI!$D$2:$D$73,0))*IF(AND($E38="Truck", OR($F38="Electric", $F38="Electric_green")), $B$6, 1)*$D38*$C38</f>
        <v>0</v>
      </c>
      <c r="W38" s="154" cm="1">
        <f t="array" ref="W38">INDEX(LCI!X$2:X$73,MATCH($E38&amp;$F38,LCI!$B$2:$B$73&amp;LCI!$D$2:$D$73,0))*IF(AND($E38="Truck", OR($F38="Electric", $F38="Electric_green")), $B$6, 1)*$D38*$C38</f>
        <v>0</v>
      </c>
      <c r="X38" s="154" cm="1">
        <f t="array" ref="X38">INDEX(LCI!Y$2:Y$73,MATCH($E38&amp;$F38,LCI!$B$2:$B$73&amp;LCI!$D$2:$D$73,0))*IF(AND($E38="Truck", OR($F38="Electric", $F38="Electric_green")), $B$6, 1)*$D38*$C38</f>
        <v>0</v>
      </c>
      <c r="Y38" s="154" cm="1">
        <f t="array" ref="Y38">INDEX(LCI!Z$2:Z$73,MATCH($E38&amp;$F38,LCI!$B$2:$B$73&amp;LCI!$D$2:$D$73,0))*IF(AND($E38="Truck", OR($F38="Electric", $F38="Electric_green")), $B$6, 1)*$D38*$C38</f>
        <v>0</v>
      </c>
    </row>
    <row r="39" spans="1:25" x14ac:dyDescent="0.35">
      <c r="A39" s="409" t="s">
        <v>200</v>
      </c>
      <c r="B39" s="409"/>
      <c r="C39" s="409"/>
      <c r="D39" s="409"/>
      <c r="E39" s="409"/>
      <c r="F39" s="409"/>
      <c r="G39" s="139">
        <f t="shared" ref="G39:Y39" si="2">SUM(G35:G38)</f>
        <v>0</v>
      </c>
      <c r="H39" s="139">
        <f t="shared" si="2"/>
        <v>0</v>
      </c>
      <c r="I39" s="139">
        <f t="shared" si="2"/>
        <v>0</v>
      </c>
      <c r="J39" s="139">
        <f t="shared" si="2"/>
        <v>0</v>
      </c>
      <c r="K39" s="139">
        <f t="shared" si="2"/>
        <v>0</v>
      </c>
      <c r="L39" s="139">
        <f t="shared" si="2"/>
        <v>0</v>
      </c>
      <c r="M39" s="139">
        <f t="shared" si="2"/>
        <v>0</v>
      </c>
      <c r="N39" s="139">
        <f t="shared" si="2"/>
        <v>0</v>
      </c>
      <c r="O39" s="139">
        <f t="shared" si="2"/>
        <v>0</v>
      </c>
      <c r="P39" s="139">
        <f t="shared" si="2"/>
        <v>0</v>
      </c>
      <c r="Q39" s="139">
        <f t="shared" si="2"/>
        <v>0</v>
      </c>
      <c r="R39" s="139">
        <f t="shared" si="2"/>
        <v>0</v>
      </c>
      <c r="S39" s="139">
        <f t="shared" si="2"/>
        <v>0</v>
      </c>
      <c r="T39" s="139">
        <f t="shared" si="2"/>
        <v>0</v>
      </c>
      <c r="U39" s="139">
        <f t="shared" si="2"/>
        <v>0</v>
      </c>
      <c r="V39" s="139">
        <f t="shared" si="2"/>
        <v>0</v>
      </c>
      <c r="W39" s="139">
        <f t="shared" si="2"/>
        <v>0</v>
      </c>
      <c r="X39" s="139">
        <f t="shared" si="2"/>
        <v>0</v>
      </c>
      <c r="Y39" s="139">
        <f t="shared" si="2"/>
        <v>0</v>
      </c>
    </row>
    <row r="40" spans="1:25" x14ac:dyDescent="0.35">
      <c r="A40" s="109"/>
      <c r="B40" s="109"/>
      <c r="C40" s="109"/>
      <c r="D40" s="109"/>
      <c r="E40" s="109"/>
      <c r="F40" s="109"/>
    </row>
    <row r="41" spans="1:25" ht="14" customHeight="1" x14ac:dyDescent="0.35">
      <c r="A41" s="109"/>
      <c r="B41" s="109"/>
      <c r="C41" s="109"/>
      <c r="D41" s="109"/>
      <c r="E41" s="109"/>
      <c r="F41" s="109"/>
    </row>
    <row r="42" spans="1:25" ht="14" customHeight="1" x14ac:dyDescent="0.35">
      <c r="A42" s="109"/>
      <c r="B42" s="109"/>
      <c r="C42" s="109"/>
      <c r="D42" s="109"/>
      <c r="E42" s="109"/>
      <c r="F42" s="109"/>
    </row>
    <row r="43" spans="1:25" ht="23.5" x14ac:dyDescent="0.55000000000000004">
      <c r="A43" s="100" t="s">
        <v>345</v>
      </c>
      <c r="B43" s="37"/>
      <c r="C43" s="37"/>
      <c r="D43" s="37"/>
      <c r="E43" s="37"/>
      <c r="F43" s="37"/>
      <c r="G43" s="3"/>
      <c r="H43" s="3"/>
      <c r="I43" s="3"/>
      <c r="J43" s="3"/>
      <c r="K43" s="3"/>
      <c r="L43" s="3"/>
      <c r="M43" s="3"/>
      <c r="N43" s="3"/>
      <c r="O43" s="3"/>
      <c r="P43" s="3"/>
      <c r="Q43" s="3"/>
      <c r="R43" s="3"/>
      <c r="S43" s="3"/>
      <c r="T43" s="3"/>
      <c r="U43" s="3"/>
      <c r="V43" s="3"/>
      <c r="W43" s="3"/>
      <c r="X43" s="3"/>
      <c r="Y43" s="3"/>
    </row>
    <row r="44" spans="1:25" ht="14" customHeight="1" x14ac:dyDescent="0.35"/>
    <row r="45" spans="1:25" ht="101.5" x14ac:dyDescent="0.35">
      <c r="A45" s="104" t="s">
        <v>276</v>
      </c>
      <c r="B45" s="104" t="s">
        <v>277</v>
      </c>
      <c r="C45" s="103" t="s">
        <v>278</v>
      </c>
      <c r="D45" s="103" t="s">
        <v>56</v>
      </c>
      <c r="E45" s="103" t="s">
        <v>339</v>
      </c>
      <c r="F45" s="103" t="s">
        <v>340</v>
      </c>
      <c r="G45" s="103" t="s">
        <v>279</v>
      </c>
      <c r="H45" s="103" t="s">
        <v>280</v>
      </c>
      <c r="I45" s="103" t="s">
        <v>281</v>
      </c>
      <c r="J45" s="103" t="s">
        <v>282</v>
      </c>
      <c r="K45" s="103" t="s">
        <v>283</v>
      </c>
      <c r="L45" s="103" t="s">
        <v>284</v>
      </c>
      <c r="M45" s="103" t="s">
        <v>285</v>
      </c>
      <c r="N45" s="103" t="s">
        <v>286</v>
      </c>
      <c r="O45" s="103" t="s">
        <v>287</v>
      </c>
      <c r="P45" s="103" t="s">
        <v>288</v>
      </c>
      <c r="Q45" s="103" t="s">
        <v>289</v>
      </c>
      <c r="R45" s="103" t="s">
        <v>290</v>
      </c>
      <c r="S45" s="103" t="s">
        <v>291</v>
      </c>
      <c r="T45" s="103" t="s">
        <v>292</v>
      </c>
      <c r="U45" s="103" t="s">
        <v>293</v>
      </c>
      <c r="V45" s="103" t="s">
        <v>294</v>
      </c>
      <c r="W45" s="103" t="s">
        <v>295</v>
      </c>
      <c r="X45" s="103" t="s">
        <v>296</v>
      </c>
      <c r="Y45" s="103" t="s">
        <v>297</v>
      </c>
    </row>
    <row r="46" spans="1:25" ht="14" customHeight="1" x14ac:dyDescent="0.35">
      <c r="A46" s="400" t="s">
        <v>298</v>
      </c>
      <c r="B46" s="1" t="str">
        <f>Input!A51</f>
        <v>RAP 1</v>
      </c>
      <c r="C46" s="154">
        <f>+Input!B51</f>
        <v>0.3</v>
      </c>
      <c r="D46" s="158">
        <f>D15+D25+D35</f>
        <v>50</v>
      </c>
      <c r="E46" s="154" t="s">
        <v>346</v>
      </c>
      <c r="F46" s="154" t="s">
        <v>346</v>
      </c>
      <c r="G46" s="154">
        <f t="shared" ref="G46:Y46" si="3">G15+G25+G35</f>
        <v>3.55083E-3</v>
      </c>
      <c r="H46" s="154">
        <f t="shared" si="3"/>
        <v>2.3811728849999998</v>
      </c>
      <c r="I46" s="154">
        <f t="shared" si="3"/>
        <v>1.1128545000000001E-3</v>
      </c>
      <c r="J46" s="154">
        <f t="shared" si="3"/>
        <v>2.3798706300000001</v>
      </c>
      <c r="K46" s="154">
        <f t="shared" si="3"/>
        <v>1.8939749999999998E-4</v>
      </c>
      <c r="L46" s="154">
        <f t="shared" si="3"/>
        <v>2.0451592349999999</v>
      </c>
      <c r="M46" s="154">
        <f t="shared" si="3"/>
        <v>32.048111399999996</v>
      </c>
      <c r="N46" s="154">
        <f t="shared" si="3"/>
        <v>5.5540349999999998E-5</v>
      </c>
      <c r="O46" s="154">
        <f t="shared" si="3"/>
        <v>7.7395799999999994E-4</v>
      </c>
      <c r="P46" s="154">
        <f t="shared" si="3"/>
        <v>8.3773949999999993E-3</v>
      </c>
      <c r="Q46" s="154">
        <f t="shared" si="3"/>
        <v>2.1104549999999997E-10</v>
      </c>
      <c r="R46" s="154">
        <f t="shared" si="3"/>
        <v>1.71717E-8</v>
      </c>
      <c r="S46" s="154">
        <f t="shared" si="3"/>
        <v>1.4532090000000001E-2</v>
      </c>
      <c r="T46" s="154">
        <f t="shared" si="3"/>
        <v>2.0214977099999998</v>
      </c>
      <c r="U46" s="154">
        <f t="shared" si="3"/>
        <v>2.6270549999999996E-6</v>
      </c>
      <c r="V46" s="154">
        <f t="shared" si="3"/>
        <v>5.2947299999999994E-8</v>
      </c>
      <c r="W46" s="154">
        <f t="shared" si="3"/>
        <v>1.4759354999999997E-7</v>
      </c>
      <c r="X46" s="154">
        <f t="shared" si="3"/>
        <v>6.1907399999999993E-3</v>
      </c>
      <c r="Y46" s="154">
        <f t="shared" si="3"/>
        <v>7.2992834999999992E-2</v>
      </c>
    </row>
    <row r="47" spans="1:25" ht="14" customHeight="1" x14ac:dyDescent="0.35">
      <c r="A47" s="400"/>
      <c r="B47" s="1" t="str">
        <f>Input!A52</f>
        <v>RAP 2</v>
      </c>
      <c r="C47" s="154">
        <f>+Input!B52</f>
        <v>0</v>
      </c>
      <c r="D47" s="158">
        <f>D16+D26+D36</f>
        <v>0</v>
      </c>
      <c r="E47" s="154" t="s">
        <v>346</v>
      </c>
      <c r="F47" s="154" t="s">
        <v>346</v>
      </c>
      <c r="G47" s="154">
        <f t="shared" ref="G47:Y47" si="4">G16+G26+G36</f>
        <v>0</v>
      </c>
      <c r="H47" s="154">
        <f t="shared" si="4"/>
        <v>0</v>
      </c>
      <c r="I47" s="154">
        <f t="shared" si="4"/>
        <v>0</v>
      </c>
      <c r="J47" s="154">
        <f t="shared" si="4"/>
        <v>0</v>
      </c>
      <c r="K47" s="154">
        <f t="shared" si="4"/>
        <v>0</v>
      </c>
      <c r="L47" s="154">
        <f t="shared" si="4"/>
        <v>0</v>
      </c>
      <c r="M47" s="154">
        <f t="shared" si="4"/>
        <v>0</v>
      </c>
      <c r="N47" s="154">
        <f t="shared" si="4"/>
        <v>0</v>
      </c>
      <c r="O47" s="154">
        <f t="shared" si="4"/>
        <v>0</v>
      </c>
      <c r="P47" s="154">
        <f t="shared" si="4"/>
        <v>0</v>
      </c>
      <c r="Q47" s="154">
        <f t="shared" si="4"/>
        <v>0</v>
      </c>
      <c r="R47" s="154">
        <f t="shared" si="4"/>
        <v>0</v>
      </c>
      <c r="S47" s="154">
        <f t="shared" si="4"/>
        <v>0</v>
      </c>
      <c r="T47" s="154">
        <f t="shared" si="4"/>
        <v>0</v>
      </c>
      <c r="U47" s="154">
        <f t="shared" si="4"/>
        <v>0</v>
      </c>
      <c r="V47" s="154">
        <f t="shared" si="4"/>
        <v>0</v>
      </c>
      <c r="W47" s="154">
        <f t="shared" si="4"/>
        <v>0</v>
      </c>
      <c r="X47" s="154">
        <f t="shared" si="4"/>
        <v>0</v>
      </c>
      <c r="Y47" s="154">
        <f t="shared" si="4"/>
        <v>0</v>
      </c>
    </row>
    <row r="48" spans="1:25" x14ac:dyDescent="0.35">
      <c r="A48" s="401" t="s">
        <v>299</v>
      </c>
      <c r="B48" s="1" t="str">
        <f>Input!A53</f>
        <v>Other_waste 1</v>
      </c>
      <c r="C48" s="154">
        <f>+Input!B53</f>
        <v>0</v>
      </c>
      <c r="D48" s="158">
        <f>D17+D27+D37</f>
        <v>0</v>
      </c>
      <c r="E48" s="154" t="s">
        <v>346</v>
      </c>
      <c r="F48" s="154" t="s">
        <v>346</v>
      </c>
      <c r="G48" s="154">
        <f t="shared" ref="G48:Y48" si="5">G17+G27+G37</f>
        <v>0</v>
      </c>
      <c r="H48" s="154">
        <f t="shared" si="5"/>
        <v>0</v>
      </c>
      <c r="I48" s="154">
        <f t="shared" si="5"/>
        <v>0</v>
      </c>
      <c r="J48" s="154">
        <f t="shared" si="5"/>
        <v>0</v>
      </c>
      <c r="K48" s="154">
        <f t="shared" si="5"/>
        <v>0</v>
      </c>
      <c r="L48" s="154">
        <f t="shared" si="5"/>
        <v>0</v>
      </c>
      <c r="M48" s="154">
        <f t="shared" si="5"/>
        <v>0</v>
      </c>
      <c r="N48" s="154">
        <f t="shared" si="5"/>
        <v>0</v>
      </c>
      <c r="O48" s="154">
        <f t="shared" si="5"/>
        <v>0</v>
      </c>
      <c r="P48" s="154">
        <f t="shared" si="5"/>
        <v>0</v>
      </c>
      <c r="Q48" s="154">
        <f t="shared" si="5"/>
        <v>0</v>
      </c>
      <c r="R48" s="154">
        <f t="shared" si="5"/>
        <v>0</v>
      </c>
      <c r="S48" s="154">
        <f t="shared" si="5"/>
        <v>0</v>
      </c>
      <c r="T48" s="154">
        <f t="shared" si="5"/>
        <v>0</v>
      </c>
      <c r="U48" s="154">
        <f t="shared" si="5"/>
        <v>0</v>
      </c>
      <c r="V48" s="154">
        <f t="shared" si="5"/>
        <v>0</v>
      </c>
      <c r="W48" s="154">
        <f t="shared" si="5"/>
        <v>0</v>
      </c>
      <c r="X48" s="154">
        <f t="shared" si="5"/>
        <v>0</v>
      </c>
      <c r="Y48" s="154">
        <f t="shared" si="5"/>
        <v>0</v>
      </c>
    </row>
    <row r="49" spans="1:25" ht="14" customHeight="1" x14ac:dyDescent="0.35">
      <c r="A49" s="401"/>
      <c r="B49" s="1" t="str">
        <f>Input!A54</f>
        <v>Other_waste 2</v>
      </c>
      <c r="C49" s="154">
        <f>+Input!B54</f>
        <v>0</v>
      </c>
      <c r="D49" s="158">
        <f>D18+D28+D38</f>
        <v>0</v>
      </c>
      <c r="E49" s="154" t="s">
        <v>346</v>
      </c>
      <c r="F49" s="154" t="s">
        <v>346</v>
      </c>
      <c r="G49" s="154">
        <f t="shared" ref="G49:Y49" si="6">G18+G28+G38</f>
        <v>0</v>
      </c>
      <c r="H49" s="154">
        <f t="shared" si="6"/>
        <v>0</v>
      </c>
      <c r="I49" s="154">
        <f t="shared" si="6"/>
        <v>0</v>
      </c>
      <c r="J49" s="154">
        <f t="shared" si="6"/>
        <v>0</v>
      </c>
      <c r="K49" s="154">
        <f t="shared" si="6"/>
        <v>0</v>
      </c>
      <c r="L49" s="154">
        <f t="shared" si="6"/>
        <v>0</v>
      </c>
      <c r="M49" s="154">
        <f t="shared" si="6"/>
        <v>0</v>
      </c>
      <c r="N49" s="154">
        <f t="shared" si="6"/>
        <v>0</v>
      </c>
      <c r="O49" s="154">
        <f t="shared" si="6"/>
        <v>0</v>
      </c>
      <c r="P49" s="154">
        <f t="shared" si="6"/>
        <v>0</v>
      </c>
      <c r="Q49" s="154">
        <f t="shared" si="6"/>
        <v>0</v>
      </c>
      <c r="R49" s="154">
        <f t="shared" si="6"/>
        <v>0</v>
      </c>
      <c r="S49" s="154">
        <f t="shared" si="6"/>
        <v>0</v>
      </c>
      <c r="T49" s="154">
        <f t="shared" si="6"/>
        <v>0</v>
      </c>
      <c r="U49" s="154">
        <f t="shared" si="6"/>
        <v>0</v>
      </c>
      <c r="V49" s="154">
        <f t="shared" si="6"/>
        <v>0</v>
      </c>
      <c r="W49" s="154">
        <f t="shared" si="6"/>
        <v>0</v>
      </c>
      <c r="X49" s="154">
        <f t="shared" si="6"/>
        <v>0</v>
      </c>
      <c r="Y49" s="154">
        <f t="shared" si="6"/>
        <v>0</v>
      </c>
    </row>
    <row r="50" spans="1:25" x14ac:dyDescent="0.35">
      <c r="A50" s="406" t="s">
        <v>347</v>
      </c>
      <c r="B50" s="406"/>
      <c r="C50" s="407"/>
      <c r="D50" s="407"/>
      <c r="E50" s="407"/>
      <c r="F50" s="407"/>
      <c r="G50" s="139">
        <f t="shared" ref="G50:Y50" si="7">SUM(G46:G49)</f>
        <v>3.55083E-3</v>
      </c>
      <c r="H50" s="139">
        <f t="shared" si="7"/>
        <v>2.3811728849999998</v>
      </c>
      <c r="I50" s="139">
        <f t="shared" si="7"/>
        <v>1.1128545000000001E-3</v>
      </c>
      <c r="J50" s="139">
        <f t="shared" si="7"/>
        <v>2.3798706300000001</v>
      </c>
      <c r="K50" s="139">
        <f t="shared" si="7"/>
        <v>1.8939749999999998E-4</v>
      </c>
      <c r="L50" s="139">
        <f t="shared" si="7"/>
        <v>2.0451592349999999</v>
      </c>
      <c r="M50" s="139">
        <f t="shared" si="7"/>
        <v>32.048111399999996</v>
      </c>
      <c r="N50" s="139">
        <f t="shared" si="7"/>
        <v>5.5540349999999998E-5</v>
      </c>
      <c r="O50" s="139">
        <f t="shared" si="7"/>
        <v>7.7395799999999994E-4</v>
      </c>
      <c r="P50" s="139">
        <f t="shared" si="7"/>
        <v>8.3773949999999993E-3</v>
      </c>
      <c r="Q50" s="139">
        <f t="shared" si="7"/>
        <v>2.1104549999999997E-10</v>
      </c>
      <c r="R50" s="139">
        <f t="shared" si="7"/>
        <v>1.71717E-8</v>
      </c>
      <c r="S50" s="139">
        <f t="shared" si="7"/>
        <v>1.4532090000000001E-2</v>
      </c>
      <c r="T50" s="139">
        <f t="shared" si="7"/>
        <v>2.0214977099999998</v>
      </c>
      <c r="U50" s="139">
        <f t="shared" si="7"/>
        <v>2.6270549999999996E-6</v>
      </c>
      <c r="V50" s="139">
        <f t="shared" si="7"/>
        <v>5.2947299999999994E-8</v>
      </c>
      <c r="W50" s="139">
        <f t="shared" si="7"/>
        <v>1.4759354999999997E-7</v>
      </c>
      <c r="X50" s="139">
        <f t="shared" si="7"/>
        <v>6.1907399999999993E-3</v>
      </c>
      <c r="Y50" s="139">
        <f t="shared" si="7"/>
        <v>7.2992834999999992E-2</v>
      </c>
    </row>
    <row r="51" spans="1:25" ht="14" customHeight="1" x14ac:dyDescent="0.35"/>
    <row r="52" spans="1:25" x14ac:dyDescent="0.35">
      <c r="A52" t="s">
        <v>348</v>
      </c>
    </row>
    <row r="53" spans="1:25" ht="14" customHeight="1" x14ac:dyDescent="0.35"/>
    <row r="54" spans="1:25" x14ac:dyDescent="0.35">
      <c r="A54" s="32"/>
    </row>
    <row r="55" spans="1:25" ht="23.5" x14ac:dyDescent="0.55000000000000004">
      <c r="A55" s="100" t="s">
        <v>349</v>
      </c>
    </row>
    <row r="56" spans="1:25" ht="14" customHeight="1" x14ac:dyDescent="0.35"/>
    <row r="57" spans="1:25" x14ac:dyDescent="0.35">
      <c r="A57" s="104" t="s">
        <v>203</v>
      </c>
      <c r="B57" s="103" t="s">
        <v>81</v>
      </c>
      <c r="C57" s="108" t="s">
        <v>83</v>
      </c>
      <c r="D57" s="103" t="s">
        <v>314</v>
      </c>
      <c r="E57" s="103" t="s">
        <v>315</v>
      </c>
      <c r="F57" s="103" t="s">
        <v>316</v>
      </c>
      <c r="G57" s="103" t="s">
        <v>323</v>
      </c>
      <c r="H57" s="103" t="s">
        <v>351</v>
      </c>
    </row>
    <row r="58" spans="1:25" x14ac:dyDescent="0.35">
      <c r="A58" s="1" t="s">
        <v>318</v>
      </c>
      <c r="B58" s="154">
        <f>'C2''- Transport Secondary'!G46</f>
        <v>3.55083E-3</v>
      </c>
      <c r="C58" s="154">
        <f>'C2''- Transport Secondary'!G47</f>
        <v>0</v>
      </c>
      <c r="D58" s="154">
        <f>SUM(B58:C58)</f>
        <v>3.55083E-3</v>
      </c>
      <c r="E58" s="154">
        <f>'C2''- Transport Secondary'!G48</f>
        <v>0</v>
      </c>
      <c r="F58" s="154">
        <f>'C2''- Transport Secondary'!G49</f>
        <v>0</v>
      </c>
      <c r="G58" s="154">
        <f>SUM(E58:F58)</f>
        <v>0</v>
      </c>
      <c r="H58" s="154">
        <f>+D58+G58</f>
        <v>3.55083E-3</v>
      </c>
    </row>
    <row r="59" spans="1:25" x14ac:dyDescent="0.35">
      <c r="A59" s="1" t="s">
        <v>280</v>
      </c>
      <c r="B59" s="154">
        <f>'C2''- Transport Secondary'!H46</f>
        <v>2.3811728849999998</v>
      </c>
      <c r="C59" s="154">
        <f>'C2''- Transport Secondary'!H47</f>
        <v>0</v>
      </c>
      <c r="D59" s="154">
        <f t="shared" ref="D59:D76" si="8">SUM(B59:C59)</f>
        <v>2.3811728849999998</v>
      </c>
      <c r="E59" s="154">
        <f>'C2''- Transport Secondary'!H48</f>
        <v>0</v>
      </c>
      <c r="F59" s="154">
        <f>'C2''- Transport Secondary'!H49</f>
        <v>0</v>
      </c>
      <c r="G59" s="154">
        <f>SUM(E59:F59)</f>
        <v>0</v>
      </c>
      <c r="H59" s="154">
        <f t="shared" ref="H59:H76" si="9">+D59+G59</f>
        <v>2.3811728849999998</v>
      </c>
    </row>
    <row r="60" spans="1:25" x14ac:dyDescent="0.35">
      <c r="A60" s="1" t="s">
        <v>281</v>
      </c>
      <c r="B60" s="154">
        <f>'C2''- Transport Secondary'!I46</f>
        <v>1.1128545000000001E-3</v>
      </c>
      <c r="C60" s="154">
        <f>'C2''- Transport Secondary'!I47</f>
        <v>0</v>
      </c>
      <c r="D60" s="154">
        <f t="shared" si="8"/>
        <v>1.1128545000000001E-3</v>
      </c>
      <c r="E60" s="154">
        <f>'C2''- Transport Secondary'!I48</f>
        <v>0</v>
      </c>
      <c r="F60" s="154">
        <f>'C2''- Transport Secondary'!I49</f>
        <v>0</v>
      </c>
      <c r="G60" s="154">
        <f t="shared" ref="G60:G76" si="10">SUM(E60:F60)</f>
        <v>0</v>
      </c>
      <c r="H60" s="154">
        <f t="shared" si="9"/>
        <v>1.1128545000000001E-3</v>
      </c>
    </row>
    <row r="61" spans="1:25" x14ac:dyDescent="0.35">
      <c r="A61" s="1" t="s">
        <v>282</v>
      </c>
      <c r="B61" s="154">
        <f>'C2''- Transport Secondary'!J46</f>
        <v>2.3798706300000001</v>
      </c>
      <c r="C61" s="154">
        <f>'C2''- Transport Secondary'!J47</f>
        <v>0</v>
      </c>
      <c r="D61" s="154">
        <f t="shared" si="8"/>
        <v>2.3798706300000001</v>
      </c>
      <c r="E61" s="154">
        <f>'C2''- Transport Secondary'!J48</f>
        <v>0</v>
      </c>
      <c r="F61" s="154">
        <f>'C2''- Transport Secondary'!J49</f>
        <v>0</v>
      </c>
      <c r="G61" s="154">
        <f t="shared" si="10"/>
        <v>0</v>
      </c>
      <c r="H61" s="154">
        <f t="shared" si="9"/>
        <v>2.3798706300000001</v>
      </c>
    </row>
    <row r="62" spans="1:25" x14ac:dyDescent="0.35">
      <c r="A62" s="1" t="s">
        <v>283</v>
      </c>
      <c r="B62" s="154">
        <f>'C2''- Transport Secondary'!K46</f>
        <v>1.8939749999999998E-4</v>
      </c>
      <c r="C62" s="154">
        <f>'C2''- Transport Secondary'!K47</f>
        <v>0</v>
      </c>
      <c r="D62" s="154">
        <f t="shared" si="8"/>
        <v>1.8939749999999998E-4</v>
      </c>
      <c r="E62" s="154">
        <f>'C2''- Transport Secondary'!K48</f>
        <v>0</v>
      </c>
      <c r="F62" s="154">
        <f>'C2''- Transport Secondary'!K49</f>
        <v>0</v>
      </c>
      <c r="G62" s="154">
        <f t="shared" si="10"/>
        <v>0</v>
      </c>
      <c r="H62" s="154">
        <f t="shared" si="9"/>
        <v>1.8939749999999998E-4</v>
      </c>
    </row>
    <row r="63" spans="1:25" x14ac:dyDescent="0.35">
      <c r="A63" s="1" t="s">
        <v>284</v>
      </c>
      <c r="B63" s="154">
        <f>'C2''- Transport Secondary'!L46</f>
        <v>2.0451592349999999</v>
      </c>
      <c r="C63" s="154">
        <f>'C2''- Transport Secondary'!L47</f>
        <v>0</v>
      </c>
      <c r="D63" s="154">
        <f t="shared" si="8"/>
        <v>2.0451592349999999</v>
      </c>
      <c r="E63" s="154">
        <f>'C2''- Transport Secondary'!L48</f>
        <v>0</v>
      </c>
      <c r="F63" s="154">
        <f>'C2''- Transport Secondary'!L49</f>
        <v>0</v>
      </c>
      <c r="G63" s="154">
        <f t="shared" si="10"/>
        <v>0</v>
      </c>
      <c r="H63" s="154">
        <f t="shared" si="9"/>
        <v>2.0451592349999999</v>
      </c>
    </row>
    <row r="64" spans="1:25" x14ac:dyDescent="0.35">
      <c r="A64" s="1" t="s">
        <v>285</v>
      </c>
      <c r="B64" s="154">
        <f>'C2''- Transport Secondary'!M46</f>
        <v>32.048111399999996</v>
      </c>
      <c r="C64" s="154">
        <f>'C2''- Transport Secondary'!M47</f>
        <v>0</v>
      </c>
      <c r="D64" s="154">
        <f t="shared" si="8"/>
        <v>32.048111399999996</v>
      </c>
      <c r="E64" s="154">
        <f>'C2''- Transport Secondary'!M48</f>
        <v>0</v>
      </c>
      <c r="F64" s="154">
        <f>'C2''- Transport Secondary'!M49</f>
        <v>0</v>
      </c>
      <c r="G64" s="154">
        <f t="shared" si="10"/>
        <v>0</v>
      </c>
      <c r="H64" s="154">
        <f t="shared" si="9"/>
        <v>32.048111399999996</v>
      </c>
    </row>
    <row r="65" spans="1:8" x14ac:dyDescent="0.35">
      <c r="A65" s="1" t="s">
        <v>286</v>
      </c>
      <c r="B65" s="154">
        <f>'C2''- Transport Secondary'!N46</f>
        <v>5.5540349999999998E-5</v>
      </c>
      <c r="C65" s="154">
        <f>'C2''- Transport Secondary'!N47</f>
        <v>0</v>
      </c>
      <c r="D65" s="154">
        <f t="shared" si="8"/>
        <v>5.5540349999999998E-5</v>
      </c>
      <c r="E65" s="154">
        <f>'C2''- Transport Secondary'!N48</f>
        <v>0</v>
      </c>
      <c r="F65" s="154">
        <f>'C2''- Transport Secondary'!N49</f>
        <v>0</v>
      </c>
      <c r="G65" s="154">
        <f t="shared" si="10"/>
        <v>0</v>
      </c>
      <c r="H65" s="154">
        <f t="shared" si="9"/>
        <v>5.5540349999999998E-5</v>
      </c>
    </row>
    <row r="66" spans="1:8" x14ac:dyDescent="0.35">
      <c r="A66" s="1" t="s">
        <v>287</v>
      </c>
      <c r="B66" s="154">
        <f>'C2''- Transport Secondary'!O46</f>
        <v>7.7395799999999994E-4</v>
      </c>
      <c r="C66" s="154">
        <f>'C2''- Transport Secondary'!O47</f>
        <v>0</v>
      </c>
      <c r="D66" s="154">
        <f t="shared" si="8"/>
        <v>7.7395799999999994E-4</v>
      </c>
      <c r="E66" s="154">
        <f>'C2''- Transport Secondary'!O48</f>
        <v>0</v>
      </c>
      <c r="F66" s="154">
        <f>'C2''- Transport Secondary'!O49</f>
        <v>0</v>
      </c>
      <c r="G66" s="154">
        <f t="shared" si="10"/>
        <v>0</v>
      </c>
      <c r="H66" s="154">
        <f t="shared" si="9"/>
        <v>7.7395799999999994E-4</v>
      </c>
    </row>
    <row r="67" spans="1:8" x14ac:dyDescent="0.35">
      <c r="A67" s="1" t="s">
        <v>288</v>
      </c>
      <c r="B67" s="154">
        <f>'C2''- Transport Secondary'!P46</f>
        <v>8.3773949999999993E-3</v>
      </c>
      <c r="C67" s="154">
        <f>'C2''- Transport Secondary'!P47</f>
        <v>0</v>
      </c>
      <c r="D67" s="154">
        <f t="shared" si="8"/>
        <v>8.3773949999999993E-3</v>
      </c>
      <c r="E67" s="154">
        <f>'C2''- Transport Secondary'!P48</f>
        <v>0</v>
      </c>
      <c r="F67" s="154">
        <f>'C2''- Transport Secondary'!P49</f>
        <v>0</v>
      </c>
      <c r="G67" s="154">
        <f t="shared" si="10"/>
        <v>0</v>
      </c>
      <c r="H67" s="154">
        <f t="shared" si="9"/>
        <v>8.3773949999999993E-3</v>
      </c>
    </row>
    <row r="68" spans="1:8" x14ac:dyDescent="0.35">
      <c r="A68" s="1" t="s">
        <v>289</v>
      </c>
      <c r="B68" s="154">
        <f>'C2''- Transport Secondary'!Q46</f>
        <v>2.1104549999999997E-10</v>
      </c>
      <c r="C68" s="154">
        <f>'C2''- Transport Secondary'!Q47</f>
        <v>0</v>
      </c>
      <c r="D68" s="154">
        <f t="shared" si="8"/>
        <v>2.1104549999999997E-10</v>
      </c>
      <c r="E68" s="154">
        <f>'C2''- Transport Secondary'!Q48</f>
        <v>0</v>
      </c>
      <c r="F68" s="154">
        <f>'C2''- Transport Secondary'!Q49</f>
        <v>0</v>
      </c>
      <c r="G68" s="154">
        <f t="shared" si="10"/>
        <v>0</v>
      </c>
      <c r="H68" s="154">
        <f t="shared" si="9"/>
        <v>2.1104549999999997E-10</v>
      </c>
    </row>
    <row r="69" spans="1:8" x14ac:dyDescent="0.35">
      <c r="A69" s="1" t="s">
        <v>319</v>
      </c>
      <c r="B69" s="154">
        <f>'C2''- Transport Secondary'!R46</f>
        <v>1.71717E-8</v>
      </c>
      <c r="C69" s="154">
        <f>'C2''- Transport Secondary'!R47</f>
        <v>0</v>
      </c>
      <c r="D69" s="154">
        <f t="shared" si="8"/>
        <v>1.71717E-8</v>
      </c>
      <c r="E69" s="154">
        <f>'C2''- Transport Secondary'!R48</f>
        <v>0</v>
      </c>
      <c r="F69" s="154">
        <f>'C2''- Transport Secondary'!R49</f>
        <v>0</v>
      </c>
      <c r="G69" s="154">
        <f t="shared" si="10"/>
        <v>0</v>
      </c>
      <c r="H69" s="154">
        <f t="shared" si="9"/>
        <v>1.71717E-8</v>
      </c>
    </row>
    <row r="70" spans="1:8" x14ac:dyDescent="0.35">
      <c r="A70" s="1" t="s">
        <v>291</v>
      </c>
      <c r="B70" s="154">
        <f>'C2''- Transport Secondary'!S46</f>
        <v>1.4532090000000001E-2</v>
      </c>
      <c r="C70" s="154">
        <f>'C2''- Transport Secondary'!S47</f>
        <v>0</v>
      </c>
      <c r="D70" s="154">
        <f t="shared" si="8"/>
        <v>1.4532090000000001E-2</v>
      </c>
      <c r="E70" s="154">
        <f>'C2''- Transport Secondary'!S48</f>
        <v>0</v>
      </c>
      <c r="F70" s="154">
        <f>'C2''- Transport Secondary'!S49</f>
        <v>0</v>
      </c>
      <c r="G70" s="154">
        <f t="shared" si="10"/>
        <v>0</v>
      </c>
      <c r="H70" s="154">
        <f t="shared" si="9"/>
        <v>1.4532090000000001E-2</v>
      </c>
    </row>
    <row r="71" spans="1:8" x14ac:dyDescent="0.35">
      <c r="A71" s="1" t="s">
        <v>292</v>
      </c>
      <c r="B71" s="154">
        <f>'C2''- Transport Secondary'!T46</f>
        <v>2.0214977099999998</v>
      </c>
      <c r="C71" s="154">
        <f>'C2''- Transport Secondary'!T47</f>
        <v>0</v>
      </c>
      <c r="D71" s="154">
        <f t="shared" si="8"/>
        <v>2.0214977099999998</v>
      </c>
      <c r="E71" s="154">
        <f>'C2''- Transport Secondary'!T48</f>
        <v>0</v>
      </c>
      <c r="F71" s="154">
        <f>'C2''- Transport Secondary'!T49</f>
        <v>0</v>
      </c>
      <c r="G71" s="154">
        <f t="shared" si="10"/>
        <v>0</v>
      </c>
      <c r="H71" s="154">
        <f t="shared" si="9"/>
        <v>2.0214977099999998</v>
      </c>
    </row>
    <row r="72" spans="1:8" x14ac:dyDescent="0.35">
      <c r="A72" s="1" t="s">
        <v>293</v>
      </c>
      <c r="B72" s="154">
        <f>'C2''- Transport Secondary'!U46</f>
        <v>2.6270549999999996E-6</v>
      </c>
      <c r="C72" s="154">
        <f>'C2''- Transport Secondary'!U47</f>
        <v>0</v>
      </c>
      <c r="D72" s="154">
        <f t="shared" si="8"/>
        <v>2.6270549999999996E-6</v>
      </c>
      <c r="E72" s="154">
        <f>'C2''- Transport Secondary'!U48</f>
        <v>0</v>
      </c>
      <c r="F72" s="154">
        <f>'C2''- Transport Secondary'!U49</f>
        <v>0</v>
      </c>
      <c r="G72" s="154">
        <f t="shared" si="10"/>
        <v>0</v>
      </c>
      <c r="H72" s="154">
        <f t="shared" si="9"/>
        <v>2.6270549999999996E-6</v>
      </c>
    </row>
    <row r="73" spans="1:8" x14ac:dyDescent="0.35">
      <c r="A73" s="1" t="s">
        <v>294</v>
      </c>
      <c r="B73" s="154">
        <f>'C2''- Transport Secondary'!V46</f>
        <v>5.2947299999999994E-8</v>
      </c>
      <c r="C73" s="154">
        <f>'C2''- Transport Secondary'!V47</f>
        <v>0</v>
      </c>
      <c r="D73" s="154">
        <f t="shared" si="8"/>
        <v>5.2947299999999994E-8</v>
      </c>
      <c r="E73" s="154">
        <f>'C2''- Transport Secondary'!V48</f>
        <v>0</v>
      </c>
      <c r="F73" s="154">
        <f>'C2''- Transport Secondary'!V49</f>
        <v>0</v>
      </c>
      <c r="G73" s="154">
        <f t="shared" si="10"/>
        <v>0</v>
      </c>
      <c r="H73" s="154">
        <f t="shared" si="9"/>
        <v>5.2947299999999994E-8</v>
      </c>
    </row>
    <row r="74" spans="1:8" ht="14" customHeight="1" x14ac:dyDescent="0.35">
      <c r="A74" s="1" t="s">
        <v>295</v>
      </c>
      <c r="B74" s="154">
        <f>'C2''- Transport Secondary'!W46</f>
        <v>1.4759354999999997E-7</v>
      </c>
      <c r="C74" s="154">
        <f>'C2''- Transport Secondary'!W47</f>
        <v>0</v>
      </c>
      <c r="D74" s="154">
        <f t="shared" si="8"/>
        <v>1.4759354999999997E-7</v>
      </c>
      <c r="E74" s="154">
        <f>'C2''- Transport Secondary'!W48</f>
        <v>0</v>
      </c>
      <c r="F74" s="154">
        <f>'C2''- Transport Secondary'!W49</f>
        <v>0</v>
      </c>
      <c r="G74" s="154">
        <f t="shared" si="10"/>
        <v>0</v>
      </c>
      <c r="H74" s="154">
        <f t="shared" si="9"/>
        <v>1.4759354999999997E-7</v>
      </c>
    </row>
    <row r="75" spans="1:8" x14ac:dyDescent="0.35">
      <c r="A75" s="1" t="s">
        <v>296</v>
      </c>
      <c r="B75" s="154">
        <f>'C2''- Transport Secondary'!X46</f>
        <v>6.1907399999999993E-3</v>
      </c>
      <c r="C75" s="154">
        <f>'C2''- Transport Secondary'!X47</f>
        <v>0</v>
      </c>
      <c r="D75" s="154">
        <f t="shared" si="8"/>
        <v>6.1907399999999993E-3</v>
      </c>
      <c r="E75" s="154">
        <f>'C2''- Transport Secondary'!X48</f>
        <v>0</v>
      </c>
      <c r="F75" s="154">
        <f>'C2''- Transport Secondary'!X49</f>
        <v>0</v>
      </c>
      <c r="G75" s="154">
        <f t="shared" si="10"/>
        <v>0</v>
      </c>
      <c r="H75" s="154">
        <f t="shared" si="9"/>
        <v>6.1907399999999993E-3</v>
      </c>
    </row>
    <row r="76" spans="1:8" x14ac:dyDescent="0.35">
      <c r="A76" s="1" t="s">
        <v>297</v>
      </c>
      <c r="B76" s="154">
        <f>'C2''- Transport Secondary'!Y46</f>
        <v>7.2992834999999992E-2</v>
      </c>
      <c r="C76" s="154">
        <f>'C2''- Transport Secondary'!Y47</f>
        <v>0</v>
      </c>
      <c r="D76" s="154">
        <f t="shared" si="8"/>
        <v>7.2992834999999992E-2</v>
      </c>
      <c r="E76" s="154">
        <f>'C2''- Transport Secondary'!Y48</f>
        <v>0</v>
      </c>
      <c r="F76" s="154">
        <f>'C2''- Transport Secondary'!Y49</f>
        <v>0</v>
      </c>
      <c r="G76" s="154">
        <f t="shared" si="10"/>
        <v>0</v>
      </c>
      <c r="H76" s="154">
        <f t="shared" si="9"/>
        <v>7.2992834999999992E-2</v>
      </c>
    </row>
    <row r="79" spans="1:8" x14ac:dyDescent="0.35">
      <c r="B79" t="s">
        <v>354</v>
      </c>
    </row>
    <row r="80" spans="1:8" x14ac:dyDescent="0.35">
      <c r="A80" s="95" t="s">
        <v>326</v>
      </c>
      <c r="B80" s="1">
        <f>SUM(G50:Y50)</f>
        <v>40.983590345328594</v>
      </c>
    </row>
    <row r="81" spans="1:2" x14ac:dyDescent="0.35">
      <c r="A81" s="95" t="s">
        <v>327</v>
      </c>
      <c r="B81" s="1">
        <f>SUM(B58:C76)+SUM(E58:F76)</f>
        <v>40.983590345328594</v>
      </c>
    </row>
    <row r="82" spans="1:2" x14ac:dyDescent="0.35">
      <c r="A82" s="95" t="s">
        <v>58</v>
      </c>
      <c r="B82" s="204">
        <f>+B80-B81</f>
        <v>0</v>
      </c>
    </row>
    <row r="83" spans="1:2" ht="14" customHeight="1" x14ac:dyDescent="0.35"/>
    <row r="84" spans="1:2" ht="14" customHeight="1" x14ac:dyDescent="0.35"/>
    <row r="85" spans="1:2" ht="14" customHeight="1" x14ac:dyDescent="0.35"/>
    <row r="86" spans="1:2" ht="14" customHeight="1" x14ac:dyDescent="0.35">
      <c r="A86" s="28" t="s">
        <v>353</v>
      </c>
    </row>
    <row r="87" spans="1:2" ht="14" customHeight="1" x14ac:dyDescent="0.35"/>
    <row r="88" spans="1:2" ht="14" customHeight="1" x14ac:dyDescent="0.35"/>
    <row r="89" spans="1:2" ht="14" customHeight="1" x14ac:dyDescent="0.35"/>
    <row r="90" spans="1:2" ht="14" customHeight="1" x14ac:dyDescent="0.35"/>
    <row r="91" spans="1:2" ht="14" customHeight="1" x14ac:dyDescent="0.35"/>
    <row r="93" spans="1:2" ht="14" customHeight="1" x14ac:dyDescent="0.35"/>
    <row r="95" spans="1:2" ht="14" customHeight="1" x14ac:dyDescent="0.35"/>
    <row r="97" spans="26:28" ht="14" customHeight="1" x14ac:dyDescent="0.35"/>
    <row r="99" spans="26:28" ht="14" customHeight="1" x14ac:dyDescent="0.35"/>
    <row r="100" spans="26:28" ht="14" customHeight="1" x14ac:dyDescent="0.35"/>
    <row r="108" spans="26:28" ht="50" customHeight="1" x14ac:dyDescent="0.35"/>
    <row r="109" spans="26:28" x14ac:dyDescent="0.35">
      <c r="Z109" t="e">
        <f>+SUM(#REF!+#REF!+#REF!+D58+G58+#REF!)</f>
        <v>#REF!</v>
      </c>
      <c r="AA109">
        <f>+$G$50</f>
        <v>3.55083E-3</v>
      </c>
      <c r="AB109" s="87" t="e">
        <f>+AA109-Z109</f>
        <v>#REF!</v>
      </c>
    </row>
    <row r="110" spans="26:28" x14ac:dyDescent="0.35">
      <c r="Z110" t="e">
        <f>+SUM(#REF!+#REF!+#REF!+D59+G59+#REF!)</f>
        <v>#REF!</v>
      </c>
      <c r="AA110">
        <f>+$H$50</f>
        <v>2.3811728849999998</v>
      </c>
      <c r="AB110" s="87" t="e">
        <f t="shared" ref="AB110:AB127" si="11">+AA110-Z110</f>
        <v>#REF!</v>
      </c>
    </row>
    <row r="111" spans="26:28" x14ac:dyDescent="0.35">
      <c r="Z111" t="e">
        <f>+SUM(#REF!+#REF!+#REF!+D60+G60+#REF!)</f>
        <v>#REF!</v>
      </c>
      <c r="AA111">
        <f>+$I$50</f>
        <v>1.1128545000000001E-3</v>
      </c>
      <c r="AB111" s="87" t="e">
        <f t="shared" si="11"/>
        <v>#REF!</v>
      </c>
    </row>
    <row r="112" spans="26:28" x14ac:dyDescent="0.35">
      <c r="Z112" t="e">
        <f>+SUM(#REF!+#REF!+#REF!+D61+G61+#REF!)</f>
        <v>#REF!</v>
      </c>
      <c r="AA112">
        <f>+$J$50</f>
        <v>2.3798706300000001</v>
      </c>
      <c r="AB112" s="87" t="e">
        <f t="shared" si="11"/>
        <v>#REF!</v>
      </c>
    </row>
    <row r="113" spans="26:28" x14ac:dyDescent="0.35">
      <c r="Z113" t="e">
        <f>+SUM(#REF!+#REF!+#REF!+D62+G62+#REF!)</f>
        <v>#REF!</v>
      </c>
      <c r="AA113">
        <f>+$K$50</f>
        <v>1.8939749999999998E-4</v>
      </c>
      <c r="AB113" s="87" t="e">
        <f t="shared" si="11"/>
        <v>#REF!</v>
      </c>
    </row>
    <row r="114" spans="26:28" x14ac:dyDescent="0.35">
      <c r="Z114" t="e">
        <f>+SUM(#REF!+#REF!+#REF!+D63+G63+#REF!)</f>
        <v>#REF!</v>
      </c>
      <c r="AA114">
        <f>+$L$50</f>
        <v>2.0451592349999999</v>
      </c>
      <c r="AB114" s="87" t="e">
        <f t="shared" si="11"/>
        <v>#REF!</v>
      </c>
    </row>
    <row r="115" spans="26:28" x14ac:dyDescent="0.35">
      <c r="Z115" t="e">
        <f>+SUM(#REF!+#REF!+#REF!+D64+G64+#REF!)</f>
        <v>#REF!</v>
      </c>
      <c r="AA115">
        <f>+$M$50</f>
        <v>32.048111399999996</v>
      </c>
      <c r="AB115" s="87" t="e">
        <f t="shared" si="11"/>
        <v>#REF!</v>
      </c>
    </row>
    <row r="116" spans="26:28" x14ac:dyDescent="0.35">
      <c r="Z116" t="e">
        <f>+SUM(#REF!+#REF!+#REF!+D65+G65+#REF!)</f>
        <v>#REF!</v>
      </c>
      <c r="AA116">
        <f>+N$50</f>
        <v>5.5540349999999998E-5</v>
      </c>
      <c r="AB116" s="87" t="e">
        <f t="shared" si="11"/>
        <v>#REF!</v>
      </c>
    </row>
    <row r="117" spans="26:28" x14ac:dyDescent="0.35">
      <c r="Z117" t="e">
        <f>+SUM(#REF!+#REF!+#REF!+D66+G66+#REF!)</f>
        <v>#REF!</v>
      </c>
      <c r="AA117">
        <f>+$O$50</f>
        <v>7.7395799999999994E-4</v>
      </c>
      <c r="AB117" s="87" t="e">
        <f t="shared" si="11"/>
        <v>#REF!</v>
      </c>
    </row>
    <row r="118" spans="26:28" x14ac:dyDescent="0.35">
      <c r="Z118" t="e">
        <f>+SUM(#REF!+#REF!+#REF!+D67+G67+#REF!)</f>
        <v>#REF!</v>
      </c>
      <c r="AA118">
        <f>+$P$50</f>
        <v>8.3773949999999993E-3</v>
      </c>
      <c r="AB118" s="87" t="e">
        <f t="shared" si="11"/>
        <v>#REF!</v>
      </c>
    </row>
    <row r="119" spans="26:28" x14ac:dyDescent="0.35">
      <c r="Z119" t="e">
        <f>+SUM(#REF!+#REF!+#REF!+D68+G68+#REF!)</f>
        <v>#REF!</v>
      </c>
      <c r="AA119">
        <f>+$Q$50</f>
        <v>2.1104549999999997E-10</v>
      </c>
      <c r="AB119" s="87" t="e">
        <f t="shared" si="11"/>
        <v>#REF!</v>
      </c>
    </row>
    <row r="120" spans="26:28" x14ac:dyDescent="0.35">
      <c r="Z120" t="e">
        <f>+SUM(#REF!+#REF!+#REF!+D69+G69+#REF!)</f>
        <v>#REF!</v>
      </c>
      <c r="AA120">
        <f>+$R$50</f>
        <v>1.71717E-8</v>
      </c>
      <c r="AB120" s="87" t="e">
        <f t="shared" si="11"/>
        <v>#REF!</v>
      </c>
    </row>
    <row r="121" spans="26:28" x14ac:dyDescent="0.35">
      <c r="Z121" t="e">
        <f>+SUM(#REF!+#REF!+#REF!+D70+G70+#REF!)</f>
        <v>#REF!</v>
      </c>
      <c r="AA121">
        <f>+$S$50</f>
        <v>1.4532090000000001E-2</v>
      </c>
      <c r="AB121" s="87" t="e">
        <f t="shared" si="11"/>
        <v>#REF!</v>
      </c>
    </row>
    <row r="122" spans="26:28" x14ac:dyDescent="0.35">
      <c r="Z122" t="e">
        <f>+SUM(#REF!+#REF!+#REF!+D71+G71+#REF!)</f>
        <v>#REF!</v>
      </c>
      <c r="AA122">
        <f>+$T$50</f>
        <v>2.0214977099999998</v>
      </c>
      <c r="AB122" s="87" t="e">
        <f t="shared" si="11"/>
        <v>#REF!</v>
      </c>
    </row>
    <row r="123" spans="26:28" x14ac:dyDescent="0.35">
      <c r="Z123" t="e">
        <f>+SUM(#REF!+#REF!+#REF!+D72+G72+#REF!)</f>
        <v>#REF!</v>
      </c>
      <c r="AA123">
        <f>+$U$50</f>
        <v>2.6270549999999996E-6</v>
      </c>
      <c r="AB123" s="87" t="e">
        <f t="shared" si="11"/>
        <v>#REF!</v>
      </c>
    </row>
    <row r="124" spans="26:28" x14ac:dyDescent="0.35">
      <c r="Z124" t="e">
        <f>+SUM(#REF!+#REF!+#REF!+D73+G73+#REF!)</f>
        <v>#REF!</v>
      </c>
      <c r="AA124">
        <f>+$V$50</f>
        <v>5.2947299999999994E-8</v>
      </c>
      <c r="AB124" s="87" t="e">
        <f t="shared" si="11"/>
        <v>#REF!</v>
      </c>
    </row>
    <row r="125" spans="26:28" x14ac:dyDescent="0.35">
      <c r="Z125" t="e">
        <f>+SUM(#REF!+#REF!+#REF!+D74+G74+#REF!)</f>
        <v>#REF!</v>
      </c>
      <c r="AA125">
        <f>+$W$50</f>
        <v>1.4759354999999997E-7</v>
      </c>
      <c r="AB125" s="87" t="e">
        <f t="shared" si="11"/>
        <v>#REF!</v>
      </c>
    </row>
    <row r="126" spans="26:28" x14ac:dyDescent="0.35">
      <c r="Z126" t="e">
        <f>+SUM(#REF!+#REF!+#REF!+D75+G75+#REF!)</f>
        <v>#REF!</v>
      </c>
      <c r="AA126">
        <f>+$X$50</f>
        <v>6.1907399999999993E-3</v>
      </c>
      <c r="AB126" s="87" t="e">
        <f t="shared" si="11"/>
        <v>#REF!</v>
      </c>
    </row>
    <row r="127" spans="26:28" x14ac:dyDescent="0.35">
      <c r="Z127" t="e">
        <f>+SUM(#REF!+#REF!+#REF!+D76+G76+#REF!)</f>
        <v>#REF!</v>
      </c>
      <c r="AA127">
        <f>+$Y$50</f>
        <v>7.2992834999999992E-2</v>
      </c>
      <c r="AB127" s="87" t="e">
        <f t="shared" si="11"/>
        <v>#REF!</v>
      </c>
    </row>
  </sheetData>
  <mergeCells count="13">
    <mergeCell ref="A3:B3"/>
    <mergeCell ref="A15:A16"/>
    <mergeCell ref="A17:A18"/>
    <mergeCell ref="A50:F50"/>
    <mergeCell ref="A39:F39"/>
    <mergeCell ref="A46:A47"/>
    <mergeCell ref="A48:A49"/>
    <mergeCell ref="A19:F19"/>
    <mergeCell ref="A25:A26"/>
    <mergeCell ref="A27:A28"/>
    <mergeCell ref="A29:F29"/>
    <mergeCell ref="A35:A36"/>
    <mergeCell ref="A37:A38"/>
  </mergeCells>
  <hyperlinks>
    <hyperlink ref="D4" r:id="rId1" xr:uid="{35985493-782A-49D0-B5FC-8BE5AF2D38B6}"/>
  </hyperlinks>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E0C1D-F41C-447B-9F7E-243FF144A197}">
  <sheetPr codeName="Sheet10"/>
  <dimension ref="A1:Z231"/>
  <sheetViews>
    <sheetView showGridLines="0" zoomScale="70" zoomScaleNormal="70" workbookViewId="0">
      <selection activeCell="B2" sqref="B2"/>
    </sheetView>
  </sheetViews>
  <sheetFormatPr defaultRowHeight="14.5" x14ac:dyDescent="0.35"/>
  <cols>
    <col min="1" max="1" width="67.1796875" customWidth="1"/>
    <col min="2" max="2" width="37.81640625" bestFit="1" customWidth="1"/>
    <col min="3" max="3" width="52.453125" customWidth="1"/>
    <col min="4" max="4" width="33" customWidth="1"/>
    <col min="5" max="5" width="38.54296875" bestFit="1" customWidth="1"/>
    <col min="6" max="6" width="22.1796875" bestFit="1" customWidth="1"/>
    <col min="7" max="7" width="21.453125" customWidth="1"/>
    <col min="8" max="8" width="22.81640625" customWidth="1"/>
    <col min="9" max="9" width="20.1796875" customWidth="1"/>
    <col min="10" max="10" width="20.453125" customWidth="1"/>
    <col min="11" max="11" width="25" customWidth="1"/>
    <col min="12" max="12" width="21" customWidth="1"/>
    <col min="13" max="13" width="17.81640625" customWidth="1"/>
    <col min="14" max="14" width="18.1796875" customWidth="1"/>
    <col min="15" max="15" width="23.1796875" customWidth="1"/>
    <col min="16" max="16" width="21.1796875" customWidth="1"/>
    <col min="17" max="17" width="17.81640625" customWidth="1"/>
    <col min="18" max="18" width="16.1796875" customWidth="1"/>
    <col min="19" max="19" width="22.1796875" customWidth="1"/>
    <col min="20" max="21" width="17.81640625" customWidth="1"/>
    <col min="22" max="22" width="21.81640625" customWidth="1"/>
    <col min="23" max="23" width="21.1796875" customWidth="1"/>
    <col min="24" max="24" width="16.81640625" customWidth="1"/>
    <col min="25" max="25" width="20.453125" customWidth="1"/>
    <col min="26" max="26" width="17.54296875" customWidth="1"/>
  </cols>
  <sheetData>
    <row r="1" spans="1:4" x14ac:dyDescent="0.35">
      <c r="A1" s="27"/>
      <c r="B1" s="27"/>
    </row>
    <row r="2" spans="1:4" ht="23.5" x14ac:dyDescent="0.55000000000000004">
      <c r="A2" s="110" t="s">
        <v>373</v>
      </c>
      <c r="B2" s="27"/>
    </row>
    <row r="3" spans="1:4" ht="23.5" x14ac:dyDescent="0.55000000000000004">
      <c r="A3" s="110"/>
      <c r="B3" s="27"/>
    </row>
    <row r="4" spans="1:4" ht="18.5" x14ac:dyDescent="0.45">
      <c r="A4" s="74" t="s">
        <v>984</v>
      </c>
      <c r="B4" s="27"/>
    </row>
    <row r="5" spans="1:4" ht="18.5" x14ac:dyDescent="0.45">
      <c r="A5" s="78"/>
      <c r="B5" s="27"/>
    </row>
    <row r="6" spans="1:4" s="43" customFormat="1" x14ac:dyDescent="0.35">
      <c r="A6" s="62" t="s">
        <v>374</v>
      </c>
      <c r="B6" s="295" t="s">
        <v>375</v>
      </c>
      <c r="C6" s="296" t="s">
        <v>330</v>
      </c>
      <c r="D6" s="297" t="s">
        <v>532</v>
      </c>
    </row>
    <row r="7" spans="1:4" x14ac:dyDescent="0.35">
      <c r="A7" s="2" t="s">
        <v>376</v>
      </c>
      <c r="B7" s="90" t="s">
        <v>533</v>
      </c>
      <c r="C7" s="202" t="s">
        <v>378</v>
      </c>
      <c r="D7" s="30" t="s">
        <v>379</v>
      </c>
    </row>
    <row r="8" spans="1:4" x14ac:dyDescent="0.35">
      <c r="A8" s="2" t="s">
        <v>380</v>
      </c>
      <c r="B8" s="90">
        <v>1</v>
      </c>
      <c r="C8" s="198"/>
      <c r="D8" s="1"/>
    </row>
    <row r="9" spans="1:4" x14ac:dyDescent="0.35">
      <c r="A9" s="2" t="s">
        <v>411</v>
      </c>
      <c r="B9" s="90">
        <v>263.2</v>
      </c>
      <c r="C9" s="141" t="s">
        <v>378</v>
      </c>
      <c r="D9" s="30" t="s">
        <v>379</v>
      </c>
    </row>
    <row r="10" spans="1:4" x14ac:dyDescent="0.35">
      <c r="A10" s="2" t="s">
        <v>381</v>
      </c>
      <c r="B10" s="90">
        <v>0.51</v>
      </c>
      <c r="C10" s="141" t="s">
        <v>382</v>
      </c>
      <c r="D10" s="1"/>
    </row>
    <row r="11" spans="1:4" x14ac:dyDescent="0.35">
      <c r="A11" s="2" t="s">
        <v>534</v>
      </c>
      <c r="B11" s="152">
        <f>Input!$B$22/1000</f>
        <v>2.4</v>
      </c>
      <c r="C11" s="141" t="s">
        <v>535</v>
      </c>
      <c r="D11" s="1"/>
    </row>
    <row r="12" spans="1:4" x14ac:dyDescent="0.35">
      <c r="A12" s="1" t="s">
        <v>383</v>
      </c>
      <c r="B12" s="90">
        <v>0.25</v>
      </c>
      <c r="C12" s="199" t="s">
        <v>384</v>
      </c>
      <c r="D12" s="30" t="s">
        <v>536</v>
      </c>
    </row>
    <row r="13" spans="1:4" x14ac:dyDescent="0.35">
      <c r="A13" s="2" t="s">
        <v>389</v>
      </c>
      <c r="B13" s="90">
        <v>0.45</v>
      </c>
      <c r="C13" s="141" t="s">
        <v>390</v>
      </c>
      <c r="D13" s="1"/>
    </row>
    <row r="14" spans="1:4" x14ac:dyDescent="0.35">
      <c r="A14" s="2" t="s">
        <v>391</v>
      </c>
      <c r="B14" s="152">
        <f>60/$B$13</f>
        <v>133.33333333333334</v>
      </c>
      <c r="C14" s="141"/>
      <c r="D14" s="1"/>
    </row>
    <row r="15" spans="1:4" s="11" customFormat="1" x14ac:dyDescent="0.35">
      <c r="A15" s="2" t="s">
        <v>392</v>
      </c>
      <c r="B15" s="90">
        <v>5.4</v>
      </c>
      <c r="C15" s="202" t="s">
        <v>378</v>
      </c>
      <c r="D15" s="30" t="s">
        <v>379</v>
      </c>
    </row>
    <row r="16" spans="1:4" s="11" customFormat="1" x14ac:dyDescent="0.35">
      <c r="A16" s="61" t="s">
        <v>537</v>
      </c>
      <c r="B16" s="160">
        <f>$B$11*$B$14*$B$15</f>
        <v>1728</v>
      </c>
      <c r="C16" s="200" t="s">
        <v>538</v>
      </c>
      <c r="D16" s="8"/>
    </row>
    <row r="17" spans="1:26" s="11" customFormat="1" ht="14" customHeight="1" x14ac:dyDescent="0.35">
      <c r="A17" s="61" t="s">
        <v>396</v>
      </c>
      <c r="B17" s="160">
        <f>$B$9*$B$10*$B$12</f>
        <v>33.558</v>
      </c>
      <c r="C17" s="200" t="s">
        <v>397</v>
      </c>
      <c r="D17" s="13" t="s">
        <v>398</v>
      </c>
    </row>
    <row r="18" spans="1:26" s="11" customFormat="1" x14ac:dyDescent="0.35">
      <c r="A18" s="65"/>
      <c r="B18" s="65"/>
      <c r="C18" s="24"/>
      <c r="D18" s="8"/>
    </row>
    <row r="19" spans="1:26" s="11" customFormat="1" x14ac:dyDescent="0.35">
      <c r="A19" s="1" t="s">
        <v>371</v>
      </c>
      <c r="B19" s="90">
        <v>0.51</v>
      </c>
      <c r="C19" s="49" t="s">
        <v>382</v>
      </c>
      <c r="D19" s="8"/>
    </row>
    <row r="20" spans="1:26" s="11" customFormat="1" x14ac:dyDescent="0.35">
      <c r="A20" s="29"/>
      <c r="B20" s="41"/>
    </row>
    <row r="21" spans="1:26" s="11" customFormat="1" x14ac:dyDescent="0.35">
      <c r="A21" s="62" t="s">
        <v>441</v>
      </c>
      <c r="B21" s="62" t="s">
        <v>537</v>
      </c>
      <c r="C21" s="298" t="s">
        <v>396</v>
      </c>
      <c r="D21" s="299" t="s">
        <v>539</v>
      </c>
      <c r="E21" s="299" t="s">
        <v>411</v>
      </c>
    </row>
    <row r="22" spans="1:26" s="11" customFormat="1" x14ac:dyDescent="0.35">
      <c r="A22" s="1" t="s">
        <v>450</v>
      </c>
      <c r="B22" s="174">
        <v>0</v>
      </c>
      <c r="C22" s="174">
        <v>0</v>
      </c>
      <c r="D22" s="170">
        <v>0</v>
      </c>
      <c r="E22" s="170">
        <v>0</v>
      </c>
    </row>
    <row r="23" spans="1:26" s="11" customFormat="1" ht="14" customHeight="1" x14ac:dyDescent="0.35">
      <c r="A23" s="56" t="s">
        <v>35</v>
      </c>
      <c r="B23" s="170">
        <f>$B$16</f>
        <v>1728</v>
      </c>
      <c r="C23" s="170">
        <f>$B$17</f>
        <v>33.558</v>
      </c>
      <c r="D23" s="170">
        <f>$C$23/$B$23</f>
        <v>1.942013888888889E-2</v>
      </c>
      <c r="E23" s="170">
        <f>$B$9</f>
        <v>263.2</v>
      </c>
    </row>
    <row r="24" spans="1:26" s="11" customFormat="1" x14ac:dyDescent="0.35">
      <c r="A24" s="79"/>
      <c r="B24" s="24"/>
      <c r="C24" s="65"/>
    </row>
    <row r="25" spans="1:26" ht="18.5" x14ac:dyDescent="0.45">
      <c r="A25" s="74" t="s">
        <v>985</v>
      </c>
    </row>
    <row r="27" spans="1:26" s="3" customFormat="1" ht="93.65" customHeight="1" x14ac:dyDescent="0.35">
      <c r="A27" s="302" t="s">
        <v>451</v>
      </c>
      <c r="B27" s="302" t="s">
        <v>452</v>
      </c>
      <c r="C27" s="302" t="s">
        <v>453</v>
      </c>
      <c r="D27" s="302" t="s">
        <v>454</v>
      </c>
      <c r="E27" s="302" t="s">
        <v>618</v>
      </c>
      <c r="F27" s="302" t="s">
        <v>539</v>
      </c>
      <c r="G27" s="302" t="s">
        <v>411</v>
      </c>
      <c r="H27" s="302" t="s">
        <v>279</v>
      </c>
      <c r="I27" s="302" t="s">
        <v>280</v>
      </c>
      <c r="J27" s="302" t="s">
        <v>281</v>
      </c>
      <c r="K27" s="302" t="s">
        <v>282</v>
      </c>
      <c r="L27" s="302" t="s">
        <v>283</v>
      </c>
      <c r="M27" s="302" t="s">
        <v>284</v>
      </c>
      <c r="N27" s="302" t="s">
        <v>285</v>
      </c>
      <c r="O27" s="302" t="s">
        <v>286</v>
      </c>
      <c r="P27" s="302" t="s">
        <v>287</v>
      </c>
      <c r="Q27" s="302" t="s">
        <v>288</v>
      </c>
      <c r="R27" s="302" t="s">
        <v>289</v>
      </c>
      <c r="S27" s="302" t="s">
        <v>290</v>
      </c>
      <c r="T27" s="302" t="s">
        <v>291</v>
      </c>
      <c r="U27" s="302" t="s">
        <v>292</v>
      </c>
      <c r="V27" s="302" t="s">
        <v>293</v>
      </c>
      <c r="W27" s="302" t="s">
        <v>294</v>
      </c>
      <c r="X27" s="302" t="s">
        <v>295</v>
      </c>
      <c r="Y27" s="302" t="s">
        <v>296</v>
      </c>
      <c r="Z27" s="302" t="s">
        <v>297</v>
      </c>
    </row>
    <row r="28" spans="1:26" x14ac:dyDescent="0.35">
      <c r="A28" s="13" t="s">
        <v>619</v>
      </c>
      <c r="B28" s="158" t="str">
        <f>Input!$B$26</f>
        <v>Wheel_loader_338tph_Komatsu_WA500</v>
      </c>
      <c r="C28" s="158">
        <f>$B$8</f>
        <v>1</v>
      </c>
      <c r="D28" s="158" t="str">
        <f>Input!$C$26</f>
        <v>Diesel</v>
      </c>
      <c r="E28" s="158">
        <f>$B$23</f>
        <v>1728</v>
      </c>
      <c r="F28" s="158">
        <f>$D$23</f>
        <v>1.942013888888889E-2</v>
      </c>
      <c r="G28" s="158">
        <f>$E$23</f>
        <v>263.2</v>
      </c>
      <c r="H28" s="158" cm="1">
        <f t="array" ref="H28">INDEX(LCI!H$2:H$137,MATCH($A$28&amp;$D$28,LCI!$B$2:$B$137&amp;LCI!$D$2:$D$137,0))*IF(OR($D$28="Electric", $D$28="Electric_green"), ($G$28/$E$28)*$B$19, $F$28)*$C$28</f>
        <v>1.0299559961337281E-4</v>
      </c>
      <c r="I28" s="158" cm="1">
        <f t="array" ref="I28">INDEX(LCI!I$2:I$137,MATCH($A$28&amp;$D$28,LCI!$B$2:$B$137&amp;LCI!$D$2:$D$137,0))*IF(OR($D$28="Electric", $D$28="Electric_green"), ($G$28/$E$28)*$B$19, $F$28)*$C$28</f>
        <v>8.056052481282612E-2</v>
      </c>
      <c r="J28" s="158" cm="1">
        <f t="array" ref="J28">INDEX(LCI!J$2:J$137,MATCH($A$28&amp;$D$28,LCI!$B$2:$B$137&amp;LCI!$D$2:$D$137,0))*IF(OR($D$28="Electric", $D$28="Electric_green"), ($G$28/$E$28)*$B$19, $F$28)*$C$28</f>
        <v>1.66498170746065E-5</v>
      </c>
      <c r="K28" s="158" cm="1">
        <f t="array" ref="K28">INDEX(LCI!K$2:K$137,MATCH($A$28&amp;$D$28,LCI!$B$2:$B$137&amp;LCI!$D$2:$D$137,0))*IF(OR($D$28="Electric", $D$28="Electric_green"), ($G$28/$E$28)*$B$19, $F$28)*$C$28</f>
        <v>8.0540312398878863E-2</v>
      </c>
      <c r="L28" s="158" cm="1">
        <f t="array" ref="L28">INDEX(LCI!L$2:L$137,MATCH($A$28&amp;$D$28,LCI!$B$2:$B$137&amp;LCI!$D$2:$D$137,0))*IF(OR($D$28="Electric", $D$28="Electric_green"), ($G$28/$E$28)*$B$19, $F$28)*$C$28</f>
        <v>3.5625968726484402E-6</v>
      </c>
      <c r="M28" s="158" cm="1">
        <f t="array" ref="M28">INDEX(LCI!M$2:M$137,MATCH($A$28&amp;$D$28,LCI!$B$2:$B$137&amp;LCI!$D$2:$D$137,0))*IF(OR($D$28="Electric", $D$28="Electric_green"), ($G$28/$E$28)*$B$19, $F$28)*$C$28</f>
        <v>3.5594107095916434E-2</v>
      </c>
      <c r="N28" s="158" cm="1">
        <f t="array" ref="N28">INDEX(LCI!N$2:N$137,MATCH($A$28&amp;$D$28,LCI!$B$2:$B$137&amp;LCI!$D$2:$D$137,0))*IF(OR($D$28="Electric", $D$28="Electric_green"), ($G$28/$E$28)*$B$19, $F$28)*$C$28</f>
        <v>1.0700591183029562</v>
      </c>
      <c r="O28" s="158" cm="1">
        <f t="array" ref="O28">INDEX(LCI!O$2:O$137,MATCH($A$28&amp;$D$28,LCI!$B$2:$B$137&amp;LCI!$D$2:$D$137,0))*IF(OR($D$28="Electric", $D$28="Electric_green"), ($G$28/$E$28)*$B$19, $F$28)*$C$28</f>
        <v>8.5163363126034537E-7</v>
      </c>
      <c r="P28" s="158" cm="1">
        <f t="array" ref="P28">INDEX(LCI!P$2:P$137,MATCH($A$28&amp;$D$28,LCI!$B$2:$B$137&amp;LCI!$D$2:$D$137,0))*IF(OR($D$28="Electric", $D$28="Electric_green"), ($G$28/$E$28)*$B$19, $F$28)*$C$28</f>
        <v>2.3290660699942286E-5</v>
      </c>
      <c r="Q28" s="158" cm="1">
        <f t="array" ref="Q28">INDEX(LCI!Q$2:Q$137,MATCH($A$28&amp;$D$28,LCI!$B$2:$B$137&amp;LCI!$D$2:$D$137,0))*IF(OR($D$28="Electric", $D$28="Electric_green"), ($G$28/$E$28)*$B$19, $F$28)*$C$28</f>
        <v>2.5319818156265738E-4</v>
      </c>
      <c r="R28" s="158" cm="1">
        <f t="array" ref="R28">INDEX(LCI!R$2:R$137,MATCH($A$28&amp;$D$28,LCI!$B$2:$B$137&amp;LCI!$D$2:$D$137,0))*IF(OR($D$28="Electric", $D$28="Electric_green"), ($G$28/$E$28)*$B$19, $F$28)*$C$28</f>
        <v>4.9230968242214656E-12</v>
      </c>
      <c r="S28" s="158" cm="1">
        <f t="array" ref="S28">INDEX(LCI!S$2:S$137,MATCH($A$28&amp;$D$28,LCI!$B$2:$B$137&amp;LCI!$D$2:$D$137,0))*IF(OR($D$28="Electric", $D$28="Electric_green"), ($G$28/$E$28)*$B$19, $F$28)*$C$28</f>
        <v>1.3122062216178557E-10</v>
      </c>
      <c r="T28" s="158" cm="1">
        <f t="array" ref="T28">INDEX(LCI!T$2:T$137,MATCH($A$28&amp;$D$28,LCI!$B$2:$B$137&amp;LCI!$D$2:$D$137,0))*IF(OR($D$28="Electric", $D$28="Electric_green"), ($G$28/$E$28)*$B$19, $F$28)*$C$28</f>
        <v>3.212941207975714E-4</v>
      </c>
      <c r="U28" s="158" cm="1">
        <f t="array" ref="U28">INDEX(LCI!U$2:U$137,MATCH($A$28&amp;$D$28,LCI!$B$2:$B$137&amp;LCI!$D$2:$D$137,0))*IF(OR($D$28="Electric", $D$28="Electric_green"), ($G$28/$E$28)*$B$19, $F$28)*$C$28</f>
        <v>5.5016478121274907E-2</v>
      </c>
      <c r="V28" s="158" cm="1">
        <f t="array" ref="V28">INDEX(LCI!V$2:V$137,MATCH($A$28&amp;$D$28,LCI!$B$2:$B$137&amp;LCI!$D$2:$D$137,0))*IF(OR($D$28="Electric", $D$28="Electric_green"), ($G$28/$E$28)*$B$19, $F$28)*$C$28</f>
        <v>1.2561955879264319E-8</v>
      </c>
      <c r="W28" s="158" cm="1">
        <f t="array" ref="W28">INDEX(LCI!W$2:W$137,MATCH($A$28&amp;$D$28,LCI!$B$2:$B$137&amp;LCI!$D$2:$D$137,0))*IF(OR($D$28="Electric", $D$28="Electric_green"), ($G$28/$E$28)*$B$19, $F$28)*$C$28</f>
        <v>1.8154006185482207E-9</v>
      </c>
      <c r="X28" s="158" cm="1">
        <f t="array" ref="X28">INDEX(LCI!X$2:X$137,MATCH($A$28&amp;$D$28,LCI!$B$2:$B$137&amp;LCI!$D$2:$D$137,0))*IF(OR($D$28="Electric", $D$28="Electric_green"), ($G$28/$E$28)*$B$19, $F$28)*$C$28</f>
        <v>7.9346155235966147E-10</v>
      </c>
      <c r="Y28" s="158" cm="1">
        <f t="array" ref="Y28">INDEX(LCI!Y$2:Y$137,MATCH($A$28&amp;$D$28,LCI!$B$2:$B$137&amp;LCI!$D$2:$D$137,0))*IF(OR($D$28="Electric", $D$28="Electric_green"), ($G$28/$E$28)*$B$19, $F$28)*$C$28</f>
        <v>1.9843157737774877E-4</v>
      </c>
      <c r="Z28" s="158" cm="1">
        <f t="array" ref="Z28">INDEX(LCI!Z$2:Z$137,MATCH($A$28&amp;$D$28,LCI!$B$2:$B$137&amp;LCI!$D$2:$D$137,0))*IF(OR($D$28="Electric", $D$28="Electric_green"), ($G$28/$E$28)*$B$19, $F$28)*$C$28</f>
        <v>1.4482440080436057E-3</v>
      </c>
    </row>
    <row r="29" spans="1:26" s="11" customFormat="1" x14ac:dyDescent="0.35">
      <c r="A29" s="79"/>
      <c r="B29" s="24"/>
      <c r="C29" s="65"/>
    </row>
    <row r="30" spans="1:26" s="11" customFormat="1" x14ac:dyDescent="0.35">
      <c r="A30" s="79"/>
      <c r="B30" s="24"/>
      <c r="C30" s="65"/>
    </row>
    <row r="31" spans="1:26" s="11" customFormat="1" ht="23.5" x14ac:dyDescent="0.55000000000000004">
      <c r="A31" s="111" t="s">
        <v>1032</v>
      </c>
      <c r="B31" s="24"/>
      <c r="C31" s="65"/>
    </row>
    <row r="32" spans="1:26" s="11" customFormat="1" ht="13.75" customHeight="1" x14ac:dyDescent="0.35">
      <c r="A32" s="352" t="s">
        <v>31</v>
      </c>
      <c r="B32" s="230">
        <v>11.2</v>
      </c>
      <c r="C32" s="65"/>
    </row>
    <row r="33" spans="1:7" s="11" customFormat="1" x14ac:dyDescent="0.35">
      <c r="A33" s="34"/>
      <c r="B33" s="3"/>
      <c r="C33" s="47"/>
    </row>
    <row r="34" spans="1:7" s="11" customFormat="1" ht="14" customHeight="1" x14ac:dyDescent="0.35">
      <c r="A34" s="298" t="s">
        <v>28</v>
      </c>
      <c r="B34" s="62" t="s">
        <v>540</v>
      </c>
      <c r="C34" s="299" t="s">
        <v>541</v>
      </c>
      <c r="D34" s="299" t="s">
        <v>542</v>
      </c>
    </row>
    <row r="35" spans="1:7" s="11" customFormat="1" x14ac:dyDescent="0.35">
      <c r="A35" s="2" t="s">
        <v>543</v>
      </c>
      <c r="B35" s="96">
        <v>175</v>
      </c>
      <c r="C35" s="30"/>
      <c r="D35" s="30" t="s">
        <v>544</v>
      </c>
    </row>
    <row r="36" spans="1:7" s="11" customFormat="1" x14ac:dyDescent="0.35">
      <c r="A36" s="2" t="s">
        <v>545</v>
      </c>
      <c r="B36" s="96">
        <v>135</v>
      </c>
      <c r="C36" s="30"/>
      <c r="D36" s="30" t="s">
        <v>544</v>
      </c>
    </row>
    <row r="37" spans="1:7" x14ac:dyDescent="0.35">
      <c r="A37" s="61" t="s">
        <v>546</v>
      </c>
      <c r="B37" s="96">
        <v>85</v>
      </c>
      <c r="C37" s="1"/>
      <c r="D37" s="1"/>
      <c r="G37" s="11"/>
    </row>
    <row r="38" spans="1:7" ht="18.5" x14ac:dyDescent="0.45">
      <c r="A38" s="78"/>
      <c r="G38" s="11"/>
    </row>
    <row r="39" spans="1:7" ht="23.5" x14ac:dyDescent="0.55000000000000004">
      <c r="A39" s="110" t="s">
        <v>983</v>
      </c>
      <c r="G39" s="11"/>
    </row>
    <row r="40" spans="1:7" ht="18.5" x14ac:dyDescent="0.45">
      <c r="A40" s="78"/>
      <c r="G40" s="11"/>
    </row>
    <row r="41" spans="1:7" ht="14" customHeight="1" x14ac:dyDescent="0.35">
      <c r="A41" s="298" t="s">
        <v>547</v>
      </c>
      <c r="B41" s="62" t="s">
        <v>540</v>
      </c>
    </row>
    <row r="42" spans="1:7" x14ac:dyDescent="0.35">
      <c r="A42" s="2" t="str">
        <f>Input!$B$21</f>
        <v>155⁰C - 185⁰C</v>
      </c>
      <c r="B42" s="174">
        <f>INDEX($B$35:$B$37,MATCH(Input!$B$21,'A3 - Production '!$A$35:$A$37,0))</f>
        <v>175</v>
      </c>
    </row>
    <row r="43" spans="1:7" x14ac:dyDescent="0.35">
      <c r="A43" s="29"/>
      <c r="B43" s="29"/>
    </row>
    <row r="44" spans="1:7" ht="23.5" x14ac:dyDescent="0.55000000000000004">
      <c r="A44" s="110" t="s">
        <v>548</v>
      </c>
      <c r="B44" s="27"/>
    </row>
    <row r="45" spans="1:7" ht="18.5" x14ac:dyDescent="0.45">
      <c r="A45" s="78"/>
      <c r="B45" s="27"/>
    </row>
    <row r="46" spans="1:7" x14ac:dyDescent="0.35">
      <c r="A46" s="299" t="s">
        <v>374</v>
      </c>
      <c r="B46" s="62" t="s">
        <v>57</v>
      </c>
      <c r="C46" s="62" t="s">
        <v>549</v>
      </c>
      <c r="D46" s="62" t="s">
        <v>550</v>
      </c>
      <c r="E46" s="62" t="s">
        <v>330</v>
      </c>
    </row>
    <row r="47" spans="1:7" ht="14" customHeight="1" x14ac:dyDescent="0.35">
      <c r="A47" s="1" t="s">
        <v>551</v>
      </c>
      <c r="B47" s="1" t="s">
        <v>25</v>
      </c>
      <c r="C47" s="1" t="s">
        <v>552</v>
      </c>
      <c r="D47" s="96">
        <v>6.1</v>
      </c>
      <c r="E47" s="30" t="s">
        <v>553</v>
      </c>
    </row>
    <row r="49" spans="1:4" ht="23.5" x14ac:dyDescent="0.55000000000000004">
      <c r="A49" s="100" t="s">
        <v>554</v>
      </c>
    </row>
    <row r="50" spans="1:4" ht="18.5" x14ac:dyDescent="0.45">
      <c r="A50" s="77"/>
    </row>
    <row r="51" spans="1:4" x14ac:dyDescent="0.35">
      <c r="A51" s="62" t="s">
        <v>374</v>
      </c>
      <c r="B51" s="62" t="s">
        <v>555</v>
      </c>
      <c r="C51" s="62" t="s">
        <v>154</v>
      </c>
      <c r="D51" s="62" t="s">
        <v>330</v>
      </c>
    </row>
    <row r="52" spans="1:4" x14ac:dyDescent="0.35">
      <c r="A52" s="1" t="s">
        <v>556</v>
      </c>
      <c r="B52" s="96">
        <v>0.27777800000000002</v>
      </c>
      <c r="C52" s="1" t="s">
        <v>557</v>
      </c>
      <c r="D52" s="30" t="s">
        <v>1021</v>
      </c>
    </row>
    <row r="53" spans="1:4" x14ac:dyDescent="0.35">
      <c r="A53" s="13" t="s">
        <v>1022</v>
      </c>
      <c r="B53" s="161">
        <v>8.3330000000000001E-3</v>
      </c>
      <c r="C53" s="1" t="s">
        <v>558</v>
      </c>
      <c r="D53" s="30" t="s">
        <v>1023</v>
      </c>
    </row>
    <row r="54" spans="1:4" x14ac:dyDescent="0.35">
      <c r="A54" s="24"/>
    </row>
    <row r="55" spans="1:4" ht="23.5" x14ac:dyDescent="0.55000000000000004">
      <c r="A55" s="115" t="s">
        <v>559</v>
      </c>
    </row>
    <row r="56" spans="1:4" ht="18" customHeight="1" x14ac:dyDescent="0.55000000000000004">
      <c r="A56" s="115"/>
    </row>
    <row r="57" spans="1:4" ht="18.5" x14ac:dyDescent="0.45">
      <c r="A57" s="74" t="s">
        <v>560</v>
      </c>
    </row>
    <row r="58" spans="1:4" ht="16" x14ac:dyDescent="0.4">
      <c r="A58" s="81"/>
    </row>
    <row r="59" spans="1:4" x14ac:dyDescent="0.35">
      <c r="A59" s="62" t="s">
        <v>561</v>
      </c>
      <c r="B59" s="62" t="s">
        <v>562</v>
      </c>
      <c r="C59" s="62" t="s">
        <v>563</v>
      </c>
      <c r="D59" s="62" t="s">
        <v>331</v>
      </c>
    </row>
    <row r="60" spans="1:4" ht="14" customHeight="1" x14ac:dyDescent="0.35">
      <c r="A60" s="1" t="s">
        <v>564</v>
      </c>
      <c r="B60" s="130">
        <v>0.3</v>
      </c>
      <c r="D60" s="123" t="s">
        <v>565</v>
      </c>
    </row>
    <row r="61" spans="1:4" x14ac:dyDescent="0.35">
      <c r="A61" s="1" t="s">
        <v>566</v>
      </c>
      <c r="B61" s="154">
        <f>'A3 - Production '!$B$32</f>
        <v>11.2</v>
      </c>
      <c r="C61" s="1"/>
    </row>
    <row r="62" spans="1:4" x14ac:dyDescent="0.35">
      <c r="A62" s="13" t="s">
        <v>567</v>
      </c>
      <c r="B62" s="96">
        <v>4.1900000000000004</v>
      </c>
      <c r="C62" s="1"/>
    </row>
    <row r="63" spans="1:4" x14ac:dyDescent="0.35">
      <c r="A63" s="13" t="s">
        <v>568</v>
      </c>
      <c r="B63" s="96">
        <v>2257</v>
      </c>
      <c r="C63" s="1"/>
    </row>
    <row r="64" spans="1:4" x14ac:dyDescent="0.35">
      <c r="A64" s="13" t="s">
        <v>569</v>
      </c>
      <c r="B64" s="96">
        <v>2.0950000000000002</v>
      </c>
      <c r="C64" s="1"/>
    </row>
    <row r="66" spans="1:4" ht="18.5" x14ac:dyDescent="0.45">
      <c r="A66" s="116" t="s">
        <v>570</v>
      </c>
    </row>
    <row r="68" spans="1:4" ht="19.25" customHeight="1" x14ac:dyDescent="0.35">
      <c r="A68" s="62" t="s">
        <v>277</v>
      </c>
      <c r="B68" s="62" t="s">
        <v>571</v>
      </c>
      <c r="C68" s="62" t="s">
        <v>572</v>
      </c>
      <c r="D68" s="107" t="s">
        <v>563</v>
      </c>
    </row>
    <row r="69" spans="1:4" ht="168.65" customHeight="1" x14ac:dyDescent="0.35">
      <c r="A69" s="13" t="s">
        <v>60</v>
      </c>
      <c r="B69" s="97">
        <v>2.093</v>
      </c>
      <c r="C69" s="342">
        <v>165</v>
      </c>
      <c r="D69" s="343" t="s">
        <v>1020</v>
      </c>
    </row>
    <row r="70" spans="1:4" x14ac:dyDescent="0.35">
      <c r="A70" s="13" t="s">
        <v>573</v>
      </c>
      <c r="B70" s="97">
        <v>2.2999999999999998</v>
      </c>
      <c r="C70" s="97">
        <v>185</v>
      </c>
      <c r="D70" s="344"/>
    </row>
    <row r="71" spans="1:4" x14ac:dyDescent="0.35">
      <c r="A71" s="1" t="s">
        <v>62</v>
      </c>
      <c r="B71" s="96">
        <v>0.91</v>
      </c>
      <c r="C71" s="96">
        <f>$B$42</f>
        <v>175</v>
      </c>
      <c r="D71" s="344"/>
    </row>
    <row r="72" spans="1:4" x14ac:dyDescent="0.35">
      <c r="A72" s="1" t="s">
        <v>65</v>
      </c>
      <c r="B72" s="96">
        <v>0.91</v>
      </c>
      <c r="C72" s="96">
        <f t="shared" ref="C72:C83" si="0">$B$42</f>
        <v>175</v>
      </c>
      <c r="D72" s="344"/>
    </row>
    <row r="73" spans="1:4" x14ac:dyDescent="0.35">
      <c r="A73" s="1" t="s">
        <v>66</v>
      </c>
      <c r="B73" s="96">
        <v>0.91</v>
      </c>
      <c r="C73" s="96">
        <f t="shared" si="0"/>
        <v>175</v>
      </c>
      <c r="D73" s="344"/>
    </row>
    <row r="74" spans="1:4" x14ac:dyDescent="0.35">
      <c r="A74" s="1" t="s">
        <v>67</v>
      </c>
      <c r="B74" s="96">
        <v>0.91</v>
      </c>
      <c r="C74" s="96">
        <f t="shared" si="0"/>
        <v>175</v>
      </c>
      <c r="D74" s="344"/>
    </row>
    <row r="75" spans="1:4" x14ac:dyDescent="0.35">
      <c r="A75" s="1" t="s">
        <v>71</v>
      </c>
      <c r="B75" s="96">
        <v>0.91</v>
      </c>
      <c r="C75" s="96">
        <f t="shared" si="0"/>
        <v>175</v>
      </c>
      <c r="D75" s="344"/>
    </row>
    <row r="76" spans="1:4" x14ac:dyDescent="0.35">
      <c r="A76" s="1" t="s">
        <v>72</v>
      </c>
      <c r="B76" s="96">
        <v>0.91</v>
      </c>
      <c r="C76" s="96">
        <f t="shared" si="0"/>
        <v>175</v>
      </c>
      <c r="D76" s="344"/>
    </row>
    <row r="77" spans="1:4" x14ac:dyDescent="0.35">
      <c r="A77" s="13" t="s">
        <v>73</v>
      </c>
      <c r="B77" s="96">
        <v>0.8</v>
      </c>
      <c r="C77" s="96">
        <f t="shared" si="0"/>
        <v>175</v>
      </c>
      <c r="D77" s="344"/>
    </row>
    <row r="78" spans="1:4" x14ac:dyDescent="0.35">
      <c r="A78" s="13" t="s">
        <v>75</v>
      </c>
      <c r="B78" s="96">
        <v>0.8</v>
      </c>
      <c r="C78" s="96">
        <f t="shared" si="0"/>
        <v>175</v>
      </c>
      <c r="D78" s="344"/>
    </row>
    <row r="79" spans="1:4" x14ac:dyDescent="0.35">
      <c r="A79" s="13" t="s">
        <v>76</v>
      </c>
      <c r="B79" s="96">
        <v>0.8</v>
      </c>
      <c r="C79" s="96">
        <f t="shared" si="0"/>
        <v>175</v>
      </c>
      <c r="D79" s="344"/>
    </row>
    <row r="80" spans="1:4" x14ac:dyDescent="0.35">
      <c r="A80" s="13" t="s">
        <v>78</v>
      </c>
      <c r="B80" s="96">
        <v>0.91</v>
      </c>
      <c r="C80" s="96">
        <f t="shared" si="0"/>
        <v>175</v>
      </c>
      <c r="D80" s="344"/>
    </row>
    <row r="81" spans="1:4" x14ac:dyDescent="0.35">
      <c r="A81" s="13" t="s">
        <v>574</v>
      </c>
      <c r="B81" s="96">
        <v>0.84</v>
      </c>
      <c r="C81" s="96">
        <f t="shared" si="0"/>
        <v>175</v>
      </c>
      <c r="D81" s="344"/>
    </row>
    <row r="82" spans="1:4" x14ac:dyDescent="0.35">
      <c r="A82" s="13" t="s">
        <v>575</v>
      </c>
      <c r="B82" s="96">
        <v>0.84</v>
      </c>
      <c r="C82" s="96">
        <f t="shared" si="0"/>
        <v>175</v>
      </c>
      <c r="D82" s="344"/>
    </row>
    <row r="83" spans="1:4" x14ac:dyDescent="0.35">
      <c r="A83" s="13" t="s">
        <v>576</v>
      </c>
      <c r="B83" s="96">
        <v>0</v>
      </c>
      <c r="C83" s="96">
        <f t="shared" si="0"/>
        <v>175</v>
      </c>
      <c r="D83" s="344"/>
    </row>
    <row r="84" spans="1:4" x14ac:dyDescent="0.35">
      <c r="A84" s="13" t="s">
        <v>81</v>
      </c>
      <c r="B84" s="96">
        <v>0.92</v>
      </c>
      <c r="C84" s="96">
        <v>130</v>
      </c>
      <c r="D84" s="344"/>
    </row>
    <row r="85" spans="1:4" x14ac:dyDescent="0.35">
      <c r="A85" s="1" t="s">
        <v>83</v>
      </c>
      <c r="B85" s="96">
        <v>0.92</v>
      </c>
      <c r="C85" s="96">
        <v>130</v>
      </c>
      <c r="D85" s="344"/>
    </row>
    <row r="86" spans="1:4" x14ac:dyDescent="0.35">
      <c r="A86" s="1" t="s">
        <v>577</v>
      </c>
      <c r="B86" s="96">
        <v>0.85</v>
      </c>
      <c r="C86" s="96">
        <f>$B$42</f>
        <v>175</v>
      </c>
      <c r="D86" s="344"/>
    </row>
    <row r="87" spans="1:4" x14ac:dyDescent="0.35">
      <c r="A87" s="1" t="s">
        <v>85</v>
      </c>
      <c r="B87" s="96">
        <v>0.75</v>
      </c>
      <c r="C87" s="96">
        <f>$B$42</f>
        <v>175</v>
      </c>
      <c r="D87" s="344"/>
    </row>
    <row r="88" spans="1:4" x14ac:dyDescent="0.35">
      <c r="A88" s="1" t="s">
        <v>578</v>
      </c>
      <c r="B88" s="96">
        <v>2.2999999999999998</v>
      </c>
      <c r="C88" s="96">
        <v>160</v>
      </c>
      <c r="D88" s="344"/>
    </row>
    <row r="89" spans="1:4" x14ac:dyDescent="0.35">
      <c r="A89" s="1" t="s">
        <v>579</v>
      </c>
      <c r="B89" s="96">
        <v>1</v>
      </c>
      <c r="C89" s="96">
        <v>0</v>
      </c>
      <c r="D89" s="344"/>
    </row>
    <row r="90" spans="1:4" x14ac:dyDescent="0.35">
      <c r="A90" s="1" t="s">
        <v>91</v>
      </c>
      <c r="B90" s="96">
        <v>1</v>
      </c>
      <c r="C90" s="96">
        <v>0</v>
      </c>
      <c r="D90" s="344"/>
    </row>
    <row r="91" spans="1:4" x14ac:dyDescent="0.35">
      <c r="A91" s="1" t="s">
        <v>580</v>
      </c>
      <c r="B91" s="96">
        <v>1</v>
      </c>
      <c r="C91" s="96">
        <v>160</v>
      </c>
      <c r="D91" s="344"/>
    </row>
    <row r="92" spans="1:4" x14ac:dyDescent="0.35">
      <c r="A92" s="1" t="s">
        <v>94</v>
      </c>
      <c r="B92" s="96">
        <v>1</v>
      </c>
      <c r="C92" s="96">
        <v>160</v>
      </c>
      <c r="D92" s="344"/>
    </row>
    <row r="93" spans="1:4" x14ac:dyDescent="0.35">
      <c r="A93" s="1" t="s">
        <v>581</v>
      </c>
      <c r="B93" s="96">
        <v>1.3</v>
      </c>
      <c r="C93" s="96">
        <v>160</v>
      </c>
      <c r="D93" s="344"/>
    </row>
    <row r="94" spans="1:4" x14ac:dyDescent="0.35">
      <c r="A94" s="1" t="s">
        <v>89</v>
      </c>
      <c r="B94" s="96">
        <v>0.45</v>
      </c>
      <c r="C94" s="96">
        <v>165</v>
      </c>
      <c r="D94" s="89"/>
    </row>
    <row r="97" spans="1:3" ht="18.5" x14ac:dyDescent="0.45">
      <c r="A97" s="74" t="s">
        <v>582</v>
      </c>
    </row>
    <row r="98" spans="1:3" ht="16" x14ac:dyDescent="0.4">
      <c r="A98" s="81"/>
    </row>
    <row r="99" spans="1:3" x14ac:dyDescent="0.35">
      <c r="A99" s="413" t="s">
        <v>583</v>
      </c>
      <c r="B99" s="413"/>
      <c r="C99" s="413"/>
    </row>
    <row r="100" spans="1:3" x14ac:dyDescent="0.35">
      <c r="A100" s="62" t="s">
        <v>277</v>
      </c>
      <c r="B100" s="62" t="s">
        <v>584</v>
      </c>
      <c r="C100" s="62" t="s">
        <v>585</v>
      </c>
    </row>
    <row r="101" spans="1:3" x14ac:dyDescent="0.35">
      <c r="A101" s="1" t="s">
        <v>62</v>
      </c>
      <c r="B101" s="1" t="s">
        <v>24</v>
      </c>
      <c r="C101" s="118">
        <v>0</v>
      </c>
    </row>
    <row r="102" spans="1:3" x14ac:dyDescent="0.35">
      <c r="A102" s="1" t="s">
        <v>62</v>
      </c>
      <c r="B102" s="1" t="s">
        <v>27</v>
      </c>
      <c r="C102" s="118">
        <v>0.02</v>
      </c>
    </row>
    <row r="103" spans="1:3" x14ac:dyDescent="0.35">
      <c r="A103" s="1" t="s">
        <v>65</v>
      </c>
      <c r="B103" s="1" t="s">
        <v>24</v>
      </c>
      <c r="C103" s="118">
        <v>0</v>
      </c>
    </row>
    <row r="104" spans="1:3" x14ac:dyDescent="0.35">
      <c r="A104" s="1" t="s">
        <v>65</v>
      </c>
      <c r="B104" s="1" t="s">
        <v>27</v>
      </c>
      <c r="C104" s="118">
        <v>0.02</v>
      </c>
    </row>
    <row r="105" spans="1:3" x14ac:dyDescent="0.35">
      <c r="A105" s="1" t="s">
        <v>66</v>
      </c>
      <c r="B105" s="1" t="s">
        <v>24</v>
      </c>
      <c r="C105" s="118">
        <v>0</v>
      </c>
    </row>
    <row r="106" spans="1:3" x14ac:dyDescent="0.35">
      <c r="A106" s="1" t="s">
        <v>66</v>
      </c>
      <c r="B106" s="1" t="s">
        <v>27</v>
      </c>
      <c r="C106" s="118">
        <v>0.02</v>
      </c>
    </row>
    <row r="107" spans="1:3" x14ac:dyDescent="0.35">
      <c r="A107" s="1" t="s">
        <v>67</v>
      </c>
      <c r="B107" s="1" t="s">
        <v>24</v>
      </c>
      <c r="C107" s="118">
        <v>0.03</v>
      </c>
    </row>
    <row r="108" spans="1:3" x14ac:dyDescent="0.35">
      <c r="A108" s="1" t="s">
        <v>67</v>
      </c>
      <c r="B108" s="1" t="s">
        <v>27</v>
      </c>
      <c r="C108" s="118">
        <v>0.05</v>
      </c>
    </row>
    <row r="109" spans="1:3" x14ac:dyDescent="0.35">
      <c r="A109" s="1" t="s">
        <v>71</v>
      </c>
      <c r="B109" s="1" t="s">
        <v>24</v>
      </c>
      <c r="C109" s="118">
        <v>0.03</v>
      </c>
    </row>
    <row r="110" spans="1:3" x14ac:dyDescent="0.35">
      <c r="A110" s="1" t="s">
        <v>71</v>
      </c>
      <c r="B110" s="1" t="s">
        <v>27</v>
      </c>
      <c r="C110" s="118">
        <v>0.05</v>
      </c>
    </row>
    <row r="111" spans="1:3" x14ac:dyDescent="0.35">
      <c r="A111" s="1" t="s">
        <v>72</v>
      </c>
      <c r="B111" s="1" t="s">
        <v>24</v>
      </c>
      <c r="C111" s="118">
        <v>0.03</v>
      </c>
    </row>
    <row r="112" spans="1:3" x14ac:dyDescent="0.35">
      <c r="A112" s="1" t="s">
        <v>72</v>
      </c>
      <c r="B112" s="1" t="s">
        <v>27</v>
      </c>
      <c r="C112" s="118">
        <v>0.05</v>
      </c>
    </row>
    <row r="113" spans="1:3" x14ac:dyDescent="0.35">
      <c r="A113" s="1" t="s">
        <v>73</v>
      </c>
      <c r="B113" s="1" t="s">
        <v>24</v>
      </c>
      <c r="C113" s="118">
        <v>0.03</v>
      </c>
    </row>
    <row r="114" spans="1:3" x14ac:dyDescent="0.35">
      <c r="A114" s="1" t="s">
        <v>73</v>
      </c>
      <c r="B114" s="1" t="s">
        <v>27</v>
      </c>
      <c r="C114" s="118">
        <v>0.05</v>
      </c>
    </row>
    <row r="115" spans="1:3" x14ac:dyDescent="0.35">
      <c r="A115" s="1" t="s">
        <v>75</v>
      </c>
      <c r="B115" s="1" t="s">
        <v>24</v>
      </c>
      <c r="C115" s="118">
        <v>0.03</v>
      </c>
    </row>
    <row r="116" spans="1:3" x14ac:dyDescent="0.35">
      <c r="A116" s="1" t="s">
        <v>75</v>
      </c>
      <c r="B116" s="1" t="s">
        <v>27</v>
      </c>
      <c r="C116" s="118">
        <v>0.05</v>
      </c>
    </row>
    <row r="117" spans="1:3" x14ac:dyDescent="0.35">
      <c r="A117" s="1" t="s">
        <v>76</v>
      </c>
      <c r="B117" s="1" t="s">
        <v>24</v>
      </c>
      <c r="C117" s="118">
        <v>0.03</v>
      </c>
    </row>
    <row r="118" spans="1:3" x14ac:dyDescent="0.35">
      <c r="A118" s="1" t="s">
        <v>76</v>
      </c>
      <c r="B118" s="1" t="s">
        <v>27</v>
      </c>
      <c r="C118" s="118">
        <v>0.05</v>
      </c>
    </row>
    <row r="119" spans="1:3" x14ac:dyDescent="0.35">
      <c r="A119" s="1" t="s">
        <v>78</v>
      </c>
      <c r="B119" s="1" t="s">
        <v>24</v>
      </c>
      <c r="C119" s="153">
        <v>0</v>
      </c>
    </row>
    <row r="120" spans="1:3" x14ac:dyDescent="0.35">
      <c r="A120" s="1" t="s">
        <v>78</v>
      </c>
      <c r="B120" s="1" t="s">
        <v>27</v>
      </c>
      <c r="C120" s="153">
        <v>0.01</v>
      </c>
    </row>
    <row r="121" spans="1:3" x14ac:dyDescent="0.35">
      <c r="A121" s="1" t="s">
        <v>574</v>
      </c>
      <c r="B121" s="1" t="s">
        <v>24</v>
      </c>
      <c r="C121" s="153">
        <v>0</v>
      </c>
    </row>
    <row r="122" spans="1:3" x14ac:dyDescent="0.35">
      <c r="A122" s="1" t="s">
        <v>574</v>
      </c>
      <c r="B122" s="1" t="s">
        <v>27</v>
      </c>
      <c r="C122" s="153">
        <v>0</v>
      </c>
    </row>
    <row r="123" spans="1:3" x14ac:dyDescent="0.35">
      <c r="A123" s="1" t="s">
        <v>575</v>
      </c>
      <c r="B123" s="1" t="s">
        <v>24</v>
      </c>
      <c r="C123" s="153">
        <v>0</v>
      </c>
    </row>
    <row r="124" spans="1:3" x14ac:dyDescent="0.35">
      <c r="A124" s="1" t="s">
        <v>575</v>
      </c>
      <c r="B124" s="1" t="s">
        <v>27</v>
      </c>
      <c r="C124" s="153">
        <v>0</v>
      </c>
    </row>
    <row r="125" spans="1:3" x14ac:dyDescent="0.35">
      <c r="A125" s="1" t="s">
        <v>586</v>
      </c>
      <c r="B125" s="1" t="s">
        <v>24</v>
      </c>
      <c r="C125" s="153">
        <v>0</v>
      </c>
    </row>
    <row r="126" spans="1:3" x14ac:dyDescent="0.35">
      <c r="A126" s="1" t="s">
        <v>586</v>
      </c>
      <c r="B126" s="1" t="s">
        <v>27</v>
      </c>
      <c r="C126" s="153">
        <v>0</v>
      </c>
    </row>
    <row r="127" spans="1:3" x14ac:dyDescent="0.35">
      <c r="A127" s="1" t="s">
        <v>576</v>
      </c>
      <c r="B127" s="1" t="s">
        <v>24</v>
      </c>
      <c r="C127" s="153">
        <v>0</v>
      </c>
    </row>
    <row r="128" spans="1:3" x14ac:dyDescent="0.35">
      <c r="A128" s="1" t="s">
        <v>576</v>
      </c>
      <c r="B128" s="1" t="s">
        <v>27</v>
      </c>
      <c r="C128" s="153">
        <v>0</v>
      </c>
    </row>
    <row r="129" spans="1:5" x14ac:dyDescent="0.35">
      <c r="A129" s="1" t="s">
        <v>579</v>
      </c>
      <c r="B129" s="1" t="s">
        <v>24</v>
      </c>
      <c r="C129" s="118">
        <v>0</v>
      </c>
    </row>
    <row r="130" spans="1:5" x14ac:dyDescent="0.35">
      <c r="A130" s="1" t="s">
        <v>579</v>
      </c>
      <c r="B130" s="1" t="s">
        <v>27</v>
      </c>
      <c r="C130" s="153">
        <v>0</v>
      </c>
    </row>
    <row r="131" spans="1:5" x14ac:dyDescent="0.35">
      <c r="A131" s="1" t="s">
        <v>577</v>
      </c>
      <c r="B131" s="1" t="s">
        <v>24</v>
      </c>
      <c r="C131" s="153">
        <v>0.03</v>
      </c>
    </row>
    <row r="132" spans="1:5" x14ac:dyDescent="0.35">
      <c r="A132" s="1" t="s">
        <v>577</v>
      </c>
      <c r="B132" s="1" t="s">
        <v>27</v>
      </c>
      <c r="C132" s="153">
        <v>0.05</v>
      </c>
    </row>
    <row r="133" spans="1:5" x14ac:dyDescent="0.35">
      <c r="A133" s="13" t="s">
        <v>578</v>
      </c>
      <c r="B133" s="13" t="s">
        <v>24</v>
      </c>
      <c r="C133" s="153">
        <v>0</v>
      </c>
      <c r="E133" s="11"/>
    </row>
    <row r="134" spans="1:5" x14ac:dyDescent="0.35">
      <c r="A134" s="13" t="s">
        <v>578</v>
      </c>
      <c r="B134" s="13" t="s">
        <v>27</v>
      </c>
      <c r="C134" s="153">
        <v>0.03</v>
      </c>
    </row>
    <row r="135" spans="1:5" x14ac:dyDescent="0.35">
      <c r="A135" s="1" t="s">
        <v>85</v>
      </c>
      <c r="B135" s="13" t="s">
        <v>24</v>
      </c>
      <c r="C135" s="118">
        <v>0</v>
      </c>
    </row>
    <row r="136" spans="1:5" x14ac:dyDescent="0.35">
      <c r="A136" s="1" t="s">
        <v>85</v>
      </c>
      <c r="B136" s="1" t="s">
        <v>27</v>
      </c>
      <c r="C136" s="118">
        <v>0.03</v>
      </c>
    </row>
    <row r="137" spans="1:5" x14ac:dyDescent="0.35">
      <c r="A137" s="1" t="s">
        <v>91</v>
      </c>
      <c r="B137" s="1" t="s">
        <v>24</v>
      </c>
      <c r="C137" s="118">
        <v>0</v>
      </c>
    </row>
    <row r="138" spans="1:5" x14ac:dyDescent="0.35">
      <c r="A138" s="1" t="s">
        <v>91</v>
      </c>
      <c r="B138" s="1" t="s">
        <v>27</v>
      </c>
      <c r="C138" s="118">
        <v>0</v>
      </c>
    </row>
    <row r="139" spans="1:5" x14ac:dyDescent="0.35">
      <c r="A139" s="1" t="s">
        <v>81</v>
      </c>
      <c r="B139" s="1" t="s">
        <v>24</v>
      </c>
      <c r="C139" s="118">
        <v>0.02</v>
      </c>
    </row>
    <row r="140" spans="1:5" x14ac:dyDescent="0.35">
      <c r="A140" s="1" t="s">
        <v>81</v>
      </c>
      <c r="B140" s="1" t="s">
        <v>27</v>
      </c>
      <c r="C140" s="118">
        <v>0.05</v>
      </c>
    </row>
    <row r="141" spans="1:5" x14ac:dyDescent="0.35">
      <c r="A141" s="1" t="s">
        <v>83</v>
      </c>
      <c r="B141" s="1" t="s">
        <v>24</v>
      </c>
      <c r="C141" s="118">
        <v>0.02</v>
      </c>
    </row>
    <row r="142" spans="1:5" x14ac:dyDescent="0.35">
      <c r="A142" s="1" t="s">
        <v>83</v>
      </c>
      <c r="B142" s="1" t="s">
        <v>27</v>
      </c>
      <c r="C142" s="118">
        <v>0.05</v>
      </c>
    </row>
    <row r="143" spans="1:5" x14ac:dyDescent="0.35">
      <c r="A143" s="1" t="s">
        <v>580</v>
      </c>
      <c r="B143" s="1" t="s">
        <v>24</v>
      </c>
      <c r="C143" s="162">
        <v>0</v>
      </c>
    </row>
    <row r="144" spans="1:5" x14ac:dyDescent="0.35">
      <c r="A144" s="1" t="s">
        <v>580</v>
      </c>
      <c r="B144" s="1" t="s">
        <v>27</v>
      </c>
      <c r="C144" s="118">
        <v>5.0000000000000001E-3</v>
      </c>
    </row>
    <row r="145" spans="1:7" x14ac:dyDescent="0.35">
      <c r="A145" s="1" t="s">
        <v>94</v>
      </c>
      <c r="B145" s="1" t="s">
        <v>24</v>
      </c>
      <c r="C145" s="118">
        <v>0</v>
      </c>
    </row>
    <row r="146" spans="1:7" x14ac:dyDescent="0.35">
      <c r="A146" s="1" t="s">
        <v>94</v>
      </c>
      <c r="B146" s="1" t="s">
        <v>27</v>
      </c>
      <c r="C146" s="118">
        <v>5.0000000000000001E-3</v>
      </c>
    </row>
    <row r="147" spans="1:7" x14ac:dyDescent="0.35">
      <c r="A147" s="1" t="s">
        <v>581</v>
      </c>
      <c r="B147" s="1" t="s">
        <v>24</v>
      </c>
      <c r="C147" s="118">
        <v>0</v>
      </c>
    </row>
    <row r="148" spans="1:7" x14ac:dyDescent="0.35">
      <c r="A148" s="1" t="s">
        <v>581</v>
      </c>
      <c r="B148" s="1" t="s">
        <v>27</v>
      </c>
      <c r="C148" s="118">
        <v>0.02</v>
      </c>
    </row>
    <row r="149" spans="1:7" x14ac:dyDescent="0.35">
      <c r="A149" s="1" t="s">
        <v>89</v>
      </c>
      <c r="B149" s="1" t="s">
        <v>24</v>
      </c>
      <c r="C149" s="118">
        <v>0</v>
      </c>
    </row>
    <row r="150" spans="1:7" x14ac:dyDescent="0.35">
      <c r="A150" s="1" t="s">
        <v>89</v>
      </c>
      <c r="B150" s="1" t="s">
        <v>27</v>
      </c>
      <c r="C150" s="118">
        <v>0.02</v>
      </c>
    </row>
    <row r="151" spans="1:7" ht="16" x14ac:dyDescent="0.4">
      <c r="A151" s="134"/>
    </row>
    <row r="153" spans="1:7" x14ac:dyDescent="0.35">
      <c r="A153" s="104" t="s">
        <v>276</v>
      </c>
      <c r="B153" s="104" t="s">
        <v>277</v>
      </c>
      <c r="C153" s="104" t="s">
        <v>587</v>
      </c>
      <c r="D153" s="104" t="s">
        <v>588</v>
      </c>
      <c r="E153" s="103" t="s">
        <v>589</v>
      </c>
      <c r="F153" s="62" t="s">
        <v>590</v>
      </c>
      <c r="G153" s="37"/>
    </row>
    <row r="154" spans="1:7" x14ac:dyDescent="0.35">
      <c r="A154" s="6" t="s">
        <v>266</v>
      </c>
      <c r="B154" s="1" t="s">
        <v>266</v>
      </c>
      <c r="C154" s="154" t="s">
        <v>591</v>
      </c>
      <c r="D154" s="163">
        <f>Input!$G39</f>
        <v>0</v>
      </c>
      <c r="E154" s="154">
        <f>+Input!B39</f>
        <v>2.2159999999999999E-2</v>
      </c>
      <c r="F154" s="164">
        <v>0</v>
      </c>
    </row>
    <row r="155" spans="1:7" x14ac:dyDescent="0.35">
      <c r="A155" s="395" t="s">
        <v>211</v>
      </c>
      <c r="B155" s="1" t="s">
        <v>62</v>
      </c>
      <c r="C155" s="154" t="s">
        <v>591</v>
      </c>
      <c r="D155" s="163" t="str">
        <f>Input!$G40</f>
        <v>No</v>
      </c>
      <c r="E155" s="154">
        <f>+Input!B40</f>
        <v>5.0999999999999997E-2</v>
      </c>
      <c r="F155" s="165" cm="1">
        <f t="array" ref="F155">INDEX($C$101:$C$150,MATCH($B155&amp;$D155,$A$101:$A$150&amp;$B$101:$B$150,0))</f>
        <v>0.02</v>
      </c>
    </row>
    <row r="156" spans="1:7" x14ac:dyDescent="0.35">
      <c r="A156" s="396"/>
      <c r="B156" s="1" t="s">
        <v>65</v>
      </c>
      <c r="C156" s="154" t="s">
        <v>591</v>
      </c>
      <c r="D156" s="163" t="str">
        <f>Input!$G41</f>
        <v>No</v>
      </c>
      <c r="E156" s="154">
        <f>+Input!B41</f>
        <v>0.10199999999999999</v>
      </c>
      <c r="F156" s="165" cm="1">
        <f t="array" ref="F156">INDEX($C$101:$C$150,MATCH($B156&amp;$D156,$A$101:$A$150&amp;$B$101:$B$150,0))</f>
        <v>0.02</v>
      </c>
    </row>
    <row r="157" spans="1:7" x14ac:dyDescent="0.35">
      <c r="A157" s="396"/>
      <c r="B157" s="1" t="s">
        <v>66</v>
      </c>
      <c r="C157" s="154" t="s">
        <v>591</v>
      </c>
      <c r="D157" s="163" t="str">
        <f>Input!$G42</f>
        <v>Yes</v>
      </c>
      <c r="E157" s="154">
        <f>+Input!B42</f>
        <v>0.35299999999999998</v>
      </c>
      <c r="F157" s="165" cm="1">
        <f t="array" ref="F157">INDEX($C$101:$C$150,MATCH($B157&amp;$D157,$A$101:$A$150&amp;$B$101:$B$150,0))</f>
        <v>0</v>
      </c>
    </row>
    <row r="158" spans="1:7" x14ac:dyDescent="0.35">
      <c r="A158" s="396"/>
      <c r="B158" s="1" t="s">
        <v>67</v>
      </c>
      <c r="C158" s="154" t="s">
        <v>591</v>
      </c>
      <c r="D158" s="163" t="str">
        <f>Input!$G43</f>
        <v>No</v>
      </c>
      <c r="E158" s="154">
        <f>+Input!B43</f>
        <v>0</v>
      </c>
      <c r="F158" s="165" cm="1">
        <f t="array" ref="F158">INDEX($C$101:$C$150,MATCH($B158&amp;$D158,$A$101:$A$150&amp;$B$101:$B$150,0))</f>
        <v>0.05</v>
      </c>
    </row>
    <row r="159" spans="1:7" x14ac:dyDescent="0.35">
      <c r="A159" s="396"/>
      <c r="B159" s="1" t="s">
        <v>71</v>
      </c>
      <c r="C159" s="154" t="s">
        <v>591</v>
      </c>
      <c r="D159" s="163" t="str">
        <f>Input!$G44</f>
        <v>No</v>
      </c>
      <c r="E159" s="154">
        <f>+Input!B44</f>
        <v>0</v>
      </c>
      <c r="F159" s="165" cm="1">
        <f t="array" ref="F159">INDEX($C$101:$C$150,MATCH($B159&amp;$D159,$A$101:$A$150&amp;$B$101:$B$150,0))</f>
        <v>0.05</v>
      </c>
    </row>
    <row r="160" spans="1:7" x14ac:dyDescent="0.35">
      <c r="A160" s="396"/>
      <c r="B160" s="1" t="s">
        <v>72</v>
      </c>
      <c r="C160" s="154" t="s">
        <v>591</v>
      </c>
      <c r="D160" s="163" t="str">
        <f>Input!$G45</f>
        <v>No</v>
      </c>
      <c r="E160" s="154">
        <f>+Input!B45</f>
        <v>0</v>
      </c>
      <c r="F160" s="165" cm="1">
        <f t="array" ref="F160">INDEX($C$101:$C$150,MATCH($B160&amp;$D160,$A$101:$A$150&amp;$B$101:$B$150,0))</f>
        <v>0.05</v>
      </c>
    </row>
    <row r="161" spans="1:9" x14ac:dyDescent="0.35">
      <c r="A161" s="396"/>
      <c r="B161" s="1" t="s">
        <v>73</v>
      </c>
      <c r="C161" s="154" t="s">
        <v>591</v>
      </c>
      <c r="D161" s="163" t="str">
        <f>Input!$G46</f>
        <v>No</v>
      </c>
      <c r="E161" s="154">
        <f>+Input!B46</f>
        <v>0.153</v>
      </c>
      <c r="F161" s="165" cm="1">
        <f t="array" ref="F161">INDEX($C$101:$C$150,MATCH($B161&amp;$D161,$A$101:$A$150&amp;$B$101:$B$150,0))</f>
        <v>0.05</v>
      </c>
    </row>
    <row r="162" spans="1:9" x14ac:dyDescent="0.35">
      <c r="A162" s="396"/>
      <c r="B162" s="1" t="s">
        <v>75</v>
      </c>
      <c r="C162" s="154" t="s">
        <v>591</v>
      </c>
      <c r="D162" s="163" t="str">
        <f>Input!$G47</f>
        <v>No</v>
      </c>
      <c r="E162" s="154">
        <f>+Input!B47</f>
        <v>0</v>
      </c>
      <c r="F162" s="165" cm="1">
        <f t="array" ref="F162">INDEX($C$101:$C$150,MATCH($B162&amp;$D162,$A$101:$A$150&amp;$B$101:$B$150,0))</f>
        <v>0.05</v>
      </c>
    </row>
    <row r="163" spans="1:9" x14ac:dyDescent="0.35">
      <c r="A163" s="397"/>
      <c r="B163" s="1" t="s">
        <v>76</v>
      </c>
      <c r="C163" s="154" t="s">
        <v>591</v>
      </c>
      <c r="D163" s="163" t="str">
        <f>Input!$G48</f>
        <v>No</v>
      </c>
      <c r="E163" s="154">
        <f>+Input!B48</f>
        <v>0</v>
      </c>
      <c r="F163" s="165" cm="1">
        <f t="array" ref="F163">INDEX($C$101:$C$150,MATCH($B163&amp;$D163,$A$101:$A$150&amp;$B$101:$B$150,0))</f>
        <v>0.05</v>
      </c>
    </row>
    <row r="164" spans="1:9" ht="14" customHeight="1" x14ac:dyDescent="0.35">
      <c r="A164" s="398" t="s">
        <v>212</v>
      </c>
      <c r="B164" s="13" t="s">
        <v>311</v>
      </c>
      <c r="C164" s="158" t="str">
        <f>Input!$C$49</f>
        <v>Limestone_residue</v>
      </c>
      <c r="D164" s="163" t="str">
        <f>Input!$G49</f>
        <v>No</v>
      </c>
      <c r="E164" s="154">
        <f>+Input!B49</f>
        <v>5.4999999999999997E-3</v>
      </c>
      <c r="F164" s="165" cm="1">
        <f t="array" ref="F164">INDEX($C$101:$C$150,MATCH($C164&amp;$D164,$A$101:$A$150&amp;$B$101:$B$150,0))</f>
        <v>0.01</v>
      </c>
    </row>
    <row r="165" spans="1:9" ht="14" customHeight="1" x14ac:dyDescent="0.35">
      <c r="A165" s="399"/>
      <c r="B165" s="13" t="s">
        <v>312</v>
      </c>
      <c r="C165" s="158" t="str">
        <f>Input!$C$50</f>
        <v>Limestone_residue</v>
      </c>
      <c r="D165" s="163" t="str">
        <f>Input!$G50</f>
        <v>No</v>
      </c>
      <c r="E165" s="154">
        <f>+Input!B50</f>
        <v>0.01</v>
      </c>
      <c r="F165" s="165" cm="1">
        <f t="array" ref="F165">INDEX($C$101:$C$150,MATCH($C165&amp;$D165,$A$101:$A$150&amp;$B$101:$B$150,0))</f>
        <v>0.01</v>
      </c>
    </row>
    <row r="166" spans="1:9" ht="14" customHeight="1" x14ac:dyDescent="0.35">
      <c r="A166" s="400" t="s">
        <v>298</v>
      </c>
      <c r="B166" s="1" t="s">
        <v>81</v>
      </c>
      <c r="C166" s="154" t="s">
        <v>591</v>
      </c>
      <c r="D166" s="163" t="str">
        <f>Input!$G51</f>
        <v>No</v>
      </c>
      <c r="E166" s="154">
        <f>+Input!B51</f>
        <v>0.3</v>
      </c>
      <c r="F166" s="165" cm="1">
        <f t="array" ref="F166">INDEX($C$101:$C$150,MATCH($B166&amp;$D166,$A$101:$A$150&amp;$B$101:$B$150,0))</f>
        <v>0.05</v>
      </c>
      <c r="H166" s="24"/>
    </row>
    <row r="167" spans="1:9" x14ac:dyDescent="0.35">
      <c r="A167" s="400"/>
      <c r="B167" s="1" t="s">
        <v>83</v>
      </c>
      <c r="C167" s="154" t="s">
        <v>591</v>
      </c>
      <c r="D167" s="163" t="str">
        <f>Input!$G52</f>
        <v>No</v>
      </c>
      <c r="E167" s="154">
        <f>+Input!B52</f>
        <v>0</v>
      </c>
      <c r="F167" s="165" cm="1">
        <f t="array" ref="F167">INDEX($C$101:$C$150,MATCH($B167&amp;$D167,$A$101:$A$150&amp;$B$101:$B$150,0))</f>
        <v>0.05</v>
      </c>
      <c r="H167" s="3"/>
      <c r="I167" s="3"/>
    </row>
    <row r="168" spans="1:9" x14ac:dyDescent="0.35">
      <c r="A168" s="401" t="s">
        <v>299</v>
      </c>
      <c r="B168" s="1" t="s">
        <v>592</v>
      </c>
      <c r="C168" s="154" t="str">
        <f>Input!$C$53</f>
        <v>No_other_waste</v>
      </c>
      <c r="D168" s="163" t="str">
        <f>Input!$G53</f>
        <v>No</v>
      </c>
      <c r="E168" s="154">
        <f>+Input!B53</f>
        <v>0</v>
      </c>
      <c r="F168" s="165">
        <v>0</v>
      </c>
      <c r="I168" s="23"/>
    </row>
    <row r="169" spans="1:9" x14ac:dyDescent="0.35">
      <c r="A169" s="401"/>
      <c r="B169" s="1" t="s">
        <v>593</v>
      </c>
      <c r="C169" s="154" t="str">
        <f>Input!$C$54</f>
        <v>No_other_waste</v>
      </c>
      <c r="D169" s="163" t="str">
        <f>Input!$G54</f>
        <v>No</v>
      </c>
      <c r="E169" s="154">
        <f>+Input!B54</f>
        <v>0</v>
      </c>
      <c r="F169" s="165">
        <v>0</v>
      </c>
      <c r="I169" s="23"/>
    </row>
    <row r="170" spans="1:9" x14ac:dyDescent="0.35">
      <c r="A170" s="401" t="s">
        <v>261</v>
      </c>
      <c r="B170" s="1" t="s">
        <v>90</v>
      </c>
      <c r="C170" s="154" t="str">
        <f>Input!$C$55</f>
        <v>Cellulose_fibres</v>
      </c>
      <c r="D170" s="163" t="str">
        <f>Input!$G55</f>
        <v>No</v>
      </c>
      <c r="E170" s="154">
        <f>+Input!B55</f>
        <v>3.3E-3</v>
      </c>
      <c r="F170" s="165" cm="1">
        <f t="array" ref="F170">INDEX($C$101:$C$150,MATCH($C170&amp;$D170,$A$101:$A$150&amp;$B$101:$B$150,0))</f>
        <v>0.02</v>
      </c>
      <c r="I170" s="23"/>
    </row>
    <row r="171" spans="1:9" x14ac:dyDescent="0.35">
      <c r="A171" s="401"/>
      <c r="B171" s="1" t="s">
        <v>93</v>
      </c>
      <c r="C171" s="154" t="str">
        <f>Input!$C$56</f>
        <v>No_additives</v>
      </c>
      <c r="D171" s="163" t="str">
        <f>Input!$G56</f>
        <v>No</v>
      </c>
      <c r="E171" s="154">
        <f>+Input!B56</f>
        <v>0</v>
      </c>
      <c r="F171" s="165" cm="1">
        <f t="array" ref="F171">INDEX($C$101:$C$150,MATCH($C171&amp;$D171,$A$101:$A$150&amp;$B$101:$B$150,0))</f>
        <v>0</v>
      </c>
      <c r="I171" s="23"/>
    </row>
    <row r="172" spans="1:9" x14ac:dyDescent="0.35">
      <c r="A172" s="401"/>
      <c r="B172" s="1" t="s">
        <v>95</v>
      </c>
      <c r="C172" s="154" t="str">
        <f>Input!$C$57</f>
        <v>No_additives</v>
      </c>
      <c r="D172" s="163" t="str">
        <f>Input!$G57</f>
        <v>No</v>
      </c>
      <c r="E172" s="154">
        <f>+Input!B57</f>
        <v>0</v>
      </c>
      <c r="F172" s="165" cm="1">
        <f t="array" ref="F172">INDEX($C$101:$C$150,MATCH($C172&amp;$D172,$A$101:$A$150&amp;$B$101:$B$150,0))</f>
        <v>0</v>
      </c>
      <c r="I172" s="23"/>
    </row>
    <row r="173" spans="1:9" x14ac:dyDescent="0.35">
      <c r="A173" s="55"/>
      <c r="D173" s="15" t="s">
        <v>594</v>
      </c>
      <c r="E173" s="326">
        <f>+SUM(E154:E172)</f>
        <v>0.99995999999999985</v>
      </c>
      <c r="F173" s="71"/>
      <c r="I173" s="23"/>
    </row>
    <row r="175" spans="1:9" s="81" customFormat="1" ht="16" x14ac:dyDescent="0.4">
      <c r="A175" s="117" t="s">
        <v>595</v>
      </c>
    </row>
    <row r="176" spans="1:9" x14ac:dyDescent="0.35">
      <c r="B176" s="23"/>
      <c r="C176" s="23"/>
    </row>
    <row r="177" spans="1:21" s="3" customFormat="1" ht="90.5" customHeight="1" x14ac:dyDescent="0.35">
      <c r="A177" s="104" t="s">
        <v>561</v>
      </c>
      <c r="B177" s="104" t="s">
        <v>596</v>
      </c>
      <c r="C177" s="108" t="str">
        <f>Input!$C$39</f>
        <v>Conventional_Bitumen</v>
      </c>
      <c r="D177" s="103" t="s">
        <v>62</v>
      </c>
      <c r="E177" s="103" t="s">
        <v>65</v>
      </c>
      <c r="F177" s="103" t="s">
        <v>66</v>
      </c>
      <c r="G177" s="103" t="s">
        <v>67</v>
      </c>
      <c r="H177" s="103" t="s">
        <v>71</v>
      </c>
      <c r="I177" s="300" t="s">
        <v>72</v>
      </c>
      <c r="J177" s="103" t="s">
        <v>73</v>
      </c>
      <c r="K177" s="103" t="s">
        <v>75</v>
      </c>
      <c r="L177" s="103" t="s">
        <v>76</v>
      </c>
      <c r="M177" s="301" t="str">
        <f>Input!$C$49</f>
        <v>Limestone_residue</v>
      </c>
      <c r="N177" s="301" t="str">
        <f>Input!$C$50</f>
        <v>Limestone_residue</v>
      </c>
      <c r="O177" s="103" t="s">
        <v>81</v>
      </c>
      <c r="P177" s="103" t="s">
        <v>83</v>
      </c>
      <c r="Q177" s="103" t="str">
        <f>Input!$C$53</f>
        <v>No_other_waste</v>
      </c>
      <c r="R177" s="103" t="str">
        <f>Input!$C$54</f>
        <v>No_other_waste</v>
      </c>
      <c r="S177" s="103" t="str">
        <f>Input!$C$55</f>
        <v>Cellulose_fibres</v>
      </c>
      <c r="T177" s="103" t="str">
        <f>Input!$C$56</f>
        <v>No_additives</v>
      </c>
      <c r="U177" s="316" t="str">
        <f>Input!$C$57</f>
        <v>No_additives</v>
      </c>
    </row>
    <row r="178" spans="1:21" x14ac:dyDescent="0.35">
      <c r="A178" s="13" t="s">
        <v>597</v>
      </c>
      <c r="B178" s="13" t="s">
        <v>598</v>
      </c>
      <c r="C178" s="166">
        <f>Input!$B$39*(1-$F$154)</f>
        <v>2.2159999999999999E-2</v>
      </c>
      <c r="D178" s="166">
        <f>Input!$B$40*(1-$F$155)</f>
        <v>4.9979999999999997E-2</v>
      </c>
      <c r="E178" s="166">
        <f>Input!$B$41*(1-$F$156)</f>
        <v>9.9959999999999993E-2</v>
      </c>
      <c r="F178" s="166">
        <f>Input!$B$42*(1-$F$157)</f>
        <v>0.35299999999999998</v>
      </c>
      <c r="G178" s="167">
        <f>Input!$B$43*(1-$F$158)</f>
        <v>0</v>
      </c>
      <c r="H178" s="167">
        <f>Input!$B$44*(1-$F$159)</f>
        <v>0</v>
      </c>
      <c r="I178" s="167">
        <f>Input!$B$45*(1-$F$160)</f>
        <v>0</v>
      </c>
      <c r="J178" s="167">
        <f>Input!$B$46*(1-$F$161)</f>
        <v>0.14534999999999998</v>
      </c>
      <c r="K178" s="167">
        <f>Input!$B$47*(1-$F$162)</f>
        <v>0</v>
      </c>
      <c r="L178" s="167">
        <f>Input!$B$48*(1-$F$163)</f>
        <v>0</v>
      </c>
      <c r="M178" s="167">
        <f>Input!$B$49*(1-$F$164)</f>
        <v>5.4449999999999993E-3</v>
      </c>
      <c r="N178" s="167">
        <f>Input!$B$50*(1-$F$165)</f>
        <v>9.9000000000000008E-3</v>
      </c>
      <c r="O178" s="168">
        <f>Input!$B$51*(1-$F$166)</f>
        <v>0.28499999999999998</v>
      </c>
      <c r="P178" s="165">
        <f>Input!$B$52*(1-$F$167)</f>
        <v>0</v>
      </c>
      <c r="Q178" s="165">
        <f>Input!$B$53*(1-$F$168)</f>
        <v>0</v>
      </c>
      <c r="R178" s="165">
        <f>Input!$B$54*(1-$F$169)</f>
        <v>0</v>
      </c>
      <c r="S178" s="165">
        <f>Input!$B$55*(1-$F$170)</f>
        <v>3.2339999999999999E-3</v>
      </c>
      <c r="T178" s="169">
        <f>Input!$B$56*(1-$F$171)</f>
        <v>0</v>
      </c>
      <c r="U178" s="165">
        <f>Input!$B$57*(1-$F$172)</f>
        <v>0</v>
      </c>
    </row>
    <row r="179" spans="1:21" x14ac:dyDescent="0.35">
      <c r="A179" s="13" t="s">
        <v>599</v>
      </c>
      <c r="B179" s="13" t="s">
        <v>600</v>
      </c>
      <c r="C179" s="170">
        <f>INDEX($B$69:$B$89,MATCH($C$177,$A$69:$A$89,0))</f>
        <v>2.093</v>
      </c>
      <c r="D179" s="170">
        <f>$B$71</f>
        <v>0.91</v>
      </c>
      <c r="E179" s="171">
        <f>$B$72</f>
        <v>0.91</v>
      </c>
      <c r="F179" s="171">
        <f>$B$73</f>
        <v>0.91</v>
      </c>
      <c r="G179" s="171">
        <f>$B$74</f>
        <v>0.91</v>
      </c>
      <c r="H179" s="171">
        <f>$B$75</f>
        <v>0.91</v>
      </c>
      <c r="I179" s="171">
        <f>$B$76</f>
        <v>0.91</v>
      </c>
      <c r="J179" s="171">
        <f>$B$77</f>
        <v>0.8</v>
      </c>
      <c r="K179" s="171">
        <f>$B$78</f>
        <v>0.8</v>
      </c>
      <c r="L179" s="171">
        <f>$B$79</f>
        <v>0.8</v>
      </c>
      <c r="M179" s="171">
        <f>INDEX($B$69:$B$89,MATCH($M$177,A69:A89,0))</f>
        <v>0.91</v>
      </c>
      <c r="N179" s="171">
        <f>INDEX($B$69:$B$89,MATCH($N$177,$A$69:$A$89,0))</f>
        <v>0.91</v>
      </c>
      <c r="O179" s="172">
        <f>$B$84</f>
        <v>0.92</v>
      </c>
      <c r="P179" s="154">
        <f>$B$85</f>
        <v>0.92</v>
      </c>
      <c r="Q179" s="154">
        <f>INDEX($B$69:$B$94,MATCH($Q$177,$A$69:$A$94,0))</f>
        <v>1</v>
      </c>
      <c r="R179" s="154">
        <f>INDEX($B$69:$B$94,MATCH($R$177,$A$69:$A$94,0))</f>
        <v>1</v>
      </c>
      <c r="S179" s="154">
        <f>INDEX($B$69:$B$94,MATCH($S$177,$A$69:$A$94,0))</f>
        <v>1.3</v>
      </c>
      <c r="T179" s="154">
        <f>INDEX($B$69:$B$94,MATCH($T$177,$A$69:$A$94,0))</f>
        <v>1</v>
      </c>
      <c r="U179" s="154">
        <f>INDEX($B$69:$B$94,MATCH($U$177,$A$69:$A$94,0))</f>
        <v>1</v>
      </c>
    </row>
    <row r="180" spans="1:21" x14ac:dyDescent="0.35">
      <c r="A180" s="13" t="s">
        <v>601</v>
      </c>
      <c r="B180" s="13" t="s">
        <v>602</v>
      </c>
      <c r="C180" s="170">
        <f>INDEX($C$69:$C$89,MATCH($C$177,$A$69:$A$89,0))</f>
        <v>165</v>
      </c>
      <c r="D180" s="170">
        <f>$C$71</f>
        <v>175</v>
      </c>
      <c r="E180" s="171">
        <f>$C$72</f>
        <v>175</v>
      </c>
      <c r="F180" s="171">
        <f>$C$73</f>
        <v>175</v>
      </c>
      <c r="G180" s="171">
        <f>$C$74</f>
        <v>175</v>
      </c>
      <c r="H180" s="171">
        <f>$C$75</f>
        <v>175</v>
      </c>
      <c r="I180" s="171">
        <f>$C$76</f>
        <v>175</v>
      </c>
      <c r="J180" s="171">
        <f>$C$77</f>
        <v>175</v>
      </c>
      <c r="K180" s="171">
        <f>$C$78</f>
        <v>175</v>
      </c>
      <c r="L180" s="171">
        <f>$C$79</f>
        <v>175</v>
      </c>
      <c r="M180" s="171">
        <f>INDEX($C$69:$C$89,MATCH($M$177,A69:A89,0))</f>
        <v>175</v>
      </c>
      <c r="N180" s="171">
        <f>INDEX($C$69:$C$89,MATCH($N$177,$A$69:$A$89,0))</f>
        <v>175</v>
      </c>
      <c r="O180" s="173">
        <f>$C$84</f>
        <v>130</v>
      </c>
      <c r="P180" s="154">
        <f>$C$85</f>
        <v>130</v>
      </c>
      <c r="Q180" s="154">
        <f>INDEX($C$69:$C$94,MATCH($Q$177,$A$69:$A$94,0))</f>
        <v>0</v>
      </c>
      <c r="R180" s="154">
        <f>INDEX($C$69:$C$94,MATCH($R$177,$A$69:$A$94,0))</f>
        <v>0</v>
      </c>
      <c r="S180" s="154">
        <f>INDEX($C$69:$C$94,MATCH($S$177,$A$69:$A$94,0))</f>
        <v>160</v>
      </c>
      <c r="T180" s="154">
        <f>INDEX($C$69:$C$94,MATCH($T$177,$A$69:$A$94,0))</f>
        <v>0</v>
      </c>
      <c r="U180" s="154">
        <f>INDEX($C$69:$C$94,MATCH($U$177,$A$69:$A$94,0))</f>
        <v>0</v>
      </c>
    </row>
    <row r="181" spans="1:21" x14ac:dyDescent="0.35">
      <c r="A181" s="13" t="s">
        <v>566</v>
      </c>
      <c r="B181" s="13" t="s">
        <v>602</v>
      </c>
      <c r="C181" s="170">
        <f>$B$61</f>
        <v>11.2</v>
      </c>
      <c r="D181" s="170">
        <f t="shared" ref="D181:U181" si="1">$B$61</f>
        <v>11.2</v>
      </c>
      <c r="E181" s="170">
        <f t="shared" si="1"/>
        <v>11.2</v>
      </c>
      <c r="F181" s="170">
        <f t="shared" si="1"/>
        <v>11.2</v>
      </c>
      <c r="G181" s="170">
        <f t="shared" si="1"/>
        <v>11.2</v>
      </c>
      <c r="H181" s="170">
        <f t="shared" si="1"/>
        <v>11.2</v>
      </c>
      <c r="I181" s="170">
        <f t="shared" si="1"/>
        <v>11.2</v>
      </c>
      <c r="J181" s="170">
        <f t="shared" si="1"/>
        <v>11.2</v>
      </c>
      <c r="K181" s="170">
        <f t="shared" si="1"/>
        <v>11.2</v>
      </c>
      <c r="L181" s="170">
        <f t="shared" si="1"/>
        <v>11.2</v>
      </c>
      <c r="M181" s="170">
        <f t="shared" si="1"/>
        <v>11.2</v>
      </c>
      <c r="N181" s="170">
        <f t="shared" si="1"/>
        <v>11.2</v>
      </c>
      <c r="O181" s="170">
        <f t="shared" si="1"/>
        <v>11.2</v>
      </c>
      <c r="P181" s="170">
        <f t="shared" si="1"/>
        <v>11.2</v>
      </c>
      <c r="Q181" s="170">
        <f t="shared" si="1"/>
        <v>11.2</v>
      </c>
      <c r="R181" s="170">
        <f t="shared" si="1"/>
        <v>11.2</v>
      </c>
      <c r="S181" s="170">
        <f t="shared" si="1"/>
        <v>11.2</v>
      </c>
      <c r="T181" s="170">
        <f t="shared" si="1"/>
        <v>11.2</v>
      </c>
      <c r="U181" s="170">
        <f t="shared" si="1"/>
        <v>11.2</v>
      </c>
    </row>
    <row r="182" spans="1:21" x14ac:dyDescent="0.35">
      <c r="A182" s="13" t="s">
        <v>603</v>
      </c>
      <c r="B182" s="13" t="s">
        <v>598</v>
      </c>
      <c r="C182" s="166">
        <f>Input!$B$39*$F$154</f>
        <v>0</v>
      </c>
      <c r="D182" s="166">
        <f>Input!$B$40*$F$155</f>
        <v>1.0199999999999999E-3</v>
      </c>
      <c r="E182" s="166">
        <f>Input!$B$41*$F$156</f>
        <v>2.0399999999999997E-3</v>
      </c>
      <c r="F182" s="166">
        <f>Input!$B$42*$F$157</f>
        <v>0</v>
      </c>
      <c r="G182" s="166">
        <f>Input!$B$43*$F$158</f>
        <v>0</v>
      </c>
      <c r="H182" s="166">
        <f>Input!$B$44*$F$159</f>
        <v>0</v>
      </c>
      <c r="I182" s="166">
        <f>Input!$B$45*$F$160</f>
        <v>0</v>
      </c>
      <c r="J182" s="166">
        <f>Input!$B$46*$F$161</f>
        <v>7.6500000000000005E-3</v>
      </c>
      <c r="K182" s="166">
        <f>Input!$B$47*$F$162</f>
        <v>0</v>
      </c>
      <c r="L182" s="166">
        <f>Input!$B$48*$F$163</f>
        <v>0</v>
      </c>
      <c r="M182" s="166">
        <f>Input!$B$49*$F$164</f>
        <v>5.4999999999999995E-5</v>
      </c>
      <c r="N182" s="166">
        <f>Input!$B$50*$F$165</f>
        <v>1E-4</v>
      </c>
      <c r="O182" s="166">
        <f>Input!$B$51*$F$166</f>
        <v>1.4999999999999999E-2</v>
      </c>
      <c r="P182" s="166">
        <f>Input!$B$52*$F$167</f>
        <v>0</v>
      </c>
      <c r="Q182" s="166">
        <f>Input!$B$53*$F$168</f>
        <v>0</v>
      </c>
      <c r="R182" s="166">
        <f>Input!$B$54*$F$169</f>
        <v>0</v>
      </c>
      <c r="S182" s="166">
        <f>Input!$B$55*$F$170</f>
        <v>6.6000000000000005E-5</v>
      </c>
      <c r="T182" s="166">
        <f>Input!$B$55*$F$171</f>
        <v>0</v>
      </c>
      <c r="U182" s="166">
        <f>Input!$B$56*$F$172</f>
        <v>0</v>
      </c>
    </row>
    <row r="183" spans="1:21" x14ac:dyDescent="0.35">
      <c r="A183" s="13" t="s">
        <v>604</v>
      </c>
      <c r="B183" s="1"/>
      <c r="C183" s="174">
        <f t="shared" ref="C183:U183" si="2">(C178*C179*(C180-C181))</f>
        <v>7.1333793440000006</v>
      </c>
      <c r="D183" s="174">
        <f t="shared" si="2"/>
        <v>7.4499188399999996</v>
      </c>
      <c r="E183" s="174">
        <f t="shared" si="2"/>
        <v>14.899837679999999</v>
      </c>
      <c r="F183" s="174">
        <f t="shared" si="2"/>
        <v>52.617474000000009</v>
      </c>
      <c r="G183" s="174">
        <f t="shared" si="2"/>
        <v>0</v>
      </c>
      <c r="H183" s="174">
        <f t="shared" si="2"/>
        <v>0</v>
      </c>
      <c r="I183" s="174">
        <f t="shared" si="2"/>
        <v>0</v>
      </c>
      <c r="J183" s="174">
        <f t="shared" si="2"/>
        <v>19.046664</v>
      </c>
      <c r="K183" s="174">
        <f t="shared" si="2"/>
        <v>0</v>
      </c>
      <c r="L183" s="174">
        <f t="shared" si="2"/>
        <v>0</v>
      </c>
      <c r="M183" s="174">
        <f t="shared" si="2"/>
        <v>0.81162080999999997</v>
      </c>
      <c r="N183" s="174">
        <f t="shared" si="2"/>
        <v>1.4756742000000003</v>
      </c>
      <c r="O183" s="174">
        <f t="shared" si="2"/>
        <v>31.149359999999998</v>
      </c>
      <c r="P183" s="174">
        <f t="shared" si="2"/>
        <v>0</v>
      </c>
      <c r="Q183" s="174">
        <f t="shared" si="2"/>
        <v>0</v>
      </c>
      <c r="R183" s="174">
        <f t="shared" si="2"/>
        <v>0</v>
      </c>
      <c r="S183" s="174">
        <f t="shared" si="2"/>
        <v>0.62558496000000008</v>
      </c>
      <c r="T183" s="174">
        <f t="shared" si="2"/>
        <v>0</v>
      </c>
      <c r="U183" s="174">
        <f t="shared" si="2"/>
        <v>0</v>
      </c>
    </row>
    <row r="184" spans="1:21" x14ac:dyDescent="0.35">
      <c r="A184" s="13" t="s">
        <v>605</v>
      </c>
      <c r="B184" s="1"/>
      <c r="C184" s="174">
        <f t="shared" ref="C184:U184" si="3">IF($B$42&gt;100,C182*$B$62*(100-C181),C182*$B$62*($B$42-C181))</f>
        <v>0</v>
      </c>
      <c r="D184" s="174">
        <f>IF($B$42&gt;100,D182*$B$62*(100-D181),D182*$B$62*($B$42-D181))</f>
        <v>0.37951343999999992</v>
      </c>
      <c r="E184" s="174">
        <f t="shared" si="3"/>
        <v>0.75902687999999985</v>
      </c>
      <c r="F184" s="174">
        <f t="shared" si="3"/>
        <v>0</v>
      </c>
      <c r="G184" s="174">
        <f t="shared" si="3"/>
        <v>0</v>
      </c>
      <c r="H184" s="174">
        <f t="shared" si="3"/>
        <v>0</v>
      </c>
      <c r="I184" s="174">
        <f t="shared" si="3"/>
        <v>0</v>
      </c>
      <c r="J184" s="174">
        <f t="shared" si="3"/>
        <v>2.8463508000000006</v>
      </c>
      <c r="K184" s="174">
        <f t="shared" si="3"/>
        <v>0</v>
      </c>
      <c r="L184" s="174">
        <f t="shared" si="3"/>
        <v>0</v>
      </c>
      <c r="M184" s="174">
        <f t="shared" si="3"/>
        <v>2.046396E-2</v>
      </c>
      <c r="N184" s="174">
        <f t="shared" si="3"/>
        <v>3.7207200000000003E-2</v>
      </c>
      <c r="O184" s="174">
        <f t="shared" si="3"/>
        <v>5.58108</v>
      </c>
      <c r="P184" s="174">
        <f t="shared" si="3"/>
        <v>0</v>
      </c>
      <c r="Q184" s="174">
        <f t="shared" si="3"/>
        <v>0</v>
      </c>
      <c r="R184" s="174">
        <f t="shared" si="3"/>
        <v>0</v>
      </c>
      <c r="S184" s="174">
        <f t="shared" si="3"/>
        <v>2.4556752000000001E-2</v>
      </c>
      <c r="T184" s="174">
        <f t="shared" si="3"/>
        <v>0</v>
      </c>
      <c r="U184" s="174">
        <f t="shared" si="3"/>
        <v>0</v>
      </c>
    </row>
    <row r="185" spans="1:21" s="24" customFormat="1" x14ac:dyDescent="0.35">
      <c r="A185" s="13" t="s">
        <v>606</v>
      </c>
      <c r="B185" s="13"/>
      <c r="C185" s="170">
        <f t="shared" ref="C185:U185" si="4">IF(C180&lt;100,0,$B$63*C182)</f>
        <v>0</v>
      </c>
      <c r="D185" s="170">
        <f>IF(D180&lt;100,0,$B$63*D182)</f>
        <v>2.3021399999999996</v>
      </c>
      <c r="E185" s="170">
        <f t="shared" si="4"/>
        <v>4.6042799999999993</v>
      </c>
      <c r="F185" s="170">
        <f t="shared" si="4"/>
        <v>0</v>
      </c>
      <c r="G185" s="170">
        <f t="shared" si="4"/>
        <v>0</v>
      </c>
      <c r="H185" s="170">
        <f t="shared" si="4"/>
        <v>0</v>
      </c>
      <c r="I185" s="170">
        <f t="shared" si="4"/>
        <v>0</v>
      </c>
      <c r="J185" s="170">
        <f t="shared" si="4"/>
        <v>17.26605</v>
      </c>
      <c r="K185" s="170">
        <f t="shared" si="4"/>
        <v>0</v>
      </c>
      <c r="L185" s="170">
        <f t="shared" si="4"/>
        <v>0</v>
      </c>
      <c r="M185" s="170">
        <f t="shared" si="4"/>
        <v>0.124135</v>
      </c>
      <c r="N185" s="170">
        <f t="shared" si="4"/>
        <v>0.22570000000000001</v>
      </c>
      <c r="O185" s="170">
        <f t="shared" si="4"/>
        <v>33.854999999999997</v>
      </c>
      <c r="P185" s="170">
        <f t="shared" si="4"/>
        <v>0</v>
      </c>
      <c r="Q185" s="170">
        <f t="shared" si="4"/>
        <v>0</v>
      </c>
      <c r="R185" s="170">
        <f t="shared" si="4"/>
        <v>0</v>
      </c>
      <c r="S185" s="170">
        <f t="shared" si="4"/>
        <v>0.14896200000000001</v>
      </c>
      <c r="T185" s="170">
        <f t="shared" si="4"/>
        <v>0</v>
      </c>
      <c r="U185" s="170">
        <f t="shared" si="4"/>
        <v>0</v>
      </c>
    </row>
    <row r="186" spans="1:21" s="24" customFormat="1" x14ac:dyDescent="0.35">
      <c r="A186" s="13" t="s">
        <v>607</v>
      </c>
      <c r="B186" s="13"/>
      <c r="C186" s="170">
        <f t="shared" ref="C186:U186" si="5">IF($B$42&gt;100,C182*$B$64*($B$42-100),0)</f>
        <v>0</v>
      </c>
      <c r="D186" s="170">
        <f t="shared" si="5"/>
        <v>0.16026749999999998</v>
      </c>
      <c r="E186" s="170">
        <f t="shared" si="5"/>
        <v>0.32053499999999996</v>
      </c>
      <c r="F186" s="170">
        <f t="shared" si="5"/>
        <v>0</v>
      </c>
      <c r="G186" s="170">
        <f t="shared" si="5"/>
        <v>0</v>
      </c>
      <c r="H186" s="170">
        <f t="shared" si="5"/>
        <v>0</v>
      </c>
      <c r="I186" s="170">
        <f t="shared" si="5"/>
        <v>0</v>
      </c>
      <c r="J186" s="170">
        <f t="shared" si="5"/>
        <v>1.2020062500000002</v>
      </c>
      <c r="K186" s="170">
        <f t="shared" si="5"/>
        <v>0</v>
      </c>
      <c r="L186" s="170">
        <f t="shared" si="5"/>
        <v>0</v>
      </c>
      <c r="M186" s="170">
        <f t="shared" si="5"/>
        <v>8.6418750000000003E-3</v>
      </c>
      <c r="N186" s="170">
        <f t="shared" si="5"/>
        <v>1.5712500000000001E-2</v>
      </c>
      <c r="O186" s="170">
        <f t="shared" si="5"/>
        <v>2.3568750000000001</v>
      </c>
      <c r="P186" s="170">
        <f t="shared" si="5"/>
        <v>0</v>
      </c>
      <c r="Q186" s="170">
        <f t="shared" si="5"/>
        <v>0</v>
      </c>
      <c r="R186" s="170">
        <f t="shared" si="5"/>
        <v>0</v>
      </c>
      <c r="S186" s="170">
        <f t="shared" si="5"/>
        <v>1.0370250000000001E-2</v>
      </c>
      <c r="T186" s="170">
        <f t="shared" si="5"/>
        <v>0</v>
      </c>
      <c r="U186" s="170">
        <f t="shared" si="5"/>
        <v>0</v>
      </c>
    </row>
    <row r="187" spans="1:21" x14ac:dyDescent="0.35">
      <c r="A187" s="13" t="s">
        <v>608</v>
      </c>
      <c r="B187" s="1" t="s">
        <v>609</v>
      </c>
      <c r="C187" s="174">
        <f t="shared" ref="C187:U187" si="6">SUM(C183:C186)</f>
        <v>7.1333793440000006</v>
      </c>
      <c r="D187" s="174">
        <f t="shared" si="6"/>
        <v>10.29183978</v>
      </c>
      <c r="E187" s="174">
        <f t="shared" si="6"/>
        <v>20.58367956</v>
      </c>
      <c r="F187" s="174">
        <f t="shared" si="6"/>
        <v>52.617474000000009</v>
      </c>
      <c r="G187" s="174">
        <f t="shared" si="6"/>
        <v>0</v>
      </c>
      <c r="H187" s="174">
        <f t="shared" si="6"/>
        <v>0</v>
      </c>
      <c r="I187" s="174">
        <f t="shared" si="6"/>
        <v>0</v>
      </c>
      <c r="J187" s="174">
        <f t="shared" si="6"/>
        <v>40.361071049999993</v>
      </c>
      <c r="K187" s="174">
        <f t="shared" si="6"/>
        <v>0</v>
      </c>
      <c r="L187" s="174">
        <f t="shared" si="6"/>
        <v>0</v>
      </c>
      <c r="M187" s="174">
        <f t="shared" si="6"/>
        <v>0.96486164499999993</v>
      </c>
      <c r="N187" s="174">
        <f t="shared" si="6"/>
        <v>1.7542939000000004</v>
      </c>
      <c r="O187" s="174">
        <f t="shared" si="6"/>
        <v>72.942315000000008</v>
      </c>
      <c r="P187" s="174">
        <f t="shared" si="6"/>
        <v>0</v>
      </c>
      <c r="Q187" s="174">
        <f t="shared" si="6"/>
        <v>0</v>
      </c>
      <c r="R187" s="174">
        <f t="shared" si="6"/>
        <v>0</v>
      </c>
      <c r="S187" s="174">
        <f t="shared" si="6"/>
        <v>0.8094739620000001</v>
      </c>
      <c r="T187" s="174">
        <f t="shared" si="6"/>
        <v>0</v>
      </c>
      <c r="U187" s="174">
        <f t="shared" si="6"/>
        <v>0</v>
      </c>
    </row>
    <row r="188" spans="1:21" x14ac:dyDescent="0.35">
      <c r="A188" s="327" t="s">
        <v>610</v>
      </c>
      <c r="B188" s="10" t="s">
        <v>611</v>
      </c>
      <c r="C188" s="197">
        <f>(1+$B$60)*(SUM(C187:U187))</f>
        <v>269.69590471330002</v>
      </c>
      <c r="D188" s="21"/>
      <c r="E188" s="21"/>
      <c r="F188" s="21"/>
      <c r="G188" s="21"/>
      <c r="H188" s="21"/>
      <c r="I188" s="21"/>
      <c r="J188" s="21"/>
      <c r="K188" s="21"/>
      <c r="L188" s="21"/>
      <c r="M188" s="21"/>
      <c r="N188" s="21"/>
      <c r="O188" s="21"/>
      <c r="P188" s="21"/>
      <c r="Q188" s="1"/>
      <c r="R188" s="1"/>
      <c r="S188" s="1"/>
      <c r="T188" s="1"/>
      <c r="U188" s="1"/>
    </row>
    <row r="189" spans="1:21" x14ac:dyDescent="0.35">
      <c r="A189" s="327" t="s">
        <v>612</v>
      </c>
      <c r="B189" s="10" t="s">
        <v>598</v>
      </c>
      <c r="C189" s="255">
        <f>+SUM(C184:U186)/SUM(C187:U187)</f>
        <v>0.34825718554734947</v>
      </c>
      <c r="D189" s="15"/>
      <c r="E189" s="15"/>
      <c r="F189" s="15"/>
      <c r="G189" s="15"/>
      <c r="H189" s="15"/>
      <c r="I189" s="15"/>
      <c r="J189" s="15"/>
      <c r="K189" s="15"/>
      <c r="L189" s="15"/>
      <c r="M189" s="15"/>
      <c r="N189" s="15"/>
      <c r="O189" s="15"/>
      <c r="P189" s="15"/>
    </row>
    <row r="190" spans="1:21" x14ac:dyDescent="0.35">
      <c r="C190" s="71">
        <f t="shared" ref="C190:E190" si="7">+C178+C182</f>
        <v>2.2159999999999999E-2</v>
      </c>
      <c r="D190" s="71">
        <f t="shared" si="7"/>
        <v>5.0999999999999997E-2</v>
      </c>
      <c r="E190" s="71">
        <f t="shared" si="7"/>
        <v>0.10199999999999999</v>
      </c>
      <c r="F190" s="71">
        <f>+F178+F182</f>
        <v>0.35299999999999998</v>
      </c>
      <c r="G190" s="71">
        <f t="shared" ref="G190:U190" si="8">+G178+G182</f>
        <v>0</v>
      </c>
      <c r="H190" s="71">
        <f t="shared" si="8"/>
        <v>0</v>
      </c>
      <c r="I190" s="71">
        <f t="shared" si="8"/>
        <v>0</v>
      </c>
      <c r="J190" s="71">
        <f t="shared" si="8"/>
        <v>0.15299999999999997</v>
      </c>
      <c r="K190" s="71">
        <f t="shared" si="8"/>
        <v>0</v>
      </c>
      <c r="L190" s="71">
        <f t="shared" si="8"/>
        <v>0</v>
      </c>
      <c r="M190" s="71">
        <f t="shared" si="8"/>
        <v>5.4999999999999997E-3</v>
      </c>
      <c r="N190" s="71">
        <f t="shared" si="8"/>
        <v>0.01</v>
      </c>
      <c r="O190" s="71">
        <f t="shared" si="8"/>
        <v>0.3</v>
      </c>
      <c r="P190" s="71">
        <f t="shared" si="8"/>
        <v>0</v>
      </c>
      <c r="Q190" s="71">
        <f t="shared" si="8"/>
        <v>0</v>
      </c>
      <c r="R190" s="71">
        <f t="shared" si="8"/>
        <v>0</v>
      </c>
      <c r="S190" s="71">
        <f t="shared" si="8"/>
        <v>3.3E-3</v>
      </c>
      <c r="T190" s="71">
        <f t="shared" si="8"/>
        <v>0</v>
      </c>
      <c r="U190" s="71">
        <f t="shared" si="8"/>
        <v>0</v>
      </c>
    </row>
    <row r="191" spans="1:21" x14ac:dyDescent="0.35">
      <c r="A191" s="24"/>
      <c r="B191" t="s">
        <v>613</v>
      </c>
      <c r="C191" s="256">
        <f>SUM(C178:U178)+SUM(C182:U182)</f>
        <v>0.99995999999999985</v>
      </c>
    </row>
    <row r="193" spans="1:24" ht="16" x14ac:dyDescent="0.4">
      <c r="A193" s="117" t="s">
        <v>614</v>
      </c>
    </row>
    <row r="195" spans="1:24" ht="94.5" customHeight="1" x14ac:dyDescent="0.35">
      <c r="A195" s="104" t="s">
        <v>451</v>
      </c>
      <c r="B195" s="104" t="s">
        <v>277</v>
      </c>
      <c r="C195" s="103" t="s">
        <v>1005</v>
      </c>
      <c r="D195" s="103" t="s">
        <v>615</v>
      </c>
      <c r="E195" s="103" t="s">
        <v>616</v>
      </c>
      <c r="F195" s="103" t="s">
        <v>279</v>
      </c>
      <c r="G195" s="103" t="s">
        <v>280</v>
      </c>
      <c r="H195" s="103" t="s">
        <v>281</v>
      </c>
      <c r="I195" s="103" t="s">
        <v>282</v>
      </c>
      <c r="J195" s="103" t="s">
        <v>283</v>
      </c>
      <c r="K195" s="103" t="s">
        <v>284</v>
      </c>
      <c r="L195" s="103" t="s">
        <v>285</v>
      </c>
      <c r="M195" s="103" t="s">
        <v>286</v>
      </c>
      <c r="N195" s="103" t="s">
        <v>287</v>
      </c>
      <c r="O195" s="103" t="s">
        <v>288</v>
      </c>
      <c r="P195" s="103" t="s">
        <v>289</v>
      </c>
      <c r="Q195" s="103" t="s">
        <v>290</v>
      </c>
      <c r="R195" s="103" t="s">
        <v>291</v>
      </c>
      <c r="S195" s="103" t="s">
        <v>292</v>
      </c>
      <c r="T195" s="103" t="s">
        <v>293</v>
      </c>
      <c r="U195" s="103" t="s">
        <v>294</v>
      </c>
      <c r="V195" s="103" t="s">
        <v>295</v>
      </c>
      <c r="W195" s="103" t="s">
        <v>296</v>
      </c>
      <c r="X195" s="103" t="s">
        <v>297</v>
      </c>
    </row>
    <row r="196" spans="1:24" x14ac:dyDescent="0.35">
      <c r="A196" s="53" t="str">
        <f>Input!$A$17</f>
        <v>Asphalt plant: primary energy source type for heating and drying</v>
      </c>
      <c r="B196" s="1" t="s">
        <v>617</v>
      </c>
      <c r="C196" s="154" t="str">
        <f>IF($D$196="Electricity",$B$52,"None")</f>
        <v>None</v>
      </c>
      <c r="D196" s="154" t="str">
        <f>Input!B17</f>
        <v>Natural_gas</v>
      </c>
      <c r="E196" s="175">
        <f>Input!$C$17</f>
        <v>1</v>
      </c>
      <c r="F196" s="154" cm="1">
        <f t="array" ref="F196">INDEX(LCI!H$2:H$137,MATCH('A3 - Production '!$A$196&amp;'A3 - Production '!$D$196,LCI!$B$2:$B$137&amp;LCI!$D$2:$D$137,0))*$C$188*IF(OR($D$196="Electricity", $D$196="Electricity_green"),$B$52, 1)*IF($D$196="Hydrogen (grey)",$B$53,1)*$E$196</f>
        <v>1.5951801744929772E-2</v>
      </c>
      <c r="G196" s="154" cm="1">
        <f t="array" ref="G196">INDEX(LCI!I$2:I$137,MATCH('A3 - Production '!$A$196&amp;'A3 - Production '!$D$196,LCI!$B$2:$B$137&amp;LCI!$D$2:$D$137,0))*$C$188*IF(OR($D$196="Electricity", $D$196="Electricity_green"),$B$52, 1)*IF($D$196="Hydrogen (grey)",$B$53,1)*$E$196</f>
        <v>18.885502457196569</v>
      </c>
      <c r="H196" s="154" cm="1">
        <f t="array" ref="H196">INDEX(LCI!J$2:J$137,MATCH('A3 - Production '!$A$196&amp;'A3 - Production '!$D$196,LCI!$B$2:$B$137&amp;LCI!$D$2:$D$137,0))*$C$188*IF(OR($D$196="Electricity", $D$196="Electricity_green"),$B$52, 1)*IF($D$196="Hydrogen (grey)",$B$53,1)*$E$196</f>
        <v>4.9375434518401651E-3</v>
      </c>
      <c r="I196" s="154" cm="1">
        <f t="array" ref="I196">INDEX(LCI!K$2:K$137,MATCH('A3 - Production '!$A$196&amp;'A3 - Production '!$D$196,LCI!$B$2:$B$137&amp;LCI!$D$2:$D$137,0))*$C$188*IF(OR($D$196="Electricity", $D$196="Electricity_green"),$B$52, 1)*IF($D$196="Hydrogen (grey)",$B$53,1)*$E$196</f>
        <v>18.879795230499425</v>
      </c>
      <c r="J196" s="154" cm="1">
        <f t="array" ref="J196">INDEX(LCI!L$2:L$137,MATCH('A3 - Production '!$A$196&amp;'A3 - Production '!$D$196,LCI!$B$2:$B$137&amp;LCI!$D$2:$D$137,0))*$C$188*IF(OR($D$196="Electricity", $D$196="Electricity_green"),$B$52, 1)*IF($D$196="Hydrogen (grey)",$B$53,1)*$E$196</f>
        <v>7.6968324530471009E-4</v>
      </c>
      <c r="K196" s="154" cm="1">
        <f t="array" ref="K196">INDEX(LCI!M$2:M$137,MATCH('A3 - Production '!$A$196&amp;'A3 - Production '!$D$196,LCI!$B$2:$B$137&amp;LCI!$D$2:$D$137,0))*$C$188*IF(OR($D$196="Electricity", $D$196="Electricity_green"),$B$52, 1)*IF($D$196="Hydrogen (grey)",$B$53,1)*$E$196</f>
        <v>7.1423595068156569</v>
      </c>
      <c r="L196" s="154" cm="1">
        <f t="array" ref="L196">INDEX(LCI!N$2:N$137,MATCH('A3 - Production '!$A$196&amp;'A3 - Production '!$D$196,LCI!$B$2:$B$137&amp;LCI!$D$2:$D$137,0))*$C$188*IF(OR($D$196="Electricity", $D$196="Electricity_green"),$B$52, 1)*IF($D$196="Hydrogen (grey)",$B$53,1)*$E$196</f>
        <v>319.3717587115936</v>
      </c>
      <c r="M196" s="154" cm="1">
        <f t="array" ref="M196">INDEX(LCI!O$2:O$137,MATCH('A3 - Production '!$A$196&amp;'A3 - Production '!$D$196,LCI!$B$2:$B$137&amp;LCI!$D$2:$D$137,0))*$C$188*IF(OR($D$196="Electricity", $D$196="Electricity_green"),$B$52, 1)*IF($D$196="Hydrogen (grey)",$B$53,1)*$E$196</f>
        <v>2.8311543729231029E-4</v>
      </c>
      <c r="N196" s="154" cm="1">
        <f t="array" ref="N196">INDEX(LCI!P$2:P$137,MATCH('A3 - Production '!$A$196&amp;'A3 - Production '!$D$196,LCI!$B$2:$B$137&amp;LCI!$D$2:$D$137,0))*$C$188*IF(OR($D$196="Electricity", $D$196="Electricity_green"),$B$52, 1)*IF($D$196="Hydrogen (grey)",$B$53,1)*$E$196</f>
        <v>4.3874975202259385E-3</v>
      </c>
      <c r="O196" s="154" cm="1">
        <f t="array" ref="O196">INDEX(LCI!Q$2:Q$137,MATCH('A3 - Production '!$A$196&amp;'A3 - Production '!$D$196,LCI!$B$2:$B$137&amp;LCI!$D$2:$D$137,0))*$C$188*IF(OR($D$196="Electricity", $D$196="Electricity_green"),$B$52, 1)*IF($D$196="Hydrogen (grey)",$B$53,1)*$E$196</f>
        <v>4.8376554469774173E-2</v>
      </c>
      <c r="P196" s="154" cm="1">
        <f t="array" ref="P196">INDEX(LCI!R$2:R$137,MATCH('A3 - Production '!$A$196&amp;'A3 - Production '!$D$196,LCI!$B$2:$B$137&amp;LCI!$D$2:$D$137,0))*$C$188*IF(OR($D$196="Electricity", $D$196="Electricity_green"),$B$52, 1)*IF($D$196="Hydrogen (grey)",$B$53,1)*$E$196</f>
        <v>1.5251299815702949E-9</v>
      </c>
      <c r="Q196" s="154" cm="1">
        <f t="array" ref="Q196">INDEX(LCI!S$2:S$137,MATCH('A3 - Production '!$A$196&amp;'A3 - Production '!$D$196,LCI!$B$2:$B$137&amp;LCI!$D$2:$D$137,0))*$C$188*IF(OR($D$196="Electricity", $D$196="Electricity_green"),$B$52, 1)*IF($D$196="Hydrogen (grey)",$B$53,1)*$E$196</f>
        <v>1.3040758528916107E-8</v>
      </c>
      <c r="R196" s="154" cm="1">
        <f t="array" ref="R196">INDEX(LCI!T$2:T$137,MATCH('A3 - Production '!$A$196&amp;'A3 - Production '!$D$196,LCI!$B$2:$B$137&amp;LCI!$D$2:$D$137,0))*$C$188*IF(OR($D$196="Electricity", $D$196="Electricity_green"),$B$52, 1)*IF($D$196="Hydrogen (grey)",$B$53,1)*$E$196</f>
        <v>0.20101936927999847</v>
      </c>
      <c r="S196" s="154" cm="1">
        <f t="array" ref="S196">INDEX(LCI!U$2:U$137,MATCH('A3 - Production '!$A$196&amp;'A3 - Production '!$D$196,LCI!$B$2:$B$137&amp;LCI!$D$2:$D$137,0))*$C$188*IF(OR($D$196="Electricity", $D$196="Electricity_green"),$B$52, 1)*IF($D$196="Hydrogen (grey)",$B$53,1)*$E$196</f>
        <v>4.2915313730323126</v>
      </c>
      <c r="T196" s="154" cm="1">
        <f t="array" ref="T196">INDEX(LCI!V$2:V$137,MATCH('A3 - Production '!$A$196&amp;'A3 - Production '!$D$196,LCI!$B$2:$B$137&amp;LCI!$D$2:$D$137,0))*$C$188*IF(OR($D$196="Electricity", $D$196="Electricity_green"),$B$52, 1)*IF($D$196="Hydrogen (grey)",$B$53,1)*$E$196</f>
        <v>1.028212433763163E-6</v>
      </c>
      <c r="U196" s="154" cm="1">
        <f t="array" ref="U196">INDEX(LCI!W$2:W$137,MATCH('A3 - Production '!$A$196&amp;'A3 - Production '!$D$196,LCI!$B$2:$B$137&amp;LCI!$D$2:$D$137,0))*$C$188*IF(OR($D$196="Electricity", $D$196="Electricity_green"),$B$52, 1)*IF($D$196="Hydrogen (grey)",$B$53,1)*$E$196</f>
        <v>2.6598486288981922E-6</v>
      </c>
      <c r="V196" s="154" cm="1">
        <f t="array" ref="V196">INDEX(LCI!X$2:X$137,MATCH('A3 - Production '!$A$196&amp;'A3 - Production '!$D$196,LCI!$B$2:$B$137&amp;LCI!$D$2:$D$137,0))*$C$188*IF(OR($D$196="Electricity", $D$196="Electricity_green"),$B$52, 1)*IF($D$196="Hydrogen (grey)",$B$53,1)*$E$196</f>
        <v>5.8597718033694384E-8</v>
      </c>
      <c r="W196" s="154" cm="1">
        <f t="array" ref="W196">INDEX(LCI!Y$2:Y$137,MATCH('A3 - Production '!$A$196&amp;'A3 - Production '!$D$196,LCI!$B$2:$B$137&amp;LCI!$D$2:$D$137,0))*$C$188*IF(OR($D$196="Electricity", $D$196="Electricity_green"),$B$52, 1)*IF($D$196="Hydrogen (grey)",$B$53,1)*$E$196</f>
        <v>1.6369874165588005E-2</v>
      </c>
      <c r="X196" s="154" cm="1">
        <f t="array" ref="X196">INDEX(LCI!Z$2:Z$137,MATCH('A3 - Production '!$A$196&amp;'A3 - Production '!$D$196,LCI!$B$2:$B$137&amp;LCI!$D$2:$D$137,0))*$C$188*IF(OR($D$196="Electricity", $D$196="Electricity_green"),$B$52, 1)*IF($D$196="Hydrogen (grey)",$B$53,1)*$E$196</f>
        <v>0.18850358161555844</v>
      </c>
    </row>
    <row r="197" spans="1:24" x14ac:dyDescent="0.35">
      <c r="A197" s="53" t="s">
        <v>22</v>
      </c>
      <c r="B197" s="1" t="s">
        <v>617</v>
      </c>
      <c r="C197" s="154" t="str">
        <f>IF($D$197="Electricity",$B$52,"None")</f>
        <v>None</v>
      </c>
      <c r="D197" s="154" t="str">
        <f>Input!$B$18</f>
        <v>No</v>
      </c>
      <c r="E197" s="175">
        <f>Input!$C$18</f>
        <v>0</v>
      </c>
      <c r="F197" s="154" cm="1">
        <f t="array" ref="F197">INDEX(LCI!H$2:H$137,MATCH('A3 - Production '!$A$197&amp;'A3 - Production '!$D$197,LCI!$B$2:$B$137&amp;LCI!$D$2:$D$137,0))*$C$188*IF(OR($D$197="Electricity", $D$197="Electricity_green"),$B$52, 1)*IF($D$197="Hydrogen (grey)",$B$53,1)*$E$197</f>
        <v>0</v>
      </c>
      <c r="G197" s="154" cm="1">
        <f t="array" ref="G197">INDEX(LCI!I$2:I$137,MATCH('A3 - Production '!$A$197&amp;'A3 - Production '!$D$197,LCI!$B$2:$B$137&amp;LCI!$D$2:$D$137,0))*$C$188*IF(OR($D$197="Electricity", $D$197="Electricity_green"),$B$52, 1)*IF($D$197="Hydrogen (grey)",$B$53,1)*$E$197</f>
        <v>0</v>
      </c>
      <c r="H197" s="154" cm="1">
        <f t="array" ref="H197">INDEX(LCI!J$2:J$137,MATCH('A3 - Production '!$A$197&amp;'A3 - Production '!$D$197,LCI!$B$2:$B$137&amp;LCI!$D$2:$D$137,0))*$C$188*IF(OR($D$197="Electricity", $D$197="Electricity_green"),$B$52, 1)*IF($D$197="Hydrogen (grey)",$B$53,1)*$E$197</f>
        <v>0</v>
      </c>
      <c r="I197" s="154" cm="1">
        <f t="array" ref="I197">INDEX(LCI!K$2:K$137,MATCH('A3 - Production '!$A$197&amp;'A3 - Production '!$D$197,LCI!$B$2:$B$137&amp;LCI!$D$2:$D$137,0))*$C$188*IF(OR($D$197="Electricity", $D$197="Electricity_green"),$B$52, 1)*IF($D$197="Hydrogen (grey)",$B$53,1)*$E$197</f>
        <v>0</v>
      </c>
      <c r="J197" s="154" cm="1">
        <f t="array" ref="J197">INDEX(LCI!L$2:L$137,MATCH('A3 - Production '!$A$197&amp;'A3 - Production '!$D$197,LCI!$B$2:$B$137&amp;LCI!$D$2:$D$137,0))*$C$188*IF(OR($D$197="Electricity", $D$197="Electricity_green"),$B$52, 1)*IF($D$197="Hydrogen (grey)",$B$53,1)*$E$197</f>
        <v>0</v>
      </c>
      <c r="K197" s="154" cm="1">
        <f t="array" ref="K197">INDEX(LCI!M$2:M$137,MATCH('A3 - Production '!$A$197&amp;'A3 - Production '!$D$197,LCI!$B$2:$B$137&amp;LCI!$D$2:$D$137,0))*$C$188*IF(OR($D$197="Electricity", $D$197="Electricity_green"),$B$52, 1)*IF($D$197="Hydrogen (grey)",$B$53,1)*$E$197</f>
        <v>0</v>
      </c>
      <c r="L197" s="154" cm="1">
        <f t="array" ref="L197">INDEX(LCI!N$2:N$137,MATCH('A3 - Production '!$A$197&amp;'A3 - Production '!$D$197,LCI!$B$2:$B$137&amp;LCI!$D$2:$D$137,0))*$C$188*IF(OR($D$197="Electricity", $D$197="Electricity_green"),$B$52, 1)*IF($D$197="Hydrogen (grey)",$B$53,1)*$E$197</f>
        <v>0</v>
      </c>
      <c r="M197" s="154" cm="1">
        <f t="array" ref="M197">INDEX(LCI!O$2:O$137,MATCH('A3 - Production '!$A$197&amp;'A3 - Production '!$D$197,LCI!$B$2:$B$137&amp;LCI!$D$2:$D$137,0))*$C$188*IF(OR($D$197="Electricity", $D$197="Electricity_green"),$B$52, 1)*IF($D$197="Hydrogen (grey)",$B$53,1)*$E$197</f>
        <v>0</v>
      </c>
      <c r="N197" s="154" cm="1">
        <f t="array" ref="N197">INDEX(LCI!P$2:P$137,MATCH('A3 - Production '!$A$197&amp;'A3 - Production '!$D$197,LCI!$B$2:$B$137&amp;LCI!$D$2:$D$137,0))*$C$188*IF(OR($D$197="Electricity", $D$197="Electricity_green"),$B$52, 1)*IF($D$197="Hydrogen (grey)",$B$53,1)*$E$197</f>
        <v>0</v>
      </c>
      <c r="O197" s="154" cm="1">
        <f t="array" ref="O197">INDEX(LCI!Q$2:Q$137,MATCH('A3 - Production '!$A$197&amp;'A3 - Production '!$D$197,LCI!$B$2:$B$137&amp;LCI!$D$2:$D$137,0))*$C$188*IF(OR($D$197="Electricity", $D$197="Electricity_green"),$B$52, 1)*IF($D$197="Hydrogen (grey)",$B$53,1)*$E$197</f>
        <v>0</v>
      </c>
      <c r="P197" s="154" cm="1">
        <f t="array" ref="P197">INDEX(LCI!R$2:R$137,MATCH('A3 - Production '!$A$197&amp;'A3 - Production '!$D$197,LCI!$B$2:$B$137&amp;LCI!$D$2:$D$137,0))*$C$188*IF(OR($D$197="Electricity", $D$197="Electricity_green"),$B$52, 1)*IF($D$197="Hydrogen (grey)",$B$53,1)*$E$197</f>
        <v>0</v>
      </c>
      <c r="Q197" s="154" cm="1">
        <f t="array" ref="Q197">INDEX(LCI!S$2:S$137,MATCH('A3 - Production '!$A$197&amp;'A3 - Production '!$D$197,LCI!$B$2:$B$137&amp;LCI!$D$2:$D$137,0))*$C$188*IF(OR($D$197="Electricity", $D$197="Electricity_green"),$B$52, 1)*IF($D$197="Hydrogen (grey)",$B$53,1)*$E$197</f>
        <v>0</v>
      </c>
      <c r="R197" s="154" cm="1">
        <f t="array" ref="R197">INDEX(LCI!T$2:T$137,MATCH('A3 - Production '!$A$197&amp;'A3 - Production '!$D$197,LCI!$B$2:$B$137&amp;LCI!$D$2:$D$137,0))*$C$188*IF(OR($D$197="Electricity", $D$197="Electricity_green"),$B$52, 1)*IF($D$197="Hydrogen (grey)",$B$53,1)*$E$197</f>
        <v>0</v>
      </c>
      <c r="S197" s="154" cm="1">
        <f t="array" ref="S197">INDEX(LCI!U$2:U$137,MATCH('A3 - Production '!$A$197&amp;'A3 - Production '!$D$197,LCI!$B$2:$B$137&amp;LCI!$D$2:$D$137,0))*$C$188*IF(OR($D$197="Electricity", $D$197="Electricity_green"),$B$52, 1)*IF($D$197="Hydrogen (grey)",$B$53,1)*$E$197</f>
        <v>0</v>
      </c>
      <c r="T197" s="154" cm="1">
        <f t="array" ref="T197">INDEX(LCI!V$2:V$137,MATCH('A3 - Production '!$A$197&amp;'A3 - Production '!$D$197,LCI!$B$2:$B$137&amp;LCI!$D$2:$D$137,0))*$C$188*IF(OR($D$197="Electricity", $D$197="Electricity_green"),$B$52, 1)*IF($D$197="Hydrogen (grey)",$B$53,1)*$E$197</f>
        <v>0</v>
      </c>
      <c r="U197" s="154" cm="1">
        <f t="array" ref="U197">INDEX(LCI!W$2:W$137,MATCH('A3 - Production '!$A$197&amp;'A3 - Production '!$D$197,LCI!$B$2:$B$137&amp;LCI!$D$2:$D$137,0))*$C$188*IF(OR($D$197="Electricity", $D$197="Electricity_green"),$B$52, 1)*IF($D$197="Hydrogen (grey)",$B$53,1)*$E$197</f>
        <v>0</v>
      </c>
      <c r="V197" s="154" cm="1">
        <f t="array" ref="V197">INDEX(LCI!X$2:X$137,MATCH('A3 - Production '!$A$197&amp;'A3 - Production '!$D$197,LCI!$B$2:$B$137&amp;LCI!$D$2:$D$137,0))*$C$188*IF(OR($D$197="Electricity", $D$197="Electricity_green"),$B$52, 1)*IF($D$197="Hydrogen (grey)",$B$53,1)*$E$197</f>
        <v>0</v>
      </c>
      <c r="W197" s="154" cm="1">
        <f t="array" ref="W197">INDEX(LCI!Y$2:Y$137,MATCH('A3 - Production '!$A$197&amp;'A3 - Production '!$D$197,LCI!$B$2:$B$137&amp;LCI!$D$2:$D$137,0))*$C$188*IF(OR($D$197="Electricity", $D$197="Electricity_green"),$B$52, 1)*IF($D$197="Hydrogen (grey)",$B$53,1)*$E$197</f>
        <v>0</v>
      </c>
      <c r="X197" s="154" cm="1">
        <f t="array" ref="X197">INDEX(LCI!Z$2:Z$137,MATCH('A3 - Production '!$A$197&amp;'A3 - Production '!$D$197,LCI!$B$2:$B$137&amp;LCI!$D$2:$D$137,0))*$C$188*IF(OR($D$197="Electricity", $D$197="Electricity_green"),$B$52, 1)*IF($D$197="Hydrogen (grey)",$B$53,1)*$E$197</f>
        <v>0</v>
      </c>
    </row>
    <row r="198" spans="1:24" x14ac:dyDescent="0.35">
      <c r="A198" s="53" t="str">
        <f>Input!A19</f>
        <v>Asphalt plant: electric components</v>
      </c>
      <c r="B198" s="1" t="s">
        <v>617</v>
      </c>
      <c r="C198" s="154">
        <f>$D$47</f>
        <v>6.1</v>
      </c>
      <c r="D198" s="154" t="str">
        <f>IF(Input!B19="No","No",Input!$C$19)</f>
        <v>Electricity</v>
      </c>
      <c r="E198" s="176"/>
      <c r="F198" s="154" cm="1">
        <f t="array" ref="F198">INDEX(LCI!H$2:H$130,MATCH('A3 - Production '!$A$198&amp;'A3 - Production '!$D$198,LCI!$B$2:$B$130&amp;LCI!$D$2:$D$130,0))*$C$198</f>
        <v>3.9599662683110761E-3</v>
      </c>
      <c r="G198" s="154" cm="1">
        <f t="array" ref="G198">INDEX(LCI!I$2:I$130,MATCH('A3 - Production '!$A$198&amp;'A3 - Production '!$D$198,LCI!$B$2:$B$130&amp;LCI!$D$2:$D$130,0))*$C$198</f>
        <v>1.0907685374591527</v>
      </c>
      <c r="H198" s="154" cm="1">
        <f t="array" ref="H198">INDEX(LCI!J$2:J$130,MATCH('A3 - Production '!$A$198&amp;'A3 - Production '!$D$198,LCI!$B$2:$B$130&amp;LCI!$D$2:$D$130,0))*$C$198</f>
        <v>1.8096391800758614E-3</v>
      </c>
      <c r="I198" s="154" cm="1">
        <f t="array" ref="I198">INDEX(LCI!K$2:K$130,MATCH('A3 - Production '!$A$198&amp;'A3 - Production '!$D$198,LCI!$B$2:$B$130&amp;LCI!$D$2:$D$130,0))*$C$198</f>
        <v>1.0862258336180726</v>
      </c>
      <c r="J198" s="154" cm="1">
        <f t="array" ref="J198">INDEX(LCI!L$2:L$130,MATCH('A3 - Production '!$A$198&amp;'A3 - Production '!$D$198,LCI!$B$2:$B$130&amp;LCI!$D$2:$D$130,0))*$C$198</f>
        <v>2.7330646610019558E-3</v>
      </c>
      <c r="K198" s="154" cm="1">
        <f t="array" ref="K198">INDEX(LCI!M$2:M$130,MATCH('A3 - Production '!$A$198&amp;'A3 - Production '!$D$198,LCI!$B$2:$B$130&amp;LCI!$D$2:$D$130,0))*$C$198</f>
        <v>3.8148964677706494</v>
      </c>
      <c r="L198" s="154" cm="1">
        <f t="array" ref="L198">INDEX(LCI!N$2:N$130,MATCH('A3 - Production '!$A$198&amp;'A3 - Production '!$D$198,LCI!$B$2:$B$130&amp;LCI!$D$2:$D$130,0))*$C$198</f>
        <v>53.439827458249873</v>
      </c>
      <c r="M198" s="154" cm="1">
        <f t="array" ref="M198">INDEX(LCI!O$2:O$130,MATCH('A3 - Production '!$A$198&amp;'A3 - Production '!$D$198,LCI!$B$2:$B$130&amp;LCI!$D$2:$D$130,0))*$C$198</f>
        <v>4.0770688307309856E-4</v>
      </c>
      <c r="N198" s="154" cm="1">
        <f t="array" ref="N198">INDEX(LCI!P$2:P$130,MATCH('A3 - Production '!$A$198&amp;'A3 - Production '!$D$198,LCI!$B$2:$B$130&amp;LCI!$D$2:$D$130,0))*$C$198</f>
        <v>8.1436187345735581E-4</v>
      </c>
      <c r="O198" s="154" cm="1">
        <f t="array" ref="O198">INDEX(LCI!Q$2:Q$130,MATCH('A3 - Production '!$A$198&amp;'A3 - Production '!$D$198,LCI!$B$2:$B$130&amp;LCI!$D$2:$D$130,0))*$C$198</f>
        <v>7.7305315377659582E-3</v>
      </c>
      <c r="P198" s="154" cm="1">
        <f t="array" ref="P198">INDEX(LCI!R$2:R$130,MATCH('A3 - Production '!$A$198&amp;'A3 - Production '!$D$198,LCI!$B$2:$B$130&amp;LCI!$D$2:$D$130,0))*$C$198</f>
        <v>4.5438077598413268E-10</v>
      </c>
      <c r="Q198" s="154" cm="1">
        <f t="array" ref="Q198">INDEX(LCI!S$2:S$130,MATCH('A3 - Production '!$A$198&amp;'A3 - Production '!$D$198,LCI!$B$2:$B$130&amp;LCI!$D$2:$D$130,0))*$C$198</f>
        <v>2.5124424900177211E-8</v>
      </c>
      <c r="R198" s="154" cm="1">
        <f t="array" ref="R198">INDEX(LCI!T$2:T$130,MATCH('A3 - Production '!$A$198&amp;'A3 - Production '!$D$198,LCI!$B$2:$B$130&amp;LCI!$D$2:$D$130,0))*$C$198</f>
        <v>2.244832557031947</v>
      </c>
      <c r="S198" s="154" cm="1">
        <f t="array" ref="S198">INDEX(LCI!U$2:U$130,MATCH('A3 - Production '!$A$198&amp;'A3 - Production '!$D$198,LCI!$B$2:$B$130&amp;LCI!$D$2:$D$130,0))*$C$198</f>
        <v>8.4330503348293409</v>
      </c>
      <c r="T198" s="154" cm="1">
        <f t="array" ref="T198">INDEX(LCI!V$2:V$130,MATCH('A3 - Production '!$A$198&amp;'A3 - Production '!$D$198,LCI!$B$2:$B$130&amp;LCI!$D$2:$D$130,0))*$C$198</f>
        <v>2.8939273247312308E-5</v>
      </c>
      <c r="U198" s="154" cm="1">
        <f t="array" ref="U198">INDEX(LCI!W$2:W$130,MATCH('A3 - Production '!$A$198&amp;'A3 - Production '!$D$198,LCI!$B$2:$B$130&amp;LCI!$D$2:$D$130,0))*$C$198</f>
        <v>3.4702254340730223E-8</v>
      </c>
      <c r="V198" s="154" cm="1">
        <f t="array" ref="V198">INDEX(LCI!X$2:X$130,MATCH('A3 - Production '!$A$198&amp;'A3 - Production '!$D$198,LCI!$B$2:$B$130&amp;LCI!$D$2:$D$130,0))*$C$198</f>
        <v>2.9099611538335278E-8</v>
      </c>
      <c r="W198" s="154" cm="1">
        <f t="array" ref="W198">INDEX(LCI!Y$2:Y$130,MATCH('A3 - Production '!$A$198&amp;'A3 - Production '!$D$198,LCI!$B$2:$B$130&amp;LCI!$D$2:$D$130,0))*$C$198</f>
        <v>2.4703695630220704E-3</v>
      </c>
      <c r="X198" s="154" cm="1">
        <f t="array" ref="X198">INDEX(LCI!Z$2:Z$130,MATCH('A3 - Production '!$A$198&amp;'A3 - Production '!$D$198,LCI!$B$2:$B$130&amp;LCI!$D$2:$D$130,0))*$C$198</f>
        <v>0.64198097160180434</v>
      </c>
    </row>
    <row r="199" spans="1:24" x14ac:dyDescent="0.35">
      <c r="A199" s="410" t="s">
        <v>200</v>
      </c>
      <c r="B199" s="411"/>
      <c r="C199" s="411"/>
      <c r="D199" s="411"/>
      <c r="E199" s="412"/>
      <c r="F199" s="139">
        <f t="shared" ref="F199:X199" si="9">SUM(F196:F198)</f>
        <v>1.9911768013240849E-2</v>
      </c>
      <c r="G199" s="139">
        <f t="shared" si="9"/>
        <v>19.976270994655721</v>
      </c>
      <c r="H199" s="139">
        <f t="shared" si="9"/>
        <v>6.7471826319160265E-3</v>
      </c>
      <c r="I199" s="139">
        <f t="shared" si="9"/>
        <v>19.966021064117498</v>
      </c>
      <c r="J199" s="139">
        <f t="shared" si="9"/>
        <v>3.5027479063066656E-3</v>
      </c>
      <c r="K199" s="139">
        <f t="shared" si="9"/>
        <v>10.957255974586307</v>
      </c>
      <c r="L199" s="139">
        <f t="shared" si="9"/>
        <v>372.81158616984345</v>
      </c>
      <c r="M199" s="139">
        <f t="shared" si="9"/>
        <v>6.908223203654089E-4</v>
      </c>
      <c r="N199" s="139">
        <f t="shared" si="9"/>
        <v>5.2018593936832939E-3</v>
      </c>
      <c r="O199" s="139">
        <f t="shared" si="9"/>
        <v>5.6107086007540129E-2</v>
      </c>
      <c r="P199" s="139">
        <f t="shared" si="9"/>
        <v>1.9795107575544277E-9</v>
      </c>
      <c r="Q199" s="139">
        <f t="shared" si="9"/>
        <v>3.8165183429093319E-8</v>
      </c>
      <c r="R199" s="139">
        <f t="shared" si="9"/>
        <v>2.4458519263119456</v>
      </c>
      <c r="S199" s="139">
        <f t="shared" si="9"/>
        <v>12.724581707861653</v>
      </c>
      <c r="T199" s="139">
        <f t="shared" si="9"/>
        <v>2.9967485681075472E-5</v>
      </c>
      <c r="U199" s="139">
        <f t="shared" si="9"/>
        <v>2.6945508832389224E-6</v>
      </c>
      <c r="V199" s="139">
        <f t="shared" si="9"/>
        <v>8.7697329572029669E-8</v>
      </c>
      <c r="W199" s="139">
        <f t="shared" si="9"/>
        <v>1.8840243728610075E-2</v>
      </c>
      <c r="X199" s="139">
        <f t="shared" si="9"/>
        <v>0.83048455321736281</v>
      </c>
    </row>
    <row r="200" spans="1:24" x14ac:dyDescent="0.35">
      <c r="A200" s="38"/>
      <c r="B200" s="38"/>
      <c r="C200" s="38"/>
      <c r="D200" s="38"/>
    </row>
    <row r="201" spans="1:24" x14ac:dyDescent="0.35">
      <c r="A201" s="38"/>
      <c r="B201" s="38"/>
      <c r="C201" s="38"/>
      <c r="D201" s="38"/>
    </row>
    <row r="203" spans="1:24" ht="23.5" x14ac:dyDescent="0.55000000000000004">
      <c r="A203" s="100" t="s">
        <v>620</v>
      </c>
    </row>
    <row r="205" spans="1:24" x14ac:dyDescent="0.35">
      <c r="A205" s="126" t="s">
        <v>209</v>
      </c>
      <c r="B205" s="126" t="s">
        <v>621</v>
      </c>
      <c r="C205" s="126" t="s">
        <v>622</v>
      </c>
      <c r="D205" s="126" t="s">
        <v>527</v>
      </c>
    </row>
    <row r="206" spans="1:24" x14ac:dyDescent="0.35">
      <c r="A206" s="1" t="s">
        <v>318</v>
      </c>
      <c r="B206" s="154">
        <f>SUM(F196:F198)</f>
        <v>1.9911768013240849E-2</v>
      </c>
      <c r="C206" s="154">
        <f>'A3 - Production '!H28</f>
        <v>1.0299559961337281E-4</v>
      </c>
      <c r="D206" s="154">
        <f>SUM(B206:C206)</f>
        <v>2.0014763612854224E-2</v>
      </c>
    </row>
    <row r="207" spans="1:24" x14ac:dyDescent="0.35">
      <c r="A207" s="1" t="s">
        <v>280</v>
      </c>
      <c r="B207" s="154">
        <f>SUM(G196:G198)</f>
        <v>19.976270994655721</v>
      </c>
      <c r="C207" s="154">
        <f>'A3 - Production '!I28</f>
        <v>8.056052481282612E-2</v>
      </c>
      <c r="D207" s="154">
        <f t="shared" ref="D207:D224" si="10">SUM(B207:C207)</f>
        <v>20.056831519468545</v>
      </c>
    </row>
    <row r="208" spans="1:24" x14ac:dyDescent="0.35">
      <c r="A208" s="1" t="s">
        <v>281</v>
      </c>
      <c r="B208" s="154">
        <f>SUM(H196:H198)</f>
        <v>6.7471826319160265E-3</v>
      </c>
      <c r="C208" s="154">
        <f>'A3 - Production '!J28</f>
        <v>1.66498170746065E-5</v>
      </c>
      <c r="D208" s="154">
        <f t="shared" si="10"/>
        <v>6.7638324489906329E-3</v>
      </c>
    </row>
    <row r="209" spans="1:4" x14ac:dyDescent="0.35">
      <c r="A209" s="1" t="s">
        <v>282</v>
      </c>
      <c r="B209" s="154">
        <f>SUM(I196:I198)</f>
        <v>19.966021064117498</v>
      </c>
      <c r="C209" s="154">
        <f>'A3 - Production '!K28</f>
        <v>8.0540312398878863E-2</v>
      </c>
      <c r="D209" s="154">
        <f t="shared" si="10"/>
        <v>20.046561376516376</v>
      </c>
    </row>
    <row r="210" spans="1:4" x14ac:dyDescent="0.35">
      <c r="A210" s="1" t="s">
        <v>283</v>
      </c>
      <c r="B210" s="154">
        <f>SUM(J196:J198)</f>
        <v>3.5027479063066656E-3</v>
      </c>
      <c r="C210" s="154">
        <f>'A3 - Production '!L28</f>
        <v>3.5625968726484402E-6</v>
      </c>
      <c r="D210" s="154">
        <f t="shared" si="10"/>
        <v>3.5063105031793141E-3</v>
      </c>
    </row>
    <row r="211" spans="1:4" x14ac:dyDescent="0.35">
      <c r="A211" s="1" t="s">
        <v>284</v>
      </c>
      <c r="B211" s="154">
        <f>SUM(K196:K198)</f>
        <v>10.957255974586307</v>
      </c>
      <c r="C211" s="154">
        <f>'A3 - Production '!M28</f>
        <v>3.5594107095916434E-2</v>
      </c>
      <c r="D211" s="154">
        <f t="shared" si="10"/>
        <v>10.992850081682223</v>
      </c>
    </row>
    <row r="212" spans="1:4" x14ac:dyDescent="0.35">
      <c r="A212" s="1" t="s">
        <v>285</v>
      </c>
      <c r="B212" s="154">
        <f>SUM(L196:L198)</f>
        <v>372.81158616984345</v>
      </c>
      <c r="C212" s="154">
        <f>'A3 - Production '!N28</f>
        <v>1.0700591183029562</v>
      </c>
      <c r="D212" s="154">
        <f t="shared" si="10"/>
        <v>373.88164528814639</v>
      </c>
    </row>
    <row r="213" spans="1:4" x14ac:dyDescent="0.35">
      <c r="A213" s="1" t="s">
        <v>286</v>
      </c>
      <c r="B213" s="154">
        <f>SUM(M196:M198)</f>
        <v>6.908223203654089E-4</v>
      </c>
      <c r="C213" s="154">
        <f>'A3 - Production '!O28</f>
        <v>8.5163363126034537E-7</v>
      </c>
      <c r="D213" s="154">
        <f t="shared" si="10"/>
        <v>6.9167395399666928E-4</v>
      </c>
    </row>
    <row r="214" spans="1:4" x14ac:dyDescent="0.35">
      <c r="A214" s="1" t="s">
        <v>287</v>
      </c>
      <c r="B214" s="154">
        <f>SUM(N196:N198)</f>
        <v>5.2018593936832939E-3</v>
      </c>
      <c r="C214" s="154">
        <f>'A3 - Production '!P28</f>
        <v>2.3290660699942286E-5</v>
      </c>
      <c r="D214" s="154">
        <f t="shared" si="10"/>
        <v>5.2251500543832362E-3</v>
      </c>
    </row>
    <row r="215" spans="1:4" x14ac:dyDescent="0.35">
      <c r="A215" s="1" t="s">
        <v>288</v>
      </c>
      <c r="B215" s="154">
        <f>SUM(O196:O198)</f>
        <v>5.6107086007540129E-2</v>
      </c>
      <c r="C215" s="154">
        <f>'A3 - Production '!Q28</f>
        <v>2.5319818156265738E-4</v>
      </c>
      <c r="D215" s="154">
        <f t="shared" si="10"/>
        <v>5.6360284189102786E-2</v>
      </c>
    </row>
    <row r="216" spans="1:4" x14ac:dyDescent="0.35">
      <c r="A216" s="1" t="s">
        <v>289</v>
      </c>
      <c r="B216" s="154">
        <f>SUM(P196:P198)</f>
        <v>1.9795107575544277E-9</v>
      </c>
      <c r="C216" s="154">
        <f>'A3 - Production '!R28</f>
        <v>4.9230968242214656E-12</v>
      </c>
      <c r="D216" s="154">
        <f t="shared" si="10"/>
        <v>1.9844338543786491E-9</v>
      </c>
    </row>
    <row r="217" spans="1:4" x14ac:dyDescent="0.35">
      <c r="A217" s="1" t="s">
        <v>319</v>
      </c>
      <c r="B217" s="154">
        <f>SUM(Q196:Q198)</f>
        <v>3.8165183429093319E-8</v>
      </c>
      <c r="C217" s="154">
        <f>'A3 - Production '!S28</f>
        <v>1.3122062216178557E-10</v>
      </c>
      <c r="D217" s="154">
        <f t="shared" si="10"/>
        <v>3.8296404051255106E-8</v>
      </c>
    </row>
    <row r="218" spans="1:4" x14ac:dyDescent="0.35">
      <c r="A218" s="1" t="s">
        <v>291</v>
      </c>
      <c r="B218" s="154">
        <f>SUM(R196:R198)</f>
        <v>2.4458519263119456</v>
      </c>
      <c r="C218" s="154">
        <f>'A3 - Production '!T28</f>
        <v>3.212941207975714E-4</v>
      </c>
      <c r="D218" s="154">
        <f t="shared" si="10"/>
        <v>2.4461732204327431</v>
      </c>
    </row>
    <row r="219" spans="1:4" x14ac:dyDescent="0.35">
      <c r="A219" s="1" t="s">
        <v>292</v>
      </c>
      <c r="B219" s="154">
        <f>SUM(S196:S198)</f>
        <v>12.724581707861653</v>
      </c>
      <c r="C219" s="154">
        <f>'A3 - Production '!U28</f>
        <v>5.5016478121274907E-2</v>
      </c>
      <c r="D219" s="154">
        <f t="shared" si="10"/>
        <v>12.779598185982927</v>
      </c>
    </row>
    <row r="220" spans="1:4" x14ac:dyDescent="0.35">
      <c r="A220" s="1" t="s">
        <v>293</v>
      </c>
      <c r="B220" s="154">
        <f>SUM(T196:T198)</f>
        <v>2.9967485681075472E-5</v>
      </c>
      <c r="C220" s="154">
        <f>'A3 - Production '!V28</f>
        <v>1.2561955879264319E-8</v>
      </c>
      <c r="D220" s="154">
        <f t="shared" si="10"/>
        <v>2.9980047636954735E-5</v>
      </c>
    </row>
    <row r="221" spans="1:4" x14ac:dyDescent="0.35">
      <c r="A221" s="1" t="s">
        <v>294</v>
      </c>
      <c r="B221" s="154">
        <f>SUM(U196:U198)</f>
        <v>2.6945508832389224E-6</v>
      </c>
      <c r="C221" s="154">
        <f>'A3 - Production '!W28</f>
        <v>1.8154006185482207E-9</v>
      </c>
      <c r="D221" s="154">
        <f t="shared" si="10"/>
        <v>2.6963662838574704E-6</v>
      </c>
    </row>
    <row r="222" spans="1:4" x14ac:dyDescent="0.35">
      <c r="A222" s="1" t="s">
        <v>295</v>
      </c>
      <c r="B222" s="154">
        <f>SUM(V196:V198)</f>
        <v>8.7697329572029669E-8</v>
      </c>
      <c r="C222" s="154">
        <f>'A3 - Production '!X28</f>
        <v>7.9346155235966147E-10</v>
      </c>
      <c r="D222" s="154">
        <f t="shared" si="10"/>
        <v>8.8490791124389334E-8</v>
      </c>
    </row>
    <row r="223" spans="1:4" x14ac:dyDescent="0.35">
      <c r="A223" s="1" t="s">
        <v>296</v>
      </c>
      <c r="B223" s="154">
        <f>SUM(W196:W198)</f>
        <v>1.8840243728610075E-2</v>
      </c>
      <c r="C223" s="154">
        <f>'A3 - Production '!Y28</f>
        <v>1.9843157737774877E-4</v>
      </c>
      <c r="D223" s="154">
        <f t="shared" si="10"/>
        <v>1.9038675305987823E-2</v>
      </c>
    </row>
    <row r="224" spans="1:4" x14ac:dyDescent="0.35">
      <c r="A224" s="1" t="s">
        <v>297</v>
      </c>
      <c r="B224" s="154">
        <f>SUM(X196:X198)</f>
        <v>0.83048455321736281</v>
      </c>
      <c r="C224" s="154">
        <f>'A3 - Production '!Z28</f>
        <v>1.4482440080436057E-3</v>
      </c>
      <c r="D224" s="154">
        <f t="shared" si="10"/>
        <v>0.83193279722540636</v>
      </c>
    </row>
    <row r="227" spans="1:3" x14ac:dyDescent="0.35">
      <c r="B227" t="s">
        <v>352</v>
      </c>
    </row>
    <row r="228" spans="1:3" x14ac:dyDescent="0.35">
      <c r="B228" s="205" t="s">
        <v>623</v>
      </c>
      <c r="C228" s="205" t="s">
        <v>622</v>
      </c>
    </row>
    <row r="229" spans="1:3" x14ac:dyDescent="0.35">
      <c r="A229" s="95" t="s">
        <v>624</v>
      </c>
      <c r="B229" s="1">
        <f>SUM($F$199:$X$199)+SUM($H$28:$Z$28)</f>
        <v>441.14722596470875</v>
      </c>
      <c r="C229" s="1">
        <f>+SUM(H28:Z28)</f>
        <v>1.3241390742344876</v>
      </c>
    </row>
    <row r="230" spans="1:3" x14ac:dyDescent="0.35">
      <c r="A230" s="95" t="s">
        <v>625</v>
      </c>
      <c r="B230" s="1">
        <f>SUM($D$206:$D$224)</f>
        <v>441.14722596470864</v>
      </c>
      <c r="C230" s="1">
        <f>+SUM(C206:C224)</f>
        <v>1.3241390742344876</v>
      </c>
    </row>
    <row r="231" spans="1:3" x14ac:dyDescent="0.35">
      <c r="A231" s="148" t="s">
        <v>58</v>
      </c>
      <c r="B231" s="204">
        <f>B229-B230</f>
        <v>0</v>
      </c>
      <c r="C231" s="204">
        <f>C229-C230</f>
        <v>0</v>
      </c>
    </row>
  </sheetData>
  <mergeCells count="7">
    <mergeCell ref="A170:A172"/>
    <mergeCell ref="A199:E199"/>
    <mergeCell ref="A99:C99"/>
    <mergeCell ref="A155:A163"/>
    <mergeCell ref="A164:A165"/>
    <mergeCell ref="A166:A167"/>
    <mergeCell ref="A168:A169"/>
  </mergeCells>
  <phoneticPr fontId="5" type="noConversion"/>
  <hyperlinks>
    <hyperlink ref="D60" r:id="rId1" xr:uid="{27698EA6-5AC5-4B35-86CF-181C47BD5439}"/>
    <hyperlink ref="E47" r:id="rId2" xr:uid="{77270E2B-D812-453E-847E-8353541E0CD9}"/>
    <hyperlink ref="D12" r:id="rId3" xr:uid="{911902F7-303D-49F8-A14C-68C8AF6E5B2E}"/>
    <hyperlink ref="D36" r:id="rId4" xr:uid="{F959DAA5-2673-430F-96A4-0193E507F675}"/>
    <hyperlink ref="D35" r:id="rId5" xr:uid="{7DEE58E3-5BA8-4178-AC6C-70F06FDCD91E}"/>
    <hyperlink ref="D9" r:id="rId6" xr:uid="{C342BA67-C904-478C-A475-32DC2D23CAB8}"/>
    <hyperlink ref="D7" r:id="rId7" xr:uid="{6618B0AE-7B0A-446C-A90C-179CFD03AA6B}"/>
    <hyperlink ref="D15" r:id="rId8" xr:uid="{61608275-F019-44D4-A4F8-6FB7B7067591}"/>
    <hyperlink ref="D52" r:id="rId9" xr:uid="{5DAA4F5D-7406-48D9-83ED-D41B77E1425E}"/>
    <hyperlink ref="D53" r:id="rId10" location=":~:text=On%20a%20mass%20basis%2C%20hydrogen,meet%20DOE%20hydrogen%20storage%20targets." xr:uid="{CC9BCAB8-9977-4F6D-9D26-D39B5E88236B}"/>
  </hyperlinks>
  <pageMargins left="0.7" right="0.7" top="0.75" bottom="0.75" header="0.3" footer="0.3"/>
  <pageSetup orientation="portrait" r:id="rId11"/>
  <legacyDrawing r:id="rId1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2FB8BC-5FB6-4919-9EF2-98C2267F9433}">
  <sheetPr codeName="Sheet11"/>
  <dimension ref="A1:X42"/>
  <sheetViews>
    <sheetView showGridLines="0" zoomScale="70" zoomScaleNormal="70" workbookViewId="0">
      <selection activeCell="B16" sqref="B16"/>
    </sheetView>
  </sheetViews>
  <sheetFormatPr defaultRowHeight="14.5" x14ac:dyDescent="0.35"/>
  <cols>
    <col min="1" max="1" width="72.81640625" customWidth="1"/>
    <col min="2" max="3" width="24.453125" customWidth="1"/>
    <col min="4" max="4" width="23.81640625" customWidth="1"/>
    <col min="5" max="5" width="25.81640625" customWidth="1"/>
    <col min="6" max="6" width="20.81640625" customWidth="1"/>
    <col min="7" max="7" width="26.1796875" customWidth="1"/>
    <col min="8" max="8" width="23.81640625" customWidth="1"/>
    <col min="9" max="9" width="21.81640625" customWidth="1"/>
    <col min="10" max="10" width="24.1796875" customWidth="1"/>
    <col min="11" max="11" width="26.81640625" customWidth="1"/>
    <col min="12" max="12" width="29.81640625" customWidth="1"/>
    <col min="13" max="13" width="26.453125" customWidth="1"/>
    <col min="14" max="14" width="36.453125" customWidth="1"/>
    <col min="15" max="15" width="30.453125" customWidth="1"/>
    <col min="16" max="16" width="25.54296875" customWidth="1"/>
    <col min="17" max="17" width="24.1796875" customWidth="1"/>
    <col min="18" max="18" width="26.81640625" customWidth="1"/>
    <col min="19" max="19" width="26.1796875" customWidth="1"/>
    <col min="20" max="20" width="31.81640625" customWidth="1"/>
    <col min="21" max="21" width="29.81640625" customWidth="1"/>
    <col min="22" max="22" width="29.54296875" customWidth="1"/>
    <col min="23" max="23" width="31.1796875" customWidth="1"/>
    <col min="24" max="24" width="23.453125" customWidth="1"/>
    <col min="25" max="25" width="24.81640625" customWidth="1"/>
  </cols>
  <sheetData>
    <row r="1" spans="1:24" ht="23.5" x14ac:dyDescent="0.55000000000000004">
      <c r="A1" s="100" t="s">
        <v>328</v>
      </c>
    </row>
    <row r="3" spans="1:24" x14ac:dyDescent="0.35">
      <c r="A3" s="414" t="s">
        <v>329</v>
      </c>
      <c r="B3" s="414"/>
      <c r="C3" s="62" t="s">
        <v>330</v>
      </c>
    </row>
    <row r="4" spans="1:24" x14ac:dyDescent="0.35">
      <c r="A4" s="1" t="s">
        <v>626</v>
      </c>
      <c r="B4" s="106">
        <v>1.24</v>
      </c>
      <c r="C4" s="30" t="s">
        <v>334</v>
      </c>
    </row>
    <row r="5" spans="1:24" x14ac:dyDescent="0.35">
      <c r="A5" s="1" t="s">
        <v>335</v>
      </c>
      <c r="B5" s="106">
        <v>36.286999999999999</v>
      </c>
    </row>
    <row r="6" spans="1:24" x14ac:dyDescent="0.35">
      <c r="A6" s="1" t="s">
        <v>627</v>
      </c>
      <c r="B6" s="163">
        <f>B4/B5</f>
        <v>3.417201752693802E-2</v>
      </c>
    </row>
    <row r="7" spans="1:24" x14ac:dyDescent="0.35">
      <c r="A7" s="3"/>
      <c r="B7" s="15"/>
    </row>
    <row r="8" spans="1:24" ht="23.5" x14ac:dyDescent="0.55000000000000004">
      <c r="A8" s="100" t="s">
        <v>628</v>
      </c>
      <c r="B8" s="15"/>
    </row>
    <row r="10" spans="1:24" ht="72.5" x14ac:dyDescent="0.35">
      <c r="A10" s="104" t="s">
        <v>452</v>
      </c>
      <c r="B10" s="103" t="s">
        <v>589</v>
      </c>
      <c r="C10" s="103" t="s">
        <v>56</v>
      </c>
      <c r="D10" s="103" t="s">
        <v>339</v>
      </c>
      <c r="E10" s="103" t="s">
        <v>340</v>
      </c>
      <c r="F10" s="103" t="s">
        <v>279</v>
      </c>
      <c r="G10" s="103" t="s">
        <v>280</v>
      </c>
      <c r="H10" s="103" t="s">
        <v>281</v>
      </c>
      <c r="I10" s="103" t="s">
        <v>282</v>
      </c>
      <c r="J10" s="103" t="s">
        <v>283</v>
      </c>
      <c r="K10" s="103" t="s">
        <v>284</v>
      </c>
      <c r="L10" s="103" t="s">
        <v>285</v>
      </c>
      <c r="M10" s="103" t="s">
        <v>286</v>
      </c>
      <c r="N10" s="103" t="s">
        <v>287</v>
      </c>
      <c r="O10" s="103" t="s">
        <v>288</v>
      </c>
      <c r="P10" s="103" t="s">
        <v>289</v>
      </c>
      <c r="Q10" s="103" t="s">
        <v>290</v>
      </c>
      <c r="R10" s="103" t="s">
        <v>291</v>
      </c>
      <c r="S10" s="103" t="s">
        <v>292</v>
      </c>
      <c r="T10" s="103" t="s">
        <v>293</v>
      </c>
      <c r="U10" s="103" t="s">
        <v>294</v>
      </c>
      <c r="V10" s="103" t="s">
        <v>295</v>
      </c>
      <c r="W10" s="103" t="s">
        <v>296</v>
      </c>
      <c r="X10" s="103" t="s">
        <v>297</v>
      </c>
    </row>
    <row r="11" spans="1:24" x14ac:dyDescent="0.35">
      <c r="A11" s="1" t="s">
        <v>617</v>
      </c>
      <c r="B11" s="177">
        <f>+Input!B58</f>
        <v>0.99995999999999985</v>
      </c>
      <c r="C11" s="154">
        <f>Input!$D$63</f>
        <v>20</v>
      </c>
      <c r="D11" s="154" t="str">
        <f>Input!B63</f>
        <v>Truck</v>
      </c>
      <c r="E11" s="154" t="str">
        <f>Input!$C$63</f>
        <v>Diesel_Euro6</v>
      </c>
      <c r="F11" s="154" cm="1">
        <f t="array" ref="F11">INDEX(LCI!H$2:H$73,MATCH($D11&amp;$E11,LCI!$B$2:$B$73&amp;LCI!$D$2:$D$73,0))* IF(AND($D11="Truck", OR($E11="Electric", $E11="Electric_green")), $B$6, 1)*$C$11*$B$11</f>
        <v>4.7342506223999993E-3</v>
      </c>
      <c r="G11" s="154" cm="1">
        <f t="array" ref="G11">INDEX(LCI!I$2:I$73,MATCH($D11&amp;$E11,LCI!$B$2:$B$73&amp;LCI!$D$2:$D$73,0))* IF(AND($D11="Truck", OR($E11="Electric", $E11="Electric_green")), $B$6, 1)*$C$11*$B$11</f>
        <v>3.1747701841127993</v>
      </c>
      <c r="H11" s="154" cm="1">
        <f t="array" ref="H11">INDEX(LCI!J$2:J$73,MATCH($D11&amp;$E11,LCI!$B$2:$B$73&amp;LCI!$D$2:$D$73,0))* IF(AND($D11="Truck", OR($E11="Electric", $E11="Electric_green")), $B$6, 1)*$C$11*$B$11</f>
        <v>1.4837466477599999E-3</v>
      </c>
      <c r="I11" s="154" cm="1">
        <f t="array" ref="I11">INDEX(LCI!K$2:K$73,MATCH($D11&amp;$E11,LCI!$B$2:$B$73&amp;LCI!$D$2:$D$73,0))* IF(AND($D11="Truck", OR($E11="Electric", $E11="Electric_green")), $B$6, 1)*$C$11*$B$11</f>
        <v>3.1730339135663996</v>
      </c>
      <c r="J11" s="154" cm="1">
        <f t="array" ref="J11">INDEX(LCI!L$2:L$73,MATCH($D11&amp;$E11,LCI!$B$2:$B$73&amp;LCI!$D$2:$D$73,0))* IF(AND($D11="Truck", OR($E11="Electric", $E11="Electric_green")), $B$6, 1)*$C$11*$B$11</f>
        <v>2.5251989879999996E-4</v>
      </c>
      <c r="K11" s="154" cm="1">
        <f t="array" ref="K11">INDEX(LCI!M$2:M$73,MATCH($D11&amp;$E11,LCI!$B$2:$B$73&amp;LCI!$D$2:$D$73,0))* IF(AND($D11="Truck", OR($E11="Electric", $E11="Electric_green")), $B$6, 1)*$C$11*$B$11</f>
        <v>2.7267699048407996</v>
      </c>
      <c r="L11" s="154" cm="1">
        <f t="array" ref="L11">INDEX(LCI!N$2:N$73,MATCH($D11&amp;$E11,LCI!$B$2:$B$73&amp;LCI!$D$2:$D$73,0))* IF(AND($D11="Truck", OR($E11="Electric", $E11="Electric_green")), $B$6, 1)*$C$11*$B$11</f>
        <v>42.729105967391988</v>
      </c>
      <c r="M11" s="154" cm="1">
        <f t="array" ref="M11">INDEX(LCI!O$2:O$73,MATCH($D11&amp;$E11,LCI!$B$2:$B$73&amp;LCI!$D$2:$D$73,0))* IF(AND($D11="Truck", OR($E11="Electric", $E11="Electric_green")), $B$6, 1)*$C$11*$B$11</f>
        <v>7.4050837847999975E-5</v>
      </c>
      <c r="N11" s="154" cm="1">
        <f t="array" ref="N11">INDEX(LCI!P$2:P$73,MATCH($D11&amp;$E11,LCI!$B$2:$B$73&amp;LCI!$D$2:$D$73,0))* IF(AND($D11="Truck", OR($E11="Electric", $E11="Electric_green")), $B$6, 1)*$C$11*$B$11</f>
        <v>1.0319027222399997E-3</v>
      </c>
      <c r="O11" s="154" cm="1">
        <f t="array" ref="O11">INDEX(LCI!Q$2:Q$73,MATCH($D11&amp;$E11,LCI!$B$2:$B$73&amp;LCI!$D$2:$D$73,0))* IF(AND($D11="Truck", OR($E11="Electric", $E11="Electric_green")), $B$6, 1)*$C$11*$B$11</f>
        <v>1.1169413205599998E-2</v>
      </c>
      <c r="P11" s="154" cm="1">
        <f t="array" ref="P11">INDEX(LCI!R$2:R$73,MATCH($D11&amp;$E11,LCI!$B$2:$B$73&amp;LCI!$D$2:$D$73,0))* IF(AND($D11="Truck", OR($E11="Electric", $E11="Electric_green")), $B$6, 1)*$C$11*$B$11</f>
        <v>2.8138274423999994E-10</v>
      </c>
      <c r="Q11" s="154" cm="1">
        <f t="array" ref="Q11">INDEX(LCI!S$2:S$73,MATCH($D11&amp;$E11,LCI!$B$2:$B$73&amp;LCI!$D$2:$D$73,0))* IF(AND($D11="Truck", OR($E11="Electric", $E11="Electric_green")), $B$6, 1)*$C$11*$B$11</f>
        <v>2.2894684175999996E-8</v>
      </c>
      <c r="R11" s="154" cm="1">
        <f t="array" ref="R11">INDEX(LCI!T$2:T$73,MATCH($D11&amp;$E11,LCI!$B$2:$B$73&amp;LCI!$D$2:$D$73,0))* IF(AND($D11="Truck", OR($E11="Electric", $E11="Electric_green")), $B$6, 1)*$C$11*$B$11</f>
        <v>1.9375344955199998E-2</v>
      </c>
      <c r="S11" s="154" cm="1">
        <f t="array" ref="S11">INDEX(LCI!U$2:U$73,MATCH($D11&amp;$E11,LCI!$B$2:$B$73&amp;LCI!$D$2:$D$73,0))* IF(AND($D11="Truck", OR($E11="Electric", $E11="Electric_green")), $B$6, 1)*$C$11*$B$11</f>
        <v>2.6952224667887998</v>
      </c>
      <c r="T11" s="154" cm="1">
        <f t="array" ref="T11">INDEX(LCI!V$2:V$73,MATCH($D11&amp;$E11,LCI!$B$2:$B$73&amp;LCI!$D$2:$D$73,0))* IF(AND($D11="Truck", OR($E11="Electric", $E11="Electric_green")), $B$6, 1)*$C$11*$B$11</f>
        <v>3.5025998903999994E-6</v>
      </c>
      <c r="U11" s="154" cm="1">
        <f t="array" ref="U11">INDEX(LCI!W$2:W$73,MATCH($D11&amp;$E11,LCI!$B$2:$B$73&amp;LCI!$D$2:$D$73,0))* IF(AND($D11="Truck", OR($E11="Electric", $E11="Electric_green")), $B$6, 1)*$C$11*$B$11</f>
        <v>7.0593576143999996E-8</v>
      </c>
      <c r="V11" s="154" cm="1">
        <f t="array" ref="V11">INDEX(LCI!X$2:X$73,MATCH($D11&amp;$E11,LCI!$B$2:$B$73&amp;LCI!$D$2:$D$73,0))* IF(AND($D11="Truck", OR($E11="Electric", $E11="Electric_green")), $B$6, 1)*$C$11*$B$11</f>
        <v>1.9678352834399996E-7</v>
      </c>
      <c r="W11" s="154" cm="1">
        <f t="array" ref="W11">INDEX(LCI!Y$2:Y$73,MATCH($D11&amp;$E11,LCI!$B$2:$B$73&amp;LCI!$D$2:$D$73,0))* IF(AND($D11="Truck", OR($E11="Electric", $E11="Electric_green")), $B$6, 1)*$C$11*$B$11</f>
        <v>8.2539898271999975E-3</v>
      </c>
      <c r="X11" s="154" cm="1">
        <f t="array" ref="X11">INDEX(LCI!Z$2:Z$73,MATCH($D11&amp;$E11,LCI!$B$2:$B$73&amp;LCI!$D$2:$D$73,0))* IF(AND($D11="Truck", OR($E11="Electric", $E11="Electric_green")), $B$6, 1)*$C$11*$B$11</f>
        <v>9.7319887048799986E-2</v>
      </c>
    </row>
    <row r="14" spans="1:24" ht="23.5" x14ac:dyDescent="0.55000000000000004">
      <c r="A14" s="100" t="s">
        <v>990</v>
      </c>
    </row>
    <row r="16" spans="1:24" x14ac:dyDescent="0.35">
      <c r="A16" s="62" t="s">
        <v>153</v>
      </c>
      <c r="B16" s="62" t="s">
        <v>629</v>
      </c>
    </row>
    <row r="17" spans="1:2" x14ac:dyDescent="0.35">
      <c r="A17" s="1" t="s">
        <v>318</v>
      </c>
      <c r="B17" s="154">
        <f>'A4 - Transport'!F11</f>
        <v>4.7342506223999993E-3</v>
      </c>
    </row>
    <row r="18" spans="1:2" x14ac:dyDescent="0.35">
      <c r="A18" s="1" t="s">
        <v>280</v>
      </c>
      <c r="B18" s="154">
        <f>'A4 - Transport'!G11</f>
        <v>3.1747701841127993</v>
      </c>
    </row>
    <row r="19" spans="1:2" x14ac:dyDescent="0.35">
      <c r="A19" s="1" t="s">
        <v>281</v>
      </c>
      <c r="B19" s="154">
        <f>'A4 - Transport'!H11</f>
        <v>1.4837466477599999E-3</v>
      </c>
    </row>
    <row r="20" spans="1:2" x14ac:dyDescent="0.35">
      <c r="A20" s="1" t="s">
        <v>282</v>
      </c>
      <c r="B20" s="154">
        <f>'A4 - Transport'!I11</f>
        <v>3.1730339135663996</v>
      </c>
    </row>
    <row r="21" spans="1:2" x14ac:dyDescent="0.35">
      <c r="A21" s="1" t="s">
        <v>283</v>
      </c>
      <c r="B21" s="154">
        <f>'A4 - Transport'!J11</f>
        <v>2.5251989879999996E-4</v>
      </c>
    </row>
    <row r="22" spans="1:2" x14ac:dyDescent="0.35">
      <c r="A22" s="1" t="s">
        <v>284</v>
      </c>
      <c r="B22" s="154">
        <f>'A4 - Transport'!K11</f>
        <v>2.7267699048407996</v>
      </c>
    </row>
    <row r="23" spans="1:2" x14ac:dyDescent="0.35">
      <c r="A23" s="1" t="s">
        <v>285</v>
      </c>
      <c r="B23" s="154">
        <f>'A4 - Transport'!L11</f>
        <v>42.729105967391988</v>
      </c>
    </row>
    <row r="24" spans="1:2" x14ac:dyDescent="0.35">
      <c r="A24" s="1" t="s">
        <v>286</v>
      </c>
      <c r="B24" s="154">
        <f>'A4 - Transport'!M11</f>
        <v>7.4050837847999975E-5</v>
      </c>
    </row>
    <row r="25" spans="1:2" x14ac:dyDescent="0.35">
      <c r="A25" s="1" t="s">
        <v>287</v>
      </c>
      <c r="B25" s="154">
        <f>'A4 - Transport'!N11</f>
        <v>1.0319027222399997E-3</v>
      </c>
    </row>
    <row r="26" spans="1:2" x14ac:dyDescent="0.35">
      <c r="A26" s="1" t="s">
        <v>288</v>
      </c>
      <c r="B26" s="154">
        <f>'A4 - Transport'!O11</f>
        <v>1.1169413205599998E-2</v>
      </c>
    </row>
    <row r="27" spans="1:2" x14ac:dyDescent="0.35">
      <c r="A27" s="1" t="s">
        <v>289</v>
      </c>
      <c r="B27" s="154">
        <f>'A4 - Transport'!P11</f>
        <v>2.8138274423999994E-10</v>
      </c>
    </row>
    <row r="28" spans="1:2" x14ac:dyDescent="0.35">
      <c r="A28" s="1" t="s">
        <v>319</v>
      </c>
      <c r="B28" s="154">
        <f>'A4 - Transport'!Q11</f>
        <v>2.2894684175999996E-8</v>
      </c>
    </row>
    <row r="29" spans="1:2" x14ac:dyDescent="0.35">
      <c r="A29" s="1" t="s">
        <v>291</v>
      </c>
      <c r="B29" s="154">
        <f>'A4 - Transport'!R11</f>
        <v>1.9375344955199998E-2</v>
      </c>
    </row>
    <row r="30" spans="1:2" x14ac:dyDescent="0.35">
      <c r="A30" s="1" t="s">
        <v>292</v>
      </c>
      <c r="B30" s="154">
        <f>'A4 - Transport'!S11</f>
        <v>2.6952224667887998</v>
      </c>
    </row>
    <row r="31" spans="1:2" x14ac:dyDescent="0.35">
      <c r="A31" s="1" t="s">
        <v>293</v>
      </c>
      <c r="B31" s="154">
        <f>'A4 - Transport'!T11</f>
        <v>3.5025998903999994E-6</v>
      </c>
    </row>
    <row r="32" spans="1:2" x14ac:dyDescent="0.35">
      <c r="A32" s="1" t="s">
        <v>294</v>
      </c>
      <c r="B32" s="154">
        <f>'A4 - Transport'!U11</f>
        <v>7.0593576143999996E-8</v>
      </c>
    </row>
    <row r="33" spans="1:2" x14ac:dyDescent="0.35">
      <c r="A33" s="1" t="s">
        <v>295</v>
      </c>
      <c r="B33" s="154">
        <f>'A4 - Transport'!V11</f>
        <v>1.9678352834399996E-7</v>
      </c>
    </row>
    <row r="34" spans="1:2" x14ac:dyDescent="0.35">
      <c r="A34" s="1" t="s">
        <v>296</v>
      </c>
      <c r="B34" s="154">
        <f>'A4 - Transport'!W11</f>
        <v>8.2539898271999975E-3</v>
      </c>
    </row>
    <row r="35" spans="1:2" x14ac:dyDescent="0.35">
      <c r="A35" s="1" t="s">
        <v>297</v>
      </c>
      <c r="B35" s="154">
        <f>'A4 - Transport'!X11</f>
        <v>9.7319887048799986E-2</v>
      </c>
    </row>
    <row r="39" spans="1:2" x14ac:dyDescent="0.35">
      <c r="B39" t="s">
        <v>630</v>
      </c>
    </row>
    <row r="40" spans="1:2" x14ac:dyDescent="0.35">
      <c r="A40" s="95" t="s">
        <v>530</v>
      </c>
      <c r="B40" s="1">
        <f>SUM($F$11:$X$11)</f>
        <v>54.642601335619695</v>
      </c>
    </row>
    <row r="41" spans="1:2" x14ac:dyDescent="0.35">
      <c r="A41" s="95" t="s">
        <v>531</v>
      </c>
      <c r="B41" s="1">
        <f>SUM($B$17:$B$35)</f>
        <v>54.642601335619695</v>
      </c>
    </row>
    <row r="42" spans="1:2" x14ac:dyDescent="0.35">
      <c r="A42" s="95" t="s">
        <v>58</v>
      </c>
      <c r="B42" s="204">
        <f>B40-B41</f>
        <v>0</v>
      </c>
    </row>
  </sheetData>
  <mergeCells count="1">
    <mergeCell ref="A3:B3"/>
  </mergeCells>
  <hyperlinks>
    <hyperlink ref="C4" r:id="rId1" xr:uid="{8B576384-C936-4626-9FD4-40246546A237}"/>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F6D9F-467F-4712-871C-31333E408195}">
  <sheetPr codeName="Sheet12"/>
  <dimension ref="A1:BAF165"/>
  <sheetViews>
    <sheetView showGridLines="0" zoomScale="70" zoomScaleNormal="70" workbookViewId="0">
      <selection activeCell="A10" sqref="A10"/>
    </sheetView>
  </sheetViews>
  <sheetFormatPr defaultRowHeight="14.5" x14ac:dyDescent="0.35"/>
  <cols>
    <col min="1" max="1" width="59" customWidth="1"/>
    <col min="2" max="2" width="42.81640625" customWidth="1"/>
    <col min="3" max="3" width="86.81640625" style="28" bestFit="1" customWidth="1"/>
    <col min="4" max="4" width="41" customWidth="1"/>
    <col min="5" max="5" width="23" customWidth="1"/>
    <col min="6" max="6" width="22.81640625" customWidth="1"/>
    <col min="7" max="7" width="24" customWidth="1"/>
    <col min="8" max="8" width="22.81640625" customWidth="1"/>
    <col min="9" max="9" width="24.81640625" customWidth="1"/>
    <col min="10" max="10" width="24.54296875" customWidth="1"/>
    <col min="11" max="11" width="30.1796875" customWidth="1"/>
    <col min="12" max="12" width="28.1796875" customWidth="1"/>
    <col min="13" max="13" width="32.81640625" customWidth="1"/>
    <col min="14" max="14" width="38.1796875" customWidth="1"/>
    <col min="15" max="15" width="35.1796875" customWidth="1"/>
    <col min="16" max="16" width="36.81640625" customWidth="1"/>
    <col min="17" max="17" width="31.81640625" customWidth="1"/>
    <col min="18" max="18" width="32.81640625" customWidth="1"/>
    <col min="19" max="19" width="37.1796875" customWidth="1"/>
    <col min="20" max="21" width="35.81640625" customWidth="1"/>
    <col min="22" max="22" width="32.81640625" customWidth="1"/>
    <col min="23" max="23" width="29.1796875" customWidth="1"/>
    <col min="24" max="24" width="32.1796875" customWidth="1"/>
    <col min="25" max="25" width="32.81640625" customWidth="1"/>
    <col min="26" max="26" width="31.81640625" customWidth="1"/>
  </cols>
  <sheetData>
    <row r="1" spans="1:7" x14ac:dyDescent="0.35">
      <c r="C1"/>
    </row>
    <row r="2" spans="1:7" ht="23.5" x14ac:dyDescent="0.55000000000000004">
      <c r="A2" s="100" t="s">
        <v>631</v>
      </c>
    </row>
    <row r="4" spans="1:7" ht="18.5" x14ac:dyDescent="0.45">
      <c r="A4" s="227" t="s">
        <v>632</v>
      </c>
      <c r="B4" s="295" t="s">
        <v>375</v>
      </c>
      <c r="C4" s="303" t="s">
        <v>330</v>
      </c>
      <c r="D4" s="303" t="s">
        <v>331</v>
      </c>
    </row>
    <row r="5" spans="1:7" x14ac:dyDescent="0.35">
      <c r="A5" s="1" t="s">
        <v>633</v>
      </c>
      <c r="B5" s="183" t="s">
        <v>634</v>
      </c>
      <c r="C5" s="212" t="s">
        <v>635</v>
      </c>
      <c r="D5" s="1"/>
      <c r="G5" s="11"/>
    </row>
    <row r="6" spans="1:7" x14ac:dyDescent="0.35">
      <c r="A6" s="1" t="s">
        <v>636</v>
      </c>
      <c r="B6" s="90" t="s">
        <v>637</v>
      </c>
      <c r="C6" s="114" t="s">
        <v>638</v>
      </c>
      <c r="D6" s="30" t="s">
        <v>639</v>
      </c>
    </row>
    <row r="7" spans="1:7" x14ac:dyDescent="0.35">
      <c r="A7" s="1" t="s">
        <v>534</v>
      </c>
      <c r="B7" s="152">
        <f>Input!$B$22/1000</f>
        <v>2.4</v>
      </c>
      <c r="C7" s="121"/>
      <c r="D7" s="1"/>
    </row>
    <row r="8" spans="1:7" ht="29" x14ac:dyDescent="0.35">
      <c r="A8" s="1" t="s">
        <v>464</v>
      </c>
      <c r="B8" s="90">
        <v>0.51</v>
      </c>
      <c r="C8" s="53" t="s">
        <v>382</v>
      </c>
      <c r="D8" s="1"/>
    </row>
    <row r="9" spans="1:7" x14ac:dyDescent="0.35">
      <c r="A9" s="1" t="s">
        <v>411</v>
      </c>
      <c r="B9" s="90">
        <v>25</v>
      </c>
      <c r="C9" s="39"/>
      <c r="D9" s="1"/>
      <c r="F9" s="20"/>
    </row>
    <row r="10" spans="1:7" ht="43.5" x14ac:dyDescent="0.35">
      <c r="A10" s="1" t="s">
        <v>383</v>
      </c>
      <c r="B10" s="90">
        <v>0.25</v>
      </c>
      <c r="C10" s="39" t="s">
        <v>384</v>
      </c>
      <c r="D10" s="213" t="s">
        <v>640</v>
      </c>
      <c r="F10" s="20"/>
    </row>
    <row r="11" spans="1:7" x14ac:dyDescent="0.35">
      <c r="A11" s="1" t="s">
        <v>641</v>
      </c>
      <c r="B11" s="90">
        <v>5</v>
      </c>
      <c r="C11" s="39" t="s">
        <v>642</v>
      </c>
      <c r="D11" s="1"/>
    </row>
    <row r="12" spans="1:7" x14ac:dyDescent="0.35">
      <c r="A12" s="1" t="s">
        <v>643</v>
      </c>
      <c r="B12" s="90">
        <f>MIN(1.8,Input!$B$66)</f>
        <v>1.8</v>
      </c>
      <c r="C12" s="39"/>
      <c r="D12" s="1"/>
    </row>
    <row r="13" spans="1:7" x14ac:dyDescent="0.35">
      <c r="A13" s="1" t="s">
        <v>644</v>
      </c>
      <c r="B13" s="152">
        <f>Input!$B$31/1000</f>
        <v>0.08</v>
      </c>
      <c r="C13" s="39"/>
      <c r="D13" s="1"/>
    </row>
    <row r="14" spans="1:7" ht="29" x14ac:dyDescent="0.35">
      <c r="A14" s="1" t="s">
        <v>470</v>
      </c>
      <c r="B14" s="184">
        <v>0.83</v>
      </c>
      <c r="C14" s="39" t="s">
        <v>645</v>
      </c>
      <c r="D14" s="1" t="s">
        <v>646</v>
      </c>
    </row>
    <row r="15" spans="1:7" ht="29" x14ac:dyDescent="0.35">
      <c r="A15" s="1" t="s">
        <v>471</v>
      </c>
      <c r="B15" s="178">
        <f>$B$11*$B$12*$B$13*60*$B$7*$B$14</f>
        <v>86.054399999999987</v>
      </c>
      <c r="C15" s="39" t="s">
        <v>647</v>
      </c>
      <c r="D15" s="1"/>
    </row>
    <row r="16" spans="1:7" x14ac:dyDescent="0.35">
      <c r="A16" s="1" t="s">
        <v>396</v>
      </c>
      <c r="B16" s="179">
        <f>$B$9*$B$8*$B$10</f>
        <v>3.1875</v>
      </c>
      <c r="C16" s="39" t="s">
        <v>397</v>
      </c>
      <c r="D16" s="1" t="s">
        <v>398</v>
      </c>
    </row>
    <row r="17" spans="1:4" x14ac:dyDescent="0.35">
      <c r="B17" s="29"/>
      <c r="C17" s="85"/>
    </row>
    <row r="18" spans="1:4" ht="18.5" x14ac:dyDescent="0.45">
      <c r="A18" s="227" t="s">
        <v>648</v>
      </c>
      <c r="B18" s="295" t="s">
        <v>375</v>
      </c>
      <c r="C18" s="303" t="s">
        <v>330</v>
      </c>
      <c r="D18" s="303" t="s">
        <v>331</v>
      </c>
    </row>
    <row r="19" spans="1:4" x14ac:dyDescent="0.35">
      <c r="A19" s="1" t="s">
        <v>633</v>
      </c>
      <c r="B19" s="96" t="s">
        <v>649</v>
      </c>
      <c r="C19" s="85"/>
    </row>
    <row r="20" spans="1:4" ht="29" x14ac:dyDescent="0.35">
      <c r="A20" s="1" t="s">
        <v>636</v>
      </c>
      <c r="B20" s="90" t="s">
        <v>650</v>
      </c>
      <c r="C20" s="114" t="s">
        <v>650</v>
      </c>
      <c r="D20" s="114" t="s">
        <v>651</v>
      </c>
    </row>
    <row r="21" spans="1:4" x14ac:dyDescent="0.35">
      <c r="A21" s="1" t="s">
        <v>534</v>
      </c>
      <c r="B21" s="152">
        <f>Input!$B$22/1000</f>
        <v>2.4</v>
      </c>
      <c r="C21" s="39"/>
      <c r="D21" s="1"/>
    </row>
    <row r="22" spans="1:4" ht="43.5" x14ac:dyDescent="0.35">
      <c r="A22" s="1" t="s">
        <v>383</v>
      </c>
      <c r="B22" s="90">
        <v>0.25</v>
      </c>
      <c r="C22" s="53" t="s">
        <v>384</v>
      </c>
      <c r="D22" s="213" t="s">
        <v>385</v>
      </c>
    </row>
    <row r="23" spans="1:4" x14ac:dyDescent="0.35">
      <c r="A23" s="1" t="s">
        <v>464</v>
      </c>
      <c r="B23" s="90">
        <v>0.51</v>
      </c>
      <c r="C23" s="53" t="s">
        <v>652</v>
      </c>
      <c r="D23" s="1"/>
    </row>
    <row r="24" spans="1:4" x14ac:dyDescent="0.35">
      <c r="A24" s="1" t="s">
        <v>411</v>
      </c>
      <c r="B24" s="90">
        <v>129</v>
      </c>
      <c r="C24" s="39"/>
      <c r="D24" s="1"/>
    </row>
    <row r="25" spans="1:4" x14ac:dyDescent="0.35">
      <c r="A25" s="1" t="s">
        <v>641</v>
      </c>
      <c r="B25" s="90">
        <v>5</v>
      </c>
      <c r="C25" s="39"/>
      <c r="D25" s="1"/>
    </row>
    <row r="26" spans="1:4" x14ac:dyDescent="0.35">
      <c r="A26" s="1" t="s">
        <v>643</v>
      </c>
      <c r="B26" s="90">
        <f>MIN(10,Input!$B$66)</f>
        <v>3.5</v>
      </c>
      <c r="C26" s="39"/>
      <c r="D26" s="1"/>
    </row>
    <row r="27" spans="1:4" x14ac:dyDescent="0.35">
      <c r="A27" s="1" t="s">
        <v>644</v>
      </c>
      <c r="B27" s="152">
        <f>Input!$B$31/1000</f>
        <v>0.08</v>
      </c>
      <c r="C27" s="39"/>
      <c r="D27" s="1"/>
    </row>
    <row r="28" spans="1:4" ht="29" x14ac:dyDescent="0.35">
      <c r="A28" s="1" t="s">
        <v>470</v>
      </c>
      <c r="B28" s="184">
        <v>0.83</v>
      </c>
      <c r="C28" s="39" t="s">
        <v>645</v>
      </c>
      <c r="D28" s="1" t="s">
        <v>646</v>
      </c>
    </row>
    <row r="29" spans="1:4" ht="29" x14ac:dyDescent="0.35">
      <c r="A29" s="1" t="s">
        <v>471</v>
      </c>
      <c r="B29" s="152">
        <f>$B$25*$B$26*$B$27*60*$B$21*$B$28</f>
        <v>167.328</v>
      </c>
      <c r="C29" s="39" t="s">
        <v>647</v>
      </c>
      <c r="D29" s="1"/>
    </row>
    <row r="30" spans="1:4" x14ac:dyDescent="0.35">
      <c r="A30" s="1" t="s">
        <v>396</v>
      </c>
      <c r="B30" s="179">
        <f>$B$24*$B$23*$B$22</f>
        <v>16.447500000000002</v>
      </c>
      <c r="C30" s="39" t="s">
        <v>397</v>
      </c>
      <c r="D30" s="1" t="s">
        <v>398</v>
      </c>
    </row>
    <row r="31" spans="1:4" x14ac:dyDescent="0.35">
      <c r="B31" s="29"/>
      <c r="C31" s="85"/>
    </row>
    <row r="32" spans="1:4" ht="18.5" x14ac:dyDescent="0.45">
      <c r="A32" s="227" t="s">
        <v>653</v>
      </c>
      <c r="B32" s="295" t="s">
        <v>375</v>
      </c>
      <c r="C32" s="303" t="s">
        <v>330</v>
      </c>
      <c r="D32" s="303" t="s">
        <v>331</v>
      </c>
    </row>
    <row r="33" spans="1:4" x14ac:dyDescent="0.35">
      <c r="A33" s="1" t="s">
        <v>633</v>
      </c>
      <c r="B33" s="90" t="s">
        <v>654</v>
      </c>
      <c r="C33" s="39"/>
      <c r="D33" s="1"/>
    </row>
    <row r="34" spans="1:4" x14ac:dyDescent="0.35">
      <c r="A34" s="1" t="s">
        <v>636</v>
      </c>
      <c r="B34" s="90" t="s">
        <v>655</v>
      </c>
      <c r="C34" s="39"/>
      <c r="D34" s="1"/>
    </row>
    <row r="35" spans="1:4" x14ac:dyDescent="0.35">
      <c r="A35" s="1" t="s">
        <v>534</v>
      </c>
      <c r="B35" s="152">
        <f>Input!$B$22/1000</f>
        <v>2.4</v>
      </c>
      <c r="C35" s="39"/>
      <c r="D35" s="1"/>
    </row>
    <row r="36" spans="1:4" ht="43.5" x14ac:dyDescent="0.35">
      <c r="A36" s="1" t="s">
        <v>383</v>
      </c>
      <c r="B36" s="90">
        <v>0.25</v>
      </c>
      <c r="C36" s="125" t="s">
        <v>384</v>
      </c>
      <c r="D36" s="73" t="s">
        <v>640</v>
      </c>
    </row>
    <row r="37" spans="1:4" ht="29" x14ac:dyDescent="0.35">
      <c r="A37" s="1" t="s">
        <v>464</v>
      </c>
      <c r="B37" s="90">
        <v>0.51</v>
      </c>
      <c r="C37" s="53" t="s">
        <v>382</v>
      </c>
      <c r="D37" s="1"/>
    </row>
    <row r="38" spans="1:4" x14ac:dyDescent="0.35">
      <c r="A38" s="1" t="s">
        <v>411</v>
      </c>
      <c r="B38" s="90">
        <v>354</v>
      </c>
      <c r="C38" s="39"/>
      <c r="D38" s="1"/>
    </row>
    <row r="39" spans="1:4" x14ac:dyDescent="0.35">
      <c r="A39" s="1" t="s">
        <v>641</v>
      </c>
      <c r="B39" s="90">
        <v>5</v>
      </c>
      <c r="C39" s="39"/>
      <c r="D39" s="1"/>
    </row>
    <row r="40" spans="1:4" x14ac:dyDescent="0.35">
      <c r="A40" s="1" t="s">
        <v>643</v>
      </c>
      <c r="B40" s="90">
        <f>MIN(18,Input!$B$66)</f>
        <v>3.5</v>
      </c>
      <c r="C40" s="39"/>
      <c r="D40" s="1"/>
    </row>
    <row r="41" spans="1:4" x14ac:dyDescent="0.35">
      <c r="A41" s="1" t="s">
        <v>644</v>
      </c>
      <c r="B41" s="152">
        <f>Input!$B$31/1000</f>
        <v>0.08</v>
      </c>
      <c r="C41" s="39"/>
      <c r="D41" s="1"/>
    </row>
    <row r="42" spans="1:4" ht="29" x14ac:dyDescent="0.35">
      <c r="A42" s="1" t="s">
        <v>470</v>
      </c>
      <c r="B42" s="184">
        <v>0.83</v>
      </c>
      <c r="C42" s="39" t="s">
        <v>645</v>
      </c>
      <c r="D42" s="1" t="s">
        <v>646</v>
      </c>
    </row>
    <row r="43" spans="1:4" x14ac:dyDescent="0.35">
      <c r="A43" s="1" t="s">
        <v>471</v>
      </c>
      <c r="B43" s="152">
        <f>$B$39*$B$40*$B$41*60*$B$35*$B$42</f>
        <v>167.328</v>
      </c>
      <c r="C43" s="39" t="s">
        <v>656</v>
      </c>
      <c r="D43" s="1"/>
    </row>
    <row r="44" spans="1:4" x14ac:dyDescent="0.35">
      <c r="A44" s="1" t="s">
        <v>396</v>
      </c>
      <c r="B44" s="180">
        <f>$B$38*$B$37*$B$36</f>
        <v>45.134999999999998</v>
      </c>
      <c r="C44" s="39" t="s">
        <v>397</v>
      </c>
      <c r="D44" s="1" t="s">
        <v>398</v>
      </c>
    </row>
    <row r="45" spans="1:4" x14ac:dyDescent="0.35">
      <c r="A45" s="3"/>
      <c r="B45" s="47"/>
      <c r="C45" s="85"/>
    </row>
    <row r="46" spans="1:4" ht="18.5" x14ac:dyDescent="0.45">
      <c r="A46" s="227" t="s">
        <v>107</v>
      </c>
      <c r="B46" s="295" t="s">
        <v>375</v>
      </c>
      <c r="C46" s="303" t="s">
        <v>330</v>
      </c>
      <c r="D46" s="303" t="s">
        <v>331</v>
      </c>
    </row>
    <row r="47" spans="1:4" x14ac:dyDescent="0.35">
      <c r="A47" s="1" t="s">
        <v>461</v>
      </c>
      <c r="B47" s="90" t="s">
        <v>657</v>
      </c>
      <c r="C47" s="39" t="s">
        <v>657</v>
      </c>
      <c r="D47" s="30" t="s">
        <v>658</v>
      </c>
    </row>
    <row r="48" spans="1:4" ht="43.5" x14ac:dyDescent="0.35">
      <c r="A48" s="1" t="s">
        <v>383</v>
      </c>
      <c r="B48" s="90">
        <v>0.25</v>
      </c>
      <c r="C48" s="39" t="s">
        <v>384</v>
      </c>
      <c r="D48" s="214" t="s">
        <v>385</v>
      </c>
    </row>
    <row r="49" spans="1:4" ht="29" x14ac:dyDescent="0.35">
      <c r="A49" s="1" t="s">
        <v>464</v>
      </c>
      <c r="B49" s="90">
        <v>0.51</v>
      </c>
      <c r="C49" s="39" t="s">
        <v>382</v>
      </c>
      <c r="D49" s="1"/>
    </row>
    <row r="50" spans="1:4" x14ac:dyDescent="0.35">
      <c r="A50" s="1" t="s">
        <v>411</v>
      </c>
      <c r="B50" s="90">
        <v>160</v>
      </c>
      <c r="C50" s="39"/>
      <c r="D50" s="1"/>
    </row>
    <row r="51" spans="1:4" x14ac:dyDescent="0.35">
      <c r="A51" s="1" t="s">
        <v>392</v>
      </c>
      <c r="B51" s="90">
        <v>0.66</v>
      </c>
      <c r="C51" s="39"/>
      <c r="D51" s="1"/>
    </row>
    <row r="52" spans="1:4" x14ac:dyDescent="0.35">
      <c r="A52" s="1" t="s">
        <v>659</v>
      </c>
      <c r="B52" s="152">
        <f>Input!$B$22/1000</f>
        <v>2.4</v>
      </c>
      <c r="C52" s="39"/>
      <c r="D52" s="1"/>
    </row>
    <row r="53" spans="1:4" x14ac:dyDescent="0.35">
      <c r="A53" s="69" t="s">
        <v>467</v>
      </c>
      <c r="B53" s="185">
        <v>0.75</v>
      </c>
      <c r="C53" s="39" t="s">
        <v>660</v>
      </c>
      <c r="D53" s="30" t="s">
        <v>661</v>
      </c>
    </row>
    <row r="54" spans="1:4" x14ac:dyDescent="0.35">
      <c r="A54" s="69" t="s">
        <v>468</v>
      </c>
      <c r="B54" s="120">
        <v>23</v>
      </c>
      <c r="C54" s="39"/>
      <c r="D54" s="1"/>
    </row>
    <row r="55" spans="1:4" x14ac:dyDescent="0.35">
      <c r="A55" s="69" t="s">
        <v>469</v>
      </c>
      <c r="B55" s="181">
        <f>3600/$B$54</f>
        <v>156.52173913043478</v>
      </c>
      <c r="C55" s="39"/>
      <c r="D55" s="1"/>
    </row>
    <row r="56" spans="1:4" ht="29" x14ac:dyDescent="0.35">
      <c r="A56" s="1" t="s">
        <v>470</v>
      </c>
      <c r="B56" s="184">
        <v>0.83</v>
      </c>
      <c r="C56" s="217" t="s">
        <v>645</v>
      </c>
      <c r="D56" s="6" t="s">
        <v>646</v>
      </c>
    </row>
    <row r="57" spans="1:4" ht="29" x14ac:dyDescent="0.35">
      <c r="A57" s="1" t="s">
        <v>471</v>
      </c>
      <c r="B57" s="179">
        <f>$B$52*$B$51*$B$53*$B$55*$B$56</f>
        <v>154.33669565217394</v>
      </c>
      <c r="C57" s="53" t="s">
        <v>472</v>
      </c>
      <c r="D57" s="1"/>
    </row>
    <row r="58" spans="1:4" x14ac:dyDescent="0.35">
      <c r="A58" s="1" t="s">
        <v>396</v>
      </c>
      <c r="B58" s="179">
        <f>$B$50*$B$49*$B$48</f>
        <v>20.399999999999999</v>
      </c>
      <c r="C58" s="39" t="s">
        <v>397</v>
      </c>
      <c r="D58" s="1" t="s">
        <v>398</v>
      </c>
    </row>
    <row r="59" spans="1:4" x14ac:dyDescent="0.35">
      <c r="B59" s="47"/>
      <c r="C59" s="85"/>
    </row>
    <row r="60" spans="1:4" x14ac:dyDescent="0.35">
      <c r="B60" s="47"/>
      <c r="C60" s="85"/>
    </row>
    <row r="61" spans="1:4" ht="21" x14ac:dyDescent="0.5">
      <c r="A61" s="74" t="s">
        <v>662</v>
      </c>
      <c r="B61" s="47"/>
      <c r="C61" s="85"/>
    </row>
    <row r="62" spans="1:4" ht="18.5" x14ac:dyDescent="0.45">
      <c r="A62" s="80"/>
      <c r="B62" s="47"/>
      <c r="C62" s="85"/>
    </row>
    <row r="63" spans="1:4" ht="18.5" x14ac:dyDescent="0.45">
      <c r="A63" s="74" t="s">
        <v>663</v>
      </c>
      <c r="B63" s="47"/>
      <c r="C63" s="85"/>
    </row>
    <row r="64" spans="1:4" x14ac:dyDescent="0.35">
      <c r="A64" s="1" t="s">
        <v>664</v>
      </c>
      <c r="B64" s="90">
        <v>1.75</v>
      </c>
      <c r="C64" s="39" t="s">
        <v>665</v>
      </c>
    </row>
    <row r="65" spans="1:4" x14ac:dyDescent="0.35">
      <c r="B65" s="209"/>
      <c r="C65" s="85"/>
    </row>
    <row r="66" spans="1:4" x14ac:dyDescent="0.35">
      <c r="A66" s="3"/>
    </row>
    <row r="67" spans="1:4" ht="18.5" x14ac:dyDescent="0.45">
      <c r="A67" s="227" t="s">
        <v>666</v>
      </c>
      <c r="B67" s="295" t="s">
        <v>375</v>
      </c>
      <c r="C67" s="303" t="s">
        <v>330</v>
      </c>
      <c r="D67" s="303" t="s">
        <v>331</v>
      </c>
    </row>
    <row r="68" spans="1:4" ht="43.5" x14ac:dyDescent="0.35">
      <c r="A68" s="1" t="s">
        <v>667</v>
      </c>
      <c r="B68" s="90" t="s">
        <v>668</v>
      </c>
      <c r="D68" s="122" t="s">
        <v>669</v>
      </c>
    </row>
    <row r="69" spans="1:4" x14ac:dyDescent="0.35">
      <c r="A69" s="1" t="s">
        <v>670</v>
      </c>
      <c r="B69" s="90">
        <v>1</v>
      </c>
      <c r="C69" s="39"/>
      <c r="D69" s="1"/>
    </row>
    <row r="70" spans="1:4" ht="43.5" x14ac:dyDescent="0.35">
      <c r="A70" s="1" t="s">
        <v>383</v>
      </c>
      <c r="B70" s="90">
        <v>0.25</v>
      </c>
      <c r="C70" s="125" t="s">
        <v>384</v>
      </c>
      <c r="D70" s="214" t="s">
        <v>385</v>
      </c>
    </row>
    <row r="71" spans="1:4" x14ac:dyDescent="0.35">
      <c r="A71" s="1" t="s">
        <v>411</v>
      </c>
      <c r="B71" s="90">
        <v>30</v>
      </c>
      <c r="C71" s="39"/>
      <c r="D71" s="1"/>
    </row>
    <row r="72" spans="1:4" x14ac:dyDescent="0.35">
      <c r="A72" s="1" t="s">
        <v>471</v>
      </c>
      <c r="B72" s="179">
        <f>$B$15*$B$64</f>
        <v>150.59519999999998</v>
      </c>
      <c r="C72" s="39"/>
      <c r="D72" s="1"/>
    </row>
    <row r="73" spans="1:4" ht="29" x14ac:dyDescent="0.35">
      <c r="A73" s="45" t="s">
        <v>464</v>
      </c>
      <c r="B73" s="186">
        <v>0.51</v>
      </c>
      <c r="C73" s="39" t="s">
        <v>382</v>
      </c>
      <c r="D73" s="1"/>
    </row>
    <row r="74" spans="1:4" x14ac:dyDescent="0.35">
      <c r="A74" s="1" t="s">
        <v>396</v>
      </c>
      <c r="B74" s="179">
        <f>$B$71*$B$70*$B$73</f>
        <v>3.8250000000000002</v>
      </c>
      <c r="C74" s="39" t="s">
        <v>397</v>
      </c>
      <c r="D74" s="13" t="s">
        <v>398</v>
      </c>
    </row>
    <row r="75" spans="1:4" x14ac:dyDescent="0.35">
      <c r="B75" s="29"/>
      <c r="C75" s="85"/>
    </row>
    <row r="76" spans="1:4" ht="18.5" x14ac:dyDescent="0.45">
      <c r="A76" s="227" t="s">
        <v>671</v>
      </c>
      <c r="B76" s="295" t="s">
        <v>375</v>
      </c>
      <c r="C76" s="303" t="s">
        <v>330</v>
      </c>
      <c r="D76" s="303" t="s">
        <v>331</v>
      </c>
    </row>
    <row r="77" spans="1:4" x14ac:dyDescent="0.35">
      <c r="A77" s="2" t="s">
        <v>667</v>
      </c>
      <c r="B77" s="90" t="s">
        <v>672</v>
      </c>
      <c r="C77" s="123" t="s">
        <v>669</v>
      </c>
      <c r="D77" s="1"/>
    </row>
    <row r="78" spans="1:4" x14ac:dyDescent="0.35">
      <c r="A78" s="2" t="s">
        <v>670</v>
      </c>
      <c r="B78" s="90">
        <v>1.5</v>
      </c>
      <c r="C78" s="39"/>
      <c r="D78" s="1"/>
    </row>
    <row r="79" spans="1:4" ht="43.5" x14ac:dyDescent="0.35">
      <c r="A79" s="1" t="s">
        <v>383</v>
      </c>
      <c r="B79" s="90">
        <v>0.25</v>
      </c>
      <c r="C79" s="125" t="s">
        <v>384</v>
      </c>
      <c r="D79" s="214" t="s">
        <v>673</v>
      </c>
    </row>
    <row r="80" spans="1:4" x14ac:dyDescent="0.35">
      <c r="A80" s="1" t="s">
        <v>411</v>
      </c>
      <c r="B80" s="90">
        <v>55.4</v>
      </c>
      <c r="C80" s="39"/>
      <c r="D80" s="1"/>
    </row>
    <row r="81" spans="1:4" x14ac:dyDescent="0.35">
      <c r="A81" s="1" t="s">
        <v>471</v>
      </c>
      <c r="B81" s="152">
        <f>$B$29*$B$64</f>
        <v>292.82400000000001</v>
      </c>
      <c r="C81" s="39"/>
      <c r="D81" s="1"/>
    </row>
    <row r="82" spans="1:4" ht="29" x14ac:dyDescent="0.35">
      <c r="A82" s="1" t="s">
        <v>464</v>
      </c>
      <c r="B82" s="90">
        <v>0.51</v>
      </c>
      <c r="C82" s="39" t="s">
        <v>382</v>
      </c>
      <c r="D82" s="1"/>
    </row>
    <row r="83" spans="1:4" x14ac:dyDescent="0.35">
      <c r="A83" s="1" t="s">
        <v>396</v>
      </c>
      <c r="B83" s="179">
        <f>$B$80*$B$79*$B$82</f>
        <v>7.0635000000000003</v>
      </c>
      <c r="C83" s="39" t="s">
        <v>397</v>
      </c>
      <c r="D83" s="13" t="s">
        <v>398</v>
      </c>
    </row>
    <row r="84" spans="1:4" x14ac:dyDescent="0.35">
      <c r="A84" s="45"/>
      <c r="B84" s="29"/>
      <c r="C84" s="85"/>
    </row>
    <row r="85" spans="1:4" ht="18.5" x14ac:dyDescent="0.45">
      <c r="A85" s="227" t="s">
        <v>674</v>
      </c>
      <c r="B85" s="295" t="s">
        <v>375</v>
      </c>
      <c r="C85" s="303" t="s">
        <v>330</v>
      </c>
      <c r="D85" s="303" t="s">
        <v>331</v>
      </c>
    </row>
    <row r="86" spans="1:4" x14ac:dyDescent="0.35">
      <c r="A86" s="2" t="s">
        <v>667</v>
      </c>
      <c r="B86" s="90" t="s">
        <v>675</v>
      </c>
      <c r="C86" s="123" t="s">
        <v>669</v>
      </c>
      <c r="D86" s="1"/>
    </row>
    <row r="87" spans="1:4" x14ac:dyDescent="0.35">
      <c r="A87" s="2" t="s">
        <v>670</v>
      </c>
      <c r="B87" s="90">
        <v>2.1349999999999998</v>
      </c>
      <c r="C87" s="39"/>
      <c r="D87" s="1"/>
    </row>
    <row r="88" spans="1:4" ht="43.5" x14ac:dyDescent="0.35">
      <c r="A88" s="1" t="s">
        <v>383</v>
      </c>
      <c r="B88" s="90">
        <v>0.25</v>
      </c>
      <c r="C88" s="125" t="s">
        <v>384</v>
      </c>
      <c r="D88" s="214" t="s">
        <v>385</v>
      </c>
    </row>
    <row r="89" spans="1:4" x14ac:dyDescent="0.35">
      <c r="A89" s="1" t="s">
        <v>411</v>
      </c>
      <c r="B89" s="90">
        <v>100</v>
      </c>
      <c r="C89" s="39"/>
      <c r="D89" s="1"/>
    </row>
    <row r="90" spans="1:4" x14ac:dyDescent="0.35">
      <c r="A90" s="1" t="s">
        <v>471</v>
      </c>
      <c r="B90" s="152">
        <f>$B$43*$B$64</f>
        <v>292.82400000000001</v>
      </c>
      <c r="C90" s="39"/>
      <c r="D90" s="1"/>
    </row>
    <row r="91" spans="1:4" ht="29" x14ac:dyDescent="0.35">
      <c r="A91" s="1" t="s">
        <v>464</v>
      </c>
      <c r="B91" s="90">
        <v>0.51</v>
      </c>
      <c r="C91" s="39" t="s">
        <v>382</v>
      </c>
      <c r="D91" s="1"/>
    </row>
    <row r="92" spans="1:4" ht="14" customHeight="1" x14ac:dyDescent="0.35">
      <c r="A92" s="1" t="s">
        <v>396</v>
      </c>
      <c r="B92" s="179">
        <f>$B$89*$B$88*$B$91</f>
        <v>12.75</v>
      </c>
      <c r="C92" s="39" t="s">
        <v>397</v>
      </c>
      <c r="D92" s="13" t="s">
        <v>398</v>
      </c>
    </row>
    <row r="93" spans="1:4" ht="14" customHeight="1" x14ac:dyDescent="0.35">
      <c r="B93" s="146"/>
      <c r="C93" s="85"/>
    </row>
    <row r="94" spans="1:4" ht="14" customHeight="1" x14ac:dyDescent="0.35">
      <c r="A94" s="1" t="s">
        <v>371</v>
      </c>
      <c r="B94" s="112">
        <v>0.51</v>
      </c>
      <c r="C94" s="2" t="s">
        <v>372</v>
      </c>
      <c r="D94" s="1"/>
    </row>
    <row r="95" spans="1:4" x14ac:dyDescent="0.35">
      <c r="B95" s="47"/>
      <c r="C95" s="85"/>
    </row>
    <row r="96" spans="1:4" x14ac:dyDescent="0.35">
      <c r="B96" s="47"/>
      <c r="C96" s="85"/>
    </row>
    <row r="97" spans="1:9" ht="18.5" x14ac:dyDescent="0.45">
      <c r="A97" s="74" t="s">
        <v>439</v>
      </c>
      <c r="B97" s="47"/>
      <c r="C97" s="85"/>
    </row>
    <row r="98" spans="1:9" ht="21" x14ac:dyDescent="0.5">
      <c r="A98" s="82"/>
      <c r="B98" s="47"/>
      <c r="C98" s="85"/>
    </row>
    <row r="99" spans="1:9" x14ac:dyDescent="0.35">
      <c r="A99" t="s">
        <v>676</v>
      </c>
      <c r="B99" s="47"/>
      <c r="C99" s="85"/>
    </row>
    <row r="100" spans="1:9" ht="18.5" x14ac:dyDescent="0.45">
      <c r="A100" s="74"/>
      <c r="B100" s="47"/>
      <c r="C100" s="85"/>
    </row>
    <row r="101" spans="1:9" x14ac:dyDescent="0.35">
      <c r="A101" s="62" t="s">
        <v>441</v>
      </c>
      <c r="B101" s="62" t="s">
        <v>471</v>
      </c>
      <c r="C101" s="303" t="s">
        <v>396</v>
      </c>
      <c r="D101" s="299" t="s">
        <v>539</v>
      </c>
      <c r="E101" s="62" t="s">
        <v>411</v>
      </c>
    </row>
    <row r="102" spans="1:9" x14ac:dyDescent="0.35">
      <c r="A102" s="2" t="s">
        <v>106</v>
      </c>
      <c r="B102" s="152">
        <v>0</v>
      </c>
      <c r="C102" s="292">
        <v>0</v>
      </c>
      <c r="D102" s="177">
        <v>0</v>
      </c>
      <c r="E102" s="154">
        <v>0</v>
      </c>
    </row>
    <row r="103" spans="1:9" x14ac:dyDescent="0.35">
      <c r="A103" s="1" t="s">
        <v>677</v>
      </c>
      <c r="B103" s="152">
        <f>$B$15</f>
        <v>86.054399999999987</v>
      </c>
      <c r="C103" s="293">
        <f>$B$16</f>
        <v>3.1875</v>
      </c>
      <c r="D103" s="177">
        <f>$C$103/$B$103</f>
        <v>3.7040523203926826E-2</v>
      </c>
      <c r="E103" s="154">
        <f>$B$9</f>
        <v>25</v>
      </c>
    </row>
    <row r="104" spans="1:9" x14ac:dyDescent="0.35">
      <c r="A104" s="1" t="s">
        <v>104</v>
      </c>
      <c r="B104" s="152">
        <f>$B$29</f>
        <v>167.328</v>
      </c>
      <c r="C104" s="293">
        <f>$B$30</f>
        <v>16.447500000000002</v>
      </c>
      <c r="D104" s="177">
        <f>$C$104/$B$104</f>
        <v>9.8294965576592092E-2</v>
      </c>
      <c r="E104" s="154">
        <f>$B$24</f>
        <v>129</v>
      </c>
    </row>
    <row r="105" spans="1:9" x14ac:dyDescent="0.35">
      <c r="A105" s="1" t="s">
        <v>678</v>
      </c>
      <c r="B105" s="152">
        <f>$B$43</f>
        <v>167.328</v>
      </c>
      <c r="C105" s="293">
        <f>$B$44</f>
        <v>45.134999999999998</v>
      </c>
      <c r="D105" s="177">
        <f>$C$105/$B$105</f>
        <v>0.26973967297762474</v>
      </c>
      <c r="E105" s="154">
        <f>$B$38</f>
        <v>354</v>
      </c>
    </row>
    <row r="106" spans="1:9" x14ac:dyDescent="0.35">
      <c r="A106" s="1" t="s">
        <v>679</v>
      </c>
      <c r="B106" s="179">
        <f>$B$72</f>
        <v>150.59519999999998</v>
      </c>
      <c r="C106" s="293">
        <f>$B$74</f>
        <v>3.8250000000000002</v>
      </c>
      <c r="D106" s="177">
        <f>$C$106/$B$106</f>
        <v>2.5399215911264109E-2</v>
      </c>
      <c r="E106" s="154">
        <f>$B$71</f>
        <v>30</v>
      </c>
    </row>
    <row r="107" spans="1:9" x14ac:dyDescent="0.35">
      <c r="A107" s="1" t="s">
        <v>111</v>
      </c>
      <c r="B107" s="152">
        <f>$B$81</f>
        <v>292.82400000000001</v>
      </c>
      <c r="C107" s="293">
        <f>$B$83</f>
        <v>7.0635000000000003</v>
      </c>
      <c r="D107" s="177">
        <f>$C$107/$B$107</f>
        <v>2.412199819686911E-2</v>
      </c>
      <c r="E107" s="154">
        <f>$B$80</f>
        <v>55.4</v>
      </c>
    </row>
    <row r="108" spans="1:9" x14ac:dyDescent="0.35">
      <c r="A108" s="1" t="s">
        <v>680</v>
      </c>
      <c r="B108" s="152">
        <f>$B$90</f>
        <v>292.82400000000001</v>
      </c>
      <c r="C108" s="293">
        <f>$B$92</f>
        <v>12.75</v>
      </c>
      <c r="D108" s="177">
        <f>$C$108/$B$108</f>
        <v>4.3541512990738461E-2</v>
      </c>
      <c r="E108" s="154">
        <f>$B$89</f>
        <v>100</v>
      </c>
    </row>
    <row r="109" spans="1:9" x14ac:dyDescent="0.35">
      <c r="A109" s="1" t="s">
        <v>681</v>
      </c>
      <c r="B109" s="152">
        <v>0</v>
      </c>
      <c r="C109" s="292">
        <v>0</v>
      </c>
      <c r="D109" s="177">
        <v>0</v>
      </c>
      <c r="E109" s="154">
        <v>0</v>
      </c>
    </row>
    <row r="110" spans="1:9" x14ac:dyDescent="0.35">
      <c r="A110" s="1" t="s">
        <v>108</v>
      </c>
      <c r="B110" s="179">
        <f>$B$57</f>
        <v>154.33669565217394</v>
      </c>
      <c r="C110" s="293">
        <f>$B$58</f>
        <v>20.399999999999999</v>
      </c>
      <c r="D110" s="177">
        <f>$C$110/$B$110</f>
        <v>0.13217854583316427</v>
      </c>
      <c r="E110" s="154">
        <f>$B$50</f>
        <v>160</v>
      </c>
      <c r="I110" s="12"/>
    </row>
    <row r="111" spans="1:9" x14ac:dyDescent="0.35">
      <c r="A111" s="1" t="s">
        <v>682</v>
      </c>
      <c r="B111" s="152">
        <v>0</v>
      </c>
      <c r="C111" s="292">
        <v>0</v>
      </c>
      <c r="D111" s="177">
        <v>0</v>
      </c>
      <c r="E111" s="154">
        <v>0</v>
      </c>
    </row>
    <row r="112" spans="1:9" x14ac:dyDescent="0.35">
      <c r="B112" s="29"/>
      <c r="C112" s="85"/>
    </row>
    <row r="113" spans="1:1384" x14ac:dyDescent="0.35">
      <c r="B113" s="29"/>
      <c r="C113" s="85"/>
    </row>
    <row r="114" spans="1:1384" x14ac:dyDescent="0.35">
      <c r="B114" s="29"/>
      <c r="C114" s="85"/>
    </row>
    <row r="115" spans="1:1384" x14ac:dyDescent="0.35">
      <c r="B115" s="29"/>
      <c r="C115" s="85"/>
    </row>
    <row r="116" spans="1:1384" ht="21" x14ac:dyDescent="0.5">
      <c r="A116" s="99" t="s">
        <v>683</v>
      </c>
      <c r="B116" s="29"/>
      <c r="C116" s="85"/>
    </row>
    <row r="117" spans="1:1384" s="28" customFormat="1" ht="20.5" customHeight="1" x14ac:dyDescent="0.35">
      <c r="A117"/>
      <c r="B117" s="29"/>
      <c r="C117" s="85"/>
    </row>
    <row r="118" spans="1:1384" ht="107" customHeight="1" x14ac:dyDescent="0.35">
      <c r="A118" s="302" t="s">
        <v>451</v>
      </c>
      <c r="B118" s="302" t="s">
        <v>452</v>
      </c>
      <c r="C118" s="302" t="s">
        <v>684</v>
      </c>
      <c r="D118" s="302" t="s">
        <v>454</v>
      </c>
      <c r="E118" s="302" t="s">
        <v>471</v>
      </c>
      <c r="F118" s="302" t="s">
        <v>539</v>
      </c>
      <c r="G118" s="302" t="s">
        <v>411</v>
      </c>
      <c r="H118" s="103" t="s">
        <v>279</v>
      </c>
      <c r="I118" s="103" t="s">
        <v>280</v>
      </c>
      <c r="J118" s="103" t="s">
        <v>281</v>
      </c>
      <c r="K118" s="103" t="s">
        <v>282</v>
      </c>
      <c r="L118" s="103" t="s">
        <v>283</v>
      </c>
      <c r="M118" s="103" t="s">
        <v>284</v>
      </c>
      <c r="N118" s="103" t="s">
        <v>285</v>
      </c>
      <c r="O118" s="103" t="s">
        <v>286</v>
      </c>
      <c r="P118" s="103" t="s">
        <v>287</v>
      </c>
      <c r="Q118" s="103" t="s">
        <v>288</v>
      </c>
      <c r="R118" s="103" t="s">
        <v>289</v>
      </c>
      <c r="S118" s="103" t="s">
        <v>290</v>
      </c>
      <c r="T118" s="103" t="s">
        <v>291</v>
      </c>
      <c r="U118" s="103" t="s">
        <v>292</v>
      </c>
      <c r="V118" s="103" t="s">
        <v>293</v>
      </c>
      <c r="W118" s="103" t="s">
        <v>294</v>
      </c>
      <c r="X118" s="103" t="s">
        <v>295</v>
      </c>
      <c r="Y118" s="103" t="s">
        <v>296</v>
      </c>
      <c r="Z118" s="103" t="s">
        <v>297</v>
      </c>
    </row>
    <row r="119" spans="1:1384" ht="20" customHeight="1" x14ac:dyDescent="0.35">
      <c r="A119" s="1" t="s">
        <v>685</v>
      </c>
      <c r="B119" s="125"/>
      <c r="C119" s="125"/>
      <c r="D119" s="125"/>
      <c r="E119" s="125"/>
      <c r="F119" s="125"/>
      <c r="G119" s="125"/>
      <c r="H119" s="105"/>
      <c r="I119" s="105"/>
      <c r="J119" s="105"/>
      <c r="K119" s="105"/>
      <c r="L119" s="105"/>
      <c r="M119" s="105"/>
      <c r="N119" s="105"/>
      <c r="O119" s="105"/>
      <c r="P119" s="105"/>
      <c r="Q119" s="105"/>
      <c r="R119" s="105"/>
      <c r="S119" s="105"/>
      <c r="T119" s="105"/>
      <c r="U119" s="105"/>
      <c r="V119" s="105"/>
      <c r="W119" s="105"/>
      <c r="X119" s="105"/>
      <c r="Y119" s="105"/>
      <c r="Z119" s="105"/>
    </row>
    <row r="120" spans="1:1384" x14ac:dyDescent="0.35">
      <c r="A120" s="35" t="s">
        <v>686</v>
      </c>
      <c r="B120" s="1"/>
      <c r="C120" s="53"/>
      <c r="D120" s="1"/>
      <c r="E120" s="1"/>
      <c r="F120" s="1"/>
      <c r="G120" s="1"/>
      <c r="H120" s="1"/>
      <c r="I120" s="1"/>
      <c r="J120" s="1"/>
      <c r="K120" s="1"/>
      <c r="L120" s="1"/>
      <c r="M120" s="1"/>
      <c r="N120" s="1"/>
      <c r="O120" s="1"/>
      <c r="P120" s="1"/>
      <c r="Q120" s="1"/>
      <c r="R120" s="1"/>
      <c r="S120" s="1"/>
      <c r="T120" s="1"/>
      <c r="U120" s="1"/>
      <c r="V120" s="1"/>
      <c r="W120" s="1"/>
      <c r="X120" s="1"/>
      <c r="Y120" s="1"/>
      <c r="Z120" s="1"/>
    </row>
    <row r="121" spans="1:1384" x14ac:dyDescent="0.35">
      <c r="A121" s="1" t="s">
        <v>103</v>
      </c>
      <c r="B121" s="154" t="str">
        <f>Input!$B$68</f>
        <v>No_paver</v>
      </c>
      <c r="C121" s="182">
        <v>1</v>
      </c>
      <c r="D121" s="154" t="str">
        <f>Input!$C$68</f>
        <v>No</v>
      </c>
      <c r="E121" s="154">
        <f>INDEX($B$102:$B$111,MATCH($B121,$A$102:$A$111,0))</f>
        <v>0</v>
      </c>
      <c r="F121" s="154">
        <f>INDEX($D$102:$D$111,MATCH($B121,$A$102:$A$111,0))</f>
        <v>0</v>
      </c>
      <c r="G121" s="154">
        <f>INDEX($E$102:$E$111,MATCH($B121,$A$102:$A$111,0))</f>
        <v>0</v>
      </c>
      <c r="H121" s="154" cm="1">
        <f t="array" ref="H121">INDEX(LCI!H$2:H$137,MATCH($A$119&amp;$D121,LCI!$B$2:$B$137&amp;LCI!$D$2:$D$137,0))*IF(OR($D121="Electric", $D121="Electric_green"), ($G121/$E121)*$B$94, $F121)</f>
        <v>0</v>
      </c>
      <c r="I121" s="154" cm="1">
        <f t="array" ref="I121">INDEX(LCI!I$2:I$137,MATCH($A$119&amp;$D121,LCI!$B$2:$B$137&amp;LCI!$D$2:$D$137,0))*IF(OR($D121="Electric", $D121="Electric_green"), ($G121/$E121)*$B$94, $F121)</f>
        <v>0</v>
      </c>
      <c r="J121" s="154" cm="1">
        <f t="array" ref="J121">INDEX(LCI!J$2:J$137,MATCH($A$119&amp;$D121,LCI!$B$2:$B$137&amp;LCI!$D$2:$D$137,0))*IF(OR($D121="Electric", $D121="Electric_green"), ($G121/$E121)*$B$94, $F121)</f>
        <v>0</v>
      </c>
      <c r="K121" s="154" cm="1">
        <f t="array" ref="K121">INDEX(LCI!K$2:K$137,MATCH($A$119&amp;$D121,LCI!$B$2:$B$137&amp;LCI!$D$2:$D$137,0))*IF(OR($D121="Electric", $D121="Electric_green"), ($G121/$E121)*$B$94, $F121)</f>
        <v>0</v>
      </c>
      <c r="L121" s="154" cm="1">
        <f t="array" ref="L121">INDEX(LCI!L$2:L$137,MATCH($A$119&amp;$D121,LCI!$B$2:$B$137&amp;LCI!$D$2:$D$137,0))*IF(OR($D121="Electric", $D121="Electric_green"), ($G121/$E121)*$B$94, $F121)</f>
        <v>0</v>
      </c>
      <c r="M121" s="154" cm="1">
        <f t="array" ref="M121">INDEX(LCI!M$2:M$137,MATCH($A$119&amp;$D121,LCI!$B$2:$B$137&amp;LCI!$D$2:$D$137,0))*IF(OR($D121="Electric", $D121="Electric_green"), ($G121/$E121)*$B$94, $F121)</f>
        <v>0</v>
      </c>
      <c r="N121" s="154" cm="1">
        <f t="array" ref="N121">INDEX(LCI!N$2:N$137,MATCH($A$119&amp;$D121,LCI!$B$2:$B$137&amp;LCI!$D$2:$D$137,0))*IF(OR($D121="Electric", $D121="Electric_green"), ($G121/$E121)*$B$94, $F121)</f>
        <v>0</v>
      </c>
      <c r="O121" s="154" cm="1">
        <f t="array" ref="O121">INDEX(LCI!O$2:O$137,MATCH($A$119&amp;$D121,LCI!$B$2:$B$137&amp;LCI!$D$2:$D$137,0))*IF(OR($D121="Electric", $D121="Electric_green"), ($G121/$E121)*$B$94, $F121)</f>
        <v>0</v>
      </c>
      <c r="P121" s="154" cm="1">
        <f t="array" ref="P121">INDEX(LCI!P$2:P$137,MATCH($A$119&amp;$D121,LCI!$B$2:$B$137&amp;LCI!$D$2:$D$137,0))*IF(OR($D121="Electric", $D121="Electric_green"), ($G121/$E121)*$B$94, $F121)</f>
        <v>0</v>
      </c>
      <c r="Q121" s="154" cm="1">
        <f t="array" ref="Q121">INDEX(LCI!Q$2:Q$137,MATCH($A$119&amp;$D121,LCI!$B$2:$B$137&amp;LCI!$D$2:$D$137,0))*IF(OR($D121="Electric", $D121="Electric_green"), ($G121/$E121)*$B$94, $F121)</f>
        <v>0</v>
      </c>
      <c r="R121" s="154" cm="1">
        <f t="array" ref="R121">INDEX(LCI!R$2:R$137,MATCH($A$119&amp;$D121,LCI!$B$2:$B$137&amp;LCI!$D$2:$D$137,0))*IF(OR($D121="Electric", $D121="Electric_green"), ($G121/$E121)*$B$94, $F121)</f>
        <v>0</v>
      </c>
      <c r="S121" s="154" cm="1">
        <f t="array" ref="S121">INDEX(LCI!S$2:S$137,MATCH($A$119&amp;$D121,LCI!$B$2:$B$137&amp;LCI!$D$2:$D$137,0))*IF(OR($D121="Electric", $D121="Electric_green"), ($G121/$E121)*$B$94, $F121)</f>
        <v>0</v>
      </c>
      <c r="T121" s="154" cm="1">
        <f t="array" ref="T121">INDEX(LCI!T$2:T$137,MATCH($A$119&amp;$D121,LCI!$B$2:$B$137&amp;LCI!$D$2:$D$137,0))*IF(OR($D121="Electric", $D121="Electric_green"), ($G121/$E121)*$B$94, $F121)</f>
        <v>0</v>
      </c>
      <c r="U121" s="154" cm="1">
        <f t="array" ref="U121">INDEX(LCI!U$2:U$137,MATCH($A$119&amp;$D121,LCI!$B$2:$B$137&amp;LCI!$D$2:$D$137,0))*IF(OR($D121="Electric", $D121="Electric_green"), ($G121/$E121)*$B$94, $F121)</f>
        <v>0</v>
      </c>
      <c r="V121" s="154" cm="1">
        <f t="array" ref="V121">INDEX(LCI!V$2:V$137,MATCH($A$119&amp;$D121,LCI!$B$2:$B$137&amp;LCI!$D$2:$D$137,0))*IF(OR($D121="Electric", $D121="Electric_green"), ($G121/$E121)*$B$94, $F121)</f>
        <v>0</v>
      </c>
      <c r="W121" s="154" cm="1">
        <f t="array" ref="W121">INDEX(LCI!W$2:W$137,MATCH($A$119&amp;$D121,LCI!$B$2:$B$137&amp;LCI!$D$2:$D$137,0))*IF(OR($D121="Electric", $D121="Electric_green"), ($G121/$E121)*$B$94, $F121)</f>
        <v>0</v>
      </c>
      <c r="X121" s="154" cm="1">
        <f t="array" ref="X121">INDEX(LCI!X$2:X$137,MATCH($A$119&amp;$D121,LCI!$B$2:$B$137&amp;LCI!$D$2:$D$137,0))*IF(OR($D121="Electric", $D121="Electric_green"), ($G121/$E121)*$B$94, $F121)</f>
        <v>0</v>
      </c>
      <c r="Y121" s="154" cm="1">
        <f t="array" ref="Y121">INDEX(LCI!Y$2:Y$137,MATCH($A$119&amp;$D121,LCI!$B$2:$B$137&amp;LCI!$D$2:$D$137,0))*IF(OR($D121="Electric", $D121="Electric_green"), ($G121/$E121)*$B$94, $F121)</f>
        <v>0</v>
      </c>
      <c r="Z121" s="154" cm="1">
        <f t="array" ref="Z121">INDEX(LCI!Z$2:Z$137,MATCH($A$119&amp;$D121,LCI!$B$2:$B$137&amp;LCI!$D$2:$D$137,0))*IF(OR($D121="Electric", $D121="Electric_green"), ($G121/$E121)*$B$94, $F121)</f>
        <v>0</v>
      </c>
    </row>
    <row r="122" spans="1:1384" x14ac:dyDescent="0.35">
      <c r="A122" s="1" t="s">
        <v>105</v>
      </c>
      <c r="B122" s="154" t="str">
        <f>Input!$B$69</f>
        <v>Paver_medium_scale_project_129kW</v>
      </c>
      <c r="C122" s="182">
        <v>1</v>
      </c>
      <c r="D122" s="154" t="str">
        <f>Input!$C$69</f>
        <v>Diesel</v>
      </c>
      <c r="E122" s="154">
        <f>INDEX($B$102:$B$111,MATCH($B122,$A$102:$A$111,0))</f>
        <v>167.328</v>
      </c>
      <c r="F122" s="154">
        <f>INDEX($D$102:$D$111,MATCH($B122,$A$102:$A$111,0))</f>
        <v>9.8294965576592092E-2</v>
      </c>
      <c r="G122" s="154">
        <f>INDEX($E$102:$E$111,MATCH($B122,$A$102:$A$111,0))</f>
        <v>129</v>
      </c>
      <c r="H122" s="154" cm="1">
        <f t="array" ref="H122">INDEX(LCI!H$2:H$137,MATCH($A$119&amp;$D122,LCI!$B$2:$B$137&amp;LCI!$D$2:$D$137,0))*IF(OR($D122="Electric", $D122="Electric_green"), ($G122/$E122)*$B$94, $F122)</f>
        <v>5.2131186993360258E-4</v>
      </c>
      <c r="I122" s="154" cm="1">
        <f t="array" ref="I122">INDEX(LCI!I$2:I$137,MATCH($A$119&amp;$D122,LCI!$B$2:$B$137&amp;LCI!$D$2:$D$137,0))*IF(OR($D122="Electric", $D122="Electric_green"), ($G122/$E122)*$B$94, $F122)</f>
        <v>0.40775681670534125</v>
      </c>
      <c r="J122" s="154" cm="1">
        <f t="array" ref="J122">INDEX(LCI!J$2:J$137,MATCH($A$119&amp;$D122,LCI!$B$2:$B$137&amp;LCI!$D$2:$D$137,0))*IF(OR($D122="Electric", $D122="Electric_green"), ($G122/$E122)*$B$94, $F122)</f>
        <v>8.4272991329705047E-5</v>
      </c>
      <c r="K122" s="154" cm="1">
        <f t="array" ref="K122">INDEX(LCI!K$2:K$137,MATCH($A$119&amp;$D122,LCI!$B$2:$B$137&amp;LCI!$D$2:$D$137,0))*IF(OR($D122="Electric", $D122="Electric_green"), ($G122/$E122)*$B$94, $F122)</f>
        <v>0.40765451164230682</v>
      </c>
      <c r="L122" s="154" cm="1">
        <f t="array" ref="L122">INDEX(LCI!L$2:L$137,MATCH($A$119&amp;$D122,LCI!$B$2:$B$137&amp;LCI!$D$2:$D$137,0))*IF(OR($D122="Electric", $D122="Electric_green"), ($G122/$E122)*$B$94, $F122)</f>
        <v>1.803207170472964E-5</v>
      </c>
      <c r="M122" s="154" cm="1">
        <f t="array" ref="M122">INDEX(LCI!M$2:M$137,MATCH($A$119&amp;$D122,LCI!$B$2:$B$137&amp;LCI!$D$2:$D$137,0))*IF(OR($D122="Electric", $D122="Electric_green"), ($G122/$E122)*$B$94, $F122)</f>
        <v>0.180159449514772</v>
      </c>
      <c r="N122" s="154" cm="1">
        <f t="array" ref="N122">INDEX(LCI!N$2:N$137,MATCH($A$119&amp;$D122,LCI!$B$2:$B$137&amp;LCI!$D$2:$D$137,0))*IF(OR($D122="Electric", $D122="Electric_green"), ($G122/$E122)*$B$94, $F122)</f>
        <v>5.4161005129930588</v>
      </c>
      <c r="O122" s="154" cm="1">
        <f t="array" ref="O122">INDEX(LCI!O$2:O$137,MATCH($A$119&amp;$D122,LCI!$B$2:$B$137&amp;LCI!$D$2:$D$137,0))*IF(OR($D122="Electric", $D122="Electric_green"), ($G122/$E122)*$B$94, $F122)</f>
        <v>4.3105406685066843E-6</v>
      </c>
      <c r="P122" s="154" cm="1">
        <f t="array" ref="P122">INDEX(LCI!P$2:P$137,MATCH($A$119&amp;$D122,LCI!$B$2:$B$137&amp;LCI!$D$2:$D$137,0))*IF(OR($D122="Electric", $D122="Electric_green"), ($G122/$E122)*$B$94, $F122)</f>
        <v>1.1788559828821579E-4</v>
      </c>
      <c r="Q122" s="154" cm="1">
        <f t="array" ref="Q122">INDEX(LCI!Q$2:Q$137,MATCH($A$119&amp;$D122,LCI!$B$2:$B$137&amp;LCI!$D$2:$D$137,0))*IF(OR($D122="Electric", $D122="Electric_green"), ($G122/$E122)*$B$94, $F122)</f>
        <v>1.2815617170995977E-3</v>
      </c>
      <c r="R122" s="154" cm="1">
        <f t="array" ref="R122">INDEX(LCI!R$2:R$137,MATCH($A$119&amp;$D122,LCI!$B$2:$B$137&amp;LCI!$D$2:$D$137,0))*IF(OR($D122="Electric", $D122="Electric_green"), ($G122/$E122)*$B$94, $F122)</f>
        <v>2.4918237487165866E-11</v>
      </c>
      <c r="S122" s="154" cm="1">
        <f t="array" ref="S122">INDEX(LCI!S$2:S$137,MATCH($A$119&amp;$D122,LCI!$B$2:$B$137&amp;LCI!$D$2:$D$137,0))*IF(OR($D122="Electric", $D122="Electric_green"), ($G122/$E122)*$B$94, $F122)</f>
        <v>6.6417272359011835E-10</v>
      </c>
      <c r="T122" s="154" cm="1">
        <f t="array" ref="T122">INDEX(LCI!T$2:T$137,MATCH($A$119&amp;$D122,LCI!$B$2:$B$137&amp;LCI!$D$2:$D$137,0))*IF(OR($D122="Electric", $D122="Electric_green"), ($G122/$E122)*$B$94, $F122)</f>
        <v>1.6262290771683365E-3</v>
      </c>
      <c r="U122" s="154" cm="1">
        <f t="array" ref="U122">INDEX(LCI!U$2:U$137,MATCH($A$119&amp;$D122,LCI!$B$2:$B$137&amp;LCI!$D$2:$D$137,0))*IF(OR($D122="Electric", $D122="Electric_green"), ($G122/$E122)*$B$94, $F122)</f>
        <v>0.27846571304235684</v>
      </c>
      <c r="V122" s="154" cm="1">
        <f t="array" ref="V122">INDEX(LCI!V$2:V$137,MATCH($A$119&amp;$D122,LCI!$B$2:$B$137&amp;LCI!$D$2:$D$137,0))*IF(OR($D122="Electric", $D122="Electric_green"), ($G122/$E122)*$B$94, $F122)</f>
        <v>6.3582296078913462E-8</v>
      </c>
      <c r="W122" s="154" cm="1">
        <f t="array" ref="W122">INDEX(LCI!W$2:W$137,MATCH($A$119&amp;$D122,LCI!$B$2:$B$137&amp;LCI!$D$2:$D$137,0))*IF(OR($D122="Electric", $D122="Electric_green"), ($G122/$E122)*$B$94, $F122)</f>
        <v>9.1886439293190308E-9</v>
      </c>
      <c r="X122" s="154" cm="1">
        <f t="array" ref="X122">INDEX(LCI!X$2:X$137,MATCH($A$119&amp;$D122,LCI!$B$2:$B$137&amp;LCI!$D$2:$D$137,0))*IF(OR($D122="Electric", $D122="Electric_green"), ($G122/$E122)*$B$94, $F122)</f>
        <v>4.016102893072799E-9</v>
      </c>
      <c r="Y122" s="154" cm="1">
        <f t="array" ref="Y122">INDEX(LCI!Y$2:Y$137,MATCH($A$119&amp;$D122,LCI!$B$2:$B$137&amp;LCI!$D$2:$D$137,0))*IF(OR($D122="Electric", $D122="Electric_green"), ($G122/$E122)*$B$94, $F122)</f>
        <v>1.0043607401188179E-3</v>
      </c>
      <c r="Z122" s="154" cm="1">
        <f t="array" ref="Z122">INDEX(LCI!Z$2:Z$137,MATCH($A$119&amp;$D122,LCI!$B$2:$B$137&amp;LCI!$D$2:$D$137,0))*IF(OR($D122="Electric", $D122="Electric_green"), ($G122/$E122)*$B$94, $F122)</f>
        <v>7.3302820196924313E-3</v>
      </c>
    </row>
    <row r="123" spans="1:1384" s="26" customFormat="1" ht="14" customHeight="1" x14ac:dyDescent="0.35">
      <c r="A123" s="1" t="s">
        <v>107</v>
      </c>
      <c r="B123" s="154" t="str">
        <f>Input!$B$70</f>
        <v>Excavator_Hitachi_ZX1357_160kW</v>
      </c>
      <c r="C123" s="182">
        <v>1</v>
      </c>
      <c r="D123" s="152" t="str">
        <f>Input!$C$70</f>
        <v>Diesel</v>
      </c>
      <c r="E123" s="154">
        <f>INDEX($B$102:$B$111,MATCH($B123,$A$102:$A$111,0))</f>
        <v>154.33669565217394</v>
      </c>
      <c r="F123" s="154">
        <f>INDEX($D$102:$D$111,MATCH($B123,$A$102:$A$111,0))</f>
        <v>0.13217854583316427</v>
      </c>
      <c r="G123" s="154">
        <f>INDEX($E$102:$E$111,MATCH($B123,$A$102:$A$111,0))</f>
        <v>160</v>
      </c>
      <c r="H123" s="154" cm="1">
        <f t="array" ref="H123">INDEX(LCI!H$2:H$137,MATCH($A$119&amp;$D123,LCI!$B$2:$B$137&amp;LCI!$D$2:$D$137,0))*IF(OR($D123="Electric", $D123="Electric_green"), ($G123/$E123)*$B$94, $F123)</f>
        <v>7.0101499592773201E-4</v>
      </c>
      <c r="I123" s="154" cm="1">
        <f t="array" ref="I123">INDEX(LCI!I$2:I$137,MATCH($A$119&amp;$D123,LCI!$B$2:$B$137&amp;LCI!$D$2:$D$137,0))*IF(OR($D123="Electric", $D123="Electric_green"), ($G123/$E123)*$B$94, $F123)</f>
        <v>0.54831600753423571</v>
      </c>
      <c r="J123" s="154" cm="1">
        <f t="array" ref="J123">INDEX(LCI!J$2:J$137,MATCH($A$119&amp;$D123,LCI!$B$2:$B$137&amp;LCI!$D$2:$D$137,0))*IF(OR($D123="Electric", $D123="Electric_green"), ($G123/$E123)*$B$94, $F123)</f>
        <v>1.1332301081372908E-4</v>
      </c>
      <c r="K123" s="154" cm="1">
        <f t="array" ref="K123">INDEX(LCI!K$2:K$137,MATCH($A$119&amp;$D123,LCI!$B$2:$B$137&amp;LCI!$D$2:$D$137,0))*IF(OR($D123="Electric", $D123="Electric_green"), ($G123/$E123)*$B$94, $F123)</f>
        <v>0.54817843655708609</v>
      </c>
      <c r="L123" s="154" cm="1">
        <f t="array" ref="L123">INDEX(LCI!L$2:L$137,MATCH($A$119&amp;$D123,LCI!$B$2:$B$137&amp;LCI!$D$2:$D$137,0))*IF(OR($D123="Electric", $D123="Electric_green"), ($G123/$E123)*$B$94, $F123)</f>
        <v>2.4247966335908719E-5</v>
      </c>
      <c r="M123" s="154" cm="1">
        <f t="array" ref="M123">INDEX(LCI!M$2:M$137,MATCH($A$119&amp;$D123,LCI!$B$2:$B$137&amp;LCI!$D$2:$D$137,0))*IF(OR($D123="Electric", $D123="Electric_green"), ($G123/$E123)*$B$94, $F123)</f>
        <v>0.24226280476603371</v>
      </c>
      <c r="N123" s="154" cm="1">
        <f t="array" ref="N123">INDEX(LCI!N$2:N$137,MATCH($A$119&amp;$D123,LCI!$B$2:$B$137&amp;LCI!$D$2:$D$137,0))*IF(OR($D123="Electric", $D123="Electric_green"), ($G123/$E123)*$B$94, $F123)</f>
        <v>7.283102300248018</v>
      </c>
      <c r="O123" s="154" cm="1">
        <f t="array" ref="O123">INDEX(LCI!O$2:O$137,MATCH($A$119&amp;$D123,LCI!$B$2:$B$137&amp;LCI!$D$2:$D$137,0))*IF(OR($D123="Electric", $D123="Electric_green"), ($G123/$E123)*$B$94, $F123)</f>
        <v>5.7964412925498993E-6</v>
      </c>
      <c r="P123" s="154" cm="1">
        <f t="array" ref="P123">INDEX(LCI!P$2:P$137,MATCH($A$119&amp;$D123,LCI!$B$2:$B$137&amp;LCI!$D$2:$D$137,0))*IF(OR($D123="Electric", $D123="Electric_green"), ($G123/$E123)*$B$94, $F123)</f>
        <v>1.5852232985693826E-4</v>
      </c>
      <c r="Q123" s="154" cm="1">
        <f t="array" ref="Q123">INDEX(LCI!Q$2:Q$137,MATCH($A$119&amp;$D123,LCI!$B$2:$B$137&amp;LCI!$D$2:$D$137,0))*IF(OR($D123="Electric", $D123="Electric_green"), ($G123/$E123)*$B$94, $F123)</f>
        <v>1.7233330635808015E-3</v>
      </c>
      <c r="R123" s="154" cm="1">
        <f t="array" ref="R123">INDEX(LCI!R$2:R$137,MATCH($A$119&amp;$D123,LCI!$B$2:$B$137&amp;LCI!$D$2:$D$137,0))*IF(OR($D123="Electric", $D123="Electric_green"), ($G123/$E123)*$B$94, $F123)</f>
        <v>3.3507884930409653E-11</v>
      </c>
      <c r="S123" s="154" cm="1">
        <f t="array" ref="S123">INDEX(LCI!S$2:S$137,MATCH($A$119&amp;$D123,LCI!$B$2:$B$137&amp;LCI!$D$2:$D$137,0))*IF(OR($D123="Electric", $D123="Electric_green"), ($G123/$E123)*$B$94, $F123)</f>
        <v>8.9312188341719221E-10</v>
      </c>
      <c r="T123" s="154" cm="1">
        <f t="array" ref="T123">INDEX(LCI!T$2:T$137,MATCH($A$119&amp;$D123,LCI!$B$2:$B$137&amp;LCI!$D$2:$D$137,0))*IF(OR($D123="Electric", $D123="Electric_green"), ($G123/$E123)*$B$94, $F123)</f>
        <v>2.1868118407776123E-3</v>
      </c>
      <c r="U123" s="154" cm="1">
        <f t="array" ref="U123">INDEX(LCI!U$2:U$137,MATCH($A$119&amp;$D123,LCI!$B$2:$B$137&amp;LCI!$D$2:$D$137,0))*IF(OR($D123="Electric", $D123="Electric_green"), ($G123/$E123)*$B$94, $F123)</f>
        <v>0.37445654310396526</v>
      </c>
      <c r="V123" s="154" cm="1">
        <f t="array" ref="V123">INDEX(LCI!V$2:V$137,MATCH($A$119&amp;$D123,LCI!$B$2:$B$137&amp;LCI!$D$2:$D$137,0))*IF(OR($D123="Electric", $D123="Electric_green"), ($G123/$E123)*$B$94, $F123)</f>
        <v>8.5499958081737791E-8</v>
      </c>
      <c r="W123" s="154" cm="1">
        <f t="array" ref="W123">INDEX(LCI!W$2:W$137,MATCH($A$119&amp;$D123,LCI!$B$2:$B$137&amp;LCI!$D$2:$D$137,0))*IF(OR($D123="Electric", $D123="Electric_green"), ($G123/$E123)*$B$94, $F123)</f>
        <v>1.2356091541735607E-8</v>
      </c>
      <c r="X123" s="154" cm="1">
        <f t="array" ref="X123">INDEX(LCI!X$2:X$137,MATCH($A$119&amp;$D123,LCI!$B$2:$B$137&amp;LCI!$D$2:$D$137,0))*IF(OR($D123="Electric", $D123="Electric_green"), ($G123/$E123)*$B$94, $F123)</f>
        <v>5.4005069049959681E-9</v>
      </c>
      <c r="Y123" s="154" cm="1">
        <f t="array" ref="Y123">INDEX(LCI!Y$2:Y$137,MATCH($A$119&amp;$D123,LCI!$B$2:$B$137&amp;LCI!$D$2:$D$137,0))*IF(OR($D123="Electric", $D123="Electric_green"), ($G123/$E123)*$B$94, $F123)</f>
        <v>1.350577227857946E-3</v>
      </c>
      <c r="Z123" s="154" cm="1">
        <f t="array" ref="Z123">INDEX(LCI!Z$2:Z$137,MATCH($A$119&amp;$D123,LCI!$B$2:$B$137&amp;LCI!$D$2:$D$137,0))*IF(OR($D123="Electric", $D123="Electric_green"), ($G123/$E123)*$B$94, $F123)</f>
        <v>9.8571275978011092E-3</v>
      </c>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c r="CA123"/>
      <c r="CB123"/>
      <c r="CC123"/>
      <c r="CD123"/>
      <c r="CE123"/>
      <c r="CF123"/>
      <c r="CG123"/>
      <c r="CH123"/>
      <c r="CI123"/>
      <c r="CJ123"/>
      <c r="CK123"/>
      <c r="CL123"/>
      <c r="CM123"/>
      <c r="CN123"/>
      <c r="CO123"/>
      <c r="CP123"/>
      <c r="CQ123"/>
      <c r="CR123"/>
      <c r="CS123"/>
      <c r="CT123"/>
      <c r="CU123"/>
      <c r="CV123"/>
      <c r="CW123"/>
      <c r="CX123"/>
      <c r="CY123"/>
      <c r="CZ123"/>
      <c r="DA123"/>
      <c r="DB123"/>
      <c r="DC123"/>
      <c r="DD123"/>
      <c r="DE123"/>
      <c r="DF123"/>
      <c r="DG123"/>
      <c r="DH123"/>
      <c r="DI123"/>
      <c r="DJ123"/>
      <c r="DK123"/>
      <c r="DL123"/>
      <c r="DM123"/>
      <c r="DN123"/>
      <c r="DO123"/>
      <c r="DP123"/>
      <c r="DQ123"/>
      <c r="DR123"/>
      <c r="DS123"/>
      <c r="DT123"/>
      <c r="DU123"/>
      <c r="DV123"/>
      <c r="DW123"/>
      <c r="DX123"/>
      <c r="DY123"/>
      <c r="DZ123"/>
      <c r="EA123"/>
      <c r="EB123"/>
      <c r="EC123"/>
      <c r="ED123"/>
      <c r="EE123"/>
      <c r="EF123"/>
      <c r="EG123"/>
      <c r="EH123"/>
      <c r="EI123"/>
      <c r="EJ123"/>
      <c r="EK123"/>
      <c r="EL123"/>
      <c r="EM123"/>
      <c r="EN123"/>
      <c r="EO123"/>
      <c r="EP123"/>
      <c r="EQ123"/>
      <c r="ER123"/>
      <c r="ES123"/>
      <c r="ET123"/>
      <c r="EU123"/>
      <c r="EV123"/>
      <c r="EW123"/>
      <c r="EX123"/>
      <c r="EY123"/>
      <c r="EZ123"/>
      <c r="FA123"/>
      <c r="FB123"/>
      <c r="FC123"/>
      <c r="FD123"/>
      <c r="FE123"/>
      <c r="FF123"/>
      <c r="FG123"/>
      <c r="FH123"/>
      <c r="FI123"/>
      <c r="FJ123"/>
      <c r="FK123"/>
      <c r="FL123"/>
      <c r="FM123"/>
      <c r="FN123"/>
      <c r="FO123"/>
      <c r="FP123"/>
      <c r="FQ123"/>
      <c r="FR123"/>
      <c r="FS123"/>
      <c r="FT123"/>
      <c r="FU123"/>
      <c r="FV123"/>
      <c r="FW123"/>
      <c r="FX123"/>
      <c r="FY123"/>
      <c r="FZ123"/>
      <c r="GA123"/>
      <c r="GB123"/>
      <c r="GC123"/>
      <c r="GD123"/>
      <c r="GE123"/>
      <c r="GF123"/>
      <c r="GG123"/>
      <c r="GH123"/>
      <c r="GI123"/>
      <c r="GJ123"/>
      <c r="GK123"/>
      <c r="GL123"/>
      <c r="GM123"/>
      <c r="GN123"/>
      <c r="GO123"/>
      <c r="GP123"/>
      <c r="GQ123"/>
      <c r="GR123"/>
      <c r="GS123"/>
      <c r="GT123"/>
      <c r="GU123"/>
      <c r="GV123"/>
      <c r="GW123"/>
      <c r="GX123"/>
      <c r="GY123"/>
      <c r="GZ123"/>
      <c r="HA123"/>
      <c r="HB123"/>
      <c r="HC123"/>
      <c r="HD123"/>
      <c r="HE123"/>
      <c r="HF123"/>
      <c r="HG123"/>
      <c r="HH123"/>
      <c r="HI123"/>
      <c r="HJ123"/>
      <c r="HK123"/>
      <c r="HL123"/>
      <c r="HM123"/>
      <c r="HN123"/>
      <c r="HO123"/>
      <c r="HP123"/>
      <c r="HQ123"/>
      <c r="HR123"/>
      <c r="HS123"/>
      <c r="HT123"/>
      <c r="HU123"/>
      <c r="HV123"/>
      <c r="HW123"/>
      <c r="HX123"/>
      <c r="HY123"/>
      <c r="HZ123"/>
      <c r="IA123"/>
      <c r="IB123"/>
      <c r="IC123"/>
      <c r="ID123"/>
      <c r="IE123"/>
      <c r="IF123"/>
      <c r="IG123"/>
      <c r="IH123"/>
      <c r="II123"/>
      <c r="IJ123"/>
      <c r="IK123"/>
      <c r="IL123"/>
      <c r="IM123"/>
      <c r="IN123"/>
      <c r="IO123"/>
      <c r="IP123"/>
      <c r="IQ123"/>
      <c r="IR123"/>
      <c r="IS123"/>
      <c r="IT123"/>
      <c r="IU123"/>
      <c r="IV123"/>
      <c r="IW123"/>
      <c r="IX123"/>
      <c r="IY123"/>
      <c r="IZ123"/>
      <c r="JA123"/>
      <c r="JB123"/>
      <c r="JC123"/>
      <c r="JD123"/>
      <c r="JE123"/>
      <c r="JF123"/>
      <c r="JG123"/>
      <c r="JH123"/>
      <c r="JI123"/>
      <c r="JJ123"/>
      <c r="JK123"/>
      <c r="JL123"/>
      <c r="JM123"/>
      <c r="JN123"/>
      <c r="JO123"/>
      <c r="JP123"/>
      <c r="JQ123"/>
      <c r="JR123"/>
      <c r="JS123"/>
      <c r="JT123"/>
      <c r="JU123"/>
      <c r="JV123"/>
      <c r="JW123"/>
      <c r="JX123"/>
      <c r="JY123"/>
      <c r="JZ123"/>
      <c r="KA123"/>
      <c r="KB123"/>
      <c r="KC123"/>
      <c r="KD123"/>
      <c r="KE123"/>
      <c r="KF123"/>
      <c r="KG123"/>
      <c r="KH123"/>
      <c r="KI123"/>
      <c r="KJ123"/>
      <c r="KK123"/>
      <c r="KL123"/>
      <c r="KM123"/>
      <c r="KN123"/>
      <c r="KO123"/>
      <c r="KP123"/>
      <c r="KQ123"/>
      <c r="KR123"/>
      <c r="KS123"/>
      <c r="KT123"/>
      <c r="KU123"/>
      <c r="KV123"/>
      <c r="KW123"/>
      <c r="KX123"/>
      <c r="KY123"/>
      <c r="KZ123"/>
      <c r="LA123"/>
      <c r="LB123"/>
      <c r="LC123"/>
      <c r="LD123"/>
      <c r="LE123"/>
      <c r="LF123"/>
      <c r="LG123"/>
      <c r="LH123"/>
      <c r="LI123"/>
      <c r="LJ123"/>
      <c r="LK123"/>
      <c r="LL123"/>
      <c r="LM123"/>
      <c r="LN123"/>
      <c r="LO123"/>
      <c r="LP123"/>
      <c r="LQ123"/>
      <c r="LR123"/>
      <c r="LS123"/>
      <c r="LT123"/>
      <c r="LU123"/>
      <c r="LV123"/>
      <c r="LW123"/>
      <c r="LX123"/>
      <c r="LY123"/>
      <c r="LZ123"/>
      <c r="MA123"/>
      <c r="MB123"/>
      <c r="MC123"/>
      <c r="MD123"/>
      <c r="ME123"/>
      <c r="MF123"/>
      <c r="MG123"/>
      <c r="MH123"/>
      <c r="MI123"/>
      <c r="MJ123"/>
      <c r="MK123"/>
      <c r="ML123"/>
      <c r="MM123"/>
      <c r="MN123"/>
      <c r="MO123"/>
      <c r="MP123"/>
      <c r="MQ123"/>
      <c r="MR123"/>
      <c r="MS123"/>
      <c r="MT123"/>
      <c r="MU123"/>
      <c r="MV123"/>
      <c r="MW123"/>
      <c r="MX123"/>
      <c r="MY123"/>
      <c r="MZ123"/>
      <c r="NA123"/>
      <c r="NB123"/>
      <c r="NC123"/>
      <c r="ND123"/>
      <c r="NE123"/>
      <c r="NF123"/>
      <c r="NG123"/>
      <c r="NH123"/>
      <c r="NI123"/>
      <c r="NJ123"/>
      <c r="NK123"/>
      <c r="NL123"/>
      <c r="NM123"/>
      <c r="NN123"/>
      <c r="NO123"/>
      <c r="NP123"/>
      <c r="NQ123"/>
      <c r="NR123"/>
      <c r="NS123"/>
      <c r="NT123"/>
      <c r="NU123"/>
      <c r="NV123"/>
      <c r="NW123"/>
      <c r="NX123"/>
      <c r="NY123"/>
      <c r="NZ123"/>
      <c r="OA123"/>
      <c r="OB123"/>
      <c r="OC123"/>
      <c r="OD123"/>
      <c r="OE123"/>
      <c r="OF123"/>
      <c r="OG123"/>
      <c r="OH123"/>
      <c r="OI123"/>
      <c r="OJ123"/>
      <c r="OK123"/>
      <c r="OL123"/>
      <c r="OM123"/>
      <c r="ON123"/>
      <c r="OO123"/>
      <c r="OP123"/>
      <c r="OQ123"/>
      <c r="OR123"/>
      <c r="OS123"/>
      <c r="OT123"/>
      <c r="OU123"/>
      <c r="OV123"/>
      <c r="OW123"/>
      <c r="OX123"/>
      <c r="OY123"/>
      <c r="OZ123"/>
      <c r="PA123"/>
      <c r="PB123"/>
      <c r="PC123"/>
      <c r="PD123"/>
      <c r="PE123"/>
      <c r="PF123"/>
      <c r="PG123"/>
      <c r="PH123"/>
      <c r="PI123"/>
      <c r="PJ123"/>
      <c r="PK123"/>
      <c r="PL123"/>
      <c r="PM123"/>
      <c r="PN123"/>
      <c r="PO123"/>
      <c r="PP123"/>
      <c r="PQ123"/>
      <c r="PR123"/>
      <c r="PS123"/>
      <c r="PT123"/>
      <c r="PU123"/>
      <c r="PV123"/>
      <c r="PW123"/>
      <c r="PX123"/>
      <c r="PY123"/>
      <c r="PZ123"/>
      <c r="QA123"/>
      <c r="QB123"/>
      <c r="QC123"/>
      <c r="QD123"/>
      <c r="QE123"/>
      <c r="QF123"/>
      <c r="QG123"/>
      <c r="QH123"/>
      <c r="QI123"/>
      <c r="QJ123"/>
      <c r="QK123"/>
      <c r="QL123"/>
      <c r="QM123"/>
      <c r="QN123"/>
      <c r="QO123"/>
      <c r="QP123"/>
      <c r="QQ123"/>
      <c r="QR123"/>
      <c r="QS123"/>
      <c r="QT123"/>
      <c r="QU123"/>
      <c r="QV123"/>
      <c r="QW123"/>
      <c r="QX123"/>
      <c r="QY123"/>
      <c r="QZ123"/>
      <c r="RA123"/>
      <c r="RB123"/>
      <c r="RC123"/>
      <c r="RD123"/>
      <c r="RE123"/>
      <c r="RF123"/>
      <c r="RG123"/>
      <c r="RH123"/>
      <c r="RI123"/>
      <c r="RJ123"/>
      <c r="RK123"/>
      <c r="RL123"/>
      <c r="RM123"/>
      <c r="RN123"/>
      <c r="RO123"/>
      <c r="RP123"/>
      <c r="RQ123"/>
      <c r="RR123"/>
      <c r="RS123"/>
      <c r="RT123"/>
      <c r="RU123"/>
      <c r="RV123"/>
      <c r="RW123"/>
      <c r="RX123"/>
      <c r="RY123"/>
      <c r="RZ123"/>
      <c r="SA123"/>
      <c r="SB123"/>
      <c r="SC123"/>
      <c r="SD123"/>
      <c r="SE123"/>
      <c r="SF123"/>
      <c r="SG123"/>
      <c r="SH123"/>
      <c r="SI123"/>
      <c r="SJ123"/>
      <c r="SK123"/>
      <c r="SL123"/>
      <c r="SM123"/>
      <c r="SN123"/>
      <c r="SO123"/>
      <c r="SP123"/>
      <c r="SQ123"/>
      <c r="SR123"/>
      <c r="SS123"/>
      <c r="ST123"/>
      <c r="SU123"/>
      <c r="SV123"/>
      <c r="SW123"/>
      <c r="SX123"/>
      <c r="SY123"/>
      <c r="SZ123"/>
      <c r="TA123"/>
      <c r="TB123"/>
      <c r="TC123"/>
      <c r="TD123"/>
      <c r="TE123"/>
      <c r="TF123"/>
      <c r="TG123"/>
      <c r="TH123"/>
      <c r="TI123"/>
      <c r="TJ123"/>
      <c r="TK123"/>
      <c r="TL123"/>
      <c r="TM123"/>
      <c r="TN123"/>
      <c r="TO123"/>
      <c r="TP123"/>
      <c r="TQ123"/>
      <c r="TR123"/>
      <c r="TS123"/>
      <c r="TT123"/>
      <c r="TU123"/>
      <c r="TV123"/>
      <c r="TW123"/>
      <c r="TX123"/>
      <c r="TY123"/>
      <c r="TZ123"/>
      <c r="UA123"/>
      <c r="UB123"/>
      <c r="UC123"/>
      <c r="UD123"/>
      <c r="UE123"/>
      <c r="UF123"/>
      <c r="UG123"/>
      <c r="UH123"/>
      <c r="UI123"/>
      <c r="UJ123"/>
      <c r="UK123"/>
      <c r="UL123"/>
      <c r="UM123"/>
      <c r="UN123"/>
      <c r="UO123"/>
      <c r="UP123"/>
      <c r="UQ123"/>
      <c r="UR123"/>
      <c r="US123"/>
      <c r="UT123"/>
      <c r="UU123"/>
      <c r="UV123"/>
      <c r="UW123"/>
      <c r="UX123"/>
      <c r="UY123"/>
      <c r="UZ123"/>
      <c r="VA123"/>
      <c r="VB123"/>
      <c r="VC123"/>
      <c r="VD123"/>
      <c r="VE123"/>
      <c r="VF123"/>
      <c r="VG123"/>
      <c r="VH123"/>
      <c r="VI123"/>
      <c r="VJ123"/>
      <c r="VK123"/>
      <c r="VL123"/>
      <c r="VM123"/>
      <c r="VN123"/>
      <c r="VO123"/>
      <c r="VP123"/>
      <c r="VQ123"/>
      <c r="VR123"/>
      <c r="VS123"/>
      <c r="VT123"/>
      <c r="VU123"/>
      <c r="VV123"/>
      <c r="VW123"/>
      <c r="VX123"/>
      <c r="VY123"/>
      <c r="VZ123"/>
      <c r="WA123"/>
      <c r="WB123"/>
      <c r="WC123"/>
      <c r="WD123"/>
      <c r="WE123"/>
      <c r="WF123"/>
      <c r="WG123"/>
      <c r="WH123"/>
      <c r="WI123"/>
      <c r="WJ123"/>
      <c r="WK123"/>
      <c r="WL123"/>
      <c r="WM123"/>
      <c r="WN123"/>
      <c r="WO123"/>
      <c r="WP123"/>
      <c r="WQ123"/>
      <c r="WR123"/>
      <c r="WS123"/>
      <c r="WT123"/>
      <c r="WU123"/>
      <c r="WV123"/>
      <c r="WW123"/>
      <c r="WX123"/>
      <c r="WY123"/>
      <c r="WZ123"/>
      <c r="XA123"/>
      <c r="XB123"/>
      <c r="XC123"/>
      <c r="XD123"/>
      <c r="XE123"/>
      <c r="XF123"/>
      <c r="XG123"/>
      <c r="XH123"/>
      <c r="XI123"/>
      <c r="XJ123"/>
      <c r="XK123"/>
      <c r="XL123"/>
      <c r="XM123"/>
      <c r="XN123"/>
      <c r="XO123"/>
      <c r="XP123"/>
      <c r="XQ123"/>
      <c r="XR123"/>
      <c r="XS123"/>
      <c r="XT123"/>
      <c r="XU123"/>
      <c r="XV123"/>
      <c r="XW123"/>
      <c r="XX123"/>
      <c r="XY123"/>
      <c r="XZ123"/>
      <c r="YA123"/>
      <c r="YB123"/>
      <c r="YC123"/>
      <c r="YD123"/>
      <c r="YE123"/>
      <c r="YF123"/>
      <c r="YG123"/>
      <c r="YH123"/>
      <c r="YI123"/>
      <c r="YJ123"/>
      <c r="YK123"/>
      <c r="YL123"/>
      <c r="YM123"/>
      <c r="YN123"/>
      <c r="YO123"/>
      <c r="YP123"/>
      <c r="YQ123"/>
      <c r="YR123"/>
      <c r="YS123"/>
      <c r="YT123"/>
      <c r="YU123"/>
      <c r="YV123"/>
      <c r="YW123"/>
      <c r="YX123"/>
      <c r="YY123"/>
      <c r="YZ123"/>
      <c r="ZA123"/>
      <c r="ZB123"/>
      <c r="ZC123"/>
      <c r="ZD123"/>
      <c r="ZE123"/>
      <c r="ZF123"/>
      <c r="ZG123"/>
      <c r="ZH123"/>
      <c r="ZI123"/>
      <c r="ZJ123"/>
      <c r="ZK123"/>
      <c r="ZL123"/>
      <c r="ZM123"/>
      <c r="ZN123"/>
      <c r="ZO123"/>
      <c r="ZP123"/>
      <c r="ZQ123"/>
      <c r="ZR123"/>
      <c r="ZS123"/>
      <c r="ZT123"/>
      <c r="ZU123"/>
      <c r="ZV123"/>
      <c r="ZW123"/>
      <c r="ZX123"/>
      <c r="ZY123"/>
      <c r="ZZ123"/>
      <c r="AAA123"/>
      <c r="AAB123"/>
      <c r="AAC123"/>
      <c r="AAD123"/>
      <c r="AAE123"/>
      <c r="AAF123"/>
      <c r="AAG123"/>
      <c r="AAH123"/>
      <c r="AAI123"/>
      <c r="AAJ123"/>
      <c r="AAK123"/>
      <c r="AAL123"/>
      <c r="AAM123"/>
      <c r="AAN123"/>
      <c r="AAO123"/>
      <c r="AAP123"/>
      <c r="AAQ123"/>
      <c r="AAR123"/>
      <c r="AAS123"/>
      <c r="AAT123"/>
      <c r="AAU123"/>
      <c r="AAV123"/>
      <c r="AAW123"/>
      <c r="AAX123"/>
      <c r="AAY123"/>
      <c r="AAZ123"/>
      <c r="ABA123"/>
      <c r="ABB123"/>
      <c r="ABC123"/>
      <c r="ABD123"/>
      <c r="ABE123"/>
      <c r="ABF123"/>
      <c r="ABG123"/>
      <c r="ABH123"/>
      <c r="ABI123"/>
      <c r="ABJ123"/>
      <c r="ABK123"/>
      <c r="ABL123"/>
      <c r="ABM123"/>
      <c r="ABN123"/>
      <c r="ABO123"/>
      <c r="ABP123"/>
      <c r="ABQ123"/>
      <c r="ABR123"/>
      <c r="ABS123"/>
      <c r="ABT123"/>
      <c r="ABU123"/>
      <c r="ABV123"/>
      <c r="ABW123"/>
      <c r="ABX123"/>
      <c r="ABY123"/>
      <c r="ABZ123"/>
      <c r="ACA123"/>
      <c r="ACB123"/>
      <c r="ACC123"/>
      <c r="ACD123"/>
      <c r="ACE123"/>
      <c r="ACF123"/>
      <c r="ACG123"/>
      <c r="ACH123"/>
      <c r="ACI123"/>
      <c r="ACJ123"/>
      <c r="ACK123"/>
      <c r="ACL123"/>
      <c r="ACM123"/>
      <c r="ACN123"/>
      <c r="ACO123"/>
      <c r="ACP123"/>
      <c r="ACQ123"/>
      <c r="ACR123"/>
      <c r="ACS123"/>
      <c r="ACT123"/>
      <c r="ACU123"/>
      <c r="ACV123"/>
      <c r="ACW123"/>
      <c r="ACX123"/>
      <c r="ACY123"/>
      <c r="ACZ123"/>
      <c r="ADA123"/>
      <c r="ADB123"/>
      <c r="ADC123"/>
      <c r="ADD123"/>
      <c r="ADE123"/>
      <c r="ADF123"/>
      <c r="ADG123"/>
      <c r="ADH123"/>
      <c r="ADI123"/>
      <c r="ADJ123"/>
      <c r="ADK123"/>
      <c r="ADL123"/>
      <c r="ADM123"/>
      <c r="ADN123"/>
      <c r="ADO123"/>
      <c r="ADP123"/>
      <c r="ADQ123"/>
      <c r="ADR123"/>
      <c r="ADS123"/>
      <c r="ADT123"/>
      <c r="ADU123"/>
      <c r="ADV123"/>
      <c r="ADW123"/>
      <c r="ADX123"/>
      <c r="ADY123"/>
      <c r="ADZ123"/>
      <c r="AEA123"/>
      <c r="AEB123"/>
      <c r="AEC123"/>
      <c r="AED123"/>
      <c r="AEE123"/>
      <c r="AEF123"/>
      <c r="AEG123"/>
      <c r="AEH123"/>
      <c r="AEI123"/>
      <c r="AEJ123"/>
      <c r="AEK123"/>
      <c r="AEL123"/>
      <c r="AEM123"/>
      <c r="AEN123"/>
      <c r="AEO123"/>
      <c r="AEP123"/>
      <c r="AEQ123"/>
      <c r="AER123"/>
      <c r="AES123"/>
      <c r="AET123"/>
      <c r="AEU123"/>
      <c r="AEV123"/>
      <c r="AEW123"/>
      <c r="AEX123"/>
      <c r="AEY123"/>
      <c r="AEZ123"/>
      <c r="AFA123"/>
      <c r="AFB123"/>
      <c r="AFC123"/>
      <c r="AFD123"/>
      <c r="AFE123"/>
      <c r="AFF123"/>
      <c r="AFG123"/>
      <c r="AFH123"/>
      <c r="AFI123"/>
      <c r="AFJ123"/>
      <c r="AFK123"/>
      <c r="AFL123"/>
      <c r="AFM123"/>
      <c r="AFN123"/>
      <c r="AFO123"/>
      <c r="AFP123"/>
      <c r="AFQ123"/>
      <c r="AFR123"/>
      <c r="AFS123"/>
      <c r="AFT123"/>
      <c r="AFU123"/>
      <c r="AFV123"/>
      <c r="AFW123"/>
      <c r="AFX123"/>
      <c r="AFY123"/>
      <c r="AFZ123"/>
      <c r="AGA123"/>
      <c r="AGB123"/>
      <c r="AGC123"/>
      <c r="AGD123"/>
      <c r="AGE123"/>
      <c r="AGF123"/>
      <c r="AGG123"/>
      <c r="AGH123"/>
      <c r="AGI123"/>
      <c r="AGJ123"/>
      <c r="AGK123"/>
      <c r="AGL123"/>
      <c r="AGM123"/>
      <c r="AGN123"/>
      <c r="AGO123"/>
      <c r="AGP123"/>
      <c r="AGQ123"/>
      <c r="AGR123"/>
      <c r="AGS123"/>
      <c r="AGT123"/>
      <c r="AGU123"/>
      <c r="AGV123"/>
      <c r="AGW123"/>
      <c r="AGX123"/>
      <c r="AGY123"/>
      <c r="AGZ123"/>
      <c r="AHA123"/>
      <c r="AHB123"/>
      <c r="AHC123"/>
      <c r="AHD123"/>
      <c r="AHE123"/>
      <c r="AHF123"/>
      <c r="AHG123"/>
      <c r="AHH123"/>
      <c r="AHI123"/>
      <c r="AHJ123"/>
      <c r="AHK123"/>
      <c r="AHL123"/>
      <c r="AHM123"/>
      <c r="AHN123"/>
      <c r="AHO123"/>
      <c r="AHP123"/>
      <c r="AHQ123"/>
      <c r="AHR123"/>
      <c r="AHS123"/>
      <c r="AHT123"/>
      <c r="AHU123"/>
      <c r="AHV123"/>
      <c r="AHW123"/>
      <c r="AHX123"/>
      <c r="AHY123"/>
      <c r="AHZ123"/>
      <c r="AIA123"/>
      <c r="AIB123"/>
      <c r="AIC123"/>
      <c r="AID123"/>
      <c r="AIE123"/>
      <c r="AIF123"/>
      <c r="AIG123"/>
      <c r="AIH123"/>
      <c r="AII123"/>
      <c r="AIJ123"/>
      <c r="AIK123"/>
      <c r="AIL123"/>
      <c r="AIM123"/>
      <c r="AIN123"/>
      <c r="AIO123"/>
      <c r="AIP123"/>
      <c r="AIQ123"/>
      <c r="AIR123"/>
      <c r="AIS123"/>
      <c r="AIT123"/>
      <c r="AIU123"/>
      <c r="AIV123"/>
      <c r="AIW123"/>
      <c r="AIX123"/>
      <c r="AIY123"/>
      <c r="AIZ123"/>
      <c r="AJA123"/>
      <c r="AJB123"/>
      <c r="AJC123"/>
      <c r="AJD123"/>
      <c r="AJE123"/>
      <c r="AJF123"/>
      <c r="AJG123"/>
      <c r="AJH123"/>
      <c r="AJI123"/>
      <c r="AJJ123"/>
      <c r="AJK123"/>
      <c r="AJL123"/>
      <c r="AJM123"/>
      <c r="AJN123"/>
      <c r="AJO123"/>
      <c r="AJP123"/>
      <c r="AJQ123"/>
      <c r="AJR123"/>
      <c r="AJS123"/>
      <c r="AJT123"/>
      <c r="AJU123"/>
      <c r="AJV123"/>
      <c r="AJW123"/>
      <c r="AJX123"/>
      <c r="AJY123"/>
      <c r="AJZ123"/>
      <c r="AKA123"/>
      <c r="AKB123"/>
      <c r="AKC123"/>
      <c r="AKD123"/>
      <c r="AKE123"/>
      <c r="AKF123"/>
      <c r="AKG123"/>
      <c r="AKH123"/>
      <c r="AKI123"/>
      <c r="AKJ123"/>
      <c r="AKK123"/>
      <c r="AKL123"/>
      <c r="AKM123"/>
      <c r="AKN123"/>
      <c r="AKO123"/>
      <c r="AKP123"/>
      <c r="AKQ123"/>
      <c r="AKR123"/>
      <c r="AKS123"/>
      <c r="AKT123"/>
      <c r="AKU123"/>
      <c r="AKV123"/>
      <c r="AKW123"/>
      <c r="AKX123"/>
      <c r="AKY123"/>
      <c r="AKZ123"/>
      <c r="ALA123"/>
      <c r="ALB123"/>
      <c r="ALC123"/>
      <c r="ALD123"/>
      <c r="ALE123"/>
      <c r="ALF123"/>
      <c r="ALG123"/>
      <c r="ALH123"/>
      <c r="ALI123"/>
      <c r="ALJ123"/>
      <c r="ALK123"/>
      <c r="ALL123"/>
      <c r="ALM123"/>
      <c r="ALN123"/>
      <c r="ALO123"/>
      <c r="ALP123"/>
      <c r="ALQ123"/>
      <c r="ALR123"/>
      <c r="ALS123"/>
      <c r="ALT123"/>
      <c r="ALU123"/>
      <c r="ALV123"/>
      <c r="ALW123"/>
      <c r="ALX123"/>
      <c r="ALY123"/>
      <c r="ALZ123"/>
      <c r="AMA123"/>
      <c r="AMB123"/>
      <c r="AMC123"/>
      <c r="AMD123"/>
      <c r="AME123"/>
      <c r="AMF123"/>
      <c r="AMG123"/>
      <c r="AMH123"/>
      <c r="AMI123"/>
      <c r="AMJ123"/>
      <c r="AMK123"/>
      <c r="AML123"/>
      <c r="AMM123"/>
      <c r="AMN123"/>
      <c r="AMO123"/>
      <c r="AMP123"/>
      <c r="AMQ123"/>
      <c r="AMR123"/>
      <c r="AMS123"/>
      <c r="AMT123"/>
      <c r="AMU123"/>
      <c r="AMV123"/>
      <c r="AMW123"/>
      <c r="AMX123"/>
      <c r="AMY123"/>
      <c r="AMZ123"/>
      <c r="ANA123"/>
      <c r="ANB123"/>
      <c r="ANC123"/>
      <c r="AND123"/>
      <c r="ANE123"/>
      <c r="ANF123"/>
      <c r="ANG123"/>
      <c r="ANH123"/>
      <c r="ANI123"/>
      <c r="ANJ123"/>
      <c r="ANK123"/>
      <c r="ANL123"/>
      <c r="ANM123"/>
      <c r="ANN123"/>
      <c r="ANO123"/>
      <c r="ANP123"/>
      <c r="ANQ123"/>
      <c r="ANR123"/>
      <c r="ANS123"/>
      <c r="ANT123"/>
      <c r="ANU123"/>
      <c r="ANV123"/>
      <c r="ANW123"/>
      <c r="ANX123"/>
      <c r="ANY123"/>
      <c r="ANZ123"/>
      <c r="AOA123"/>
      <c r="AOB123"/>
      <c r="AOC123"/>
      <c r="AOD123"/>
      <c r="AOE123"/>
      <c r="AOF123"/>
      <c r="AOG123"/>
      <c r="AOH123"/>
      <c r="AOI123"/>
      <c r="AOJ123"/>
      <c r="AOK123"/>
      <c r="AOL123"/>
      <c r="AOM123"/>
      <c r="AON123"/>
      <c r="AOO123"/>
      <c r="AOP123"/>
      <c r="AOQ123"/>
      <c r="AOR123"/>
      <c r="AOS123"/>
      <c r="AOT123"/>
      <c r="AOU123"/>
      <c r="AOV123"/>
      <c r="AOW123"/>
      <c r="AOX123"/>
      <c r="AOY123"/>
      <c r="AOZ123"/>
      <c r="APA123"/>
      <c r="APB123"/>
      <c r="APC123"/>
      <c r="APD123"/>
      <c r="APE123"/>
      <c r="APF123"/>
      <c r="APG123"/>
      <c r="APH123"/>
      <c r="API123"/>
      <c r="APJ123"/>
      <c r="APK123"/>
      <c r="APL123"/>
      <c r="APM123"/>
      <c r="APN123"/>
      <c r="APO123"/>
      <c r="APP123"/>
      <c r="APQ123"/>
      <c r="APR123"/>
      <c r="APS123"/>
      <c r="APT123"/>
      <c r="APU123"/>
      <c r="APV123"/>
      <c r="APW123"/>
      <c r="APX123"/>
      <c r="APY123"/>
      <c r="APZ123"/>
      <c r="AQA123"/>
      <c r="AQB123"/>
      <c r="AQC123"/>
      <c r="AQD123"/>
      <c r="AQE123"/>
      <c r="AQF123"/>
      <c r="AQG123"/>
      <c r="AQH123"/>
      <c r="AQI123"/>
      <c r="AQJ123"/>
      <c r="AQK123"/>
      <c r="AQL123"/>
      <c r="AQM123"/>
      <c r="AQN123"/>
      <c r="AQO123"/>
      <c r="AQP123"/>
      <c r="AQQ123"/>
      <c r="AQR123"/>
      <c r="AQS123"/>
      <c r="AQT123"/>
      <c r="AQU123"/>
      <c r="AQV123"/>
      <c r="AQW123"/>
      <c r="AQX123"/>
      <c r="AQY123"/>
      <c r="AQZ123"/>
      <c r="ARA123"/>
      <c r="ARB123"/>
      <c r="ARC123"/>
      <c r="ARD123"/>
      <c r="ARE123"/>
      <c r="ARF123"/>
      <c r="ARG123"/>
      <c r="ARH123"/>
      <c r="ARI123"/>
      <c r="ARJ123"/>
      <c r="ARK123"/>
      <c r="ARL123"/>
      <c r="ARM123"/>
      <c r="ARN123"/>
      <c r="ARO123"/>
      <c r="ARP123"/>
      <c r="ARQ123"/>
      <c r="ARR123"/>
      <c r="ARS123"/>
      <c r="ART123"/>
      <c r="ARU123"/>
      <c r="ARV123"/>
      <c r="ARW123"/>
      <c r="ARX123"/>
      <c r="ARY123"/>
      <c r="ARZ123"/>
      <c r="ASA123"/>
      <c r="ASB123"/>
      <c r="ASC123"/>
      <c r="ASD123"/>
      <c r="ASE123"/>
      <c r="ASF123"/>
      <c r="ASG123"/>
      <c r="ASH123"/>
      <c r="ASI123"/>
      <c r="ASJ123"/>
      <c r="ASK123"/>
      <c r="ASL123"/>
      <c r="ASM123"/>
      <c r="ASN123"/>
      <c r="ASO123"/>
      <c r="ASP123"/>
      <c r="ASQ123"/>
      <c r="ASR123"/>
      <c r="ASS123"/>
      <c r="AST123"/>
      <c r="ASU123"/>
      <c r="ASV123"/>
      <c r="ASW123"/>
      <c r="ASX123"/>
      <c r="ASY123"/>
      <c r="ASZ123"/>
      <c r="ATA123"/>
      <c r="ATB123"/>
      <c r="ATC123"/>
      <c r="ATD123"/>
      <c r="ATE123"/>
      <c r="ATF123"/>
      <c r="ATG123"/>
      <c r="ATH123"/>
      <c r="ATI123"/>
      <c r="ATJ123"/>
      <c r="ATK123"/>
      <c r="ATL123"/>
      <c r="ATM123"/>
      <c r="ATN123"/>
      <c r="ATO123"/>
      <c r="ATP123"/>
      <c r="ATQ123"/>
      <c r="ATR123"/>
      <c r="ATS123"/>
      <c r="ATT123"/>
      <c r="ATU123"/>
      <c r="ATV123"/>
      <c r="ATW123"/>
      <c r="ATX123"/>
      <c r="ATY123"/>
      <c r="ATZ123"/>
      <c r="AUA123"/>
      <c r="AUB123"/>
      <c r="AUC123"/>
      <c r="AUD123"/>
      <c r="AUE123"/>
      <c r="AUF123"/>
      <c r="AUG123"/>
      <c r="AUH123"/>
      <c r="AUI123"/>
      <c r="AUJ123"/>
      <c r="AUK123"/>
      <c r="AUL123"/>
      <c r="AUM123"/>
      <c r="AUN123"/>
      <c r="AUO123"/>
      <c r="AUP123"/>
      <c r="AUQ123"/>
      <c r="AUR123"/>
      <c r="AUS123"/>
      <c r="AUT123"/>
      <c r="AUU123"/>
      <c r="AUV123"/>
      <c r="AUW123"/>
      <c r="AUX123"/>
      <c r="AUY123"/>
      <c r="AUZ123"/>
      <c r="AVA123"/>
      <c r="AVB123"/>
      <c r="AVC123"/>
      <c r="AVD123"/>
      <c r="AVE123"/>
      <c r="AVF123"/>
      <c r="AVG123"/>
      <c r="AVH123"/>
      <c r="AVI123"/>
      <c r="AVJ123"/>
      <c r="AVK123"/>
      <c r="AVL123"/>
      <c r="AVM123"/>
      <c r="AVN123"/>
      <c r="AVO123"/>
      <c r="AVP123"/>
      <c r="AVQ123"/>
      <c r="AVR123"/>
      <c r="AVS123"/>
      <c r="AVT123"/>
      <c r="AVU123"/>
      <c r="AVV123"/>
      <c r="AVW123"/>
      <c r="AVX123"/>
      <c r="AVY123"/>
      <c r="AVZ123"/>
      <c r="AWA123"/>
      <c r="AWB123"/>
      <c r="AWC123"/>
      <c r="AWD123"/>
      <c r="AWE123"/>
      <c r="AWF123"/>
      <c r="AWG123"/>
      <c r="AWH123"/>
      <c r="AWI123"/>
      <c r="AWJ123"/>
      <c r="AWK123"/>
      <c r="AWL123"/>
      <c r="AWM123"/>
      <c r="AWN123"/>
      <c r="AWO123"/>
      <c r="AWP123"/>
      <c r="AWQ123"/>
      <c r="AWR123"/>
      <c r="AWS123"/>
      <c r="AWT123"/>
      <c r="AWU123"/>
      <c r="AWV123"/>
      <c r="AWW123"/>
      <c r="AWX123"/>
      <c r="AWY123"/>
      <c r="AWZ123"/>
      <c r="AXA123"/>
      <c r="AXB123"/>
      <c r="AXC123"/>
      <c r="AXD123"/>
      <c r="AXE123"/>
      <c r="AXF123"/>
      <c r="AXG123"/>
      <c r="AXH123"/>
      <c r="AXI123"/>
      <c r="AXJ123"/>
      <c r="AXK123"/>
      <c r="AXL123"/>
      <c r="AXM123"/>
      <c r="AXN123"/>
      <c r="AXO123"/>
      <c r="AXP123"/>
      <c r="AXQ123"/>
      <c r="AXR123"/>
      <c r="AXS123"/>
      <c r="AXT123"/>
      <c r="AXU123"/>
      <c r="AXV123"/>
      <c r="AXW123"/>
      <c r="AXX123"/>
      <c r="AXY123"/>
      <c r="AXZ123"/>
      <c r="AYA123"/>
      <c r="AYB123"/>
      <c r="AYC123"/>
      <c r="AYD123"/>
      <c r="AYE123"/>
      <c r="AYF123"/>
      <c r="AYG123"/>
      <c r="AYH123"/>
      <c r="AYI123"/>
      <c r="AYJ123"/>
      <c r="AYK123"/>
      <c r="AYL123"/>
      <c r="AYM123"/>
      <c r="AYN123"/>
      <c r="AYO123"/>
      <c r="AYP123"/>
      <c r="AYQ123"/>
      <c r="AYR123"/>
      <c r="AYS123"/>
      <c r="AYT123"/>
      <c r="AYU123"/>
      <c r="AYV123"/>
      <c r="AYW123"/>
      <c r="AYX123"/>
      <c r="AYY123"/>
      <c r="AYZ123"/>
      <c r="AZA123"/>
      <c r="AZB123"/>
      <c r="AZC123"/>
      <c r="AZD123"/>
      <c r="AZE123"/>
      <c r="AZF123"/>
      <c r="AZG123"/>
      <c r="AZH123"/>
      <c r="AZI123"/>
      <c r="AZJ123"/>
      <c r="AZK123"/>
      <c r="AZL123"/>
      <c r="AZM123"/>
      <c r="AZN123"/>
      <c r="AZO123"/>
      <c r="AZP123"/>
      <c r="AZQ123"/>
      <c r="AZR123"/>
      <c r="AZS123"/>
      <c r="AZT123"/>
      <c r="AZU123"/>
      <c r="AZV123"/>
      <c r="AZW123"/>
      <c r="AZX123"/>
      <c r="AZY123"/>
      <c r="AZZ123"/>
      <c r="BAA123"/>
      <c r="BAB123"/>
      <c r="BAC123"/>
      <c r="BAD123"/>
      <c r="BAE123"/>
      <c r="BAF123"/>
    </row>
    <row r="124" spans="1:1384" x14ac:dyDescent="0.35">
      <c r="A124" s="1" t="s">
        <v>200</v>
      </c>
      <c r="B124" s="1"/>
      <c r="C124" s="1"/>
      <c r="D124" s="1"/>
      <c r="E124" s="1"/>
      <c r="F124" s="1"/>
      <c r="G124" s="1"/>
      <c r="H124" s="1">
        <f>SUM(H121:H123)</f>
        <v>1.2223268658613346E-3</v>
      </c>
      <c r="I124" s="1">
        <f t="shared" ref="I124:Z124" si="0">SUM(I121:I123)</f>
        <v>0.95607282423957696</v>
      </c>
      <c r="J124" s="1">
        <f t="shared" si="0"/>
        <v>1.9759600214343411E-4</v>
      </c>
      <c r="K124" s="1">
        <f t="shared" si="0"/>
        <v>0.95583294819939291</v>
      </c>
      <c r="L124" s="1">
        <f t="shared" si="0"/>
        <v>4.2280038040638356E-5</v>
      </c>
      <c r="M124" s="1">
        <f t="shared" si="0"/>
        <v>0.42242225428080571</v>
      </c>
      <c r="N124" s="1">
        <f t="shared" si="0"/>
        <v>12.699202813241076</v>
      </c>
      <c r="O124" s="1">
        <f t="shared" si="0"/>
        <v>1.0106981961056584E-5</v>
      </c>
      <c r="P124" s="1">
        <f t="shared" si="0"/>
        <v>2.7640792814515405E-4</v>
      </c>
      <c r="Q124" s="1">
        <f t="shared" si="0"/>
        <v>3.0048947806803989E-3</v>
      </c>
      <c r="R124" s="1">
        <f t="shared" si="0"/>
        <v>5.8426122417575516E-11</v>
      </c>
      <c r="S124" s="1">
        <f t="shared" si="0"/>
        <v>1.5572946070073106E-9</v>
      </c>
      <c r="T124" s="1">
        <f t="shared" si="0"/>
        <v>3.8130409179459486E-3</v>
      </c>
      <c r="U124" s="1">
        <f t="shared" si="0"/>
        <v>0.65292225614632216</v>
      </c>
      <c r="V124" s="1">
        <f t="shared" si="0"/>
        <v>1.4908225416065127E-7</v>
      </c>
      <c r="W124" s="1">
        <f t="shared" si="0"/>
        <v>2.154473547105464E-8</v>
      </c>
      <c r="X124" s="1">
        <f t="shared" si="0"/>
        <v>9.4166097980687671E-9</v>
      </c>
      <c r="Y124" s="1">
        <f t="shared" si="0"/>
        <v>2.3549379679767639E-3</v>
      </c>
      <c r="Z124" s="1">
        <f t="shared" si="0"/>
        <v>1.718740961749354E-2</v>
      </c>
    </row>
    <row r="125" spans="1:1384" x14ac:dyDescent="0.35">
      <c r="A125" s="47"/>
      <c r="B125" s="38"/>
      <c r="C125" s="124"/>
    </row>
    <row r="127" spans="1:1384" x14ac:dyDescent="0.35">
      <c r="A127" s="35" t="s">
        <v>687</v>
      </c>
      <c r="B127" s="1"/>
      <c r="C127" s="53"/>
      <c r="D127" s="1"/>
      <c r="E127" s="1"/>
      <c r="F127" s="1"/>
      <c r="G127" s="1"/>
      <c r="H127" s="1"/>
      <c r="I127" s="1"/>
      <c r="J127" s="1"/>
      <c r="K127" s="1"/>
      <c r="L127" s="1"/>
      <c r="M127" s="1"/>
      <c r="N127" s="1"/>
      <c r="O127" s="1"/>
      <c r="P127" s="1"/>
      <c r="Q127" s="1"/>
      <c r="R127" s="1"/>
      <c r="S127" s="1"/>
      <c r="T127" s="1"/>
      <c r="U127" s="1"/>
      <c r="V127" s="1"/>
      <c r="W127" s="1"/>
      <c r="X127" s="1"/>
      <c r="Y127" s="1"/>
      <c r="Z127" s="1"/>
    </row>
    <row r="128" spans="1:1384" x14ac:dyDescent="0.35">
      <c r="A128" s="1" t="s">
        <v>688</v>
      </c>
      <c r="B128" s="154" t="str">
        <f>Input!B73</f>
        <v>Roller_medium_scale_project_55kW</v>
      </c>
      <c r="C128" s="182">
        <v>1</v>
      </c>
      <c r="D128" s="154" t="str">
        <f>Input!$C$73</f>
        <v>Diesel</v>
      </c>
      <c r="E128" s="154">
        <f>INDEX($B$102:$B$111,MATCH($B128,$A$102:$A$111,0))</f>
        <v>292.82400000000001</v>
      </c>
      <c r="F128" s="154">
        <f>INDEX($D$102:$D$111,MATCH($B128,$A$102:$A$111,0))</f>
        <v>2.412199819686911E-2</v>
      </c>
      <c r="G128" s="154">
        <f>INDEX($E$102:$E$111,MATCH($B128,$A$102:$A$111,0))</f>
        <v>55.4</v>
      </c>
      <c r="H128" s="154" cm="1">
        <f t="array" ref="H128">INDEX(LCI!H$2:H$137,MATCH($A$119&amp;$D128,LCI!$B$2:$B$137&amp;LCI!$D$2:$D$137,0))*IF(OR($D128="Electric", $D128="Electric_green"), ($G128/$E128)*$B$94, $F128)</f>
        <v>1.279321266636615E-4</v>
      </c>
      <c r="I128" s="154" cm="1">
        <f t="array" ref="I128">INDEX(LCI!I$2:I$137,MATCH($A$119&amp;$D128,LCI!$B$2:$B$137&amp;LCI!$D$2:$D$137,0))*IF(OR($D128="Electric", $D128="Electric_green"), ($G128/$E128)*$B$94, $F128)</f>
        <v>0.10006523873964963</v>
      </c>
      <c r="J128" s="154" cm="1">
        <f t="array" ref="J128">INDEX(LCI!J$2:J$137,MATCH($A$119&amp;$D128,LCI!$B$2:$B$137&amp;LCI!$D$2:$D$137,0))*IF(OR($D128="Electric", $D128="Electric_green"), ($G128/$E128)*$B$94, $F128)</f>
        <v>2.0680946709482433E-5</v>
      </c>
      <c r="K128" s="154" cm="1">
        <f t="array" ref="K128">INDEX(LCI!K$2:K$137,MATCH($A$119&amp;$D128,LCI!$B$2:$B$137&amp;LCI!$D$2:$D$137,0))*IF(OR($D128="Electric", $D128="Electric_green"), ($G128/$E128)*$B$94, $F128)</f>
        <v>0.10004013264666134</v>
      </c>
      <c r="L128" s="154" cm="1">
        <f t="array" ref="L128">INDEX(LCI!L$2:L$137,MATCH($A$119&amp;$D128,LCI!$B$2:$B$137&amp;LCI!$D$2:$D$137,0))*IF(OR($D128="Electric", $D128="Electric_green"), ($G128/$E128)*$B$94, $F128)</f>
        <v>4.4251462788129438E-6</v>
      </c>
      <c r="M128" s="154" cm="1">
        <f t="array" ref="M128">INDEX(LCI!M$2:M$137,MATCH($A$119&amp;$D128,LCI!$B$2:$B$137&amp;LCI!$D$2:$D$137,0))*IF(OR($D128="Electric", $D128="Electric_green"), ($G128/$E128)*$B$94, $F128)</f>
        <v>4.4211887057002734E-2</v>
      </c>
      <c r="N128" s="154" cm="1">
        <f t="array" ref="N128">INDEX(LCI!N$2:N$137,MATCH($A$119&amp;$D128,LCI!$B$2:$B$137&amp;LCI!$D$2:$D$137,0))*IF(OR($D128="Electric", $D128="Electric_green"), ($G128/$E128)*$B$94, $F128)</f>
        <v>1.3291338578950851</v>
      </c>
      <c r="O128" s="154" cm="1">
        <f t="array" ref="O128">INDEX(LCI!O$2:O$137,MATCH($A$119&amp;$D128,LCI!$B$2:$B$137&amp;LCI!$D$2:$D$137,0))*IF(OR($D128="Electric", $D128="Electric_green"), ($G128/$E128)*$B$94, $F128)</f>
        <v>1.0578248196468229E-6</v>
      </c>
      <c r="P128" s="154" cm="1">
        <f t="array" ref="P128">INDEX(LCI!P$2:P$137,MATCH($A$119&amp;$D128,LCI!$B$2:$B$137&amp;LCI!$D$2:$D$137,0))*IF(OR($D128="Electric", $D128="Electric_green"), ($G128/$E128)*$B$94, $F128)</f>
        <v>2.8929621905502347E-5</v>
      </c>
      <c r="Q128" s="154" cm="1">
        <f t="array" ref="Q128">INDEX(LCI!Q$2:Q$137,MATCH($A$119&amp;$D128,LCI!$B$2:$B$137&amp;LCI!$D$2:$D$137,0))*IF(OR($D128="Electric", $D128="Electric_green"), ($G128/$E128)*$B$94, $F128)</f>
        <v>3.1450063843773069E-4</v>
      </c>
      <c r="R128" s="154" cm="1">
        <f t="array" ref="R128">INDEX(LCI!R$2:R$137,MATCH($A$119&amp;$D128,LCI!$B$2:$B$137&amp;LCI!$D$2:$D$137,0))*IF(OR($D128="Electric", $D128="Electric_green"), ($G128/$E128)*$B$94, $F128)</f>
        <v>6.1150403401505605E-12</v>
      </c>
      <c r="S128" s="154" cm="1">
        <f t="array" ref="S128">INDEX(LCI!S$2:S$137,MATCH($A$119&amp;$D128,LCI!$B$2:$B$137&amp;LCI!$D$2:$D$137,0))*IF(OR($D128="Electric", $D128="Electric_green"), ($G128/$E128)*$B$94, $F128)</f>
        <v>1.6299078133728706E-10</v>
      </c>
      <c r="T128" s="154" cm="1">
        <f t="array" ref="T128">INDEX(LCI!T$2:T$137,MATCH($A$119&amp;$D128,LCI!$B$2:$B$137&amp;LCI!$D$2:$D$137,0))*IF(OR($D128="Electric", $D128="Electric_green"), ($G128/$E128)*$B$94, $F128)</f>
        <v>3.9908345902602802E-4</v>
      </c>
      <c r="U128" s="154" cm="1">
        <f t="array" ref="U128">INDEX(LCI!U$2:U$137,MATCH($A$119&amp;$D128,LCI!$B$2:$B$137&amp;LCI!$D$2:$D$137,0))*IF(OR($D128="Electric", $D128="Electric_green"), ($G128/$E128)*$B$94, $F128)</f>
        <v>6.8336657818589455E-2</v>
      </c>
      <c r="V128" s="154" cm="1">
        <f t="array" ref="V128">INDEX(LCI!V$2:V$137,MATCH($A$119&amp;$D128,LCI!$B$2:$B$137&amp;LCI!$D$2:$D$137,0))*IF(OR($D128="Electric", $D128="Electric_green"), ($G128/$E128)*$B$94, $F128)</f>
        <v>1.5603363024459824E-8</v>
      </c>
      <c r="W128" s="154" cm="1">
        <f t="array" ref="W128">INDEX(LCI!W$2:W$137,MATCH($A$119&amp;$D128,LCI!$B$2:$B$137&amp;LCI!$D$2:$D$137,0))*IF(OR($D128="Electric", $D128="Electric_green"), ($G128/$E128)*$B$94, $F128)</f>
        <v>2.2549318878594656E-9</v>
      </c>
      <c r="X128" s="154" cm="1">
        <f t="array" ref="X128">INDEX(LCI!X$2:X$137,MATCH($A$119&amp;$D128,LCI!$B$2:$B$137&amp;LCI!$D$2:$D$137,0))*IF(OR($D128="Electric", $D128="Electric_green"), ($G128/$E128)*$B$94, $F128)</f>
        <v>9.8556855050380086E-10</v>
      </c>
      <c r="Y128" s="154" cm="1">
        <f t="array" ref="Y128">INDEX(LCI!Y$2:Y$137,MATCH($A$119&amp;$D128,LCI!$B$2:$B$137&amp;LCI!$D$2:$D$137,0))*IF(OR($D128="Electric", $D128="Electric_green"), ($G128/$E128)*$B$94, $F128)</f>
        <v>2.4647435217090816E-4</v>
      </c>
      <c r="Z128" s="154" cm="1">
        <f t="array" ref="Z128">INDEX(LCI!Z$2:Z$137,MATCH($A$119&amp;$D128,LCI!$B$2:$B$137&amp;LCI!$D$2:$D$137,0))*IF(OR($D128="Electric", $D128="Electric_green"), ($G128/$E128)*$B$94, $F128)</f>
        <v>1.7988820548879765E-3</v>
      </c>
    </row>
    <row r="129" spans="1:26" x14ac:dyDescent="0.35">
      <c r="A129" s="1" t="s">
        <v>689</v>
      </c>
      <c r="B129" s="154" t="str">
        <f>Input!B74</f>
        <v>Roller_medium_scale_project_55kW</v>
      </c>
      <c r="C129" s="182">
        <v>1</v>
      </c>
      <c r="D129" s="154" t="str">
        <f>Input!$C$74</f>
        <v>Diesel</v>
      </c>
      <c r="E129" s="154">
        <f>INDEX($B$102:$B$111,MATCH($B129,$A$102:$A$111,0))</f>
        <v>292.82400000000001</v>
      </c>
      <c r="F129" s="154">
        <f>INDEX($D$102:$D$111,MATCH($B129,$A$102:$A$111,0))</f>
        <v>2.412199819686911E-2</v>
      </c>
      <c r="G129" s="154">
        <f>INDEX($E$102:$E$111,MATCH($B129,$A$102:$A$111,0))</f>
        <v>55.4</v>
      </c>
      <c r="H129" s="154" cm="1">
        <f t="array" ref="H129">INDEX(LCI!H$2:H$137,MATCH($A$119&amp;$D129,LCI!$B$2:$B$137&amp;LCI!$D$2:$D$137,0))*IF(OR($D129="Electric", $D129="Electric_green"), ($G129/$E129)*$B$94, $F129)</f>
        <v>1.279321266636615E-4</v>
      </c>
      <c r="I129" s="154" cm="1">
        <f t="array" ref="I129">INDEX(LCI!I$2:I$137,MATCH($A$119&amp;$D129,LCI!$B$2:$B$137&amp;LCI!$D$2:$D$137,0))*IF(OR($D129="Electric", $D129="Electric_green"), ($G129/$E129)*$B$94, $F129)</f>
        <v>0.10006523873964963</v>
      </c>
      <c r="J129" s="154" cm="1">
        <f t="array" ref="J129">INDEX(LCI!J$2:J$137,MATCH($A$119&amp;$D129,LCI!$B$2:$B$137&amp;LCI!$D$2:$D$137,0))*IF(OR($D129="Electric", $D129="Electric_green"), ($G129/$E129)*$B$94, $F129)</f>
        <v>2.0680946709482433E-5</v>
      </c>
      <c r="K129" s="154" cm="1">
        <f t="array" ref="K129">INDEX(LCI!K$2:K$137,MATCH($A$119&amp;$D129,LCI!$B$2:$B$137&amp;LCI!$D$2:$D$137,0))*IF(OR($D129="Electric", $D129="Electric_green"), ($G129/$E129)*$B$94, $F129)</f>
        <v>0.10004013264666134</v>
      </c>
      <c r="L129" s="154" cm="1">
        <f t="array" ref="L129">INDEX(LCI!L$2:L$137,MATCH($A$119&amp;$D129,LCI!$B$2:$B$137&amp;LCI!$D$2:$D$137,0))*IF(OR($D129="Electric", $D129="Electric_green"), ($G129/$E129)*$B$94, $F129)</f>
        <v>4.4251462788129438E-6</v>
      </c>
      <c r="M129" s="154" cm="1">
        <f t="array" ref="M129">INDEX(LCI!M$2:M$137,MATCH($A$119&amp;$D129,LCI!$B$2:$B$137&amp;LCI!$D$2:$D$137,0))*IF(OR($D129="Electric", $D129="Electric_green"), ($G129/$E129)*$B$94, $F129)</f>
        <v>4.4211887057002734E-2</v>
      </c>
      <c r="N129" s="154" cm="1">
        <f t="array" ref="N129">INDEX(LCI!N$2:N$137,MATCH($A$119&amp;$D129,LCI!$B$2:$B$137&amp;LCI!$D$2:$D$137,0))*IF(OR($D129="Electric", $D129="Electric_green"), ($G129/$E129)*$B$94, $F129)</f>
        <v>1.3291338578950851</v>
      </c>
      <c r="O129" s="154" cm="1">
        <f t="array" ref="O129">INDEX(LCI!O$2:O$137,MATCH($A$119&amp;$D129,LCI!$B$2:$B$137&amp;LCI!$D$2:$D$137,0))*IF(OR($D129="Electric", $D129="Electric_green"), ($G129/$E129)*$B$94, $F129)</f>
        <v>1.0578248196468229E-6</v>
      </c>
      <c r="P129" s="154" cm="1">
        <f t="array" ref="P129">INDEX(LCI!P$2:P$137,MATCH($A$119&amp;$D129,LCI!$B$2:$B$137&amp;LCI!$D$2:$D$137,0))*IF(OR($D129="Electric", $D129="Electric_green"), ($G129/$E129)*$B$94, $F129)</f>
        <v>2.8929621905502347E-5</v>
      </c>
      <c r="Q129" s="154" cm="1">
        <f t="array" ref="Q129">INDEX(LCI!Q$2:Q$137,MATCH($A$119&amp;$D129,LCI!$B$2:$B$137&amp;LCI!$D$2:$D$137,0))*IF(OR($D129="Electric", $D129="Electric_green"), ($G129/$E129)*$B$94, $F129)</f>
        <v>3.1450063843773069E-4</v>
      </c>
      <c r="R129" s="154" cm="1">
        <f t="array" ref="R129">INDEX(LCI!R$2:R$137,MATCH($A$119&amp;$D129,LCI!$B$2:$B$137&amp;LCI!$D$2:$D$137,0))*IF(OR($D129="Electric", $D129="Electric_green"), ($G129/$E129)*$B$94, $F129)</f>
        <v>6.1150403401505605E-12</v>
      </c>
      <c r="S129" s="154" cm="1">
        <f t="array" ref="S129">INDEX(LCI!S$2:S$137,MATCH($A$119&amp;$D129,LCI!$B$2:$B$137&amp;LCI!$D$2:$D$137,0))*IF(OR($D129="Electric", $D129="Electric_green"), ($G129/$E129)*$B$94, $F129)</f>
        <v>1.6299078133728706E-10</v>
      </c>
      <c r="T129" s="154" cm="1">
        <f t="array" ref="T129">INDEX(LCI!T$2:T$137,MATCH($A$119&amp;$D129,LCI!$B$2:$B$137&amp;LCI!$D$2:$D$137,0))*IF(OR($D129="Electric", $D129="Electric_green"), ($G129/$E129)*$B$94, $F129)</f>
        <v>3.9908345902602802E-4</v>
      </c>
      <c r="U129" s="154" cm="1">
        <f t="array" ref="U129">INDEX(LCI!U$2:U$137,MATCH($A$119&amp;$D129,LCI!$B$2:$B$137&amp;LCI!$D$2:$D$137,0))*IF(OR($D129="Electric", $D129="Electric_green"), ($G129/$E129)*$B$94, $F129)</f>
        <v>6.8336657818589455E-2</v>
      </c>
      <c r="V129" s="154" cm="1">
        <f t="array" ref="V129">INDEX(LCI!V$2:V$137,MATCH($A$119&amp;$D129,LCI!$B$2:$B$137&amp;LCI!$D$2:$D$137,0))*IF(OR($D129="Electric", $D129="Electric_green"), ($G129/$E129)*$B$94, $F129)</f>
        <v>1.5603363024459824E-8</v>
      </c>
      <c r="W129" s="154" cm="1">
        <f t="array" ref="W129">INDEX(LCI!W$2:W$137,MATCH($A$119&amp;$D129,LCI!$B$2:$B$137&amp;LCI!$D$2:$D$137,0))*IF(OR($D129="Electric", $D129="Electric_green"), ($G129/$E129)*$B$94, $F129)</f>
        <v>2.2549318878594656E-9</v>
      </c>
      <c r="X129" s="154" cm="1">
        <f t="array" ref="X129">INDEX(LCI!X$2:X$137,MATCH($A$119&amp;$D129,LCI!$B$2:$B$137&amp;LCI!$D$2:$D$137,0))*IF(OR($D129="Electric", $D129="Electric_green"), ($G129/$E129)*$B$94, $F129)</f>
        <v>9.8556855050380086E-10</v>
      </c>
      <c r="Y129" s="154" cm="1">
        <f t="array" ref="Y129">INDEX(LCI!Y$2:Y$137,MATCH($A$119&amp;$D129,LCI!$B$2:$B$137&amp;LCI!$D$2:$D$137,0))*IF(OR($D129="Electric", $D129="Electric_green"), ($G129/$E129)*$B$94, $F129)</f>
        <v>2.4647435217090816E-4</v>
      </c>
      <c r="Z129" s="154" cm="1">
        <f t="array" ref="Z129">INDEX(LCI!Z$2:Z$137,MATCH($A$119&amp;$D129,LCI!$B$2:$B$137&amp;LCI!$D$2:$D$137,0))*IF(OR($D129="Electric", $D129="Electric_green"), ($G129/$E129)*$B$94, $F129)</f>
        <v>1.7988820548879765E-3</v>
      </c>
    </row>
    <row r="130" spans="1:26" x14ac:dyDescent="0.35">
      <c r="A130" s="1" t="s">
        <v>1028</v>
      </c>
      <c r="B130" s="154" t="str">
        <f>Input!B75</f>
        <v>No_roller</v>
      </c>
      <c r="C130" s="182">
        <v>1</v>
      </c>
      <c r="D130" s="154" t="str">
        <f>Input!$C$75</f>
        <v>No</v>
      </c>
      <c r="E130" s="154">
        <f>INDEX($B$102:$B$111,MATCH($B130,$A$102:$A$111,0))</f>
        <v>0</v>
      </c>
      <c r="F130" s="154">
        <f>INDEX($D$102:$D$111,MATCH($B130,$A$102:$A$111,0))</f>
        <v>0</v>
      </c>
      <c r="G130" s="154">
        <f t="shared" ref="G130:G131" si="1">INDEX($E$102:$E$111,MATCH($B130,$A$102:$A$111,0))</f>
        <v>0</v>
      </c>
      <c r="H130" s="154" cm="1">
        <f t="array" ref="H130">INDEX(LCI!H$2:H$137,MATCH($A$119&amp;$D130,LCI!$B$2:$B$137&amp;LCI!$D$2:$D$137,0))*IF(OR($D130="Electric", $D130="Electric_green"), ($G130/$E130)*$B$94, $F130)</f>
        <v>0</v>
      </c>
      <c r="I130" s="154" cm="1">
        <f t="array" ref="I130">INDEX(LCI!I$2:I$137,MATCH($A$119&amp;$D130,LCI!$B$2:$B$137&amp;LCI!$D$2:$D$137,0))*IF(OR($D130="Electric", $D130="Electric_green"), ($G130/$E130)*$B$94, $F130)</f>
        <v>0</v>
      </c>
      <c r="J130" s="154" cm="1">
        <f t="array" ref="J130">INDEX(LCI!J$2:J$137,MATCH($A$119&amp;$D130,LCI!$B$2:$B$137&amp;LCI!$D$2:$D$137,0))*IF(OR($D130="Electric", $D130="Electric_green"), ($G130/$E130)*$B$94, $F130)</f>
        <v>0</v>
      </c>
      <c r="K130" s="154" cm="1">
        <f t="array" ref="K130">INDEX(LCI!K$2:K$137,MATCH($A$119&amp;$D130,LCI!$B$2:$B$137&amp;LCI!$D$2:$D$137,0))*IF(OR($D130="Electric", $D130="Electric_green"), ($G130/$E130)*$B$94, $F130)</f>
        <v>0</v>
      </c>
      <c r="L130" s="154" cm="1">
        <f t="array" ref="L130">INDEX(LCI!L$2:L$137,MATCH($A$119&amp;$D130,LCI!$B$2:$B$137&amp;LCI!$D$2:$D$137,0))*IF(OR($D130="Electric", $D130="Electric_green"), ($G130/$E130)*$B$94, $F130)</f>
        <v>0</v>
      </c>
      <c r="M130" s="154" cm="1">
        <f t="array" ref="M130">INDEX(LCI!M$2:M$137,MATCH($A$119&amp;$D130,LCI!$B$2:$B$137&amp;LCI!$D$2:$D$137,0))*IF(OR($D130="Electric", $D130="Electric_green"), ($G130/$E130)*$B$94, $F130)</f>
        <v>0</v>
      </c>
      <c r="N130" s="154" cm="1">
        <f t="array" ref="N130">INDEX(LCI!N$2:N$137,MATCH($A$119&amp;$D130,LCI!$B$2:$B$137&amp;LCI!$D$2:$D$137,0))*IF(OR($D130="Electric", $D130="Electric_green"), ($G130/$E130)*$B$94, $F130)</f>
        <v>0</v>
      </c>
      <c r="O130" s="154" cm="1">
        <f t="array" ref="O130">INDEX(LCI!O$2:O$137,MATCH($A$119&amp;$D130,LCI!$B$2:$B$137&amp;LCI!$D$2:$D$137,0))*IF(OR($D130="Electric", $D130="Electric_green"), ($G130/$E130)*$B$94, $F130)</f>
        <v>0</v>
      </c>
      <c r="P130" s="154" cm="1">
        <f t="array" ref="P130">INDEX(LCI!P$2:P$137,MATCH($A$119&amp;$D130,LCI!$B$2:$B$137&amp;LCI!$D$2:$D$137,0))*IF(OR($D130="Electric", $D130="Electric_green"), ($G130/$E130)*$B$94, $F130)</f>
        <v>0</v>
      </c>
      <c r="Q130" s="154" cm="1">
        <f t="array" ref="Q130">INDEX(LCI!Q$2:Q$137,MATCH($A$119&amp;$D130,LCI!$B$2:$B$137&amp;LCI!$D$2:$D$137,0))*IF(OR($D130="Electric", $D130="Electric_green"), ($G130/$E130)*$B$94, $F130)</f>
        <v>0</v>
      </c>
      <c r="R130" s="154" cm="1">
        <f t="array" ref="R130">INDEX(LCI!R$2:R$137,MATCH($A$119&amp;$D130,LCI!$B$2:$B$137&amp;LCI!$D$2:$D$137,0))*IF(OR($D130="Electric", $D130="Electric_green"), ($G130/$E130)*$B$94, $F130)</f>
        <v>0</v>
      </c>
      <c r="S130" s="154" cm="1">
        <f t="array" ref="S130">INDEX(LCI!S$2:S$137,MATCH($A$119&amp;$D130,LCI!$B$2:$B$137&amp;LCI!$D$2:$D$137,0))*IF(OR($D130="Electric", $D130="Electric_green"), ($G130/$E130)*$B$94, $F130)</f>
        <v>0</v>
      </c>
      <c r="T130" s="154" cm="1">
        <f t="array" ref="T130">INDEX(LCI!T$2:T$137,MATCH($A$119&amp;$D130,LCI!$B$2:$B$137&amp;LCI!$D$2:$D$137,0))*IF(OR($D130="Electric", $D130="Electric_green"), ($G130/$E130)*$B$94, $F130)</f>
        <v>0</v>
      </c>
      <c r="U130" s="154" cm="1">
        <f t="array" ref="U130">INDEX(LCI!U$2:U$137,MATCH($A$119&amp;$D130,LCI!$B$2:$B$137&amp;LCI!$D$2:$D$137,0))*IF(OR($D130="Electric", $D130="Electric_green"), ($G130/$E130)*$B$94, $F130)</f>
        <v>0</v>
      </c>
      <c r="V130" s="154" cm="1">
        <f t="array" ref="V130">INDEX(LCI!V$2:V$137,MATCH($A$119&amp;$D130,LCI!$B$2:$B$137&amp;LCI!$D$2:$D$137,0))*IF(OR($D130="Electric", $D130="Electric_green"), ($G130/$E130)*$B$94, $F130)</f>
        <v>0</v>
      </c>
      <c r="W130" s="154" cm="1">
        <f t="array" ref="W130">INDEX(LCI!W$2:W$137,MATCH($A$119&amp;$D130,LCI!$B$2:$B$137&amp;LCI!$D$2:$D$137,0))*IF(OR($D130="Electric", $D130="Electric_green"), ($G130/$E130)*$B$94, $F130)</f>
        <v>0</v>
      </c>
      <c r="X130" s="154" cm="1">
        <f t="array" ref="X130">INDEX(LCI!X$2:X$137,MATCH($A$119&amp;$D130,LCI!$B$2:$B$137&amp;LCI!$D$2:$D$137,0))*IF(OR($D130="Electric", $D130="Electric_green"), ($G130/$E130)*$B$94, $F130)</f>
        <v>0</v>
      </c>
      <c r="Y130" s="154" cm="1">
        <f t="array" ref="Y130">INDEX(LCI!Y$2:Y$137,MATCH($A$119&amp;$D130,LCI!$B$2:$B$137&amp;LCI!$D$2:$D$137,0))*IF(OR($D130="Electric", $D130="Electric_green"), ($G130/$E130)*$B$94, $F130)</f>
        <v>0</v>
      </c>
      <c r="Z130" s="154" cm="1">
        <f t="array" ref="Z130">INDEX(LCI!Z$2:Z$137,MATCH($A$119&amp;$D130,LCI!$B$2:$B$137&amp;LCI!$D$2:$D$137,0))*IF(OR($D130="Electric", $D130="Electric_green"), ($G130/$E130)*$B$94, $F130)</f>
        <v>0</v>
      </c>
    </row>
    <row r="131" spans="1:26" x14ac:dyDescent="0.35">
      <c r="A131" s="1" t="s">
        <v>1029</v>
      </c>
      <c r="B131" s="154" t="str">
        <f>Input!B76</f>
        <v>No_roller</v>
      </c>
      <c r="C131" s="182">
        <v>1</v>
      </c>
      <c r="D131" s="154" t="str">
        <f>Input!$C$76</f>
        <v>No</v>
      </c>
      <c r="E131" s="154">
        <f>INDEX($B$102:$B$111,MATCH($B131,$A$102:$A$111,0))</f>
        <v>0</v>
      </c>
      <c r="F131" s="154">
        <f>INDEX($D$102:$D$111,MATCH($B131,$A$102:$A$111,0))</f>
        <v>0</v>
      </c>
      <c r="G131" s="154">
        <f t="shared" si="1"/>
        <v>0</v>
      </c>
      <c r="H131" s="154" cm="1">
        <f t="array" ref="H131">INDEX(LCI!H$2:H$137,MATCH($A$119&amp;$D131,LCI!$B$2:$B$137&amp;LCI!$D$2:$D$137,0))*IF(OR($D131="Electric", $D131="Electric_green"), ($G131/$E131)*$B$94, $F131)</f>
        <v>0</v>
      </c>
      <c r="I131" s="154" cm="1">
        <f t="array" ref="I131">INDEX(LCI!I$2:I$137,MATCH($A$119&amp;$D131,LCI!$B$2:$B$137&amp;LCI!$D$2:$D$137,0))*IF(OR($D131="Electric", $D131="Electric_green"), ($G131/$E131)*$B$94, $F131)</f>
        <v>0</v>
      </c>
      <c r="J131" s="154" cm="1">
        <f t="array" ref="J131">INDEX(LCI!J$2:J$137,MATCH($A$119&amp;$D131,LCI!$B$2:$B$137&amp;LCI!$D$2:$D$137,0))*IF(OR($D131="Electric", $D131="Electric_green"), ($G131/$E131)*$B$94, $F131)</f>
        <v>0</v>
      </c>
      <c r="K131" s="154" cm="1">
        <f t="array" ref="K131">INDEX(LCI!K$2:K$137,MATCH($A$119&amp;$D131,LCI!$B$2:$B$137&amp;LCI!$D$2:$D$137,0))*IF(OR($D131="Electric", $D131="Electric_green"), ($G131/$E131)*$B$94, $F131)</f>
        <v>0</v>
      </c>
      <c r="L131" s="154" cm="1">
        <f t="array" ref="L131">INDEX(LCI!L$2:L$137,MATCH($A$119&amp;$D131,LCI!$B$2:$B$137&amp;LCI!$D$2:$D$137,0))*IF(OR($D131="Electric", $D131="Electric_green"), ($G131/$E131)*$B$94, $F131)</f>
        <v>0</v>
      </c>
      <c r="M131" s="154" cm="1">
        <f t="array" ref="M131">INDEX(LCI!M$2:M$137,MATCH($A$119&amp;$D131,LCI!$B$2:$B$137&amp;LCI!$D$2:$D$137,0))*IF(OR($D131="Electric", $D131="Electric_green"), ($G131/$E131)*$B$94, $F131)</f>
        <v>0</v>
      </c>
      <c r="N131" s="154" cm="1">
        <f t="array" ref="N131">INDEX(LCI!N$2:N$137,MATCH($A$119&amp;$D131,LCI!$B$2:$B$137&amp;LCI!$D$2:$D$137,0))*IF(OR($D131="Electric", $D131="Electric_green"), ($G131/$E131)*$B$94, $F131)</f>
        <v>0</v>
      </c>
      <c r="O131" s="154" cm="1">
        <f t="array" ref="O131">INDEX(LCI!O$2:O$137,MATCH($A$119&amp;$D131,LCI!$B$2:$B$137&amp;LCI!$D$2:$D$137,0))*IF(OR($D131="Electric", $D131="Electric_green"), ($G131/$E131)*$B$94, $F131)</f>
        <v>0</v>
      </c>
      <c r="P131" s="154" cm="1">
        <f t="array" ref="P131">INDEX(LCI!P$2:P$137,MATCH($A$119&amp;$D131,LCI!$B$2:$B$137&amp;LCI!$D$2:$D$137,0))*IF(OR($D131="Electric", $D131="Electric_green"), ($G131/$E131)*$B$94, $F131)</f>
        <v>0</v>
      </c>
      <c r="Q131" s="154" cm="1">
        <f t="array" ref="Q131">INDEX(LCI!Q$2:Q$137,MATCH($A$119&amp;$D131,LCI!$B$2:$B$137&amp;LCI!$D$2:$D$137,0))*IF(OR($D131="Electric", $D131="Electric_green"), ($G131/$E131)*$B$94, $F131)</f>
        <v>0</v>
      </c>
      <c r="R131" s="154" cm="1">
        <f t="array" ref="R131">INDEX(LCI!R$2:R$137,MATCH($A$119&amp;$D131,LCI!$B$2:$B$137&amp;LCI!$D$2:$D$137,0))*IF(OR($D131="Electric", $D131="Electric_green"), ($G131/$E131)*$B$94, $F131)</f>
        <v>0</v>
      </c>
      <c r="S131" s="154" cm="1">
        <f t="array" ref="S131">INDEX(LCI!S$2:S$137,MATCH($A$119&amp;$D131,LCI!$B$2:$B$137&amp;LCI!$D$2:$D$137,0))*IF(OR($D131="Electric", $D131="Electric_green"), ($G131/$E131)*$B$94, $F131)</f>
        <v>0</v>
      </c>
      <c r="T131" s="154" cm="1">
        <f t="array" ref="T131">INDEX(LCI!T$2:T$137,MATCH($A$119&amp;$D131,LCI!$B$2:$B$137&amp;LCI!$D$2:$D$137,0))*IF(OR($D131="Electric", $D131="Electric_green"), ($G131/$E131)*$B$94, $F131)</f>
        <v>0</v>
      </c>
      <c r="U131" s="154" cm="1">
        <f t="array" ref="U131">INDEX(LCI!U$2:U$137,MATCH($A$119&amp;$D131,LCI!$B$2:$B$137&amp;LCI!$D$2:$D$137,0))*IF(OR($D131="Electric", $D131="Electric_green"), ($G131/$E131)*$B$94, $F131)</f>
        <v>0</v>
      </c>
      <c r="V131" s="154" cm="1">
        <f t="array" ref="V131">INDEX(LCI!V$2:V$137,MATCH($A$119&amp;$D131,LCI!$B$2:$B$137&amp;LCI!$D$2:$D$137,0))*IF(OR($D131="Electric", $D131="Electric_green"), ($G131/$E131)*$B$94, $F131)</f>
        <v>0</v>
      </c>
      <c r="W131" s="154" cm="1">
        <f t="array" ref="W131">INDEX(LCI!W$2:W$137,MATCH($A$119&amp;$D131,LCI!$B$2:$B$137&amp;LCI!$D$2:$D$137,0))*IF(OR($D131="Electric", $D131="Electric_green"), ($G131/$E131)*$B$94, $F131)</f>
        <v>0</v>
      </c>
      <c r="X131" s="154" cm="1">
        <f t="array" ref="X131">INDEX(LCI!X$2:X$137,MATCH($A$119&amp;$D131,LCI!$B$2:$B$137&amp;LCI!$D$2:$D$137,0))*IF(OR($D131="Electric", $D131="Electric_green"), ($G131/$E131)*$B$94, $F131)</f>
        <v>0</v>
      </c>
      <c r="Y131" s="154" cm="1">
        <f t="array" ref="Y131">INDEX(LCI!Y$2:Y$137,MATCH($A$119&amp;$D131,LCI!$B$2:$B$137&amp;LCI!$D$2:$D$137,0))*IF(OR($D131="Electric", $D131="Electric_green"), ($G131/$E131)*$B$94, $F131)</f>
        <v>0</v>
      </c>
      <c r="Z131" s="154" cm="1">
        <f t="array" ref="Z131">INDEX(LCI!Z$2:Z$137,MATCH($A$119&amp;$D131,LCI!$B$2:$B$137&amp;LCI!$D$2:$D$137,0))*IF(OR($D131="Electric", $D131="Electric_green"), ($G131/$E131)*$B$94, $F131)</f>
        <v>0</v>
      </c>
    </row>
    <row r="132" spans="1:26" x14ac:dyDescent="0.35">
      <c r="A132" s="1" t="s">
        <v>200</v>
      </c>
      <c r="B132" s="1"/>
      <c r="C132" s="1"/>
      <c r="D132" s="1"/>
      <c r="E132" s="1"/>
      <c r="F132" s="1"/>
      <c r="G132" s="1"/>
      <c r="H132" s="1">
        <f t="shared" ref="H132:Z132" si="2">SUM(H128:H131)</f>
        <v>2.55864253327323E-4</v>
      </c>
      <c r="I132" s="1">
        <f t="shared" si="2"/>
        <v>0.20013047747929927</v>
      </c>
      <c r="J132" s="1">
        <f t="shared" si="2"/>
        <v>4.1361893418964866E-5</v>
      </c>
      <c r="K132" s="1">
        <f t="shared" si="2"/>
        <v>0.20008026529332268</v>
      </c>
      <c r="L132" s="1">
        <f t="shared" si="2"/>
        <v>8.8502925576258877E-6</v>
      </c>
      <c r="M132" s="1">
        <f t="shared" si="2"/>
        <v>8.8423774114005468E-2</v>
      </c>
      <c r="N132" s="1">
        <f t="shared" si="2"/>
        <v>2.6582677157901702</v>
      </c>
      <c r="O132" s="1">
        <f t="shared" si="2"/>
        <v>2.1156496392936459E-6</v>
      </c>
      <c r="P132" s="1">
        <f t="shared" si="2"/>
        <v>5.7859243811004693E-5</v>
      </c>
      <c r="Q132" s="1">
        <f t="shared" si="2"/>
        <v>6.2900127687546138E-4</v>
      </c>
      <c r="R132" s="1">
        <f t="shared" si="2"/>
        <v>1.2230080680301121E-11</v>
      </c>
      <c r="S132" s="1">
        <f t="shared" si="2"/>
        <v>3.2598156267457412E-10</v>
      </c>
      <c r="T132" s="1">
        <f t="shared" si="2"/>
        <v>7.9816691805205604E-4</v>
      </c>
      <c r="U132" s="1">
        <f t="shared" si="2"/>
        <v>0.13667331563717891</v>
      </c>
      <c r="V132" s="1">
        <f t="shared" si="2"/>
        <v>3.1206726048919648E-8</v>
      </c>
      <c r="W132" s="1">
        <f t="shared" si="2"/>
        <v>4.5098637757189311E-9</v>
      </c>
      <c r="X132" s="1">
        <f t="shared" si="2"/>
        <v>1.9711371010076017E-9</v>
      </c>
      <c r="Y132" s="1">
        <f t="shared" si="2"/>
        <v>4.9294870434181631E-4</v>
      </c>
      <c r="Z132" s="1">
        <f t="shared" si="2"/>
        <v>3.5977641097759529E-3</v>
      </c>
    </row>
    <row r="136" spans="1:26" ht="23.5" x14ac:dyDescent="0.55000000000000004">
      <c r="A136" s="100" t="s">
        <v>988</v>
      </c>
      <c r="G136" s="350"/>
    </row>
    <row r="137" spans="1:26" x14ac:dyDescent="0.35">
      <c r="E137" s="3"/>
      <c r="F137" s="3"/>
      <c r="G137" s="350"/>
    </row>
    <row r="138" spans="1:26" x14ac:dyDescent="0.35">
      <c r="A138" s="62" t="s">
        <v>153</v>
      </c>
      <c r="B138" s="62" t="s">
        <v>690</v>
      </c>
      <c r="C138" s="294" t="s">
        <v>107</v>
      </c>
      <c r="D138" s="62" t="s">
        <v>691</v>
      </c>
      <c r="E138" s="62" t="s">
        <v>200</v>
      </c>
      <c r="G138" s="350"/>
    </row>
    <row r="139" spans="1:26" x14ac:dyDescent="0.35">
      <c r="A139" s="1" t="s">
        <v>318</v>
      </c>
      <c r="B139" s="154">
        <f>H121+H122</f>
        <v>5.2131186993360258E-4</v>
      </c>
      <c r="C139" s="182">
        <f>'A5 - Construction'!H123</f>
        <v>7.0101499592773201E-4</v>
      </c>
      <c r="D139" s="154">
        <f>SUM(H128:H131)</f>
        <v>2.55864253327323E-4</v>
      </c>
      <c r="E139" s="154">
        <f t="shared" ref="E139:E157" si="3">SUM(B139:D139)</f>
        <v>1.4781911191886577E-3</v>
      </c>
      <c r="G139" s="350"/>
    </row>
    <row r="140" spans="1:26" x14ac:dyDescent="0.35">
      <c r="A140" s="1" t="s">
        <v>280</v>
      </c>
      <c r="B140" s="154">
        <f>I121+I122</f>
        <v>0.40775681670534125</v>
      </c>
      <c r="C140" s="182">
        <f>'A5 - Construction'!I123</f>
        <v>0.54831600753423571</v>
      </c>
      <c r="D140" s="154">
        <f>SUM(I128:I131)</f>
        <v>0.20013047747929927</v>
      </c>
      <c r="E140" s="154">
        <f t="shared" si="3"/>
        <v>1.1562033017188762</v>
      </c>
      <c r="G140" s="350"/>
    </row>
    <row r="141" spans="1:26" x14ac:dyDescent="0.35">
      <c r="A141" s="1" t="s">
        <v>281</v>
      </c>
      <c r="B141" s="154">
        <f>J121+J122</f>
        <v>8.4272991329705047E-5</v>
      </c>
      <c r="C141" s="182">
        <f>'A5 - Construction'!J123</f>
        <v>1.1332301081372908E-4</v>
      </c>
      <c r="D141" s="154">
        <f>SUM(J128:J131)</f>
        <v>4.1361893418964866E-5</v>
      </c>
      <c r="E141" s="154">
        <f t="shared" si="3"/>
        <v>2.3895789556239896E-4</v>
      </c>
      <c r="G141" s="350"/>
    </row>
    <row r="142" spans="1:26" x14ac:dyDescent="0.35">
      <c r="A142" s="1" t="s">
        <v>282</v>
      </c>
      <c r="B142" s="154">
        <f>K121+K122</f>
        <v>0.40765451164230682</v>
      </c>
      <c r="C142" s="182">
        <f>'A5 - Construction'!K123</f>
        <v>0.54817843655708609</v>
      </c>
      <c r="D142" s="154">
        <f>SUM(K128:K131)</f>
        <v>0.20008026529332268</v>
      </c>
      <c r="E142" s="154">
        <f t="shared" si="3"/>
        <v>1.1559132134927155</v>
      </c>
      <c r="G142" s="350"/>
    </row>
    <row r="143" spans="1:26" x14ac:dyDescent="0.35">
      <c r="A143" s="1" t="s">
        <v>283</v>
      </c>
      <c r="B143" s="154">
        <f>L121+L122</f>
        <v>1.803207170472964E-5</v>
      </c>
      <c r="C143" s="182">
        <f>'A5 - Construction'!L123</f>
        <v>2.4247966335908719E-5</v>
      </c>
      <c r="D143" s="154">
        <f>SUM(L128:L131)</f>
        <v>8.8502925576258877E-6</v>
      </c>
      <c r="E143" s="154">
        <f t="shared" si="3"/>
        <v>5.1130330598264246E-5</v>
      </c>
      <c r="G143" s="350"/>
    </row>
    <row r="144" spans="1:26" x14ac:dyDescent="0.35">
      <c r="A144" s="1" t="s">
        <v>284</v>
      </c>
      <c r="B144" s="154">
        <f>M121+M122</f>
        <v>0.180159449514772</v>
      </c>
      <c r="C144" s="182">
        <f>'A5 - Construction'!M123</f>
        <v>0.24226280476603371</v>
      </c>
      <c r="D144" s="154">
        <f>SUM(M128:M131)</f>
        <v>8.8423774114005468E-2</v>
      </c>
      <c r="E144" s="154">
        <f t="shared" si="3"/>
        <v>0.51084602839481119</v>
      </c>
      <c r="G144" s="350"/>
    </row>
    <row r="145" spans="1:7" x14ac:dyDescent="0.35">
      <c r="A145" s="1" t="s">
        <v>285</v>
      </c>
      <c r="B145" s="154">
        <f>N121+N122</f>
        <v>5.4161005129930588</v>
      </c>
      <c r="C145" s="182">
        <f>'A5 - Construction'!N123</f>
        <v>7.283102300248018</v>
      </c>
      <c r="D145" s="154">
        <f>SUM(N128:N131)</f>
        <v>2.6582677157901702</v>
      </c>
      <c r="E145" s="154">
        <f t="shared" si="3"/>
        <v>15.357470529031247</v>
      </c>
      <c r="G145" s="350"/>
    </row>
    <row r="146" spans="1:7" x14ac:dyDescent="0.35">
      <c r="A146" s="1" t="s">
        <v>286</v>
      </c>
      <c r="B146" s="154">
        <f>O121+O122</f>
        <v>4.3105406685066843E-6</v>
      </c>
      <c r="C146" s="182">
        <f>'A5 - Construction'!O123</f>
        <v>5.7964412925498993E-6</v>
      </c>
      <c r="D146" s="154">
        <f>SUM(O128:O131)</f>
        <v>2.1156496392936459E-6</v>
      </c>
      <c r="E146" s="154">
        <f t="shared" si="3"/>
        <v>1.2222631600350229E-5</v>
      </c>
      <c r="G146" s="350"/>
    </row>
    <row r="147" spans="1:7" x14ac:dyDescent="0.35">
      <c r="A147" s="1" t="s">
        <v>287</v>
      </c>
      <c r="B147" s="154">
        <f>P121+P122</f>
        <v>1.1788559828821579E-4</v>
      </c>
      <c r="C147" s="182">
        <f>'A5 - Construction'!P123</f>
        <v>1.5852232985693826E-4</v>
      </c>
      <c r="D147" s="154">
        <f>SUM(P128:P131)</f>
        <v>5.7859243811004693E-5</v>
      </c>
      <c r="E147" s="154">
        <f t="shared" si="3"/>
        <v>3.3426717195615875E-4</v>
      </c>
      <c r="G147" s="350"/>
    </row>
    <row r="148" spans="1:7" x14ac:dyDescent="0.35">
      <c r="A148" s="1" t="s">
        <v>288</v>
      </c>
      <c r="B148" s="154">
        <f>Q121+Q122</f>
        <v>1.2815617170995977E-3</v>
      </c>
      <c r="C148" s="182">
        <f>'A5 - Construction'!Q123</f>
        <v>1.7233330635808015E-3</v>
      </c>
      <c r="D148" s="154">
        <f>SUM(Q128:Q131)</f>
        <v>6.2900127687546138E-4</v>
      </c>
      <c r="E148" s="154">
        <f t="shared" si="3"/>
        <v>3.6338960575558604E-3</v>
      </c>
      <c r="G148" s="350"/>
    </row>
    <row r="149" spans="1:7" x14ac:dyDescent="0.35">
      <c r="A149" s="1" t="s">
        <v>289</v>
      </c>
      <c r="B149" s="154">
        <f>R121+R122</f>
        <v>2.4918237487165866E-11</v>
      </c>
      <c r="C149" s="182">
        <f>'A5 - Construction'!R123</f>
        <v>3.3507884930409653E-11</v>
      </c>
      <c r="D149" s="154">
        <f>SUM(R128:R131)</f>
        <v>1.2230080680301121E-11</v>
      </c>
      <c r="E149" s="154">
        <f t="shared" si="3"/>
        <v>7.0656203097876641E-11</v>
      </c>
      <c r="G149" s="350"/>
    </row>
    <row r="150" spans="1:7" x14ac:dyDescent="0.35">
      <c r="A150" s="1" t="s">
        <v>319</v>
      </c>
      <c r="B150" s="154">
        <f>S121+S122</f>
        <v>6.6417272359011835E-10</v>
      </c>
      <c r="C150" s="182">
        <f>'A5 - Construction'!S123</f>
        <v>8.9312188341719221E-10</v>
      </c>
      <c r="D150" s="154">
        <f>SUM(S128:S131)</f>
        <v>3.2598156267457412E-10</v>
      </c>
      <c r="E150" s="154">
        <f t="shared" si="3"/>
        <v>1.8832761696818848E-9</v>
      </c>
      <c r="G150" s="350"/>
    </row>
    <row r="151" spans="1:7" x14ac:dyDescent="0.35">
      <c r="A151" s="1" t="s">
        <v>291</v>
      </c>
      <c r="B151" s="154">
        <f>T121+T122</f>
        <v>1.6262290771683365E-3</v>
      </c>
      <c r="C151" s="182">
        <f>'A5 - Construction'!T123</f>
        <v>2.1868118407776123E-3</v>
      </c>
      <c r="D151" s="154">
        <f>SUM(T128:T131)</f>
        <v>7.9816691805205604E-4</v>
      </c>
      <c r="E151" s="154">
        <f t="shared" si="3"/>
        <v>4.6112078359980043E-3</v>
      </c>
      <c r="G151" s="350"/>
    </row>
    <row r="152" spans="1:7" x14ac:dyDescent="0.35">
      <c r="A152" s="1" t="s">
        <v>292</v>
      </c>
      <c r="B152" s="154">
        <f>U121+U122</f>
        <v>0.27846571304235684</v>
      </c>
      <c r="C152" s="182">
        <f>'A5 - Construction'!U123</f>
        <v>0.37445654310396526</v>
      </c>
      <c r="D152" s="154">
        <f>SUM(U128:U131)</f>
        <v>0.13667331563717891</v>
      </c>
      <c r="E152" s="154">
        <f t="shared" si="3"/>
        <v>0.78959557178350104</v>
      </c>
      <c r="G152" s="350"/>
    </row>
    <row r="153" spans="1:7" x14ac:dyDescent="0.35">
      <c r="A153" s="1" t="s">
        <v>293</v>
      </c>
      <c r="B153" s="154">
        <f>V121+V122</f>
        <v>6.3582296078913462E-8</v>
      </c>
      <c r="C153" s="182">
        <f>'A5 - Construction'!V123</f>
        <v>8.5499958081737791E-8</v>
      </c>
      <c r="D153" s="154">
        <f>SUM(V128:V131)</f>
        <v>3.1206726048919648E-8</v>
      </c>
      <c r="E153" s="154">
        <f t="shared" si="3"/>
        <v>1.8028898020957092E-7</v>
      </c>
      <c r="G153" s="350"/>
    </row>
    <row r="154" spans="1:7" x14ac:dyDescent="0.35">
      <c r="A154" s="1" t="s">
        <v>294</v>
      </c>
      <c r="B154" s="154">
        <f>W121+W122</f>
        <v>9.1886439293190308E-9</v>
      </c>
      <c r="C154" s="182">
        <f>'A5 - Construction'!W123</f>
        <v>1.2356091541735607E-8</v>
      </c>
      <c r="D154" s="154">
        <f>SUM(W128:W131)</f>
        <v>4.5098637757189311E-9</v>
      </c>
      <c r="E154" s="154">
        <f t="shared" si="3"/>
        <v>2.6054599246773572E-8</v>
      </c>
      <c r="G154" s="350"/>
    </row>
    <row r="155" spans="1:7" x14ac:dyDescent="0.35">
      <c r="A155" s="1" t="s">
        <v>295</v>
      </c>
      <c r="B155" s="154">
        <f>X121+X122</f>
        <v>4.016102893072799E-9</v>
      </c>
      <c r="C155" s="182">
        <f>'A5 - Construction'!X123</f>
        <v>5.4005069049959681E-9</v>
      </c>
      <c r="D155" s="154">
        <f>SUM(X128:X131)</f>
        <v>1.9711371010076017E-9</v>
      </c>
      <c r="E155" s="154">
        <f t="shared" si="3"/>
        <v>1.138774689907637E-8</v>
      </c>
      <c r="G155" s="350"/>
    </row>
    <row r="156" spans="1:7" x14ac:dyDescent="0.35">
      <c r="A156" s="1" t="s">
        <v>296</v>
      </c>
      <c r="B156" s="154">
        <f>Y121+Y122</f>
        <v>1.0043607401188179E-3</v>
      </c>
      <c r="C156" s="182">
        <f>'A5 - Construction'!Y123</f>
        <v>1.350577227857946E-3</v>
      </c>
      <c r="D156" s="154">
        <f>SUM(Y128:Y131)</f>
        <v>4.9294870434181631E-4</v>
      </c>
      <c r="E156" s="154">
        <f t="shared" si="3"/>
        <v>2.8478866723185801E-3</v>
      </c>
      <c r="G156" s="350"/>
    </row>
    <row r="157" spans="1:7" x14ac:dyDescent="0.35">
      <c r="A157" s="1" t="s">
        <v>297</v>
      </c>
      <c r="B157" s="154">
        <f>Z121+Z122</f>
        <v>7.3302820196924313E-3</v>
      </c>
      <c r="C157" s="182">
        <f>'A5 - Construction'!Z123</f>
        <v>9.8571275978011092E-3</v>
      </c>
      <c r="D157" s="154">
        <f>SUM(Z128:Z131)</f>
        <v>3.5977641097759529E-3</v>
      </c>
      <c r="E157" s="154">
        <f t="shared" si="3"/>
        <v>2.0785173727269492E-2</v>
      </c>
      <c r="G157" s="350"/>
    </row>
    <row r="158" spans="1:7" x14ac:dyDescent="0.35">
      <c r="G158" s="350"/>
    </row>
    <row r="159" spans="1:7" x14ac:dyDescent="0.35">
      <c r="G159" s="350"/>
    </row>
    <row r="160" spans="1:7" x14ac:dyDescent="0.35">
      <c r="G160" s="350"/>
    </row>
    <row r="161" spans="1:7" x14ac:dyDescent="0.35">
      <c r="G161" s="350"/>
    </row>
    <row r="162" spans="1:7" x14ac:dyDescent="0.35">
      <c r="B162" t="s">
        <v>630</v>
      </c>
      <c r="G162" s="350"/>
    </row>
    <row r="163" spans="1:7" x14ac:dyDescent="0.35">
      <c r="A163" s="95" t="s">
        <v>530</v>
      </c>
      <c r="B163" s="1">
        <f>SUM($H$124:$Z$124)+SUM($H$132:$Z$132)</f>
        <v>19.004021797548457</v>
      </c>
      <c r="G163" s="350"/>
    </row>
    <row r="164" spans="1:7" x14ac:dyDescent="0.35">
      <c r="A164" s="95" t="s">
        <v>531</v>
      </c>
      <c r="B164" s="1">
        <f>SUM($B$139:$D$157)</f>
        <v>19.004021797548454</v>
      </c>
      <c r="G164" s="350"/>
    </row>
    <row r="165" spans="1:7" x14ac:dyDescent="0.35">
      <c r="A165" s="95" t="s">
        <v>58</v>
      </c>
      <c r="B165" s="204">
        <f>B163-B164</f>
        <v>0</v>
      </c>
    </row>
  </sheetData>
  <phoneticPr fontId="5" type="noConversion"/>
  <hyperlinks>
    <hyperlink ref="D68" r:id="rId1" location="filter-filter1 " xr:uid="{FBBAE7F3-483F-4706-AF84-4E8D72778886}"/>
    <hyperlink ref="C77" r:id="rId2" location="filter-filter1 " xr:uid="{2E47601B-322A-48AB-AA2A-B6097AAA22CE}"/>
    <hyperlink ref="C86" r:id="rId3" location="filter-filter1 " xr:uid="{C741C3E0-36BD-42B1-A519-DF957B7FAA0F}"/>
    <hyperlink ref="D6" r:id="rId4" xr:uid="{1F431446-EDAF-4BD5-8F30-910C5507009D}"/>
    <hyperlink ref="D20" r:id="rId5" xr:uid="{23721D17-421C-4773-A39D-BAB21B1D6161}"/>
    <hyperlink ref="D10" r:id="rId6" xr:uid="{E60E0330-CFBB-468C-AA74-4E12C11236FE}"/>
    <hyperlink ref="D22" r:id="rId7" xr:uid="{D328461E-84BB-4D2E-A0B0-B6703065FC1E}"/>
    <hyperlink ref="D47" r:id="rId8" xr:uid="{0AA0D162-1BE8-4072-8BBE-8AE8B9C93B54}"/>
    <hyperlink ref="D48" r:id="rId9" xr:uid="{9CD7AC65-8FBD-4EBD-ABE5-7F268F92F6D1}"/>
    <hyperlink ref="D53" r:id="rId10" xr:uid="{A5F6C2F6-9B9B-46F5-9A01-1557D3C8B0D9}"/>
    <hyperlink ref="D79" r:id="rId11" xr:uid="{69329E07-C5A2-43B9-8882-C38FBCDE8399}"/>
    <hyperlink ref="D70" r:id="rId12" xr:uid="{53B4C1EF-6C6F-43CA-8A96-969774769FF3}"/>
    <hyperlink ref="D88" r:id="rId13" xr:uid="{BA7EAAC5-99A8-4FEF-A172-B9DE2FC30EC7}"/>
  </hyperlinks>
  <pageMargins left="0.7" right="0.7" top="0.75" bottom="0.75" header="0.3" footer="0.3"/>
  <pageSetup paperSize="9" orientation="portrait" r:id="rId14"/>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D7257-FB51-4951-A6E1-026EA01A8D58}">
  <sheetPr codeName="Sheet13"/>
  <dimension ref="A1:AA112"/>
  <sheetViews>
    <sheetView showGridLines="0" zoomScale="80" zoomScaleNormal="80" workbookViewId="0"/>
  </sheetViews>
  <sheetFormatPr defaultRowHeight="14.5" x14ac:dyDescent="0.35"/>
  <cols>
    <col min="1" max="1" width="48.1796875" customWidth="1"/>
    <col min="2" max="2" width="61" customWidth="1"/>
    <col min="3" max="3" width="88" customWidth="1"/>
    <col min="4" max="4" width="61.81640625" customWidth="1"/>
    <col min="5" max="5" width="24.54296875" customWidth="1"/>
    <col min="6" max="6" width="20.81640625" customWidth="1"/>
    <col min="7" max="7" width="24.1796875" customWidth="1"/>
    <col min="8" max="8" width="24" customWidth="1"/>
    <col min="9" max="9" width="22.81640625" customWidth="1"/>
    <col min="10" max="10" width="24.81640625" customWidth="1"/>
    <col min="11" max="11" width="24.54296875" customWidth="1"/>
    <col min="12" max="12" width="30.1796875" customWidth="1"/>
    <col min="13" max="13" width="28.1796875" customWidth="1"/>
    <col min="14" max="14" width="32.81640625" customWidth="1"/>
    <col min="15" max="15" width="38.1796875" customWidth="1"/>
    <col min="16" max="16" width="35.1796875" customWidth="1"/>
    <col min="17" max="17" width="36.81640625" customWidth="1"/>
    <col min="18" max="18" width="31.81640625" customWidth="1"/>
    <col min="19" max="19" width="32.81640625" customWidth="1"/>
    <col min="20" max="20" width="37.1796875" customWidth="1"/>
    <col min="21" max="22" width="35.81640625" customWidth="1"/>
    <col min="23" max="23" width="32.81640625" customWidth="1"/>
    <col min="24" max="24" width="29.1796875" customWidth="1"/>
    <col min="25" max="26" width="32.1796875" customWidth="1"/>
  </cols>
  <sheetData>
    <row r="1" spans="1:10" ht="23.5" x14ac:dyDescent="0.55000000000000004">
      <c r="A1" s="100" t="s">
        <v>692</v>
      </c>
    </row>
    <row r="3" spans="1:10" s="28" customFormat="1" ht="20" customHeight="1" x14ac:dyDescent="0.45">
      <c r="A3" s="227" t="s">
        <v>693</v>
      </c>
      <c r="B3" s="295" t="s">
        <v>375</v>
      </c>
      <c r="C3" s="295" t="s">
        <v>330</v>
      </c>
      <c r="D3" s="62" t="s">
        <v>331</v>
      </c>
    </row>
    <row r="4" spans="1:10" s="28" customFormat="1" ht="20" customHeight="1" x14ac:dyDescent="0.35">
      <c r="A4" s="1" t="s">
        <v>633</v>
      </c>
      <c r="B4" s="183" t="s">
        <v>694</v>
      </c>
      <c r="C4" s="44"/>
      <c r="D4" s="53"/>
    </row>
    <row r="5" spans="1:10" x14ac:dyDescent="0.35">
      <c r="A5" s="1" t="s">
        <v>695</v>
      </c>
      <c r="B5" s="90" t="s">
        <v>696</v>
      </c>
      <c r="C5" s="201" t="s">
        <v>696</v>
      </c>
      <c r="D5" s="1" t="s">
        <v>697</v>
      </c>
    </row>
    <row r="6" spans="1:10" x14ac:dyDescent="0.35">
      <c r="A6" s="1" t="s">
        <v>534</v>
      </c>
      <c r="B6" s="152">
        <f>Input!$B$22/1000</f>
        <v>2.4</v>
      </c>
      <c r="C6" s="33"/>
      <c r="D6" s="1"/>
    </row>
    <row r="7" spans="1:10" ht="29" x14ac:dyDescent="0.35">
      <c r="A7" s="1" t="s">
        <v>381</v>
      </c>
      <c r="B7" s="90">
        <v>0.51</v>
      </c>
      <c r="C7" s="39" t="s">
        <v>382</v>
      </c>
      <c r="D7" s="1"/>
    </row>
    <row r="8" spans="1:10" x14ac:dyDescent="0.35">
      <c r="A8" s="1" t="s">
        <v>411</v>
      </c>
      <c r="B8" s="90">
        <v>45</v>
      </c>
      <c r="C8" s="2"/>
      <c r="D8" s="1"/>
    </row>
    <row r="9" spans="1:10" ht="29" x14ac:dyDescent="0.35">
      <c r="A9" s="1" t="s">
        <v>383</v>
      </c>
      <c r="B9" s="90">
        <v>0.25</v>
      </c>
      <c r="C9" s="39" t="s">
        <v>384</v>
      </c>
      <c r="D9" s="214" t="s">
        <v>385</v>
      </c>
    </row>
    <row r="10" spans="1:10" x14ac:dyDescent="0.35">
      <c r="A10" s="1" t="s">
        <v>698</v>
      </c>
      <c r="B10" s="90">
        <v>18</v>
      </c>
      <c r="C10" s="2"/>
      <c r="D10" s="1"/>
    </row>
    <row r="11" spans="1:10" s="3" customFormat="1" x14ac:dyDescent="0.35">
      <c r="A11" s="1" t="s">
        <v>699</v>
      </c>
      <c r="B11" s="90">
        <f>MIN(1.2,Input!$B$66)</f>
        <v>1.2</v>
      </c>
      <c r="C11" s="2"/>
      <c r="D11" s="18"/>
    </row>
    <row r="12" spans="1:10" s="3" customFormat="1" x14ac:dyDescent="0.35">
      <c r="A12" s="1" t="s">
        <v>114</v>
      </c>
      <c r="B12" s="90">
        <f>MIN(0.35,Input!$B$79)</f>
        <v>0.08</v>
      </c>
      <c r="C12" s="215"/>
      <c r="D12" s="18"/>
    </row>
    <row r="13" spans="1:10" ht="29" x14ac:dyDescent="0.35">
      <c r="A13" s="1" t="s">
        <v>470</v>
      </c>
      <c r="B13" s="90">
        <v>0.83</v>
      </c>
      <c r="C13" s="39" t="s">
        <v>645</v>
      </c>
      <c r="D13" s="214" t="s">
        <v>700</v>
      </c>
      <c r="H13" s="50"/>
    </row>
    <row r="14" spans="1:10" ht="14" customHeight="1" x14ac:dyDescent="0.35">
      <c r="A14" s="18" t="s">
        <v>471</v>
      </c>
      <c r="B14" s="152">
        <f>$B$10*$B$11*$B$12*60*$B$6*$B$13</f>
        <v>206.53055999999995</v>
      </c>
      <c r="C14" s="216" t="s">
        <v>701</v>
      </c>
      <c r="D14" s="1"/>
      <c r="G14" s="50"/>
      <c r="H14" s="50"/>
    </row>
    <row r="15" spans="1:10" x14ac:dyDescent="0.35">
      <c r="A15" s="1" t="s">
        <v>396</v>
      </c>
      <c r="B15" s="152">
        <f>$B$8*$B$7*$B$9</f>
        <v>5.7374999999999998</v>
      </c>
      <c r="C15" s="39" t="s">
        <v>397</v>
      </c>
      <c r="D15" s="1" t="s">
        <v>398</v>
      </c>
      <c r="G15" s="50"/>
      <c r="H15" s="50"/>
    </row>
    <row r="16" spans="1:10" x14ac:dyDescent="0.35">
      <c r="B16" s="29"/>
      <c r="C16" s="29"/>
      <c r="D16" s="415"/>
      <c r="E16" s="415"/>
      <c r="F16" s="415"/>
      <c r="G16" s="415"/>
      <c r="H16" s="415"/>
      <c r="I16" s="415"/>
      <c r="J16" s="38"/>
    </row>
    <row r="17" spans="1:12" ht="18.5" x14ac:dyDescent="0.45">
      <c r="A17" s="227" t="s">
        <v>702</v>
      </c>
      <c r="B17" s="295" t="s">
        <v>375</v>
      </c>
      <c r="C17" s="295" t="s">
        <v>330</v>
      </c>
      <c r="D17" s="62" t="s">
        <v>331</v>
      </c>
    </row>
    <row r="18" spans="1:12" x14ac:dyDescent="0.35">
      <c r="A18" s="1" t="s">
        <v>633</v>
      </c>
      <c r="B18" s="90" t="s">
        <v>703</v>
      </c>
      <c r="C18" s="2"/>
      <c r="D18" s="1"/>
    </row>
    <row r="19" spans="1:12" x14ac:dyDescent="0.35">
      <c r="A19" s="1" t="s">
        <v>695</v>
      </c>
      <c r="B19" s="90" t="s">
        <v>704</v>
      </c>
      <c r="C19" s="2" t="s">
        <v>704</v>
      </c>
      <c r="D19" s="30" t="s">
        <v>705</v>
      </c>
      <c r="I19" s="3" t="s">
        <v>706</v>
      </c>
      <c r="L19" s="50"/>
    </row>
    <row r="20" spans="1:12" x14ac:dyDescent="0.35">
      <c r="A20" s="1" t="s">
        <v>534</v>
      </c>
      <c r="B20" s="152">
        <f>Input!$B$22/1000</f>
        <v>2.4</v>
      </c>
      <c r="C20" s="2"/>
      <c r="D20" s="1"/>
      <c r="L20" s="50"/>
    </row>
    <row r="21" spans="1:12" ht="29" x14ac:dyDescent="0.35">
      <c r="A21" s="1" t="s">
        <v>381</v>
      </c>
      <c r="B21" s="90">
        <v>0.51</v>
      </c>
      <c r="C21" s="39" t="s">
        <v>382</v>
      </c>
      <c r="D21" s="1"/>
      <c r="I21" s="1" t="s">
        <v>707</v>
      </c>
      <c r="J21" s="1" t="s">
        <v>708</v>
      </c>
      <c r="K21" s="1" t="s">
        <v>709</v>
      </c>
      <c r="L21" s="50" t="s">
        <v>710</v>
      </c>
    </row>
    <row r="22" spans="1:12" x14ac:dyDescent="0.35">
      <c r="A22" s="1" t="s">
        <v>411</v>
      </c>
      <c r="B22" s="90">
        <v>571</v>
      </c>
      <c r="C22" s="2"/>
      <c r="D22" s="1"/>
      <c r="I22" s="1">
        <v>50</v>
      </c>
      <c r="J22" s="1">
        <v>2.86</v>
      </c>
      <c r="K22" s="1">
        <f>I22/J22</f>
        <v>17.482517482517483</v>
      </c>
      <c r="L22" s="50">
        <f>AVERAGE(K22:K26)</f>
        <v>18.032613080194253</v>
      </c>
    </row>
    <row r="23" spans="1:12" ht="29" x14ac:dyDescent="0.35">
      <c r="A23" s="1" t="s">
        <v>383</v>
      </c>
      <c r="B23" s="90">
        <v>0.25</v>
      </c>
      <c r="C23" s="39" t="s">
        <v>384</v>
      </c>
      <c r="D23" s="214" t="s">
        <v>385</v>
      </c>
      <c r="I23" s="1"/>
      <c r="J23" s="1"/>
      <c r="K23" s="1"/>
      <c r="L23" s="50"/>
    </row>
    <row r="24" spans="1:12" x14ac:dyDescent="0.35">
      <c r="A24" s="1" t="s">
        <v>698</v>
      </c>
      <c r="B24" s="90">
        <v>18</v>
      </c>
      <c r="C24" s="2"/>
      <c r="D24" s="1"/>
      <c r="I24" s="1">
        <v>50</v>
      </c>
      <c r="J24" s="1">
        <v>2.63</v>
      </c>
      <c r="K24" s="1">
        <f t="shared" ref="K24:K26" si="0">I24/J24</f>
        <v>19.011406844106464</v>
      </c>
      <c r="L24" s="50"/>
    </row>
    <row r="25" spans="1:12" ht="14" customHeight="1" x14ac:dyDescent="0.35">
      <c r="A25" s="1" t="s">
        <v>699</v>
      </c>
      <c r="B25" s="90">
        <f>MIN(2,Input!$B$66)</f>
        <v>2</v>
      </c>
      <c r="C25" s="2"/>
      <c r="D25" s="18"/>
      <c r="I25" s="1">
        <v>50</v>
      </c>
      <c r="J25" s="1">
        <v>2.65</v>
      </c>
      <c r="K25" s="1">
        <f t="shared" si="0"/>
        <v>18.867924528301888</v>
      </c>
      <c r="L25" s="3"/>
    </row>
    <row r="26" spans="1:12" x14ac:dyDescent="0.35">
      <c r="A26" s="1" t="s">
        <v>114</v>
      </c>
      <c r="B26" s="152">
        <f>MIN(0.35,Input!$B$79)</f>
        <v>0.08</v>
      </c>
      <c r="C26" s="2"/>
      <c r="D26" s="40"/>
      <c r="I26" s="22">
        <v>16.45</v>
      </c>
      <c r="J26" s="22">
        <v>0.98099999999999998</v>
      </c>
      <c r="K26" s="1">
        <f t="shared" si="0"/>
        <v>16.768603465851172</v>
      </c>
      <c r="L26" s="38"/>
    </row>
    <row r="27" spans="1:12" x14ac:dyDescent="0.35">
      <c r="A27" s="1" t="s">
        <v>644</v>
      </c>
      <c r="B27" s="152">
        <f>Input!$B$31/1000</f>
        <v>0.08</v>
      </c>
      <c r="C27" s="2"/>
      <c r="D27" s="1"/>
    </row>
    <row r="28" spans="1:12" x14ac:dyDescent="0.35">
      <c r="A28" s="1" t="s">
        <v>470</v>
      </c>
      <c r="B28" s="90">
        <v>0.83</v>
      </c>
      <c r="C28" s="49" t="s">
        <v>645</v>
      </c>
      <c r="D28" s="30" t="s">
        <v>700</v>
      </c>
    </row>
    <row r="29" spans="1:12" x14ac:dyDescent="0.35">
      <c r="A29" s="18" t="s">
        <v>471</v>
      </c>
      <c r="B29" s="152">
        <f>$B$24*$B$25*$B$26*60*$B$20*$B$28</f>
        <v>344.21759999999995</v>
      </c>
      <c r="C29" s="2" t="s">
        <v>701</v>
      </c>
      <c r="D29" s="1"/>
    </row>
    <row r="30" spans="1:12" ht="14" customHeight="1" x14ac:dyDescent="0.35">
      <c r="A30" s="1" t="s">
        <v>396</v>
      </c>
      <c r="B30" s="152">
        <f>$B$22*$B$21*$B$23</f>
        <v>72.802499999999995</v>
      </c>
      <c r="C30" s="39" t="s">
        <v>397</v>
      </c>
      <c r="D30" s="1" t="s">
        <v>398</v>
      </c>
    </row>
    <row r="31" spans="1:12" x14ac:dyDescent="0.35">
      <c r="B31" s="29"/>
      <c r="C31" s="29"/>
    </row>
    <row r="32" spans="1:12" ht="18.5" x14ac:dyDescent="0.45">
      <c r="A32" s="227" t="s">
        <v>711</v>
      </c>
      <c r="B32" s="295" t="s">
        <v>375</v>
      </c>
      <c r="C32" s="295" t="s">
        <v>330</v>
      </c>
      <c r="D32" s="62" t="s">
        <v>331</v>
      </c>
    </row>
    <row r="33" spans="1:10" x14ac:dyDescent="0.35">
      <c r="A33" s="1" t="s">
        <v>633</v>
      </c>
      <c r="B33" s="90" t="s">
        <v>712</v>
      </c>
      <c r="C33" s="2"/>
      <c r="D33" s="1"/>
    </row>
    <row r="34" spans="1:10" x14ac:dyDescent="0.35">
      <c r="A34" s="1" t="s">
        <v>695</v>
      </c>
      <c r="B34" s="90" t="s">
        <v>713</v>
      </c>
      <c r="C34" s="2"/>
      <c r="D34" s="18"/>
      <c r="E34" s="3"/>
      <c r="F34" s="3"/>
      <c r="G34" s="3"/>
      <c r="H34" s="3"/>
      <c r="I34" s="3"/>
      <c r="J34" s="3"/>
    </row>
    <row r="35" spans="1:10" x14ac:dyDescent="0.35">
      <c r="A35" s="1" t="s">
        <v>534</v>
      </c>
      <c r="B35" s="152">
        <f>Input!$B$22/1000</f>
        <v>2.4</v>
      </c>
      <c r="C35" s="2"/>
      <c r="D35" s="1"/>
    </row>
    <row r="36" spans="1:10" ht="29" x14ac:dyDescent="0.35">
      <c r="A36" s="1" t="s">
        <v>381</v>
      </c>
      <c r="B36" s="90">
        <v>0.51</v>
      </c>
      <c r="C36" s="39" t="s">
        <v>382</v>
      </c>
      <c r="D36" s="1"/>
    </row>
    <row r="37" spans="1:10" x14ac:dyDescent="0.35">
      <c r="A37" s="1" t="s">
        <v>411</v>
      </c>
      <c r="B37" s="90">
        <v>753</v>
      </c>
      <c r="C37" s="2"/>
      <c r="D37" s="1"/>
    </row>
    <row r="38" spans="1:10" ht="29" x14ac:dyDescent="0.35">
      <c r="A38" s="1" t="s">
        <v>383</v>
      </c>
      <c r="B38" s="90">
        <v>0.25</v>
      </c>
      <c r="C38" s="39" t="s">
        <v>384</v>
      </c>
      <c r="D38" s="214" t="s">
        <v>385</v>
      </c>
    </row>
    <row r="39" spans="1:10" x14ac:dyDescent="0.35">
      <c r="A39" s="1" t="s">
        <v>698</v>
      </c>
      <c r="B39" s="90">
        <v>18</v>
      </c>
      <c r="C39" s="2"/>
      <c r="D39" s="1"/>
    </row>
    <row r="40" spans="1:10" x14ac:dyDescent="0.35">
      <c r="A40" s="1" t="s">
        <v>699</v>
      </c>
      <c r="B40" s="90">
        <f>MIN(2.2,Input!$B$66)</f>
        <v>2.2000000000000002</v>
      </c>
      <c r="C40" s="2"/>
      <c r="D40" s="1"/>
    </row>
    <row r="41" spans="1:10" x14ac:dyDescent="0.35">
      <c r="A41" s="1" t="s">
        <v>114</v>
      </c>
      <c r="B41" s="90">
        <f>MIN(0.35,Input!$B$79)</f>
        <v>0.08</v>
      </c>
      <c r="C41" s="2"/>
      <c r="D41" s="1"/>
    </row>
    <row r="42" spans="1:10" x14ac:dyDescent="0.35">
      <c r="A42" s="1" t="s">
        <v>470</v>
      </c>
      <c r="B42" s="90">
        <v>0.83</v>
      </c>
      <c r="C42" s="2" t="s">
        <v>645</v>
      </c>
      <c r="D42" s="1" t="s">
        <v>700</v>
      </c>
    </row>
    <row r="43" spans="1:10" x14ac:dyDescent="0.35">
      <c r="A43" s="18" t="s">
        <v>471</v>
      </c>
      <c r="B43" s="152">
        <f>$B$39*$B$40*$B$41*60*$B$35*$B$42</f>
        <v>378.63936000000001</v>
      </c>
      <c r="C43" s="2" t="s">
        <v>701</v>
      </c>
      <c r="D43" s="1"/>
    </row>
    <row r="44" spans="1:10" ht="14" customHeight="1" x14ac:dyDescent="0.35">
      <c r="A44" s="1" t="s">
        <v>396</v>
      </c>
      <c r="B44" s="152">
        <f>$B$37*$B$36*$B$38</f>
        <v>96.007500000000007</v>
      </c>
      <c r="C44" s="39" t="s">
        <v>397</v>
      </c>
      <c r="D44" s="1" t="s">
        <v>398</v>
      </c>
    </row>
    <row r="45" spans="1:10" x14ac:dyDescent="0.35">
      <c r="B45" s="29"/>
      <c r="C45" s="29"/>
    </row>
    <row r="46" spans="1:10" x14ac:dyDescent="0.35">
      <c r="B46" s="29"/>
      <c r="C46" s="29"/>
    </row>
    <row r="47" spans="1:10" ht="18.5" x14ac:dyDescent="0.45">
      <c r="A47" s="227" t="s">
        <v>714</v>
      </c>
      <c r="B47" s="295" t="s">
        <v>375</v>
      </c>
      <c r="C47" s="295" t="s">
        <v>330</v>
      </c>
      <c r="D47" s="62" t="s">
        <v>331</v>
      </c>
    </row>
    <row r="48" spans="1:10" x14ac:dyDescent="0.35">
      <c r="A48" s="1" t="s">
        <v>715</v>
      </c>
      <c r="B48" s="90" t="s">
        <v>716</v>
      </c>
      <c r="C48" s="2" t="s">
        <v>330</v>
      </c>
      <c r="D48" s="1"/>
    </row>
    <row r="49" spans="1:5" x14ac:dyDescent="0.35">
      <c r="A49" s="1" t="s">
        <v>717</v>
      </c>
      <c r="B49" s="90" t="s">
        <v>718</v>
      </c>
      <c r="C49" s="2" t="s">
        <v>719</v>
      </c>
      <c r="D49" s="1" t="s">
        <v>720</v>
      </c>
    </row>
    <row r="50" spans="1:5" ht="29" x14ac:dyDescent="0.35">
      <c r="A50" s="1" t="s">
        <v>381</v>
      </c>
      <c r="B50" s="90">
        <v>0.51</v>
      </c>
      <c r="C50" s="39" t="s">
        <v>382</v>
      </c>
      <c r="D50" s="1"/>
    </row>
    <row r="51" spans="1:5" x14ac:dyDescent="0.35">
      <c r="A51" s="1" t="s">
        <v>411</v>
      </c>
      <c r="B51" s="90">
        <v>186</v>
      </c>
      <c r="C51" s="2"/>
      <c r="D51" s="1"/>
    </row>
    <row r="52" spans="1:5" ht="29" x14ac:dyDescent="0.35">
      <c r="A52" s="1" t="s">
        <v>383</v>
      </c>
      <c r="B52" s="90">
        <v>0.25</v>
      </c>
      <c r="C52" s="39" t="s">
        <v>384</v>
      </c>
      <c r="D52" s="214" t="s">
        <v>385</v>
      </c>
    </row>
    <row r="53" spans="1:5" x14ac:dyDescent="0.35">
      <c r="A53" s="1" t="s">
        <v>396</v>
      </c>
      <c r="B53" s="152">
        <f>$B$51*$B$50*$B$52</f>
        <v>23.715</v>
      </c>
      <c r="C53" s="39" t="s">
        <v>397</v>
      </c>
      <c r="D53" s="1" t="s">
        <v>436</v>
      </c>
    </row>
    <row r="54" spans="1:5" x14ac:dyDescent="0.35">
      <c r="B54" s="29"/>
      <c r="C54" s="29"/>
    </row>
    <row r="55" spans="1:5" x14ac:dyDescent="0.35">
      <c r="A55" s="1" t="s">
        <v>371</v>
      </c>
      <c r="B55" s="90">
        <v>0.51</v>
      </c>
      <c r="C55" s="90" t="s">
        <v>372</v>
      </c>
    </row>
    <row r="56" spans="1:5" x14ac:dyDescent="0.35">
      <c r="B56" s="29"/>
      <c r="C56" s="29"/>
    </row>
    <row r="57" spans="1:5" x14ac:dyDescent="0.35">
      <c r="B57" s="29"/>
      <c r="C57" s="29"/>
    </row>
    <row r="58" spans="1:5" x14ac:dyDescent="0.35">
      <c r="B58" s="29"/>
      <c r="C58" s="29"/>
    </row>
    <row r="59" spans="1:5" ht="21" x14ac:dyDescent="0.5">
      <c r="A59" s="99" t="s">
        <v>439</v>
      </c>
      <c r="B59" s="29"/>
      <c r="C59" s="29"/>
    </row>
    <row r="60" spans="1:5" ht="21" x14ac:dyDescent="0.5">
      <c r="A60" s="82"/>
      <c r="B60" s="29"/>
      <c r="C60" s="29"/>
    </row>
    <row r="61" spans="1:5" x14ac:dyDescent="0.35">
      <c r="A61" t="s">
        <v>676</v>
      </c>
      <c r="B61" s="29"/>
      <c r="C61" s="29"/>
    </row>
    <row r="63" spans="1:5" x14ac:dyDescent="0.35">
      <c r="A63" s="62" t="s">
        <v>441</v>
      </c>
      <c r="B63" s="62" t="s">
        <v>471</v>
      </c>
      <c r="C63" s="62" t="s">
        <v>396</v>
      </c>
      <c r="D63" s="62" t="s">
        <v>721</v>
      </c>
      <c r="E63" s="62" t="s">
        <v>411</v>
      </c>
    </row>
    <row r="64" spans="1:5" x14ac:dyDescent="0.35">
      <c r="A64" s="1" t="s">
        <v>119</v>
      </c>
      <c r="B64" s="154">
        <v>0</v>
      </c>
      <c r="C64" s="154">
        <v>0</v>
      </c>
      <c r="D64" s="154">
        <v>0</v>
      </c>
      <c r="E64" s="154">
        <v>0</v>
      </c>
    </row>
    <row r="65" spans="1:27" x14ac:dyDescent="0.35">
      <c r="A65" s="13" t="s">
        <v>722</v>
      </c>
      <c r="B65" s="154">
        <f>$B$14</f>
        <v>206.53055999999995</v>
      </c>
      <c r="C65" s="154">
        <f>$B$15</f>
        <v>5.7374999999999998</v>
      </c>
      <c r="D65" s="154">
        <f>$C$65/$B$65</f>
        <v>2.7780392402945119E-2</v>
      </c>
      <c r="E65" s="154">
        <f>$B$8</f>
        <v>45</v>
      </c>
    </row>
    <row r="66" spans="1:27" x14ac:dyDescent="0.35">
      <c r="A66" s="13" t="s">
        <v>117</v>
      </c>
      <c r="B66" s="154">
        <f>$B$29</f>
        <v>344.21759999999995</v>
      </c>
      <c r="C66" s="154">
        <f>$B$30</f>
        <v>72.802499999999995</v>
      </c>
      <c r="D66" s="154">
        <f>$C$66/$B$66</f>
        <v>0.21150138749442216</v>
      </c>
      <c r="E66" s="154">
        <f>$B$22</f>
        <v>571</v>
      </c>
    </row>
    <row r="67" spans="1:27" x14ac:dyDescent="0.35">
      <c r="A67" s="13" t="s">
        <v>723</v>
      </c>
      <c r="B67" s="154">
        <f>$B$43</f>
        <v>378.63936000000001</v>
      </c>
      <c r="C67" s="154">
        <f>$B$44</f>
        <v>96.007500000000007</v>
      </c>
      <c r="D67" s="154">
        <f>$C$67/$B$67</f>
        <v>0.25355921793233543</v>
      </c>
      <c r="E67" s="154">
        <f>$B$37</f>
        <v>753</v>
      </c>
    </row>
    <row r="68" spans="1:27" x14ac:dyDescent="0.35">
      <c r="A68" s="13" t="s">
        <v>121</v>
      </c>
      <c r="B68" s="154" t="s">
        <v>724</v>
      </c>
      <c r="C68" s="154">
        <f>$B$53</f>
        <v>23.715</v>
      </c>
      <c r="D68" s="174" t="s">
        <v>725</v>
      </c>
      <c r="E68" s="154">
        <f>$B$51</f>
        <v>186</v>
      </c>
    </row>
    <row r="71" spans="1:27" ht="23.5" x14ac:dyDescent="0.55000000000000004">
      <c r="A71" s="100" t="s">
        <v>726</v>
      </c>
    </row>
    <row r="73" spans="1:27" ht="43.5" x14ac:dyDescent="0.35">
      <c r="A73" s="127" t="s">
        <v>451</v>
      </c>
      <c r="B73" s="127" t="s">
        <v>452</v>
      </c>
      <c r="C73" s="127" t="s">
        <v>453</v>
      </c>
      <c r="D73" s="127" t="s">
        <v>454</v>
      </c>
      <c r="E73" s="127" t="s">
        <v>471</v>
      </c>
      <c r="F73" s="127" t="s">
        <v>721</v>
      </c>
      <c r="G73" s="127" t="s">
        <v>411</v>
      </c>
      <c r="H73" s="101" t="s">
        <v>279</v>
      </c>
      <c r="I73" s="101" t="s">
        <v>280</v>
      </c>
      <c r="J73" s="101" t="s">
        <v>281</v>
      </c>
      <c r="K73" s="101" t="s">
        <v>282</v>
      </c>
      <c r="L73" s="101" t="s">
        <v>283</v>
      </c>
      <c r="M73" s="101" t="s">
        <v>284</v>
      </c>
      <c r="N73" s="101" t="s">
        <v>285</v>
      </c>
      <c r="O73" s="101" t="s">
        <v>286</v>
      </c>
      <c r="P73" s="101" t="s">
        <v>287</v>
      </c>
      <c r="Q73" s="101" t="s">
        <v>288</v>
      </c>
      <c r="R73" s="101" t="s">
        <v>289</v>
      </c>
      <c r="S73" s="101" t="s">
        <v>290</v>
      </c>
      <c r="T73" s="101" t="s">
        <v>291</v>
      </c>
      <c r="U73" s="101" t="s">
        <v>292</v>
      </c>
      <c r="V73" s="101" t="s">
        <v>293</v>
      </c>
      <c r="W73" s="101" t="s">
        <v>294</v>
      </c>
      <c r="X73" s="101" t="s">
        <v>295</v>
      </c>
      <c r="Y73" s="101" t="s">
        <v>296</v>
      </c>
      <c r="Z73" s="101" t="s">
        <v>297</v>
      </c>
      <c r="AA73" s="25"/>
    </row>
    <row r="74" spans="1:27" x14ac:dyDescent="0.35">
      <c r="A74" s="83" t="s">
        <v>727</v>
      </c>
      <c r="B74" s="125"/>
      <c r="C74" s="51"/>
      <c r="D74" s="51"/>
      <c r="E74" s="51"/>
      <c r="F74" s="51"/>
      <c r="G74" s="51"/>
      <c r="H74" s="51"/>
      <c r="I74" s="14"/>
      <c r="J74" s="14"/>
      <c r="K74" s="14"/>
      <c r="L74" s="14"/>
      <c r="M74" s="14"/>
      <c r="N74" s="14"/>
      <c r="O74" s="14"/>
      <c r="P74" s="14"/>
      <c r="Q74" s="14"/>
      <c r="R74" s="14"/>
      <c r="S74" s="14"/>
      <c r="T74" s="14"/>
      <c r="U74" s="14"/>
      <c r="V74" s="14"/>
      <c r="W74" s="14"/>
      <c r="X74" s="14"/>
      <c r="Y74" s="14"/>
      <c r="Z74" s="14"/>
      <c r="AA74" s="25"/>
    </row>
    <row r="75" spans="1:27" x14ac:dyDescent="0.35">
      <c r="A75" s="1" t="s">
        <v>116</v>
      </c>
      <c r="B75" s="154" t="str">
        <f>Input!B82</f>
        <v>No_milling_machine</v>
      </c>
      <c r="C75" s="154">
        <v>1</v>
      </c>
      <c r="D75" s="154" t="str">
        <f>Input!C82</f>
        <v>No</v>
      </c>
      <c r="E75" s="154">
        <f>INDEX('C1 - Deconstruction'!$B$64:$B$67,MATCH(Input!$B82,'C1 - Deconstruction'!$A$64:$A$67,0))</f>
        <v>0</v>
      </c>
      <c r="F75" s="187">
        <f>INDEX('C1 - Deconstruction'!$D$64:$D$67,MATCH(Input!$B82,'C1 - Deconstruction'!$A$64:$A$67,0))</f>
        <v>0</v>
      </c>
      <c r="G75" s="187">
        <f>INDEX('C1 - Deconstruction'!$E$64:$E$68,MATCH(Input!$B82,'C1 - Deconstruction'!$A$64:$A$68,0))</f>
        <v>0</v>
      </c>
      <c r="H75" s="154" cm="1">
        <f t="array" ref="H75">INDEX(LCI!H$2:H$137,MATCH($A$74&amp;$D75,LCI!$B$2:$B$137&amp;LCI!$D$2:$D$137,0))*IF(OR($D75="Electric",$D75 = "Electric_green"),($G75/$E75)*$B$55,$F75)*$C75</f>
        <v>0</v>
      </c>
      <c r="I75" s="154" cm="1">
        <f t="array" ref="I75">INDEX(LCI!I$2:I$137,MATCH($A$74&amp;$D75,LCI!$B$2:$B$137&amp;LCI!$D$2:$D$137,0))*IF(OR($D75="Electric",$D75 = "Electric_green"),($G75/$E75)*$B$55,$F75)*$C75</f>
        <v>0</v>
      </c>
      <c r="J75" s="154" cm="1">
        <f t="array" ref="J75">INDEX(LCI!J$2:J$137,MATCH($A$74&amp;$D75,LCI!$B$2:$B$137&amp;LCI!$D$2:$D$137,0))*IF(OR($D75="Electric",$D75 = "Electric_green"),($G75/$E75)*$B$55,$F75)*$C75</f>
        <v>0</v>
      </c>
      <c r="K75" s="154" cm="1">
        <f t="array" ref="K75">INDEX(LCI!K$2:K$137,MATCH($A$74&amp;$D75,LCI!$B$2:$B$137&amp;LCI!$D$2:$D$137,0))*IF(OR($D75="Electric",$D75 = "Electric_green"),($G75/$E75)*$B$55,$F75)*$C75</f>
        <v>0</v>
      </c>
      <c r="L75" s="154" cm="1">
        <f t="array" ref="L75">INDEX(LCI!L$2:L$137,MATCH($A$74&amp;$D75,LCI!$B$2:$B$137&amp;LCI!$D$2:$D$137,0))*IF(OR($D75="Electric",$D75 = "Electric_green"),($G75/$E75)*$B$55,$F75)*$C75</f>
        <v>0</v>
      </c>
      <c r="M75" s="154" cm="1">
        <f t="array" ref="M75">INDEX(LCI!M$2:M$137,MATCH($A$74&amp;$D75,LCI!$B$2:$B$137&amp;LCI!$D$2:$D$137,0))*IF(OR($D75="Electric",$D75 = "Electric_green"),($G75/$E75)*$B$55,$F75)*$C75</f>
        <v>0</v>
      </c>
      <c r="N75" s="154" cm="1">
        <f t="array" ref="N75">INDEX(LCI!N$2:N$137,MATCH($A$74&amp;$D75,LCI!$B$2:$B$137&amp;LCI!$D$2:$D$137,0))*IF(OR($D75="Electric",$D75 = "Electric_green"),($G75/$E75)*$B$55,$F75)*$C75</f>
        <v>0</v>
      </c>
      <c r="O75" s="154" cm="1">
        <f t="array" ref="O75">INDEX(LCI!O$2:O$137,MATCH($A$74&amp;$D75,LCI!$B$2:$B$137&amp;LCI!$D$2:$D$137,0))*IF(OR($D75="Electric",$D75 = "Electric_green"),($G75/$E75)*$B$55,$F75)*$C75</f>
        <v>0</v>
      </c>
      <c r="P75" s="154" cm="1">
        <f t="array" ref="P75">INDEX(LCI!P$2:P$137,MATCH($A$74&amp;$D75,LCI!$B$2:$B$137&amp;LCI!$D$2:$D$137,0))*IF(OR($D75="Electric",$D75 = "Electric_green"),($G75/$E75)*$B$55,$F75)*$C75</f>
        <v>0</v>
      </c>
      <c r="Q75" s="154" cm="1">
        <f t="array" ref="Q75">INDEX(LCI!Q$2:Q$137,MATCH($A$74&amp;$D75,LCI!$B$2:$B$137&amp;LCI!$D$2:$D$137,0))*IF(OR($D75="Electric",$D75 = "Electric_green"),($G75/$E75)*$B$55,$F75)*$C75</f>
        <v>0</v>
      </c>
      <c r="R75" s="154" cm="1">
        <f t="array" ref="R75">INDEX(LCI!R$2:R$137,MATCH($A$74&amp;$D75,LCI!$B$2:$B$137&amp;LCI!$D$2:$D$137,0))*IF(OR($D75="Electric",$D75 = "Electric_green"),($G75/$E75)*$B$55,$F75)*$C75</f>
        <v>0</v>
      </c>
      <c r="S75" s="154" cm="1">
        <f t="array" ref="S75">INDEX(LCI!S$2:S$137,MATCH($A$74&amp;$D75,LCI!$B$2:$B$137&amp;LCI!$D$2:$D$137,0))*IF(OR($D75="Electric",$D75 = "Electric_green"),($G75/$E75)*$B$55,$F75)*$C75</f>
        <v>0</v>
      </c>
      <c r="T75" s="154" cm="1">
        <f t="array" ref="T75">INDEX(LCI!T$2:T$137,MATCH($A$74&amp;$D75,LCI!$B$2:$B$137&amp;LCI!$D$2:$D$137,0))*IF(OR($D75="Electric",$D75 = "Electric_green"),($G75/$E75)*$B$55,$F75)*$C75</f>
        <v>0</v>
      </c>
      <c r="U75" s="154" cm="1">
        <f t="array" ref="U75">INDEX(LCI!U$2:U$137,MATCH($A$74&amp;$D75,LCI!$B$2:$B$137&amp;LCI!$D$2:$D$137,0))*IF(OR($D75="Electric",$D75 = "Electric_green"),($G75/$E75)*$B$55,$F75)*$C75</f>
        <v>0</v>
      </c>
      <c r="V75" s="154" cm="1">
        <f t="array" ref="V75">INDEX(LCI!V$2:V$137,MATCH($A$74&amp;$D75,LCI!$B$2:$B$137&amp;LCI!$D$2:$D$137,0))*IF(OR($D75="Electric",$D75 = "Electric_green"),($G75/$E75)*$B$55,$F75)*$C75</f>
        <v>0</v>
      </c>
      <c r="W75" s="154" cm="1">
        <f t="array" ref="W75">INDEX(LCI!W$2:W$137,MATCH($A$74&amp;$D75,LCI!$B$2:$B$137&amp;LCI!$D$2:$D$137,0))*IF(OR($D75="Electric",$D75 = "Electric_green"),($G75/$E75)*$B$55,$F75)*$C75</f>
        <v>0</v>
      </c>
      <c r="X75" s="154" cm="1">
        <f t="array" ref="X75">INDEX(LCI!X$2:X$137,MATCH($A$74&amp;$D75,LCI!$B$2:$B$137&amp;LCI!$D$2:$D$137,0))*IF(OR($D75="Electric",$D75 = "Electric_green"),($G75/$E75)*$B$55,$F75)*$C75</f>
        <v>0</v>
      </c>
      <c r="Y75" s="154" cm="1">
        <f t="array" ref="Y75">INDEX(LCI!Y$2:Y$137,MATCH($A$74&amp;$D75,LCI!$B$2:$B$137&amp;LCI!$D$2:$D$137,0))*IF(OR($D75="Electric",$D75 = "Electric_green"),($G75/$E75)*$B$55,$F75)*$C75</f>
        <v>0</v>
      </c>
      <c r="Z75" s="154" cm="1">
        <f t="array" ref="Z75">INDEX(LCI!Z$2:Z$137,MATCH($A$74&amp;$D75,LCI!$B$2:$B$137&amp;LCI!$D$2:$D$137,0))*IF(OR($D75="Electric",$D75 = "Electric_green"),($G75/$E75)*$B$55,$F75)*$C75</f>
        <v>0</v>
      </c>
    </row>
    <row r="76" spans="1:27" x14ac:dyDescent="0.35">
      <c r="A76" s="1" t="s">
        <v>118</v>
      </c>
      <c r="B76" s="154" t="str">
        <f>Input!B83</f>
        <v>No_milling_machine</v>
      </c>
      <c r="C76" s="154">
        <v>1</v>
      </c>
      <c r="D76" s="154" t="str">
        <f>Input!C83</f>
        <v>No</v>
      </c>
      <c r="E76" s="154">
        <f>INDEX('C1 - Deconstruction'!$B$64:$B$67,MATCH(Input!$B83,'C1 - Deconstruction'!$A$64:$A$67,0))</f>
        <v>0</v>
      </c>
      <c r="F76" s="187">
        <f>INDEX('C1 - Deconstruction'!$D$64:$D$67,MATCH(Input!$B83,'C1 - Deconstruction'!$A$64:$A$67,0))</f>
        <v>0</v>
      </c>
      <c r="G76" s="187">
        <f>INDEX('C1 - Deconstruction'!$E$64:$E$68,MATCH(Input!$B83,'C1 - Deconstruction'!$A$64:$A$68,0))</f>
        <v>0</v>
      </c>
      <c r="H76" s="154" cm="1">
        <f t="array" ref="H76">INDEX(LCI!H$2:H$137,MATCH($A$74&amp;$D76,LCI!$B$2:$B$137&amp;LCI!$D$2:$D$137,0))*IF(OR($D76="Electric",$D76 = "Electric_green"),($G76/$E76)*$B$55,$F76)*$C76</f>
        <v>0</v>
      </c>
      <c r="I76" s="154" cm="1">
        <f t="array" ref="I76">INDEX(LCI!I$2:I$137,MATCH($A$74&amp;$D76,LCI!$B$2:$B$137&amp;LCI!$D$2:$D$137,0))*IF(OR($D76="Electric",$D76 = "Electric_green"),($G76/$E76)*$B$55,$F76)*$C76</f>
        <v>0</v>
      </c>
      <c r="J76" s="154" cm="1">
        <f t="array" ref="J76">INDEX(LCI!J$2:J$137,MATCH($A$74&amp;$D76,LCI!$B$2:$B$137&amp;LCI!$D$2:$D$137,0))*IF(OR($D76="Electric",$D76 = "Electric_green"),($G76/$E76)*$B$55,$F76)*$C76</f>
        <v>0</v>
      </c>
      <c r="K76" s="154" cm="1">
        <f t="array" ref="K76">INDEX(LCI!K$2:K$137,MATCH($A$74&amp;$D76,LCI!$B$2:$B$137&amp;LCI!$D$2:$D$137,0))*IF(OR($D76="Electric",$D76 = "Electric_green"),($G76/$E76)*$B$55,$F76)*$C76</f>
        <v>0</v>
      </c>
      <c r="L76" s="154" cm="1">
        <f t="array" ref="L76">INDEX(LCI!L$2:L$137,MATCH($A$74&amp;$D76,LCI!$B$2:$B$137&amp;LCI!$D$2:$D$137,0))*IF(OR($D76="Electric",$D76 = "Electric_green"),($G76/$E76)*$B$55,$F76)*$C76</f>
        <v>0</v>
      </c>
      <c r="M76" s="154" cm="1">
        <f t="array" ref="M76">INDEX(LCI!M$2:M$137,MATCH($A$74&amp;$D76,LCI!$B$2:$B$137&amp;LCI!$D$2:$D$137,0))*IF(OR($D76="Electric",$D76 = "Electric_green"),($G76/$E76)*$B$55,$F76)*$C76</f>
        <v>0</v>
      </c>
      <c r="N76" s="154" cm="1">
        <f t="array" ref="N76">INDEX(LCI!N$2:N$137,MATCH($A$74&amp;$D76,LCI!$B$2:$B$137&amp;LCI!$D$2:$D$137,0))*IF(OR($D76="Electric",$D76 = "Electric_green"),($G76/$E76)*$B$55,$F76)*$C76</f>
        <v>0</v>
      </c>
      <c r="O76" s="154" cm="1">
        <f t="array" ref="O76">INDEX(LCI!O$2:O$137,MATCH($A$74&amp;$D76,LCI!$B$2:$B$137&amp;LCI!$D$2:$D$137,0))*IF(OR($D76="Electric",$D76 = "Electric_green"),($G76/$E76)*$B$55,$F76)*$C76</f>
        <v>0</v>
      </c>
      <c r="P76" s="154" cm="1">
        <f t="array" ref="P76">INDEX(LCI!P$2:P$137,MATCH($A$74&amp;$D76,LCI!$B$2:$B$137&amp;LCI!$D$2:$D$137,0))*IF(OR($D76="Electric",$D76 = "Electric_green"),($G76/$E76)*$B$55,$F76)*$C76</f>
        <v>0</v>
      </c>
      <c r="Q76" s="154" cm="1">
        <f t="array" ref="Q76">INDEX(LCI!Q$2:Q$137,MATCH($A$74&amp;$D76,LCI!$B$2:$B$137&amp;LCI!$D$2:$D$137,0))*IF(OR($D76="Electric",$D76 = "Electric_green"),($G76/$E76)*$B$55,$F76)*$C76</f>
        <v>0</v>
      </c>
      <c r="R76" s="154" cm="1">
        <f t="array" ref="R76">INDEX(LCI!R$2:R$137,MATCH($A$74&amp;$D76,LCI!$B$2:$B$137&amp;LCI!$D$2:$D$137,0))*IF(OR($D76="Electric",$D76 = "Electric_green"),($G76/$E76)*$B$55,$F76)*$C76</f>
        <v>0</v>
      </c>
      <c r="S76" s="154" cm="1">
        <f t="array" ref="S76">INDEX(LCI!S$2:S$137,MATCH($A$74&amp;$D76,LCI!$B$2:$B$137&amp;LCI!$D$2:$D$137,0))*IF(OR($D76="Electric",$D76 = "Electric_green"),($G76/$E76)*$B$55,$F76)*$C76</f>
        <v>0</v>
      </c>
      <c r="T76" s="154" cm="1">
        <f t="array" ref="T76">INDEX(LCI!T$2:T$137,MATCH($A$74&amp;$D76,LCI!$B$2:$B$137&amp;LCI!$D$2:$D$137,0))*IF(OR($D76="Electric",$D76 = "Electric_green"),($G76/$E76)*$B$55,$F76)*$C76</f>
        <v>0</v>
      </c>
      <c r="U76" s="154" cm="1">
        <f t="array" ref="U76">INDEX(LCI!U$2:U$137,MATCH($A$74&amp;$D76,LCI!$B$2:$B$137&amp;LCI!$D$2:$D$137,0))*IF(OR($D76="Electric",$D76 = "Electric_green"),($G76/$E76)*$B$55,$F76)*$C76</f>
        <v>0</v>
      </c>
      <c r="V76" s="154" cm="1">
        <f t="array" ref="V76">INDEX(LCI!V$2:V$137,MATCH($A$74&amp;$D76,LCI!$B$2:$B$137&amp;LCI!$D$2:$D$137,0))*IF(OR($D76="Electric",$D76 = "Electric_green"),($G76/$E76)*$B$55,$F76)*$C76</f>
        <v>0</v>
      </c>
      <c r="W76" s="154" cm="1">
        <f t="array" ref="W76">INDEX(LCI!W$2:W$137,MATCH($A$74&amp;$D76,LCI!$B$2:$B$137&amp;LCI!$D$2:$D$137,0))*IF(OR($D76="Electric",$D76 = "Electric_green"),($G76/$E76)*$B$55,$F76)*$C76</f>
        <v>0</v>
      </c>
      <c r="X76" s="154" cm="1">
        <f t="array" ref="X76">INDEX(LCI!X$2:X$137,MATCH($A$74&amp;$D76,LCI!$B$2:$B$137&amp;LCI!$D$2:$D$137,0))*IF(OR($D76="Electric",$D76 = "Electric_green"),($G76/$E76)*$B$55,$F76)*$C76</f>
        <v>0</v>
      </c>
      <c r="Y76" s="154" cm="1">
        <f t="array" ref="Y76">INDEX(LCI!Y$2:Y$137,MATCH($A$74&amp;$D76,LCI!$B$2:$B$137&amp;LCI!$D$2:$D$137,0))*IF(OR($D76="Electric",$D76 = "Electric_green"),($G76/$E76)*$B$55,$F76)*$C76</f>
        <v>0</v>
      </c>
      <c r="Z76" s="154" cm="1">
        <f t="array" ref="Z76">INDEX(LCI!Z$2:Z$137,MATCH($A$74&amp;$D76,LCI!$B$2:$B$137&amp;LCI!$D$2:$D$137,0))*IF(OR($D76="Electric",$D76 = "Electric_green"),($G76/$E76)*$B$55,$F76)*$C76</f>
        <v>0</v>
      </c>
    </row>
    <row r="77" spans="1:27" x14ac:dyDescent="0.35">
      <c r="A77" s="1" t="s">
        <v>1030</v>
      </c>
      <c r="B77" s="154" t="str">
        <f>Input!B84</f>
        <v>Milling_medium_scale_project_Wirtgen_W210XPi_571kW</v>
      </c>
      <c r="C77" s="154">
        <v>1</v>
      </c>
      <c r="D77" s="154" t="str">
        <f>Input!C84</f>
        <v>Diesel</v>
      </c>
      <c r="E77" s="154">
        <f>INDEX('C1 - Deconstruction'!$B$64:$B$67,MATCH(Input!$B84,'C1 - Deconstruction'!$A$64:$A$67,0))</f>
        <v>344.21759999999995</v>
      </c>
      <c r="F77" s="187">
        <f>INDEX('C1 - Deconstruction'!$D$64:$D$67,MATCH(Input!$B84,'C1 - Deconstruction'!$A$64:$A$67,0))</f>
        <v>0.21150138749442216</v>
      </c>
      <c r="G77" s="187">
        <f>INDEX('C1 - Deconstruction'!$E$64:$E$68,MATCH(Input!$B84,'C1 - Deconstruction'!$A$64:$A$68,0))</f>
        <v>571</v>
      </c>
      <c r="H77" s="154" cm="1">
        <f t="array" ref="H77">INDEX(LCI!H$2:H$137,MATCH($A$74&amp;$D77,LCI!$B$2:$B$137&amp;LCI!$D$2:$D$137,0))*IF(OR($D77="Electric",$D77 = "Electric_green"),($G77/$E77)*$B$55,$F77)*$C77</f>
        <v>1.1217073342617407E-3</v>
      </c>
      <c r="I77" s="154" cm="1">
        <f t="array" ref="I77">INDEX(LCI!I$2:I$137,MATCH($A$74&amp;$D77,LCI!$B$2:$B$137&amp;LCI!$D$2:$D$137,0))*IF(OR($D77="Electric",$D77 = "Electric_green"),($G77/$E77)*$B$55,$F77)*$C77</f>
        <v>0.87737079908012983</v>
      </c>
      <c r="J77" s="154" cm="1">
        <f t="array" ref="J77">INDEX(LCI!J$2:J$137,MATCH($A$74&amp;$D77,LCI!$B$2:$B$137&amp;LCI!$D$2:$D$137,0))*IF(OR($D77="Electric",$D77 = "Electric_green"),($G77/$E77)*$B$55,$F77)*$C77</f>
        <v>1.8133028980664895E-4</v>
      </c>
      <c r="K77" s="154" cm="1">
        <f t="array" ref="K77">INDEX(LCI!K$2:K$137,MATCH($A$74&amp;$D77,LCI!$B$2:$B$137&amp;LCI!$D$2:$D$137,0))*IF(OR($D77="Electric",$D77 = "Electric_green"),($G77/$E77)*$B$55,$F77)*$C77</f>
        <v>0.87715066916144513</v>
      </c>
      <c r="L77" s="154" cm="1">
        <f t="array" ref="L77">INDEX(LCI!L$2:L$137,MATCH($A$74&amp;$D77,LCI!$B$2:$B$137&amp;LCI!$D$2:$D$137,0))*IF(OR($D77="Electric",$D77 = "Electric_green"),($G77/$E77)*$B$55,$F77)*$C77</f>
        <v>3.8799628878016996E-5</v>
      </c>
      <c r="M77" s="154" cm="1">
        <f t="array" ref="M77">INDEX(LCI!M$2:M$137,MATCH($A$74&amp;$D77,LCI!$B$2:$B$137&amp;LCI!$D$2:$D$137,0))*IF(OR($D77="Electric",$D77 = "Electric_green"),($G77/$E77)*$B$55,$F77)*$C77</f>
        <v>0.38764928924986203</v>
      </c>
      <c r="N77" s="154" cm="1">
        <f t="array" ref="N77">INDEX(LCI!N$2:N$137,MATCH($A$74&amp;$D77,LCI!$B$2:$B$137&amp;LCI!$D$2:$D$137,0))*IF(OR($D77="Electric",$D77 = "Electric_green"),($G77/$E77)*$B$55,$F77)*$C77</f>
        <v>11.65382953834693</v>
      </c>
      <c r="O77" s="154" cm="1">
        <f t="array" ref="O77">INDEX(LCI!O$2:O$137,MATCH($A$74&amp;$D77,LCI!$B$2:$B$137&amp;LCI!$D$2:$D$137,0))*IF(OR($D77="Electric",$D77 = "Electric_green"),($G77/$E77)*$B$55,$F77)*$C77</f>
        <v>9.2749951830432911E-6</v>
      </c>
      <c r="P77" s="154" cm="1">
        <f t="array" ref="P77">INDEX(LCI!P$2:P$137,MATCH($A$74&amp;$D77,LCI!$B$2:$B$137&amp;LCI!$D$2:$D$137,0))*IF(OR($D77="Electric",$D77 = "Electric_green"),($G77/$E77)*$B$55,$F77)*$C77</f>
        <v>2.5365457383613185E-4</v>
      </c>
      <c r="Q77" s="154" cm="1">
        <f t="array" ref="Q77">INDEX(LCI!Q$2:Q$137,MATCH($A$74&amp;$D77,LCI!$B$2:$B$137&amp;LCI!$D$2:$D$137,0))*IF(OR($D77="Electric",$D77 = "Electric_green"),($G77/$E77)*$B$55,$F77)*$C77</f>
        <v>2.7575377816790978E-3</v>
      </c>
      <c r="R77" s="154" cm="1">
        <f t="array" ref="R77">INDEX(LCI!R$2:R$137,MATCH($A$74&amp;$D77,LCI!$B$2:$B$137&amp;LCI!$D$2:$D$137,0))*IF(OR($D77="Electric",$D77 = "Electric_green"),($G77/$E77)*$B$55,$F77)*$C77</f>
        <v>5.3616599502692708E-11</v>
      </c>
      <c r="S77" s="154" cm="1">
        <f t="array" ref="S77">INDEX(LCI!S$2:S$137,MATCH($A$74&amp;$D77,LCI!$B$2:$B$137&amp;LCI!$D$2:$D$137,0))*IF(OR($D77="Electric",$D77 = "Electric_green"),($G77/$E77)*$B$55,$F77)*$C77</f>
        <v>1.4291011930392459E-9</v>
      </c>
      <c r="T77" s="154" cm="1">
        <f t="array" ref="T77">INDEX(LCI!T$2:T$137,MATCH($A$74&amp;$D77,LCI!$B$2:$B$137&amp;LCI!$D$2:$D$137,0))*IF(OR($D77="Electric",$D77 = "Electric_green"),($G77/$E77)*$B$55,$F77)*$C77</f>
        <v>3.4991589262714472E-3</v>
      </c>
      <c r="U77" s="154" cm="1">
        <f t="array" ref="U77">INDEX(LCI!U$2:U$137,MATCH($A$74&amp;$D77,LCI!$B$2:$B$137&amp;LCI!$D$2:$D$137,0))*IF(OR($D77="Electric",$D77 = "Electric_green"),($G77/$E77)*$B$55,$F77)*$C77</f>
        <v>0.59917498655808599</v>
      </c>
      <c r="V77" s="154" cm="1">
        <f t="array" ref="V77">INDEX(LCI!V$2:V$137,MATCH($A$74&amp;$D77,LCI!$B$2:$B$137&amp;LCI!$D$2:$D$137,0))*IF(OR($D77="Electric",$D77 = "Electric_green"),($G77/$E77)*$B$55,$F77)*$C77</f>
        <v>1.3681009766764487E-7</v>
      </c>
      <c r="W77" s="154" cm="1">
        <f t="array" ref="W77">INDEX(LCI!W$2:W$137,MATCH($A$74&amp;$D77,LCI!$B$2:$B$137&amp;LCI!$D$2:$D$137,0))*IF(OR($D77="Electric",$D77 = "Electric_green"),($G77/$E77)*$B$55,$F77)*$C77</f>
        <v>1.9771215431464347E-8</v>
      </c>
      <c r="X77" s="154" cm="1">
        <f t="array" ref="X77">INDEX(LCI!X$2:X$137,MATCH($A$74&amp;$D77,LCI!$B$2:$B$137&amp;LCI!$D$2:$D$137,0))*IF(OR($D77="Electric",$D77 = "Electric_green"),($G77/$E77)*$B$55,$F77)*$C77</f>
        <v>8.6414530919530463E-9</v>
      </c>
      <c r="Y77" s="154" cm="1">
        <f t="array" ref="Y77">INDEX(LCI!Y$2:Y$137,MATCH($A$74&amp;$D77,LCI!$B$2:$B$137&amp;LCI!$D$2:$D$137,0))*IF(OR($D77="Electric",$D77 = "Electric_green"),($G77/$E77)*$B$55,$F77)*$C77</f>
        <v>2.1610841291208631E-3</v>
      </c>
      <c r="Z77" s="154" cm="1">
        <f t="array" ref="Z77">INDEX(LCI!Z$2:Z$137,MATCH($A$74&amp;$D77,LCI!$B$2:$B$137&amp;LCI!$D$2:$D$137,0))*IF(OR($D77="Electric",$D77 = "Electric_green"),($G77/$E77)*$B$55,$F77)*$C77</f>
        <v>1.5772576029667661E-2</v>
      </c>
    </row>
    <row r="78" spans="1:27" x14ac:dyDescent="0.35">
      <c r="A78" s="1" t="s">
        <v>120</v>
      </c>
      <c r="B78" s="154" t="str">
        <f>Input!$B$85</f>
        <v>Sweeper_truck_volvo_186kW</v>
      </c>
      <c r="C78" s="154">
        <v>1</v>
      </c>
      <c r="D78" s="154" t="str">
        <f>Input!$C$85</f>
        <v>Diesel</v>
      </c>
      <c r="E78" s="154">
        <f>$E$75</f>
        <v>0</v>
      </c>
      <c r="F78" s="187">
        <f>IF($E$78=0,0,$C$68/$E$75)</f>
        <v>0</v>
      </c>
      <c r="G78" s="187">
        <f>INDEX('C1 - Deconstruction'!$E$64:$E$68,MATCH(Input!$B85,'C1 - Deconstruction'!$A$64:$A$68,0))</f>
        <v>186</v>
      </c>
      <c r="H78" s="154" cm="1">
        <f t="array" ref="H78">IF($E$78=0,0,INDEX(LCI!H$2:H$137,MATCH($A$74&amp;$D78,LCI!$B$2:$B$137&amp;LCI!$D$2:$D$137,0))*IF(OR($D78="Electric", $D78 = "Electric_green"), ($G78/$E78)*$B$55,$F78))*$C78</f>
        <v>0</v>
      </c>
      <c r="I78" s="154" cm="1">
        <f t="array" ref="I78">IF($E$78=0,0,INDEX(LCI!I$2:I$137,MATCH($A$74&amp;$D78,LCI!$B$2:$B$137&amp;LCI!$D$2:$D$137,0))*IF(OR($D78="Electric", $D78 = "Electric_green"), ($G78/$E78)*$B$55,$F78))*$C78</f>
        <v>0</v>
      </c>
      <c r="J78" s="154" cm="1">
        <f t="array" ref="J78">IF($E$78=0,0,INDEX(LCI!J$2:J$137,MATCH($A$74&amp;$D78,LCI!$B$2:$B$137&amp;LCI!$D$2:$D$137,0))*IF(OR($D78="Electric", $D78 = "Electric_green"), ($G78/$E78)*$B$55,$F78))*$C78</f>
        <v>0</v>
      </c>
      <c r="K78" s="154" cm="1">
        <f t="array" ref="K78">IF($E$78=0,0,INDEX(LCI!K$2:K$137,MATCH($A$74&amp;$D78,LCI!$B$2:$B$137&amp;LCI!$D$2:$D$137,0))*IF(OR($D78="Electric", $D78 = "Electric_green"), ($G78/$E78)*$B$55,$F78))*$C78</f>
        <v>0</v>
      </c>
      <c r="L78" s="154" cm="1">
        <f t="array" ref="L78">IF($E$78=0,0,INDEX(LCI!L$2:L$137,MATCH($A$74&amp;$D78,LCI!$B$2:$B$137&amp;LCI!$D$2:$D$137,0))*IF(OR($D78="Electric", $D78 = "Electric_green"), ($G78/$E78)*$B$55,$F78))*$C78</f>
        <v>0</v>
      </c>
      <c r="M78" s="154" cm="1">
        <f t="array" ref="M78">IF($E$78=0,0,INDEX(LCI!M$2:M$137,MATCH($A$74&amp;$D78,LCI!$B$2:$B$137&amp;LCI!$D$2:$D$137,0))*IF(OR($D78="Electric", $D78 = "Electric_green"), ($G78/$E78)*$B$55,$F78))*$C78</f>
        <v>0</v>
      </c>
      <c r="N78" s="154" cm="1">
        <f t="array" ref="N78">IF($E$78=0,0,INDEX(LCI!N$2:N$137,MATCH($A$74&amp;$D78,LCI!$B$2:$B$137&amp;LCI!$D$2:$D$137,0))*IF(OR($D78="Electric", $D78 = "Electric_green"), ($G78/$E78)*$B$55,$F78))*$C78</f>
        <v>0</v>
      </c>
      <c r="O78" s="154" cm="1">
        <f t="array" ref="O78">IF($E$78=0,0,INDEX(LCI!O$2:O$137,MATCH($A$74&amp;$D78,LCI!$B$2:$B$137&amp;LCI!$D$2:$D$137,0))*IF(OR($D78="Electric", $D78 = "Electric_green"), ($G78/$E78)*$B$55,$F78))*$C78</f>
        <v>0</v>
      </c>
      <c r="P78" s="154" cm="1">
        <f t="array" ref="P78">IF($E$78=0,0,INDEX(LCI!P$2:P$137,MATCH($A$74&amp;$D78,LCI!$B$2:$B$137&amp;LCI!$D$2:$D$137,0))*IF(OR($D78="Electric", $D78 = "Electric_green"), ($G78/$E78)*$B$55,$F78))*$C78</f>
        <v>0</v>
      </c>
      <c r="Q78" s="154" cm="1">
        <f t="array" ref="Q78">IF($E$78=0,0,INDEX(LCI!Q$2:Q$137,MATCH($A$74&amp;$D78,LCI!$B$2:$B$137&amp;LCI!$D$2:$D$137,0))*IF(OR($D78="Electric", $D78 = "Electric_green"), ($G78/$E78)*$B$55,$F78))*$C78</f>
        <v>0</v>
      </c>
      <c r="R78" s="154" cm="1">
        <f t="array" ref="R78">IF($E$78=0,0,INDEX(LCI!R$2:R$137,MATCH($A$74&amp;$D78,LCI!$B$2:$B$137&amp;LCI!$D$2:$D$137,0))*IF(OR($D78="Electric", $D78 = "Electric_green"), ($G78/$E78)*$B$55,$F78))*$C78</f>
        <v>0</v>
      </c>
      <c r="S78" s="154" cm="1">
        <f t="array" ref="S78">IF($E$78=0,0,INDEX(LCI!S$2:S$137,MATCH($A$74&amp;$D78,LCI!$B$2:$B$137&amp;LCI!$D$2:$D$137,0))*IF(OR($D78="Electric", $D78 = "Electric_green"), ($G78/$E78)*$B$55,$F78))*$C78</f>
        <v>0</v>
      </c>
      <c r="T78" s="154" cm="1">
        <f t="array" ref="T78">IF($E$78=0,0,INDEX(LCI!T$2:T$137,MATCH($A$74&amp;$D78,LCI!$B$2:$B$137&amp;LCI!$D$2:$D$137,0))*IF(OR($D78="Electric", $D78 = "Electric_green"), ($G78/$E78)*$B$55,$F78))*$C78</f>
        <v>0</v>
      </c>
      <c r="U78" s="154" cm="1">
        <f t="array" ref="U78">IF($E$78=0,0,INDEX(LCI!U$2:U$137,MATCH($A$74&amp;$D78,LCI!$B$2:$B$137&amp;LCI!$D$2:$D$137,0))*IF(OR($D78="Electric", $D78 = "Electric_green"), ($G78/$E78)*$B$55,$F78))*$C78</f>
        <v>0</v>
      </c>
      <c r="V78" s="154" cm="1">
        <f t="array" ref="V78">IF($E$78=0,0,INDEX(LCI!V$2:V$137,MATCH($A$74&amp;$D78,LCI!$B$2:$B$137&amp;LCI!$D$2:$D$137,0))*IF(OR($D78="Electric", $D78 = "Electric_green"), ($G78/$E78)*$B$55,$F78))*$C78</f>
        <v>0</v>
      </c>
      <c r="W78" s="154" cm="1">
        <f t="array" ref="W78">IF($E$78=0,0,INDEX(LCI!W$2:W$137,MATCH($A$74&amp;$D78,LCI!$B$2:$B$137&amp;LCI!$D$2:$D$137,0))*IF(OR($D78="Electric", $D78 = "Electric_green"), ($G78/$E78)*$B$55,$F78))*$C78</f>
        <v>0</v>
      </c>
      <c r="X78" s="154" cm="1">
        <f t="array" ref="X78">IF($E$78=0,0,INDEX(LCI!X$2:X$137,MATCH($A$74&amp;$D78,LCI!$B$2:$B$137&amp;LCI!$D$2:$D$137,0))*IF(OR($D78="Electric", $D78 = "Electric_green"), ($G78/$E78)*$B$55,$F78))*$C78</f>
        <v>0</v>
      </c>
      <c r="Y78" s="154" cm="1">
        <f t="array" ref="Y78">IF($E$78=0,0,INDEX(LCI!Y$2:Y$137,MATCH($A$74&amp;$D78,LCI!$B$2:$B$137&amp;LCI!$D$2:$D$137,0))*IF(OR($D78="Electric", $D78 = "Electric_green"), ($G78/$E78)*$B$55,$F78))*$C78</f>
        <v>0</v>
      </c>
      <c r="Z78" s="154" cm="1">
        <f t="array" ref="Z78">IF($E$78=0,0,INDEX(LCI!Z$2:Z$137,MATCH($A$74&amp;$D78,LCI!$B$2:$B$137&amp;LCI!$D$2:$D$137,0))*IF(OR($D78="Electric", $D78 = "Electric_green"), ($G78/$E78)*$B$55,$F78))*$C78</f>
        <v>0</v>
      </c>
    </row>
    <row r="79" spans="1:27" ht="14" customHeight="1" x14ac:dyDescent="0.35">
      <c r="A79" s="416" t="s">
        <v>200</v>
      </c>
      <c r="B79" s="417"/>
      <c r="C79" s="417"/>
      <c r="D79" s="417"/>
      <c r="E79" s="417"/>
      <c r="F79" s="417"/>
      <c r="G79" s="418"/>
      <c r="H79" s="174">
        <f>SUM(H75:H78)</f>
        <v>1.1217073342617407E-3</v>
      </c>
      <c r="I79" s="174">
        <f t="shared" ref="I79:Z79" si="1">SUM(I75:I78)</f>
        <v>0.87737079908012983</v>
      </c>
      <c r="J79" s="174">
        <f t="shared" si="1"/>
        <v>1.8133028980664895E-4</v>
      </c>
      <c r="K79" s="174">
        <f t="shared" si="1"/>
        <v>0.87715066916144513</v>
      </c>
      <c r="L79" s="174">
        <f t="shared" si="1"/>
        <v>3.8799628878016996E-5</v>
      </c>
      <c r="M79" s="174">
        <f t="shared" si="1"/>
        <v>0.38764928924986203</v>
      </c>
      <c r="N79" s="174">
        <f t="shared" si="1"/>
        <v>11.65382953834693</v>
      </c>
      <c r="O79" s="174">
        <f t="shared" si="1"/>
        <v>9.2749951830432911E-6</v>
      </c>
      <c r="P79" s="174">
        <f t="shared" si="1"/>
        <v>2.5365457383613185E-4</v>
      </c>
      <c r="Q79" s="174">
        <f t="shared" si="1"/>
        <v>2.7575377816790978E-3</v>
      </c>
      <c r="R79" s="174">
        <f t="shared" si="1"/>
        <v>5.3616599502692708E-11</v>
      </c>
      <c r="S79" s="174">
        <f t="shared" si="1"/>
        <v>1.4291011930392459E-9</v>
      </c>
      <c r="T79" s="174">
        <f t="shared" si="1"/>
        <v>3.4991589262714472E-3</v>
      </c>
      <c r="U79" s="174">
        <f t="shared" si="1"/>
        <v>0.59917498655808599</v>
      </c>
      <c r="V79" s="174">
        <f t="shared" si="1"/>
        <v>1.3681009766764487E-7</v>
      </c>
      <c r="W79" s="174">
        <f t="shared" si="1"/>
        <v>1.9771215431464347E-8</v>
      </c>
      <c r="X79" s="174">
        <f t="shared" si="1"/>
        <v>8.6414530919530463E-9</v>
      </c>
      <c r="Y79" s="174">
        <f t="shared" si="1"/>
        <v>2.1610841291208631E-3</v>
      </c>
      <c r="Z79" s="174">
        <f t="shared" si="1"/>
        <v>1.5772576029667661E-2</v>
      </c>
      <c r="AA79" s="3"/>
    </row>
    <row r="82" spans="1:2" ht="14.5" customHeight="1" x14ac:dyDescent="0.35"/>
    <row r="84" spans="1:2" ht="23.5" x14ac:dyDescent="0.55000000000000004">
      <c r="A84" s="100" t="s">
        <v>989</v>
      </c>
    </row>
    <row r="85" spans="1:2" ht="18.5" x14ac:dyDescent="0.45">
      <c r="A85" s="74"/>
    </row>
    <row r="86" spans="1:2" x14ac:dyDescent="0.35">
      <c r="A86" s="62" t="s">
        <v>153</v>
      </c>
      <c r="B86" s="62" t="s">
        <v>728</v>
      </c>
    </row>
    <row r="87" spans="1:2" x14ac:dyDescent="0.35">
      <c r="A87" s="1" t="s">
        <v>318</v>
      </c>
      <c r="B87" s="174">
        <f>SUM(H75:H78)</f>
        <v>1.1217073342617407E-3</v>
      </c>
    </row>
    <row r="88" spans="1:2" x14ac:dyDescent="0.35">
      <c r="A88" s="1" t="s">
        <v>280</v>
      </c>
      <c r="B88" s="174">
        <f>SUM(I75:I78)</f>
        <v>0.87737079908012983</v>
      </c>
    </row>
    <row r="89" spans="1:2" x14ac:dyDescent="0.35">
      <c r="A89" s="1" t="s">
        <v>281</v>
      </c>
      <c r="B89" s="174">
        <f>SUM(J75:J78)</f>
        <v>1.8133028980664895E-4</v>
      </c>
    </row>
    <row r="90" spans="1:2" x14ac:dyDescent="0.35">
      <c r="A90" s="1" t="s">
        <v>282</v>
      </c>
      <c r="B90" s="174">
        <f>SUM(K75:K78)</f>
        <v>0.87715066916144513</v>
      </c>
    </row>
    <row r="91" spans="1:2" x14ac:dyDescent="0.35">
      <c r="A91" s="1" t="s">
        <v>283</v>
      </c>
      <c r="B91" s="174">
        <f>SUM(L75:L78)</f>
        <v>3.8799628878016996E-5</v>
      </c>
    </row>
    <row r="92" spans="1:2" x14ac:dyDescent="0.35">
      <c r="A92" s="1" t="s">
        <v>284</v>
      </c>
      <c r="B92" s="174">
        <f>SUM(M75:M78)</f>
        <v>0.38764928924986203</v>
      </c>
    </row>
    <row r="93" spans="1:2" x14ac:dyDescent="0.35">
      <c r="A93" s="1" t="s">
        <v>285</v>
      </c>
      <c r="B93" s="174">
        <f>SUM(N75:N78)</f>
        <v>11.65382953834693</v>
      </c>
    </row>
    <row r="94" spans="1:2" x14ac:dyDescent="0.35">
      <c r="A94" s="1" t="s">
        <v>286</v>
      </c>
      <c r="B94" s="174">
        <f>SUM(O75:O78)</f>
        <v>9.2749951830432911E-6</v>
      </c>
    </row>
    <row r="95" spans="1:2" x14ac:dyDescent="0.35">
      <c r="A95" s="1" t="s">
        <v>287</v>
      </c>
      <c r="B95" s="174">
        <f>SUM(P75:P78)</f>
        <v>2.5365457383613185E-4</v>
      </c>
    </row>
    <row r="96" spans="1:2" x14ac:dyDescent="0.35">
      <c r="A96" s="1" t="s">
        <v>288</v>
      </c>
      <c r="B96" s="174">
        <f>SUM(Q75:Q78)</f>
        <v>2.7575377816790978E-3</v>
      </c>
    </row>
    <row r="97" spans="1:2" x14ac:dyDescent="0.35">
      <c r="A97" s="1" t="s">
        <v>289</v>
      </c>
      <c r="B97" s="174">
        <f>SUM(R75:R78)</f>
        <v>5.3616599502692708E-11</v>
      </c>
    </row>
    <row r="98" spans="1:2" x14ac:dyDescent="0.35">
      <c r="A98" s="1" t="s">
        <v>319</v>
      </c>
      <c r="B98" s="174">
        <f>SUM(S75:S78)</f>
        <v>1.4291011930392459E-9</v>
      </c>
    </row>
    <row r="99" spans="1:2" x14ac:dyDescent="0.35">
      <c r="A99" s="1" t="s">
        <v>291</v>
      </c>
      <c r="B99" s="174">
        <f>SUM(T75:T78)</f>
        <v>3.4991589262714472E-3</v>
      </c>
    </row>
    <row r="100" spans="1:2" x14ac:dyDescent="0.35">
      <c r="A100" s="1" t="s">
        <v>292</v>
      </c>
      <c r="B100" s="174">
        <f>SUM(U75:U78)</f>
        <v>0.59917498655808599</v>
      </c>
    </row>
    <row r="101" spans="1:2" x14ac:dyDescent="0.35">
      <c r="A101" s="1" t="s">
        <v>293</v>
      </c>
      <c r="B101" s="174">
        <f>SUM(V75:V78)</f>
        <v>1.3681009766764487E-7</v>
      </c>
    </row>
    <row r="102" spans="1:2" x14ac:dyDescent="0.35">
      <c r="A102" s="1" t="s">
        <v>294</v>
      </c>
      <c r="B102" s="174">
        <f>SUM(W75:W78)</f>
        <v>1.9771215431464347E-8</v>
      </c>
    </row>
    <row r="103" spans="1:2" x14ac:dyDescent="0.35">
      <c r="A103" s="1" t="s">
        <v>295</v>
      </c>
      <c r="B103" s="174">
        <f>SUM(X75:X78)</f>
        <v>8.6414530919530463E-9</v>
      </c>
    </row>
    <row r="104" spans="1:2" x14ac:dyDescent="0.35">
      <c r="A104" s="1" t="s">
        <v>296</v>
      </c>
      <c r="B104" s="174">
        <f>SUM(Y75:Y78)</f>
        <v>2.1610841291208631E-3</v>
      </c>
    </row>
    <row r="105" spans="1:2" x14ac:dyDescent="0.35">
      <c r="A105" s="1" t="s">
        <v>297</v>
      </c>
      <c r="B105" s="174">
        <f>SUM(Z75:Z78)</f>
        <v>1.5772576029667661E-2</v>
      </c>
    </row>
    <row r="109" spans="1:2" x14ac:dyDescent="0.35">
      <c r="B109" t="s">
        <v>630</v>
      </c>
    </row>
    <row r="110" spans="1:2" x14ac:dyDescent="0.35">
      <c r="A110" s="95" t="s">
        <v>530</v>
      </c>
      <c r="B110" s="1">
        <f>SUM($H$79:$Z$79)</f>
        <v>14.42097057279064</v>
      </c>
    </row>
    <row r="111" spans="1:2" x14ac:dyDescent="0.35">
      <c r="A111" s="95" t="s">
        <v>531</v>
      </c>
      <c r="B111" s="1">
        <f>SUM($B$87:$B$105)</f>
        <v>14.42097057279064</v>
      </c>
    </row>
    <row r="112" spans="1:2" x14ac:dyDescent="0.35">
      <c r="A112" s="95" t="s">
        <v>58</v>
      </c>
      <c r="B112" s="204">
        <f>B110-B111</f>
        <v>0</v>
      </c>
    </row>
  </sheetData>
  <mergeCells count="2">
    <mergeCell ref="D16:I16"/>
    <mergeCell ref="A79:G79"/>
  </mergeCells>
  <phoneticPr fontId="5" type="noConversion"/>
  <hyperlinks>
    <hyperlink ref="D13" r:id="rId1" xr:uid="{9EC41D7C-20E8-43C7-B84E-CC64B14B7EEA}"/>
    <hyperlink ref="D9" r:id="rId2" xr:uid="{C6A06021-EB33-4E4E-9884-A5766FB1E82E}"/>
    <hyperlink ref="D28" r:id="rId3" xr:uid="{FD565541-E3A5-4A01-8556-B57ADF11B7BF}"/>
    <hyperlink ref="D19" r:id="rId4" xr:uid="{D852BE21-3906-41B5-B18B-2454CC1DC81B}"/>
    <hyperlink ref="D23" r:id="rId5" xr:uid="{FEB47DE3-4F63-4B02-A9AE-F875CE2E52BC}"/>
    <hyperlink ref="D38" r:id="rId6" xr:uid="{7A80612C-6A39-41DB-9CD2-3D96880DE832}"/>
    <hyperlink ref="D49" r:id="rId7" xr:uid="{A6283D8D-4F95-4B16-AC00-84D5A55CCC58}"/>
    <hyperlink ref="D52" r:id="rId8" xr:uid="{088EE938-9F32-498E-A539-2DE5B827369A}"/>
  </hyperlinks>
  <pageMargins left="0.7" right="0.7" top="0.75" bottom="0.75" header="0.3" footer="0.3"/>
  <pageSetup orientation="portrait" r:id="rId9"/>
  <drawing r:id="rId1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DA442-7DD2-4640-AD7F-BBB9A8981E6E}">
  <sheetPr codeName="Sheet14"/>
  <dimension ref="A1:Z214"/>
  <sheetViews>
    <sheetView showGridLines="0" zoomScale="70" zoomScaleNormal="70" workbookViewId="0"/>
  </sheetViews>
  <sheetFormatPr defaultRowHeight="14.5" x14ac:dyDescent="0.35"/>
  <cols>
    <col min="1" max="1" width="64.453125" customWidth="1"/>
    <col min="2" max="2" width="42.54296875" customWidth="1"/>
    <col min="3" max="3" width="81.1796875" bestFit="1" customWidth="1"/>
    <col min="4" max="4" width="50.453125" customWidth="1"/>
    <col min="5" max="5" width="23.1796875" customWidth="1"/>
    <col min="6" max="6" width="20" customWidth="1"/>
    <col min="7" max="7" width="19.81640625" customWidth="1"/>
    <col min="8" max="8" width="20.54296875" customWidth="1"/>
    <col min="9" max="9" width="17.81640625" customWidth="1"/>
    <col min="10" max="10" width="23.1796875" customWidth="1"/>
    <col min="11" max="11" width="17.81640625" customWidth="1"/>
    <col min="12" max="12" width="21.1796875" customWidth="1"/>
    <col min="13" max="13" width="18.1796875" customWidth="1"/>
    <col min="14" max="14" width="20.54296875" customWidth="1"/>
    <col min="15" max="15" width="22.453125" customWidth="1"/>
    <col min="16" max="16" width="20.81640625" customWidth="1"/>
    <col min="17" max="17" width="25.1796875" customWidth="1"/>
    <col min="18" max="18" width="21.453125" customWidth="1"/>
    <col min="19" max="19" width="31.453125" customWidth="1"/>
    <col min="20" max="20" width="28.1796875" customWidth="1"/>
    <col min="21" max="21" width="21.81640625" customWidth="1"/>
    <col min="22" max="22" width="27.453125" customWidth="1"/>
    <col min="23" max="23" width="19.1796875" customWidth="1"/>
    <col min="24" max="24" width="24.1796875" customWidth="1"/>
    <col min="25" max="25" width="25.81640625" customWidth="1"/>
    <col min="26" max="26" width="27.81640625" customWidth="1"/>
    <col min="27" max="27" width="11.81640625" customWidth="1"/>
  </cols>
  <sheetData>
    <row r="1" spans="1:6" ht="23.5" x14ac:dyDescent="0.55000000000000004">
      <c r="A1" s="100" t="s">
        <v>820</v>
      </c>
    </row>
    <row r="2" spans="1:6" ht="15" customHeight="1" x14ac:dyDescent="0.55000000000000004">
      <c r="A2" s="100"/>
    </row>
    <row r="3" spans="1:6" x14ac:dyDescent="0.35">
      <c r="A3" s="1" t="s">
        <v>371</v>
      </c>
      <c r="B3" s="90">
        <v>0.51</v>
      </c>
      <c r="C3" s="2" t="s">
        <v>372</v>
      </c>
    </row>
    <row r="5" spans="1:6" ht="23.5" x14ac:dyDescent="0.55000000000000004">
      <c r="A5" s="100" t="s">
        <v>821</v>
      </c>
      <c r="D5" s="24"/>
    </row>
    <row r="7" spans="1:6" x14ac:dyDescent="0.35">
      <c r="A7" s="62" t="s">
        <v>276</v>
      </c>
      <c r="B7" s="62" t="s">
        <v>822</v>
      </c>
      <c r="C7" s="62" t="s">
        <v>823</v>
      </c>
      <c r="D7" s="62" t="s">
        <v>824</v>
      </c>
      <c r="F7" s="3"/>
    </row>
    <row r="8" spans="1:6" x14ac:dyDescent="0.35">
      <c r="A8" s="1" t="s">
        <v>266</v>
      </c>
      <c r="B8" s="96" t="s">
        <v>69</v>
      </c>
      <c r="C8" s="96" t="s">
        <v>70</v>
      </c>
      <c r="D8" s="97">
        <f>Input!$L$39</f>
        <v>262</v>
      </c>
    </row>
    <row r="9" spans="1:6" x14ac:dyDescent="0.35">
      <c r="A9" s="73" t="s">
        <v>212</v>
      </c>
      <c r="B9" s="96" t="s">
        <v>69</v>
      </c>
      <c r="C9" s="96" t="s">
        <v>70</v>
      </c>
      <c r="D9" s="97">
        <f>Input!$L$49</f>
        <v>190</v>
      </c>
    </row>
    <row r="10" spans="1:6" x14ac:dyDescent="0.35">
      <c r="A10" s="73" t="s">
        <v>221</v>
      </c>
      <c r="B10" s="96" t="s">
        <v>69</v>
      </c>
      <c r="C10" s="96" t="s">
        <v>70</v>
      </c>
      <c r="D10" s="97">
        <v>128</v>
      </c>
    </row>
    <row r="11" spans="1:6" x14ac:dyDescent="0.35">
      <c r="A11" s="73" t="s">
        <v>267</v>
      </c>
      <c r="B11" s="96" t="s">
        <v>69</v>
      </c>
      <c r="C11" s="96" t="s">
        <v>70</v>
      </c>
      <c r="D11" s="97">
        <v>95</v>
      </c>
    </row>
    <row r="12" spans="1:6" x14ac:dyDescent="0.35">
      <c r="A12" s="73" t="s">
        <v>825</v>
      </c>
      <c r="B12" s="96" t="s">
        <v>69</v>
      </c>
      <c r="C12" s="96" t="s">
        <v>70</v>
      </c>
      <c r="D12" s="97">
        <f>Input!$L$51</f>
        <v>50</v>
      </c>
    </row>
    <row r="15" spans="1:6" ht="16" x14ac:dyDescent="0.4">
      <c r="A15" s="81" t="s">
        <v>826</v>
      </c>
      <c r="B15" s="3"/>
    </row>
    <row r="16" spans="1:6" x14ac:dyDescent="0.35">
      <c r="A16" s="1" t="s">
        <v>827</v>
      </c>
      <c r="B16" s="165">
        <f>Input!$B$51+Input!$B$52</f>
        <v>0.3</v>
      </c>
    </row>
    <row r="17" spans="1:25" x14ac:dyDescent="0.35">
      <c r="A17" s="1" t="s">
        <v>828</v>
      </c>
      <c r="B17" s="190">
        <f>100%-$B$16</f>
        <v>0.7</v>
      </c>
      <c r="C17" s="11"/>
    </row>
    <row r="20" spans="1:25" ht="23.5" x14ac:dyDescent="0.55000000000000004">
      <c r="A20" s="100" t="s">
        <v>829</v>
      </c>
    </row>
    <row r="21" spans="1:25" x14ac:dyDescent="0.35">
      <c r="A21" s="3"/>
    </row>
    <row r="22" spans="1:25" ht="16" x14ac:dyDescent="0.4">
      <c r="A22" s="81" t="s">
        <v>328</v>
      </c>
    </row>
    <row r="23" spans="1:25" x14ac:dyDescent="0.35">
      <c r="A23" s="62" t="s">
        <v>374</v>
      </c>
      <c r="B23" s="304" t="s">
        <v>375</v>
      </c>
      <c r="C23" s="295" t="s">
        <v>330</v>
      </c>
      <c r="D23" s="62" t="s">
        <v>331</v>
      </c>
    </row>
    <row r="24" spans="1:25" x14ac:dyDescent="0.35">
      <c r="A24" s="1" t="s">
        <v>626</v>
      </c>
      <c r="B24" s="106">
        <v>1.24</v>
      </c>
      <c r="C24" t="s">
        <v>333</v>
      </c>
      <c r="D24" s="20" t="s">
        <v>334</v>
      </c>
    </row>
    <row r="25" spans="1:25" x14ac:dyDescent="0.35">
      <c r="A25" s="1" t="s">
        <v>335</v>
      </c>
      <c r="B25" s="106">
        <v>36.286999999999999</v>
      </c>
    </row>
    <row r="26" spans="1:25" x14ac:dyDescent="0.35">
      <c r="A26" s="1" t="s">
        <v>627</v>
      </c>
      <c r="B26" s="163">
        <f>$B$24/$B$25</f>
        <v>3.417201752693802E-2</v>
      </c>
    </row>
    <row r="27" spans="1:25" x14ac:dyDescent="0.35">
      <c r="A27" s="3"/>
    </row>
    <row r="29" spans="1:25" ht="87" x14ac:dyDescent="0.35">
      <c r="A29" s="104" t="s">
        <v>452</v>
      </c>
      <c r="B29" s="104" t="s">
        <v>277</v>
      </c>
      <c r="C29" s="103" t="s">
        <v>589</v>
      </c>
      <c r="D29" s="103" t="s">
        <v>56</v>
      </c>
      <c r="E29" s="103" t="s">
        <v>339</v>
      </c>
      <c r="F29" s="103" t="s">
        <v>340</v>
      </c>
      <c r="G29" s="302" t="s">
        <v>279</v>
      </c>
      <c r="H29" s="302" t="s">
        <v>280</v>
      </c>
      <c r="I29" s="302" t="s">
        <v>281</v>
      </c>
      <c r="J29" s="302" t="s">
        <v>282</v>
      </c>
      <c r="K29" s="302" t="s">
        <v>283</v>
      </c>
      <c r="L29" s="302" t="s">
        <v>284</v>
      </c>
      <c r="M29" s="302" t="s">
        <v>285</v>
      </c>
      <c r="N29" s="302" t="s">
        <v>286</v>
      </c>
      <c r="O29" s="302" t="s">
        <v>287</v>
      </c>
      <c r="P29" s="302" t="s">
        <v>288</v>
      </c>
      <c r="Q29" s="302" t="s">
        <v>289</v>
      </c>
      <c r="R29" s="302" t="s">
        <v>290</v>
      </c>
      <c r="S29" s="302" t="s">
        <v>291</v>
      </c>
      <c r="T29" s="302" t="s">
        <v>292</v>
      </c>
      <c r="U29" s="302" t="s">
        <v>293</v>
      </c>
      <c r="V29" s="302" t="s">
        <v>294</v>
      </c>
      <c r="W29" s="302" t="s">
        <v>295</v>
      </c>
      <c r="X29" s="302" t="s">
        <v>296</v>
      </c>
      <c r="Y29" s="302" t="s">
        <v>297</v>
      </c>
    </row>
    <row r="30" spans="1:25" x14ac:dyDescent="0.35">
      <c r="A30" s="1" t="s">
        <v>830</v>
      </c>
      <c r="B30" s="1" t="s">
        <v>831</v>
      </c>
      <c r="C30" s="191">
        <f>$B$17</f>
        <v>0.7</v>
      </c>
      <c r="D30" s="154">
        <f>$D$12</f>
        <v>50</v>
      </c>
      <c r="E30" s="154" t="str">
        <f>$B$12</f>
        <v>Truck</v>
      </c>
      <c r="F30" s="154" t="str">
        <f>$C$12</f>
        <v>Diesel_Euro5</v>
      </c>
      <c r="G30" s="154" cm="1">
        <f t="array" ref="G30">INDEX(LCI!H$2:H$137,MATCH('D- Benefits &amp; Burdens'!$E$30&amp;'D- Benefits &amp; Burdens'!$F$30,LCI!$B$2:$B$137&amp;LCI!$D$2:$D$137,0))*IF(AND($E30="Truck",$F30="Electric"),$B$26,1)*$D$30*$C$30</f>
        <v>1.5495794999999998E-2</v>
      </c>
      <c r="H30" s="154" cm="1">
        <f t="array" ref="H30">INDEX(LCI!I$2:I$137,MATCH('D- Benefits &amp; Burdens'!$E$30&amp;'D- Benefits &amp; Burdens'!$F$30,LCI!$B$2:$B$137&amp;LCI!$D$2:$D$137,0))*IF(AND($E30="Truck",$F30="Electric"),$B$26,1)*$D$30*$C$30</f>
        <v>5.6642582149999994</v>
      </c>
      <c r="I30" s="154" cm="1">
        <f t="array" ref="I30">INDEX(LCI!J$2:J$137,MATCH('D- Benefits &amp; Burdens'!$E$30&amp;'D- Benefits &amp; Burdens'!$F$30,LCI!$B$2:$B$137&amp;LCI!$D$2:$D$137,0))*IF(AND($E30="Truck",$F30="Electric"),$B$26,1)*$D$30*$C$30</f>
        <v>2.6179579999999997E-3</v>
      </c>
      <c r="J30" s="154" cm="1">
        <f t="array" ref="J30">INDEX(LCI!K$2:K$137,MATCH('D- Benefits &amp; Burdens'!$E$30&amp;'D- Benefits &amp; Burdens'!$F$30,LCI!$B$2:$B$137&amp;LCI!$D$2:$D$137,0))*IF(AND($E30="Truck",$F30="Electric"),$B$26,1)*$D$30*$C$30</f>
        <v>5.6611948749999996</v>
      </c>
      <c r="K30" s="154" cm="1">
        <f t="array" ref="K30">INDEX(LCI!L$2:L$137,MATCH('D- Benefits &amp; Burdens'!$E$30&amp;'D- Benefits &amp; Burdens'!$F$30,LCI!$B$2:$B$137&amp;LCI!$D$2:$D$137,0))*IF(AND($E30="Truck",$F30="Electric"),$B$26,1)*$D$30*$C$30</f>
        <v>4.4537149999999997E-4</v>
      </c>
      <c r="L30" s="154" cm="1">
        <f t="array" ref="L30">INDEX(LCI!M$2:M$137,MATCH('D- Benefits &amp; Burdens'!$E$30&amp;'D- Benefits &amp; Burdens'!$F$30,LCI!$B$2:$B$137&amp;LCI!$D$2:$D$137,0))*IF(AND($E30="Truck",$F30="Electric"),$B$26,1)*$D$30*$C$30</f>
        <v>4.81378898</v>
      </c>
      <c r="M30" s="154" cm="1">
        <f t="array" ref="M30">INDEX(LCI!N$2:N$137,MATCH('D- Benefits &amp; Burdens'!$E$30&amp;'D- Benefits &amp; Burdens'!$F$30,LCI!$B$2:$B$137&amp;LCI!$D$2:$D$137,0))*IF(AND($E30="Truck",$F30="Electric"),$B$26,1)*$D$30*$C$30</f>
        <v>76.157886349999984</v>
      </c>
      <c r="N30" s="154" cm="1">
        <f t="array" ref="N30">INDEX(LCI!O$2:O$137,MATCH('D- Benefits &amp; Burdens'!$E$30&amp;'D- Benefits &amp; Burdens'!$F$30,LCI!$B$2:$B$137&amp;LCI!$D$2:$D$137,0))*IF(AND($E30="Truck",$F30="Electric"),$B$26,1)*$D$30*$C$30</f>
        <v>1.3030499999999999E-4</v>
      </c>
      <c r="O30" s="154" cm="1">
        <f t="array" ref="O30">INDEX(LCI!P$2:P$137,MATCH('D- Benefits &amp; Burdens'!$E$30&amp;'D- Benefits &amp; Burdens'!$F$30,LCI!$B$2:$B$137&amp;LCI!$D$2:$D$137,0))*IF(AND($E30="Truck",$F30="Electric"),$B$26,1)*$D$30*$C$30</f>
        <v>5.5598899999999996E-3</v>
      </c>
      <c r="P30" s="154" cm="1">
        <f t="array" ref="P30">INDEX(LCI!Q$2:Q$137,MATCH('D- Benefits &amp; Burdens'!$E$30&amp;'D- Benefits &amp; Burdens'!$F$30,LCI!$B$2:$B$137&amp;LCI!$D$2:$D$137,0))*IF(AND($E30="Truck",$F30="Electric"),$B$26,1)*$D$30*$C$30</f>
        <v>6.0649924999999986E-2</v>
      </c>
      <c r="Q30" s="154" cm="1">
        <f t="array" ref="Q30">INDEX(LCI!R$2:R$137,MATCH('D- Benefits &amp; Burdens'!$E$30&amp;'D- Benefits &amp; Burdens'!$F$30,LCI!$B$2:$B$137&amp;LCI!$D$2:$D$137,0))*IF(AND($E30="Truck",$F30="Electric"),$B$26,1)*$D$30*$C$30</f>
        <v>5.294485E-10</v>
      </c>
      <c r="R30" s="154" cm="1">
        <f t="array" ref="R30">INDEX(LCI!S$2:S$137,MATCH('D- Benefits &amp; Burdens'!$E$30&amp;'D- Benefits &amp; Burdens'!$F$30,LCI!$B$2:$B$137&amp;LCI!$D$2:$D$137,0))*IF(AND($E30="Truck",$F30="Electric"),$B$26,1)*$D$30*$C$30</f>
        <v>4.059475E-8</v>
      </c>
      <c r="S30" s="154" cm="1">
        <f t="array" ref="S30">INDEX(LCI!T$2:T$137,MATCH('D- Benefits &amp; Burdens'!$E$30&amp;'D- Benefits &amp; Burdens'!$F$30,LCI!$B$2:$B$137&amp;LCI!$D$2:$D$137,0))*IF(AND($E30="Truck",$F30="Electric"),$B$26,1)*$D$30*$C$30</f>
        <v>3.4286980000000002E-2</v>
      </c>
      <c r="T30" s="154" cm="1">
        <f t="array" ref="T30">INDEX(LCI!U$2:U$137,MATCH('D- Benefits &amp; Burdens'!$E$30&amp;'D- Benefits &amp; Burdens'!$F$30,LCI!$B$2:$B$137&amp;LCI!$D$2:$D$137,0))*IF(AND($E30="Truck",$F30="Electric"),$B$26,1)*$D$30*$C$30</f>
        <v>4.7789643999999996</v>
      </c>
      <c r="U30" s="154" cm="1">
        <f t="array" ref="U30">INDEX(LCI!V$2:V$137,MATCH('D- Benefits &amp; Burdens'!$E$30&amp;'D- Benefits &amp; Burdens'!$F$30,LCI!$B$2:$B$137&amp;LCI!$D$2:$D$137,0))*IF(AND($E30="Truck",$F30="Electric"),$B$26,1)*$D$30*$C$30</f>
        <v>6.1397349999999998E-6</v>
      </c>
      <c r="V30" s="154" cm="1">
        <f t="array" ref="V30">INDEX(LCI!W$2:W$137,MATCH('D- Benefits &amp; Burdens'!$E$30&amp;'D- Benefits &amp; Burdens'!$F$30,LCI!$B$2:$B$137&amp;LCI!$D$2:$D$137,0))*IF(AND($E30="Truck",$F30="Electric"),$B$26,1)*$D$30*$C$30</f>
        <v>1.2599509999999998E-7</v>
      </c>
      <c r="W30" s="154" cm="1">
        <f t="array" ref="W30">INDEX(LCI!X$2:X$137,MATCH('D- Benefits &amp; Burdens'!$E$30&amp;'D- Benefits &amp; Burdens'!$F$30,LCI!$B$2:$B$137&amp;LCI!$D$2:$D$137,0))*IF(AND($E30="Truck",$F30="Electric"),$B$26,1)*$D$30*$C$30</f>
        <v>3.8300500000000001E-7</v>
      </c>
      <c r="X30" s="154" cm="1">
        <f t="array" ref="X30">INDEX(LCI!Y$2:Y$137,MATCH('D- Benefits &amp; Burdens'!$E$30&amp;'D- Benefits &amp; Burdens'!$F$30,LCI!$B$2:$B$137&amp;LCI!$D$2:$D$137,0))*IF(AND($E30="Truck",$F30="Electric"),$B$26,1)*$D$30*$C$30</f>
        <v>2.4396925E-2</v>
      </c>
      <c r="Y30" s="154" cm="1">
        <f t="array" ref="Y30">INDEX(LCI!Z$2:Z$137,MATCH('D- Benefits &amp; Burdens'!$E$30&amp;'D- Benefits &amp; Burdens'!$F$30,LCI!$B$2:$B$137&amp;LCI!$D$2:$D$137,0))*IF(AND($E30="Truck",$F30="Electric"),$B$26,1)*$D$30*$C$30</f>
        <v>0.17189346999999996</v>
      </c>
    </row>
    <row r="31" spans="1:25" ht="14" customHeight="1" x14ac:dyDescent="0.35">
      <c r="C31" s="92"/>
    </row>
    <row r="32" spans="1:25" ht="14" customHeight="1" x14ac:dyDescent="0.35">
      <c r="C32" s="92"/>
    </row>
    <row r="33" spans="1:4" ht="23.5" x14ac:dyDescent="0.55000000000000004">
      <c r="A33" s="100" t="s">
        <v>832</v>
      </c>
    </row>
    <row r="34" spans="1:4" ht="14" customHeight="1" x14ac:dyDescent="0.45">
      <c r="A34" s="72"/>
      <c r="B34" s="29"/>
    </row>
    <row r="35" spans="1:4" ht="14" customHeight="1" x14ac:dyDescent="0.4">
      <c r="A35" s="81" t="s">
        <v>833</v>
      </c>
      <c r="B35" s="29"/>
    </row>
    <row r="36" spans="1:4" ht="14" customHeight="1" x14ac:dyDescent="0.35">
      <c r="A36" s="62" t="s">
        <v>374</v>
      </c>
      <c r="B36" s="304" t="s">
        <v>375</v>
      </c>
      <c r="C36" s="295" t="s">
        <v>330</v>
      </c>
      <c r="D36" s="62" t="s">
        <v>331</v>
      </c>
    </row>
    <row r="37" spans="1:4" ht="14" customHeight="1" x14ac:dyDescent="0.35">
      <c r="A37" s="2" t="s">
        <v>376</v>
      </c>
      <c r="B37" s="90" t="s">
        <v>377</v>
      </c>
      <c r="C37" s="201" t="s">
        <v>834</v>
      </c>
      <c r="D37" s="1" t="s">
        <v>835</v>
      </c>
    </row>
    <row r="38" spans="1:4" ht="14" customHeight="1" x14ac:dyDescent="0.35">
      <c r="A38" s="2" t="s">
        <v>380</v>
      </c>
      <c r="B38" s="90">
        <v>1</v>
      </c>
      <c r="C38" s="33"/>
      <c r="D38" s="1"/>
    </row>
    <row r="39" spans="1:4" ht="14" customHeight="1" x14ac:dyDescent="0.35">
      <c r="A39" s="2" t="s">
        <v>411</v>
      </c>
      <c r="B39" s="90">
        <v>263.2</v>
      </c>
      <c r="C39" s="1"/>
      <c r="D39" s="1"/>
    </row>
    <row r="40" spans="1:4" ht="14" customHeight="1" x14ac:dyDescent="0.35">
      <c r="A40" s="2" t="s">
        <v>383</v>
      </c>
      <c r="B40" s="90">
        <v>0.25</v>
      </c>
      <c r="C40" s="53" t="s">
        <v>384</v>
      </c>
      <c r="D40" s="30" t="s">
        <v>673</v>
      </c>
    </row>
    <row r="41" spans="1:4" ht="14" customHeight="1" x14ac:dyDescent="0.35">
      <c r="A41" s="2" t="s">
        <v>381</v>
      </c>
      <c r="B41" s="90">
        <v>0.51</v>
      </c>
      <c r="C41" s="218" t="s">
        <v>382</v>
      </c>
      <c r="D41" s="1"/>
    </row>
    <row r="42" spans="1:4" ht="14" customHeight="1" x14ac:dyDescent="0.35">
      <c r="A42" s="42" t="s">
        <v>836</v>
      </c>
      <c r="B42" s="152">
        <f>$B$39*$B$40*$B$41</f>
        <v>33.558</v>
      </c>
      <c r="C42" s="53" t="s">
        <v>397</v>
      </c>
      <c r="D42" s="1" t="s">
        <v>398</v>
      </c>
    </row>
    <row r="43" spans="1:4" ht="14" customHeight="1" x14ac:dyDescent="0.35">
      <c r="A43" s="2" t="s">
        <v>386</v>
      </c>
      <c r="B43" s="90">
        <v>2.2000000000000002</v>
      </c>
      <c r="C43" s="1"/>
      <c r="D43" s="1"/>
    </row>
    <row r="44" spans="1:4" ht="14" customHeight="1" x14ac:dyDescent="0.35">
      <c r="A44" s="2" t="s">
        <v>389</v>
      </c>
      <c r="B44" s="90">
        <v>0.45</v>
      </c>
      <c r="C44" s="1" t="s">
        <v>390</v>
      </c>
      <c r="D44" s="1"/>
    </row>
    <row r="45" spans="1:4" ht="14" customHeight="1" x14ac:dyDescent="0.35">
      <c r="A45" s="2" t="s">
        <v>391</v>
      </c>
      <c r="B45" s="152">
        <f>60/$B$44</f>
        <v>133.33333333333334</v>
      </c>
      <c r="C45" s="1"/>
      <c r="D45" s="1"/>
    </row>
    <row r="46" spans="1:4" ht="14" customHeight="1" x14ac:dyDescent="0.35">
      <c r="A46" s="2" t="s">
        <v>392</v>
      </c>
      <c r="B46" s="90">
        <v>5.4</v>
      </c>
      <c r="C46" s="8"/>
      <c r="D46" s="1"/>
    </row>
    <row r="47" spans="1:4" ht="14" customHeight="1" x14ac:dyDescent="0.35">
      <c r="A47" s="42" t="s">
        <v>393</v>
      </c>
      <c r="B47" s="152">
        <f>$B$43*$B$45*$B$46</f>
        <v>1584.0000000000002</v>
      </c>
      <c r="C47" s="8"/>
      <c r="D47" s="1"/>
    </row>
    <row r="48" spans="1:4" ht="14" customHeight="1" x14ac:dyDescent="0.35">
      <c r="A48" s="42" t="s">
        <v>837</v>
      </c>
      <c r="B48" s="152">
        <f>$B$17/$B$47</f>
        <v>4.4191919191919184E-4</v>
      </c>
      <c r="C48" s="13" t="s">
        <v>838</v>
      </c>
      <c r="D48" s="1"/>
    </row>
    <row r="49" spans="1:4" ht="14" customHeight="1" x14ac:dyDescent="0.45">
      <c r="A49" s="72"/>
      <c r="B49" s="29"/>
    </row>
    <row r="50" spans="1:4" ht="18.5" x14ac:dyDescent="0.45">
      <c r="A50" s="116" t="s">
        <v>986</v>
      </c>
      <c r="B50" s="116"/>
      <c r="C50" s="116"/>
    </row>
    <row r="51" spans="1:4" ht="14" customHeight="1" x14ac:dyDescent="0.45">
      <c r="A51" s="75"/>
      <c r="B51" s="75"/>
      <c r="C51" s="75"/>
    </row>
    <row r="52" spans="1:4" ht="14" customHeight="1" x14ac:dyDescent="0.35">
      <c r="A52" s="62" t="s">
        <v>374</v>
      </c>
      <c r="B52" s="304" t="s">
        <v>375</v>
      </c>
      <c r="C52" s="295" t="s">
        <v>330</v>
      </c>
      <c r="D52" s="62" t="s">
        <v>331</v>
      </c>
    </row>
    <row r="53" spans="1:4" ht="14" customHeight="1" x14ac:dyDescent="0.35">
      <c r="A53" s="1" t="s">
        <v>839</v>
      </c>
      <c r="B53" s="90">
        <v>0.25</v>
      </c>
      <c r="C53" s="223" t="s">
        <v>384</v>
      </c>
      <c r="D53" s="214" t="s">
        <v>479</v>
      </c>
    </row>
    <row r="54" spans="1:4" ht="14" customHeight="1" x14ac:dyDescent="0.35">
      <c r="A54" s="1" t="s">
        <v>381</v>
      </c>
      <c r="B54" s="90">
        <v>0.51</v>
      </c>
      <c r="C54" s="53" t="s">
        <v>382</v>
      </c>
      <c r="D54" s="1"/>
    </row>
    <row r="55" spans="1:4" ht="14" customHeight="1" x14ac:dyDescent="0.35">
      <c r="A55" s="1" t="s">
        <v>406</v>
      </c>
      <c r="B55" s="90" t="s">
        <v>407</v>
      </c>
      <c r="C55" s="46" t="s">
        <v>407</v>
      </c>
      <c r="D55" s="30" t="s">
        <v>840</v>
      </c>
    </row>
    <row r="56" spans="1:4" ht="14" customHeight="1" x14ac:dyDescent="0.35">
      <c r="A56" s="1" t="s">
        <v>409</v>
      </c>
      <c r="B56" s="90">
        <v>1</v>
      </c>
      <c r="C56" s="1"/>
      <c r="D56" s="1"/>
    </row>
    <row r="57" spans="1:4" ht="14" customHeight="1" x14ac:dyDescent="0.35">
      <c r="A57" s="1" t="s">
        <v>410</v>
      </c>
      <c r="B57" s="90">
        <v>400</v>
      </c>
      <c r="C57" s="1"/>
      <c r="D57" s="1"/>
    </row>
    <row r="58" spans="1:4" ht="14" customHeight="1" x14ac:dyDescent="0.35">
      <c r="A58" s="1" t="s">
        <v>411</v>
      </c>
      <c r="B58" s="90">
        <v>200</v>
      </c>
      <c r="C58" s="1"/>
      <c r="D58" s="1"/>
    </row>
    <row r="59" spans="1:4" ht="14" customHeight="1" x14ac:dyDescent="0.35">
      <c r="A59" s="1" t="s">
        <v>841</v>
      </c>
      <c r="B59" s="152">
        <f>$B$53*$B$54*$B$58</f>
        <v>25.5</v>
      </c>
      <c r="C59" s="53" t="s">
        <v>397</v>
      </c>
      <c r="D59" s="1"/>
    </row>
    <row r="60" spans="1:4" ht="14" customHeight="1" x14ac:dyDescent="0.35">
      <c r="A60" s="1" t="s">
        <v>413</v>
      </c>
      <c r="B60" s="152">
        <f>$B$17/$B$57</f>
        <v>1.7499999999999998E-3</v>
      </c>
      <c r="C60" s="1" t="s">
        <v>842</v>
      </c>
      <c r="D60" s="1"/>
    </row>
    <row r="61" spans="1:4" ht="14" customHeight="1" x14ac:dyDescent="0.35">
      <c r="B61" s="29"/>
    </row>
    <row r="62" spans="1:4" ht="18.5" x14ac:dyDescent="0.45">
      <c r="A62" s="116" t="s">
        <v>843</v>
      </c>
      <c r="B62" s="116"/>
      <c r="C62" s="116"/>
    </row>
    <row r="63" spans="1:4" ht="14" customHeight="1" x14ac:dyDescent="0.45">
      <c r="A63" s="74"/>
      <c r="B63" s="29"/>
    </row>
    <row r="64" spans="1:4" ht="14" customHeight="1" x14ac:dyDescent="0.35">
      <c r="A64" s="62" t="s">
        <v>374</v>
      </c>
      <c r="B64" s="304" t="s">
        <v>375</v>
      </c>
      <c r="C64" s="295" t="s">
        <v>330</v>
      </c>
      <c r="D64" s="62" t="s">
        <v>331</v>
      </c>
    </row>
    <row r="65" spans="1:4" ht="14" customHeight="1" x14ac:dyDescent="0.35">
      <c r="A65" s="1" t="s">
        <v>839</v>
      </c>
      <c r="B65" s="90">
        <v>0.25</v>
      </c>
      <c r="C65" s="223" t="s">
        <v>384</v>
      </c>
      <c r="D65" s="214" t="s">
        <v>673</v>
      </c>
    </row>
    <row r="66" spans="1:4" ht="14" customHeight="1" x14ac:dyDescent="0.35">
      <c r="A66" s="1" t="s">
        <v>381</v>
      </c>
      <c r="B66" s="90">
        <v>0.51</v>
      </c>
      <c r="C66" s="53" t="s">
        <v>382</v>
      </c>
      <c r="D66" s="1"/>
    </row>
    <row r="67" spans="1:4" ht="14" customHeight="1" x14ac:dyDescent="0.35">
      <c r="A67" s="1" t="s">
        <v>415</v>
      </c>
      <c r="B67" s="90" t="s">
        <v>416</v>
      </c>
      <c r="C67" s="219" t="s">
        <v>416</v>
      </c>
      <c r="D67" s="30" t="s">
        <v>417</v>
      </c>
    </row>
    <row r="68" spans="1:4" ht="14" customHeight="1" x14ac:dyDescent="0.35">
      <c r="A68" s="1" t="s">
        <v>433</v>
      </c>
      <c r="B68" s="90">
        <v>1</v>
      </c>
      <c r="C68" s="1"/>
      <c r="D68" s="1"/>
    </row>
    <row r="69" spans="1:4" ht="14" customHeight="1" x14ac:dyDescent="0.35">
      <c r="A69" s="1" t="s">
        <v>410</v>
      </c>
      <c r="B69" s="90">
        <v>500</v>
      </c>
      <c r="C69" s="1"/>
      <c r="D69" s="1"/>
    </row>
    <row r="70" spans="1:4" ht="14" customHeight="1" x14ac:dyDescent="0.35">
      <c r="A70" s="1" t="s">
        <v>411</v>
      </c>
      <c r="B70" s="113">
        <v>55</v>
      </c>
      <c r="C70" s="1"/>
      <c r="D70" s="1"/>
    </row>
    <row r="71" spans="1:4" ht="14" customHeight="1" x14ac:dyDescent="0.35">
      <c r="A71" s="1" t="s">
        <v>841</v>
      </c>
      <c r="B71" s="152">
        <f>$B$70*$B$66*$B$65</f>
        <v>7.0125000000000002</v>
      </c>
      <c r="C71" s="53" t="s">
        <v>397</v>
      </c>
      <c r="D71" s="1" t="s">
        <v>398</v>
      </c>
    </row>
    <row r="72" spans="1:4" ht="14" customHeight="1" x14ac:dyDescent="0.35">
      <c r="A72" s="6" t="s">
        <v>419</v>
      </c>
      <c r="B72" s="152">
        <f>B60</f>
        <v>1.7499999999999998E-3</v>
      </c>
      <c r="C72" s="53" t="s">
        <v>844</v>
      </c>
      <c r="D72" s="1"/>
    </row>
    <row r="73" spans="1:4" ht="14" customHeight="1" x14ac:dyDescent="0.35">
      <c r="A73" s="55"/>
      <c r="B73" s="29"/>
      <c r="C73" s="28"/>
    </row>
    <row r="74" spans="1:4" ht="18.5" x14ac:dyDescent="0.45">
      <c r="A74" s="116" t="s">
        <v>845</v>
      </c>
      <c r="B74" s="116"/>
      <c r="C74" s="116"/>
    </row>
    <row r="75" spans="1:4" ht="14" customHeight="1" x14ac:dyDescent="0.45">
      <c r="A75" s="74"/>
      <c r="B75" s="29"/>
    </row>
    <row r="76" spans="1:4" ht="14" customHeight="1" x14ac:dyDescent="0.35">
      <c r="A76" s="62" t="s">
        <v>374</v>
      </c>
      <c r="B76" s="304" t="s">
        <v>375</v>
      </c>
      <c r="C76" s="295" t="s">
        <v>330</v>
      </c>
      <c r="D76" s="62" t="s">
        <v>331</v>
      </c>
    </row>
    <row r="77" spans="1:4" ht="14" customHeight="1" x14ac:dyDescent="0.35">
      <c r="A77" s="1" t="s">
        <v>421</v>
      </c>
      <c r="B77" s="90" t="s">
        <v>422</v>
      </c>
      <c r="C77" s="1" t="s">
        <v>422</v>
      </c>
      <c r="D77" s="225" t="s">
        <v>423</v>
      </c>
    </row>
    <row r="78" spans="1:4" ht="14" customHeight="1" x14ac:dyDescent="0.35">
      <c r="A78" s="1" t="s">
        <v>424</v>
      </c>
      <c r="B78" s="90">
        <v>1</v>
      </c>
      <c r="C78" s="1"/>
      <c r="D78" s="1"/>
    </row>
    <row r="79" spans="1:4" ht="14" customHeight="1" x14ac:dyDescent="0.35">
      <c r="A79" s="1" t="s">
        <v>411</v>
      </c>
      <c r="B79" s="90">
        <v>99</v>
      </c>
      <c r="C79" s="1"/>
      <c r="D79" s="1"/>
    </row>
    <row r="80" spans="1:4" ht="14" customHeight="1" x14ac:dyDescent="0.35">
      <c r="A80" s="2" t="s">
        <v>383</v>
      </c>
      <c r="B80" s="90">
        <v>0.25</v>
      </c>
      <c r="C80" s="223" t="s">
        <v>384</v>
      </c>
      <c r="D80" s="214" t="s">
        <v>479</v>
      </c>
    </row>
    <row r="81" spans="1:4" ht="14" customHeight="1" x14ac:dyDescent="0.35">
      <c r="A81" s="2" t="s">
        <v>381</v>
      </c>
      <c r="B81" s="90">
        <v>0.51</v>
      </c>
      <c r="C81" s="53" t="s">
        <v>382</v>
      </c>
      <c r="D81" s="1"/>
    </row>
    <row r="82" spans="1:4" ht="14" customHeight="1" x14ac:dyDescent="0.35">
      <c r="A82" s="1" t="s">
        <v>410</v>
      </c>
      <c r="B82" s="90">
        <v>500</v>
      </c>
      <c r="C82" s="1"/>
      <c r="D82" s="1"/>
    </row>
    <row r="83" spans="1:4" ht="14" customHeight="1" x14ac:dyDescent="0.35">
      <c r="A83" s="2" t="s">
        <v>846</v>
      </c>
      <c r="B83" s="152">
        <f>$B$82*$B$81*$B$80</f>
        <v>63.75</v>
      </c>
      <c r="C83" s="53" t="s">
        <v>397</v>
      </c>
      <c r="D83" s="1" t="s">
        <v>398</v>
      </c>
    </row>
    <row r="84" spans="1:4" ht="14" customHeight="1" x14ac:dyDescent="0.35">
      <c r="A84" s="2" t="s">
        <v>413</v>
      </c>
      <c r="B84" s="152">
        <f>B60</f>
        <v>1.7499999999999998E-3</v>
      </c>
      <c r="C84" s="53" t="s">
        <v>844</v>
      </c>
      <c r="D84" s="1"/>
    </row>
    <row r="85" spans="1:4" ht="14" customHeight="1" x14ac:dyDescent="0.35">
      <c r="A85" s="29"/>
      <c r="B85" s="29"/>
      <c r="C85" s="28"/>
    </row>
    <row r="86" spans="1:4" ht="14" customHeight="1" x14ac:dyDescent="0.35"/>
    <row r="87" spans="1:4" ht="14" customHeight="1" x14ac:dyDescent="0.35"/>
    <row r="88" spans="1:4" ht="21" x14ac:dyDescent="0.5">
      <c r="A88" s="99" t="s">
        <v>439</v>
      </c>
      <c r="B88" s="29"/>
    </row>
    <row r="89" spans="1:4" ht="21" x14ac:dyDescent="0.5">
      <c r="A89" s="99"/>
      <c r="B89" s="29"/>
    </row>
    <row r="90" spans="1:4" x14ac:dyDescent="0.35">
      <c r="A90" t="s">
        <v>676</v>
      </c>
      <c r="B90" s="29"/>
    </row>
    <row r="91" spans="1:4" ht="14" customHeight="1" x14ac:dyDescent="0.35"/>
    <row r="92" spans="1:4" ht="14" customHeight="1" x14ac:dyDescent="0.35">
      <c r="A92" s="308" t="s">
        <v>441</v>
      </c>
      <c r="B92" s="303" t="s">
        <v>442</v>
      </c>
      <c r="C92" s="308" t="s">
        <v>443</v>
      </c>
      <c r="D92" s="308" t="s">
        <v>396</v>
      </c>
    </row>
    <row r="93" spans="1:4" ht="14" customHeight="1" x14ac:dyDescent="0.35">
      <c r="A93" s="1" t="s">
        <v>444</v>
      </c>
      <c r="B93" s="192">
        <v>0</v>
      </c>
      <c r="C93" s="192">
        <v>0</v>
      </c>
      <c r="D93" s="154">
        <v>0</v>
      </c>
    </row>
    <row r="94" spans="1:4" ht="14" customHeight="1" x14ac:dyDescent="0.35">
      <c r="A94" s="1" t="s">
        <v>357</v>
      </c>
      <c r="B94" s="152">
        <f>$B$60</f>
        <v>1.7499999999999998E-3</v>
      </c>
      <c r="C94" s="152">
        <f>$B$58</f>
        <v>200</v>
      </c>
      <c r="D94" s="154">
        <f>$B$59</f>
        <v>25.5</v>
      </c>
    </row>
    <row r="95" spans="1:4" ht="14" customHeight="1" x14ac:dyDescent="0.35">
      <c r="A95" s="1" t="s">
        <v>446</v>
      </c>
      <c r="B95" s="152">
        <v>0</v>
      </c>
      <c r="C95" s="152">
        <v>0</v>
      </c>
      <c r="D95" s="154">
        <v>0</v>
      </c>
    </row>
    <row r="96" spans="1:4" ht="14" customHeight="1" x14ac:dyDescent="0.35">
      <c r="A96" s="1" t="s">
        <v>361</v>
      </c>
      <c r="B96" s="152">
        <f>$B$72</f>
        <v>1.7499999999999998E-3</v>
      </c>
      <c r="C96" s="152">
        <f>$B$70</f>
        <v>55</v>
      </c>
      <c r="D96" s="154">
        <f>$B$71</f>
        <v>7.0125000000000002</v>
      </c>
    </row>
    <row r="97" spans="1:26" ht="14" customHeight="1" x14ac:dyDescent="0.35">
      <c r="A97" s="1" t="s">
        <v>448</v>
      </c>
      <c r="B97" s="152">
        <v>0</v>
      </c>
      <c r="C97" s="152">
        <v>0</v>
      </c>
      <c r="D97" s="154">
        <v>0</v>
      </c>
    </row>
    <row r="98" spans="1:26" ht="14" customHeight="1" x14ac:dyDescent="0.35">
      <c r="A98" s="1" t="s">
        <v>363</v>
      </c>
      <c r="B98" s="152">
        <f>$B$84</f>
        <v>1.7499999999999998E-3</v>
      </c>
      <c r="C98" s="152">
        <f>$B$79</f>
        <v>99</v>
      </c>
      <c r="D98" s="154">
        <f>$B$83</f>
        <v>63.75</v>
      </c>
    </row>
    <row r="99" spans="1:26" ht="14" customHeight="1" x14ac:dyDescent="0.35">
      <c r="A99" s="1" t="s">
        <v>450</v>
      </c>
      <c r="B99" s="152">
        <v>0</v>
      </c>
      <c r="C99" s="152">
        <v>0</v>
      </c>
      <c r="D99" s="154">
        <v>0</v>
      </c>
    </row>
    <row r="100" spans="1:26" ht="14" customHeight="1" x14ac:dyDescent="0.35">
      <c r="A100" s="1" t="s">
        <v>359</v>
      </c>
      <c r="B100" s="152">
        <f>$B$48</f>
        <v>4.4191919191919184E-4</v>
      </c>
      <c r="C100" s="152">
        <f>$B$39</f>
        <v>263.2</v>
      </c>
      <c r="D100" s="154">
        <f>$B$42</f>
        <v>33.558</v>
      </c>
    </row>
    <row r="101" spans="1:26" ht="14" customHeight="1" x14ac:dyDescent="0.35">
      <c r="A101" s="1" t="s">
        <v>359</v>
      </c>
      <c r="B101" s="152">
        <f>$B$48</f>
        <v>4.4191919191919184E-4</v>
      </c>
      <c r="C101" s="152">
        <f>$B$39</f>
        <v>263.2</v>
      </c>
      <c r="D101" s="154">
        <f>$B$42</f>
        <v>33.558</v>
      </c>
    </row>
    <row r="102" spans="1:26" ht="14" customHeight="1" x14ac:dyDescent="0.35"/>
    <row r="103" spans="1:26" ht="14" customHeight="1" x14ac:dyDescent="0.35"/>
    <row r="104" spans="1:26" ht="72.5" x14ac:dyDescent="0.35">
      <c r="A104" s="302" t="s">
        <v>451</v>
      </c>
      <c r="B104" s="302" t="s">
        <v>452</v>
      </c>
      <c r="C104" s="302" t="s">
        <v>684</v>
      </c>
      <c r="D104" s="302" t="s">
        <v>454</v>
      </c>
      <c r="E104" s="302" t="s">
        <v>847</v>
      </c>
      <c r="F104" s="302" t="s">
        <v>411</v>
      </c>
      <c r="G104" s="302" t="s">
        <v>396</v>
      </c>
      <c r="H104" s="302" t="s">
        <v>279</v>
      </c>
      <c r="I104" s="302" t="s">
        <v>280</v>
      </c>
      <c r="J104" s="302" t="s">
        <v>281</v>
      </c>
      <c r="K104" s="302" t="s">
        <v>282</v>
      </c>
      <c r="L104" s="302" t="s">
        <v>283</v>
      </c>
      <c r="M104" s="302" t="s">
        <v>284</v>
      </c>
      <c r="N104" s="302" t="s">
        <v>285</v>
      </c>
      <c r="O104" s="302" t="s">
        <v>286</v>
      </c>
      <c r="P104" s="302" t="s">
        <v>287</v>
      </c>
      <c r="Q104" s="302" t="s">
        <v>288</v>
      </c>
      <c r="R104" s="302" t="s">
        <v>289</v>
      </c>
      <c r="S104" s="302" t="s">
        <v>290</v>
      </c>
      <c r="T104" s="302" t="s">
        <v>291</v>
      </c>
      <c r="U104" s="302" t="s">
        <v>292</v>
      </c>
      <c r="V104" s="302" t="s">
        <v>293</v>
      </c>
      <c r="W104" s="302" t="s">
        <v>294</v>
      </c>
      <c r="X104" s="302" t="s">
        <v>295</v>
      </c>
      <c r="Y104" s="302" t="s">
        <v>296</v>
      </c>
      <c r="Z104" s="302" t="s">
        <v>297</v>
      </c>
    </row>
    <row r="105" spans="1:26" ht="14" customHeight="1" x14ac:dyDescent="0.35">
      <c r="A105" s="73" t="s">
        <v>455</v>
      </c>
      <c r="B105" s="73"/>
      <c r="C105" s="73"/>
      <c r="D105" s="125"/>
      <c r="E105" s="125"/>
      <c r="F105" s="125"/>
      <c r="G105" s="125"/>
      <c r="H105" s="125"/>
      <c r="I105" s="125"/>
      <c r="J105" s="125"/>
      <c r="K105" s="125"/>
      <c r="L105" s="125"/>
      <c r="M105" s="125"/>
      <c r="N105" s="125"/>
      <c r="O105" s="125"/>
      <c r="P105" s="125"/>
      <c r="Q105" s="125"/>
      <c r="R105" s="125"/>
      <c r="S105" s="125"/>
      <c r="T105" s="125"/>
      <c r="U105" s="125"/>
      <c r="V105" s="125"/>
      <c r="W105" s="125"/>
      <c r="X105" s="125"/>
      <c r="Y105" s="125"/>
      <c r="Z105" s="125"/>
    </row>
    <row r="106" spans="1:26" ht="14" customHeight="1" x14ac:dyDescent="0.35">
      <c r="A106" s="1" t="s">
        <v>456</v>
      </c>
      <c r="B106" s="154" t="str">
        <f>'C3'' - Secondary Raw Material '!$B$7</f>
        <v>Mobile_jaw_crusher_400tph_RAP</v>
      </c>
      <c r="C106" s="154">
        <f>$B$56</f>
        <v>1</v>
      </c>
      <c r="D106" s="154" t="str">
        <f>'C3'' - Secondary Raw Material '!$C$7</f>
        <v>Diesel</v>
      </c>
      <c r="E106" s="154">
        <f>INDEX($B$93:$B$101,MATCH($B106,$A$93:$A$101,0))</f>
        <v>1.7499999999999998E-3</v>
      </c>
      <c r="F106" s="154">
        <f>INDEX($C$93:$C$101,MATCH($B106,$A$93:$A$101,0))</f>
        <v>200</v>
      </c>
      <c r="G106" s="154">
        <f>INDEX($D$93:$D$101,MATCH($B106,$A$93:$A$101,0))</f>
        <v>25.5</v>
      </c>
      <c r="H106" s="154" cm="1">
        <f t="array" ref="H106">INDEX(LCI!H$2:H$137,MATCH($A$105&amp;$D106,LCI!$B$2:$B$137&amp;LCI!$D$2:$D$137,0))*IF($D106="Electric",($F106*$E106)*$B$3,$G106*$E106)</f>
        <v>2.3667073953711199E-4</v>
      </c>
      <c r="I106" s="154" cm="1">
        <f t="array" ref="I106">INDEX(LCI!I$2:I$137,MATCH($A$105&amp;$D106,LCI!$B$2:$B$137&amp;LCI!$D$2:$D$137,0))*IF($D106="Electric",($F106*$E106)*$B$3,$G106*$E106)</f>
        <v>0.18511780169755787</v>
      </c>
      <c r="J106" s="154" cm="1">
        <f t="array" ref="J106">INDEX(LCI!J$2:J$137,MATCH($A$105&amp;$D106,LCI!$B$2:$B$137&amp;LCI!$D$2:$D$137,0))*IF($D106="Electric",($F106*$E106)*$B$3,$G106*$E106)</f>
        <v>3.8259154128883017E-5</v>
      </c>
      <c r="K106" s="154" cm="1">
        <f t="array" ref="K106">INDEX(LCI!K$2:K$137,MATCH($A$105&amp;$D106,LCI!$B$2:$B$137&amp;LCI!$D$2:$D$137,0))*IF($D106="Electric",($F106*$E106)*$B$3,$G106*$E106)</f>
        <v>0.18507135615061526</v>
      </c>
      <c r="L106" s="154" cm="1">
        <f t="array" ref="L106">INDEX(LCI!L$2:L$137,MATCH($A$105&amp;$D106,LCI!$B$2:$B$137&amp;LCI!$D$2:$D$137,0))*IF($D106="Electric",($F106*$E106)*$B$3,$G106*$E106)</f>
        <v>8.1863928137453519E-6</v>
      </c>
      <c r="M106" s="154" cm="1">
        <f t="array" ref="M106">INDEX(LCI!M$2:M$137,MATCH($A$105&amp;$D106,LCI!$B$2:$B$137&amp;LCI!$D$2:$D$137,0))*IF($D106="Electric",($F106*$E106)*$B$3,$G106*$E106)</f>
        <v>8.1790714177850526E-2</v>
      </c>
      <c r="N106" s="154" cm="1">
        <f t="array" ref="N106">INDEX(LCI!N$2:N$137,MATCH($A$105&amp;$D106,LCI!$B$2:$B$137&amp;LCI!$D$2:$D$137,0))*IF($D106="Electric",($F106*$E106)*$B$3,$G106*$E106)</f>
        <v>2.4588592505684952</v>
      </c>
      <c r="O106" s="154" cm="1">
        <f t="array" ref="O106">INDEX(LCI!O$2:O$137,MATCH($A$105&amp;$D106,LCI!$B$2:$B$137&amp;LCI!$D$2:$D$137,0))*IF($D106="Electric",($F106*$E106)*$B$3,$G106*$E106)</f>
        <v>1.9569453654493039E-6</v>
      </c>
      <c r="P106" s="154" cm="1">
        <f t="array" ref="P106">INDEX(LCI!P$2:P$137,MATCH($A$105&amp;$D106,LCI!$B$2:$B$137&amp;LCI!$D$2:$D$137,0))*IF($D106="Electric",($F106*$E106)*$B$3,$G106*$E106)</f>
        <v>5.3518965012633332E-5</v>
      </c>
      <c r="Q106" s="154" cm="1">
        <f t="array" ref="Q106">INDEX(LCI!Q$2:Q$137,MATCH($A$105&amp;$D106,LCI!$B$2:$B$137&amp;LCI!$D$2:$D$137,0))*IF($D106="Electric",($F106*$E106)*$B$3,$G106*$E106)</f>
        <v>5.8181709805887221E-4</v>
      </c>
      <c r="R106" s="154" cm="1">
        <f t="array" ref="R106">INDEX(LCI!R$2:R$137,MATCH($A$105&amp;$D106,LCI!$B$2:$B$137&amp;LCI!$D$2:$D$137,0))*IF($D106="Electric",($F106*$E106)*$B$3,$G106*$E106)</f>
        <v>1.1312648021615282E-11</v>
      </c>
      <c r="S106" s="154" cm="1">
        <f t="array" ref="S106">INDEX(LCI!S$2:S$137,MATCH($A$105&amp;$D106,LCI!$B$2:$B$137&amp;LCI!$D$2:$D$137,0))*IF($D106="Electric",($F106*$E106)*$B$3,$G106*$E106)</f>
        <v>3.0152823815899659E-10</v>
      </c>
      <c r="T106" s="154" cm="1">
        <f t="array" ref="T106">INDEX(LCI!T$2:T$137,MATCH($A$105&amp;$D106,LCI!$B$2:$B$137&amp;LCI!$D$2:$D$137,0))*IF($D106="Electric",($F106*$E106)*$B$3,$G106*$E106)</f>
        <v>7.3829287332207881E-4</v>
      </c>
      <c r="U106" s="154" cm="1">
        <f t="array" ref="U106">INDEX(LCI!U$2:U$137,MATCH($A$105&amp;$D106,LCI!$B$2:$B$137&amp;LCI!$D$2:$D$137,0))*IF($D106="Electric",($F106*$E106)*$B$3,$G106*$E106)</f>
        <v>0.12642084334250403</v>
      </c>
      <c r="V106" s="154" cm="1">
        <f t="array" ref="V106">INDEX(LCI!V$2:V$137,MATCH($A$105&amp;$D106,LCI!$B$2:$B$137&amp;LCI!$D$2:$D$137,0))*IF($D106="Electric",($F106*$E106)*$B$3,$G106*$E106)</f>
        <v>2.8865770956607367E-8</v>
      </c>
      <c r="W106" s="154" cm="1">
        <f t="array" ref="W106">INDEX(LCI!W$2:W$137,MATCH($A$105&amp;$D106,LCI!$B$2:$B$137&amp;LCI!$D$2:$D$137,0))*IF($D106="Electric",($F106*$E106)*$B$3,$G106*$E106)</f>
        <v>4.1715588681533579E-9</v>
      </c>
      <c r="X106" s="154" cm="1">
        <f t="array" ref="X106">INDEX(LCI!X$2:X$137,MATCH($A$105&amp;$D106,LCI!$B$2:$B$137&amp;LCI!$D$2:$D$137,0))*IF($D106="Electric",($F106*$E106)*$B$3,$G106*$E106)</f>
        <v>1.8232733543583709E-9</v>
      </c>
      <c r="Y106" s="154" cm="1">
        <f t="array" ref="Y106">INDEX(LCI!Y$2:Y$137,MATCH($A$105&amp;$D106,LCI!$B$2:$B$137&amp;LCI!$D$2:$D$137,0))*IF($D106="Electric",($F106*$E106)*$B$3,$G106*$E106)</f>
        <v>4.5597043312333753E-4</v>
      </c>
      <c r="Z106" s="154" cm="1">
        <f t="array" ref="Z106">INDEX(LCI!Z$2:Z$137,MATCH($A$105&amp;$D106,LCI!$B$2:$B$137&amp;LCI!$D$2:$D$137,0))*IF($D106="Electric",($F106*$E106)*$B$3,$G106*$E106)</f>
        <v>3.3278798482704128E-3</v>
      </c>
    </row>
    <row r="107" spans="1:26" ht="14" customHeight="1" x14ac:dyDescent="0.35">
      <c r="A107" s="1" t="s">
        <v>457</v>
      </c>
      <c r="B107" s="154" t="str">
        <f>'C3'' - Secondary Raw Material '!$B$8</f>
        <v>Wheel_loader_338tph_Komatsu_WA500_RAP</v>
      </c>
      <c r="C107" s="154">
        <f>$B$38</f>
        <v>1</v>
      </c>
      <c r="D107" s="154" t="str">
        <f>'C3'' - Secondary Raw Material '!$C$8</f>
        <v>Diesel</v>
      </c>
      <c r="E107" s="154">
        <f>INDEX($B$93:$B$101,MATCH($B107,$A$93:$A$101,0))</f>
        <v>4.4191919191919184E-4</v>
      </c>
      <c r="F107" s="154">
        <f>INDEX($C$93:$C$101,MATCH($B107,$A$93:$A$101,0))</f>
        <v>263.2</v>
      </c>
      <c r="G107" s="154">
        <f t="shared" ref="G107:G109" si="0">INDEX($D$93:$D$101,MATCH($B107,$A$93:$A$101,0))</f>
        <v>33.558</v>
      </c>
      <c r="H107" s="154" cm="1">
        <f t="array" ref="H107">INDEX(LCI!H$2:H$137,MATCH($A$105&amp;$D107,LCI!$B$2:$B$137&amp;LCI!$D$2:$D$137,0))*IF($D107="Electric",($F107*$E107)*$B$3,$G107*$E107)</f>
        <v>7.8651185159302864E-5</v>
      </c>
      <c r="I107" s="154" cm="1">
        <f t="array" ref="I107">INDEX(LCI!I$2:I$137,MATCH($A$105&amp;$D107,LCI!$B$2:$B$137&amp;LCI!$D$2:$D$137,0))*IF($D107="Electric",($F107*$E107)*$B$3,$G107*$E107)</f>
        <v>6.1518946220703571E-2</v>
      </c>
      <c r="J107" s="154" cm="1">
        <f t="array" ref="J107">INDEX(LCI!J$2:J$137,MATCH($A$105&amp;$D107,LCI!$B$2:$B$137&amp;LCI!$D$2:$D$137,0))*IF($D107="Electric",($F107*$E107)*$B$3,$G107*$E107)</f>
        <v>1.2714405766063143E-5</v>
      </c>
      <c r="K107" s="154" cm="1">
        <f t="array" ref="K107">INDEX(LCI!K$2:K$137,MATCH($A$105&amp;$D107,LCI!$B$2:$B$137&amp;LCI!$D$2:$D$137,0))*IF($D107="Electric",($F107*$E107)*$B$3,$G107*$E107)</f>
        <v>6.1503511286416575E-2</v>
      </c>
      <c r="L107" s="154" cm="1">
        <f t="array" ref="L107">INDEX(LCI!L$2:L$137,MATCH($A$105&amp;$D107,LCI!$B$2:$B$137&amp;LCI!$D$2:$D$137,0))*IF($D107="Electric",($F107*$E107)*$B$3,$G107*$E107)</f>
        <v>2.7205285209315357E-6</v>
      </c>
      <c r="M107" s="154" cm="1">
        <f t="array" ref="M107">INDEX(LCI!M$2:M$137,MATCH($A$105&amp;$D107,LCI!$B$2:$B$137&amp;LCI!$D$2:$D$137,0))*IF($D107="Electric",($F107*$E107)*$B$3,$G107*$E107)</f>
        <v>2.7180954509608907E-2</v>
      </c>
      <c r="N107" s="154" cm="1">
        <f t="array" ref="N107">INDEX(LCI!N$2:N$137,MATCH($A$105&amp;$D107,LCI!$B$2:$B$137&amp;LCI!$D$2:$D$137,0))*IF($D107="Electric",($F107*$E107)*$B$3,$G107*$E107)</f>
        <v>0.81713605397680278</v>
      </c>
      <c r="O107" s="154" cm="1">
        <f t="array" ref="O107">INDEX(LCI!O$2:O$137,MATCH($A$105&amp;$D107,LCI!$B$2:$B$137&amp;LCI!$D$2:$D$137,0))*IF($D107="Electric",($F107*$E107)*$B$3,$G107*$E107)</f>
        <v>6.5033840932608178E-7</v>
      </c>
      <c r="P107" s="154" cm="1">
        <f t="array" ref="P107">INDEX(LCI!P$2:P$137,MATCH($A$105&amp;$D107,LCI!$B$2:$B$137&amp;LCI!$D$2:$D$137,0))*IF($D107="Electric",($F107*$E107)*$B$3,$G107*$E107)</f>
        <v>1.7785595443592287E-5</v>
      </c>
      <c r="Q107" s="154" cm="1">
        <f t="array" ref="Q107">INDEX(LCI!Q$2:Q$137,MATCH($A$105&amp;$D107,LCI!$B$2:$B$137&amp;LCI!$D$2:$D$137,0))*IF($D107="Electric",($F107*$E107)*$B$3,$G107*$E107)</f>
        <v>1.9335133864784739E-4</v>
      </c>
      <c r="R107" s="154" cm="1">
        <f t="array" ref="R107">INDEX(LCI!R$2:R$137,MATCH($A$105&amp;$D107,LCI!$B$2:$B$137&amp;LCI!$D$2:$D$137,0))*IF($D107="Electric",($F107*$E107)*$B$3,$G107*$E107)</f>
        <v>3.7594557566782097E-12</v>
      </c>
      <c r="S107" s="154" cm="1">
        <f t="array" ref="S107">INDEX(LCI!S$2:S$137,MATCH($A$105&amp;$D107,LCI!$B$2:$B$137&amp;LCI!$D$2:$D$137,0))*IF($D107="Electric",($F107*$E107)*$B$3,$G107*$E107)</f>
        <v>1.0020483874172713E-10</v>
      </c>
      <c r="T107" s="154" cm="1">
        <f t="array" ref="T107">INDEX(LCI!T$2:T$137,MATCH($A$105&amp;$D107,LCI!$B$2:$B$137&amp;LCI!$D$2:$D$137,0))*IF($D107="Electric",($F107*$E107)*$B$3,$G107*$E107)</f>
        <v>2.4535187406359992E-4</v>
      </c>
      <c r="U107" s="154" cm="1">
        <f t="array" ref="U107">INDEX(LCI!U$2:U$137,MATCH($A$105&amp;$D107,LCI!$B$2:$B$137&amp;LCI!$D$2:$D$137,0))*IF($D107="Electric",($F107*$E107)*$B$3,$G107*$E107)</f>
        <v>4.2012583292609922E-2</v>
      </c>
      <c r="V107" s="154" cm="1">
        <f t="array" ref="V107">INDEX(LCI!V$2:V$137,MATCH($A$105&amp;$D107,LCI!$B$2:$B$137&amp;LCI!$D$2:$D$137,0))*IF($D107="Electric",($F107*$E107)*$B$3,$G107*$E107)</f>
        <v>9.592766307801842E-9</v>
      </c>
      <c r="W107" s="154" cm="1">
        <f t="array" ref="W107">INDEX(LCI!W$2:W$137,MATCH($A$105&amp;$D107,LCI!$B$2:$B$137&amp;LCI!$D$2:$D$137,0))*IF($D107="Electric",($F107*$E107)*$B$3,$G107*$E107)</f>
        <v>1.3863059268913682E-9</v>
      </c>
      <c r="X107" s="154" cm="1">
        <f t="array" ref="X107">INDEX(LCI!X$2:X$137,MATCH($A$105&amp;$D107,LCI!$B$2:$B$137&amp;LCI!$D$2:$D$137,0))*IF($D107="Electric",($F107*$E107)*$B$3,$G107*$E107)</f>
        <v>6.0591609452919587E-10</v>
      </c>
      <c r="Y107" s="154" cm="1">
        <f t="array" ref="Y107">INDEX(LCI!Y$2:Y$137,MATCH($A$105&amp;$D107,LCI!$B$2:$B$137&amp;LCI!$D$2:$D$137,0))*IF($D107="Electric",($F107*$E107)*$B$3,$G107*$E107)</f>
        <v>1.5152956817937176E-4</v>
      </c>
      <c r="Z107" s="154" cm="1">
        <f t="array" ref="Z107">INDEX(LCI!Z$2:Z$137,MATCH($A$105&amp;$D107,LCI!$B$2:$B$137&amp;LCI!$D$2:$D$137,0))*IF($D107="Electric",($F107*$E107)*$B$3,$G107*$E107)</f>
        <v>1.1059317879605712E-3</v>
      </c>
    </row>
    <row r="108" spans="1:26" ht="14" customHeight="1" x14ac:dyDescent="0.35">
      <c r="A108" s="1" t="s">
        <v>458</v>
      </c>
      <c r="B108" s="154" t="str">
        <f>'C3'' - Secondary Raw Material '!$B$9</f>
        <v>Tracked_stacker_500tph_RAP</v>
      </c>
      <c r="C108" s="154">
        <f>$B$68</f>
        <v>1</v>
      </c>
      <c r="D108" s="154" t="str">
        <f>'C3'' - Secondary Raw Material '!$C$9</f>
        <v>Diesel</v>
      </c>
      <c r="E108" s="154">
        <f>INDEX($B$93:$B$101,MATCH($B108,$A$93:$A$101,0))</f>
        <v>1.7499999999999998E-3</v>
      </c>
      <c r="F108" s="154">
        <f>INDEX($C$93:$C$101,MATCH($B108,$A$93:$A$101,0))</f>
        <v>55</v>
      </c>
      <c r="G108" s="154">
        <f t="shared" si="0"/>
        <v>7.0125000000000002</v>
      </c>
      <c r="H108" s="154" cm="1">
        <f t="array" ref="H108">INDEX(LCI!H$2:H$137,MATCH($A$105&amp;$D108,LCI!$B$2:$B$137&amp;LCI!$D$2:$D$137,0))*IF($D108="Electric",($F108*$E108)*$B$3,$G108*$E108)</f>
        <v>6.5084453372705794E-5</v>
      </c>
      <c r="I108" s="154" cm="1">
        <f t="array" ref="I108">INDEX(LCI!I$2:I$137,MATCH($A$105&amp;$D108,LCI!$B$2:$B$137&amp;LCI!$D$2:$D$137,0))*IF($D108="Electric",($F108*$E108)*$B$3,$G108*$E108)</f>
        <v>5.0907395466828417E-2</v>
      </c>
      <c r="J108" s="154" cm="1">
        <f t="array" ref="J108">INDEX(LCI!J$2:J$137,MATCH($A$105&amp;$D108,LCI!$B$2:$B$137&amp;LCI!$D$2:$D$137,0))*IF($D108="Electric",($F108*$E108)*$B$3,$G108*$E108)</f>
        <v>1.0521267385442831E-5</v>
      </c>
      <c r="K108" s="154" cm="1">
        <f t="array" ref="K108">INDEX(LCI!K$2:K$137,MATCH($A$105&amp;$D108,LCI!$B$2:$B$137&amp;LCI!$D$2:$D$137,0))*IF($D108="Electric",($F108*$E108)*$B$3,$G108*$E108)</f>
        <v>5.08946229414192E-2</v>
      </c>
      <c r="L108" s="154" cm="1">
        <f t="array" ref="L108">INDEX(LCI!L$2:L$137,MATCH($A$105&amp;$D108,LCI!$B$2:$B$137&amp;LCI!$D$2:$D$137,0))*IF($D108="Electric",($F108*$E108)*$B$3,$G108*$E108)</f>
        <v>2.2512580237799719E-6</v>
      </c>
      <c r="M108" s="154" cm="1">
        <f t="array" ref="M108">INDEX(LCI!M$2:M$137,MATCH($A$105&amp;$D108,LCI!$B$2:$B$137&amp;LCI!$D$2:$D$137,0))*IF($D108="Electric",($F108*$E108)*$B$3,$G108*$E108)</f>
        <v>2.2492446398908895E-2</v>
      </c>
      <c r="N108" s="154" cm="1">
        <f t="array" ref="N108">INDEX(LCI!N$2:N$137,MATCH($A$105&amp;$D108,LCI!$B$2:$B$137&amp;LCI!$D$2:$D$137,0))*IF($D108="Electric",($F108*$E108)*$B$3,$G108*$E108)</f>
        <v>0.67618629390633622</v>
      </c>
      <c r="O108" s="154" cm="1">
        <f t="array" ref="O108">INDEX(LCI!O$2:O$137,MATCH($A$105&amp;$D108,LCI!$B$2:$B$137&amp;LCI!$D$2:$D$137,0))*IF($D108="Electric",($F108*$E108)*$B$3,$G108*$E108)</f>
        <v>5.3815997549855857E-7</v>
      </c>
      <c r="P108" s="154" cm="1">
        <f t="array" ref="P108">INDEX(LCI!P$2:P$137,MATCH($A$105&amp;$D108,LCI!$B$2:$B$137&amp;LCI!$D$2:$D$137,0))*IF($D108="Electric",($F108*$E108)*$B$3,$G108*$E108)</f>
        <v>1.4717715378474166E-5</v>
      </c>
      <c r="Q108" s="154" cm="1">
        <f t="array" ref="Q108">INDEX(LCI!Q$2:Q$137,MATCH($A$105&amp;$D108,LCI!$B$2:$B$137&amp;LCI!$D$2:$D$137,0))*IF($D108="Electric",($F108*$E108)*$B$3,$G108*$E108)</f>
        <v>1.5999970196618984E-4</v>
      </c>
      <c r="R108" s="154" cm="1">
        <f t="array" ref="R108">INDEX(LCI!R$2:R$137,MATCH($A$105&amp;$D108,LCI!$B$2:$B$137&amp;LCI!$D$2:$D$137,0))*IF($D108="Electric",($F108*$E108)*$B$3,$G108*$E108)</f>
        <v>3.1109782059442026E-12</v>
      </c>
      <c r="S108" s="154" cm="1">
        <f t="array" ref="S108">INDEX(LCI!S$2:S$137,MATCH($A$105&amp;$D108,LCI!$B$2:$B$137&amp;LCI!$D$2:$D$137,0))*IF($D108="Electric",($F108*$E108)*$B$3,$G108*$E108)</f>
        <v>8.2920265493724062E-11</v>
      </c>
      <c r="T108" s="154" cm="1">
        <f t="array" ref="T108">INDEX(LCI!T$2:T$137,MATCH($A$105&amp;$D108,LCI!$B$2:$B$137&amp;LCI!$D$2:$D$137,0))*IF($D108="Electric",($F108*$E108)*$B$3,$G108*$E108)</f>
        <v>2.0303054016357168E-4</v>
      </c>
      <c r="U108" s="154" cm="1">
        <f t="array" ref="U108">INDEX(LCI!U$2:U$137,MATCH($A$105&amp;$D108,LCI!$B$2:$B$137&amp;LCI!$D$2:$D$137,0))*IF($D108="Electric",($F108*$E108)*$B$3,$G108*$E108)</f>
        <v>3.4765731919188608E-2</v>
      </c>
      <c r="V108" s="154" cm="1">
        <f t="array" ref="V108">INDEX(LCI!V$2:V$137,MATCH($A$105&amp;$D108,LCI!$B$2:$B$137&amp;LCI!$D$2:$D$137,0))*IF($D108="Electric",($F108*$E108)*$B$3,$G108*$E108)</f>
        <v>7.938087013067026E-9</v>
      </c>
      <c r="W108" s="154" cm="1">
        <f t="array" ref="W108">INDEX(LCI!W$2:W$137,MATCH($A$105&amp;$D108,LCI!$B$2:$B$137&amp;LCI!$D$2:$D$137,0))*IF($D108="Electric",($F108*$E108)*$B$3,$G108*$E108)</f>
        <v>1.1471786887421734E-9</v>
      </c>
      <c r="X108" s="154" cm="1">
        <f t="array" ref="X108">INDEX(LCI!X$2:X$137,MATCH($A$105&amp;$D108,LCI!$B$2:$B$137&amp;LCI!$D$2:$D$137,0))*IF($D108="Electric",($F108*$E108)*$B$3,$G108*$E108)</f>
        <v>5.0140017244855199E-10</v>
      </c>
      <c r="Y108" s="154" cm="1">
        <f t="array" ref="Y108">INDEX(LCI!Y$2:Y$137,MATCH($A$105&amp;$D108,LCI!$B$2:$B$137&amp;LCI!$D$2:$D$137,0))*IF($D108="Electric",($F108*$E108)*$B$3,$G108*$E108)</f>
        <v>1.2539186910891784E-4</v>
      </c>
      <c r="Z108" s="154" cm="1">
        <f t="array" ref="Z108">INDEX(LCI!Z$2:Z$137,MATCH($A$105&amp;$D108,LCI!$B$2:$B$137&amp;LCI!$D$2:$D$137,0))*IF($D108="Electric",($F108*$E108)*$B$3,$G108*$E108)</f>
        <v>9.1516695827436353E-4</v>
      </c>
    </row>
    <row r="109" spans="1:26" ht="14" customHeight="1" x14ac:dyDescent="0.35">
      <c r="A109" s="1" t="s">
        <v>362</v>
      </c>
      <c r="B109" s="154" t="str">
        <f>'C3'' - Secondary Raw Material '!$B$10</f>
        <v>Mobile_screener_500tph_RAP</v>
      </c>
      <c r="C109" s="154">
        <f>$B$78</f>
        <v>1</v>
      </c>
      <c r="D109" s="154" t="str">
        <f>'C3'' - Secondary Raw Material '!$C$10</f>
        <v>Diesel</v>
      </c>
      <c r="E109" s="154">
        <f>INDEX($B$93:$B$101,MATCH($B109,$A$93:$A$101,0))</f>
        <v>1.7499999999999998E-3</v>
      </c>
      <c r="F109" s="154">
        <f>INDEX($C$93:$C$101,MATCH($B109,$A$93:$A$101,0))</f>
        <v>99</v>
      </c>
      <c r="G109" s="154">
        <f t="shared" si="0"/>
        <v>63.75</v>
      </c>
      <c r="H109" s="154" cm="1">
        <f t="array" ref="H109">INDEX(LCI!H$2:H$137,MATCH($A$105&amp;$D109,LCI!$B$2:$B$137&amp;LCI!$D$2:$D$137,0))*IF($D109="Electric",($F109*$E109)*$B$3,$G109*$E109)</f>
        <v>5.9167684884277999E-4</v>
      </c>
      <c r="I109" s="154" cm="1">
        <f t="array" ref="I109">INDEX(LCI!I$2:I$137,MATCH($A$105&amp;$D109,LCI!$B$2:$B$137&amp;LCI!$D$2:$D$137,0))*IF($D109="Electric",($F109*$E109)*$B$3,$G109*$E109)</f>
        <v>0.46279450424389473</v>
      </c>
      <c r="J109" s="154" cm="1">
        <f t="array" ref="J109">INDEX(LCI!J$2:J$137,MATCH($A$105&amp;$D109,LCI!$B$2:$B$137&amp;LCI!$D$2:$D$137,0))*IF($D109="Electric",($F109*$E109)*$B$3,$G109*$E109)</f>
        <v>9.564788532220754E-5</v>
      </c>
      <c r="K109" s="154" cm="1">
        <f t="array" ref="K109">INDEX(LCI!K$2:K$137,MATCH($A$105&amp;$D109,LCI!$B$2:$B$137&amp;LCI!$D$2:$D$137,0))*IF($D109="Electric",($F109*$E109)*$B$3,$G109*$E109)</f>
        <v>0.46267839037653813</v>
      </c>
      <c r="L109" s="154" cm="1">
        <f t="array" ref="L109">INDEX(LCI!L$2:L$137,MATCH($A$105&amp;$D109,LCI!$B$2:$B$137&amp;LCI!$D$2:$D$137,0))*IF($D109="Electric",($F109*$E109)*$B$3,$G109*$E109)</f>
        <v>2.0465982034363379E-5</v>
      </c>
      <c r="M109" s="154" cm="1">
        <f t="array" ref="M109">INDEX(LCI!M$2:M$137,MATCH($A$105&amp;$D109,LCI!$B$2:$B$137&amp;LCI!$D$2:$D$137,0))*IF($D109="Electric",($F109*$E109)*$B$3,$G109*$E109)</f>
        <v>0.2044767854446263</v>
      </c>
      <c r="N109" s="154" cm="1">
        <f t="array" ref="N109">INDEX(LCI!N$2:N$137,MATCH($A$105&amp;$D109,LCI!$B$2:$B$137&amp;LCI!$D$2:$D$137,0))*IF($D109="Electric",($F109*$E109)*$B$3,$G109*$E109)</f>
        <v>6.1471481264212375</v>
      </c>
      <c r="O109" s="154" cm="1">
        <f t="array" ref="O109">INDEX(LCI!O$2:O$137,MATCH($A$105&amp;$D109,LCI!$B$2:$B$137&amp;LCI!$D$2:$D$137,0))*IF($D109="Electric",($F109*$E109)*$B$3,$G109*$E109)</f>
        <v>4.8923634136232597E-6</v>
      </c>
      <c r="P109" s="154" cm="1">
        <f t="array" ref="P109">INDEX(LCI!P$2:P$137,MATCH($A$105&amp;$D109,LCI!$B$2:$B$137&amp;LCI!$D$2:$D$137,0))*IF($D109="Electric",($F109*$E109)*$B$3,$G109*$E109)</f>
        <v>1.3379741253158331E-4</v>
      </c>
      <c r="Q109" s="154" cm="1">
        <f t="array" ref="Q109">INDEX(LCI!Q$2:Q$137,MATCH($A$105&amp;$D109,LCI!$B$2:$B$137&amp;LCI!$D$2:$D$137,0))*IF($D109="Electric",($F109*$E109)*$B$3,$G109*$E109)</f>
        <v>1.4545427451471804E-3</v>
      </c>
      <c r="R109" s="154" cm="1">
        <f t="array" ref="R109">INDEX(LCI!R$2:R$137,MATCH($A$105&amp;$D109,LCI!$B$2:$B$137&amp;LCI!$D$2:$D$137,0))*IF($D109="Electric",($F109*$E109)*$B$3,$G109*$E109)</f>
        <v>2.8281620054038207E-11</v>
      </c>
      <c r="S109" s="154" cm="1">
        <f t="array" ref="S109">INDEX(LCI!S$2:S$137,MATCH($A$105&amp;$D109,LCI!$B$2:$B$137&amp;LCI!$D$2:$D$137,0))*IF($D109="Electric",($F109*$E109)*$B$3,$G109*$E109)</f>
        <v>7.5382059539749146E-10</v>
      </c>
      <c r="T109" s="154" cm="1">
        <f t="array" ref="T109">INDEX(LCI!T$2:T$137,MATCH($A$105&amp;$D109,LCI!$B$2:$B$137&amp;LCI!$D$2:$D$137,0))*IF($D109="Electric",($F109*$E109)*$B$3,$G109*$E109)</f>
        <v>1.8457321833051971E-3</v>
      </c>
      <c r="U109" s="154" cm="1">
        <f t="array" ref="U109">INDEX(LCI!U$2:U$137,MATCH($A$105&amp;$D109,LCI!$B$2:$B$137&amp;LCI!$D$2:$D$137,0))*IF($D109="Electric",($F109*$E109)*$B$3,$G109*$E109)</f>
        <v>0.31605210835626008</v>
      </c>
      <c r="V109" s="154" cm="1">
        <f t="array" ref="V109">INDEX(LCI!V$2:V$137,MATCH($A$105&amp;$D109,LCI!$B$2:$B$137&amp;LCI!$D$2:$D$137,0))*IF($D109="Electric",($F109*$E109)*$B$3,$G109*$E109)</f>
        <v>7.2164427391518425E-8</v>
      </c>
      <c r="W109" s="154" cm="1">
        <f t="array" ref="W109">INDEX(LCI!W$2:W$137,MATCH($A$105&amp;$D109,LCI!$B$2:$B$137&amp;LCI!$D$2:$D$137,0))*IF($D109="Electric",($F109*$E109)*$B$3,$G109*$E109)</f>
        <v>1.0428897170383394E-8</v>
      </c>
      <c r="X109" s="154" cm="1">
        <f t="array" ref="X109">INDEX(LCI!X$2:X$137,MATCH($A$105&amp;$D109,LCI!$B$2:$B$137&amp;LCI!$D$2:$D$137,0))*IF($D109="Electric",($F109*$E109)*$B$3,$G109*$E109)</f>
        <v>4.5581833858959269E-9</v>
      </c>
      <c r="Y109" s="154" cm="1">
        <f t="array" ref="Y109">INDEX(LCI!Y$2:Y$137,MATCH($A$105&amp;$D109,LCI!$B$2:$B$137&amp;LCI!$D$2:$D$137,0))*IF($D109="Electric",($F109*$E109)*$B$3,$G109*$E109)</f>
        <v>1.1399260828083438E-3</v>
      </c>
      <c r="Z109" s="154" cm="1">
        <f t="array" ref="Z109">INDEX(LCI!Z$2:Z$137,MATCH($A$105&amp;$D109,LCI!$B$2:$B$137&amp;LCI!$D$2:$D$137,0))*IF($D109="Electric",($F109*$E109)*$B$3,$G109*$E109)</f>
        <v>8.3196996206760312E-3</v>
      </c>
    </row>
    <row r="110" spans="1:26" ht="14" customHeight="1" x14ac:dyDescent="0.35">
      <c r="A110" s="406" t="s">
        <v>200</v>
      </c>
      <c r="B110" s="406"/>
      <c r="C110" s="406"/>
      <c r="D110" s="406"/>
      <c r="E110" s="406"/>
      <c r="F110" s="406"/>
      <c r="G110" s="21"/>
      <c r="H110" s="1">
        <f>SUM(H106:H109)</f>
        <v>9.7208322691190062E-4</v>
      </c>
      <c r="I110" s="1">
        <f t="shared" ref="I110:Z110" si="1">SUM(I106:I109)</f>
        <v>0.76033864762898462</v>
      </c>
      <c r="J110" s="1">
        <f t="shared" si="1"/>
        <v>1.5714271260259654E-4</v>
      </c>
      <c r="K110" s="1">
        <f t="shared" si="1"/>
        <v>0.76014788075498918</v>
      </c>
      <c r="L110" s="1">
        <f t="shared" si="1"/>
        <v>3.3624161392820239E-5</v>
      </c>
      <c r="M110" s="1">
        <f t="shared" si="1"/>
        <v>0.33594090053099462</v>
      </c>
      <c r="N110" s="1">
        <f t="shared" si="1"/>
        <v>10.099329724872872</v>
      </c>
      <c r="O110" s="1">
        <f t="shared" si="1"/>
        <v>8.0378071638972046E-6</v>
      </c>
      <c r="P110" s="1">
        <f t="shared" si="1"/>
        <v>2.1981968836628309E-4</v>
      </c>
      <c r="Q110" s="1">
        <f t="shared" si="1"/>
        <v>2.3897108838200898E-3</v>
      </c>
      <c r="R110" s="1">
        <f t="shared" si="1"/>
        <v>4.6464702038275903E-11</v>
      </c>
      <c r="S110" s="1">
        <f t="shared" si="1"/>
        <v>1.2384739377919393E-9</v>
      </c>
      <c r="T110" s="1">
        <f t="shared" si="1"/>
        <v>3.0324074708544474E-3</v>
      </c>
      <c r="U110" s="1">
        <f t="shared" si="1"/>
        <v>0.51925126691056267</v>
      </c>
      <c r="V110" s="1">
        <f t="shared" si="1"/>
        <v>1.1856105166899467E-7</v>
      </c>
      <c r="W110" s="1">
        <f t="shared" si="1"/>
        <v>1.7133940654170295E-8</v>
      </c>
      <c r="X110" s="1">
        <f t="shared" si="1"/>
        <v>7.4887730072320456E-9</v>
      </c>
      <c r="Y110" s="1">
        <f t="shared" si="1"/>
        <v>1.872817953219971E-3</v>
      </c>
      <c r="Z110" s="1">
        <f t="shared" si="1"/>
        <v>1.366867821518138E-2</v>
      </c>
    </row>
    <row r="111" spans="1:26" ht="14" customHeight="1" x14ac:dyDescent="0.35">
      <c r="A111" s="15"/>
      <c r="B111" s="15"/>
      <c r="C111" s="15"/>
      <c r="D111" s="15"/>
      <c r="E111" s="15"/>
      <c r="F111" s="15"/>
      <c r="G111" s="15"/>
    </row>
    <row r="112" spans="1:26" ht="14" customHeight="1" x14ac:dyDescent="0.35"/>
    <row r="113" spans="1:4" ht="23.5" x14ac:dyDescent="0.55000000000000004">
      <c r="A113" s="100" t="s">
        <v>848</v>
      </c>
    </row>
    <row r="114" spans="1:4" ht="14" customHeight="1" x14ac:dyDescent="0.35"/>
    <row r="115" spans="1:4" ht="14" customHeight="1" x14ac:dyDescent="0.35">
      <c r="A115" s="62" t="s">
        <v>561</v>
      </c>
      <c r="B115" s="62" t="s">
        <v>849</v>
      </c>
      <c r="C115" s="62" t="s">
        <v>330</v>
      </c>
      <c r="D115" s="62" t="s">
        <v>331</v>
      </c>
    </row>
    <row r="116" spans="1:4" ht="14" customHeight="1" x14ac:dyDescent="0.35">
      <c r="A116" s="1" t="s">
        <v>850</v>
      </c>
      <c r="B116" s="130">
        <v>0.61799999999999999</v>
      </c>
      <c r="C116" s="428" t="s">
        <v>851</v>
      </c>
      <c r="D116" s="430" t="s">
        <v>852</v>
      </c>
    </row>
    <row r="117" spans="1:4" ht="14" customHeight="1" x14ac:dyDescent="0.35">
      <c r="A117" s="1" t="s">
        <v>853</v>
      </c>
      <c r="B117" s="130">
        <v>0.38200000000000001</v>
      </c>
      <c r="C117" s="429"/>
      <c r="D117" s="431"/>
    </row>
    <row r="118" spans="1:4" ht="14" customHeight="1" x14ac:dyDescent="0.35"/>
    <row r="119" spans="1:4" ht="14" customHeight="1" x14ac:dyDescent="0.35"/>
    <row r="120" spans="1:4" ht="14" customHeight="1" x14ac:dyDescent="0.35">
      <c r="A120" s="302" t="s">
        <v>561</v>
      </c>
      <c r="B120" s="302" t="s">
        <v>854</v>
      </c>
      <c r="C120" s="62" t="s">
        <v>330</v>
      </c>
      <c r="D120" s="62" t="s">
        <v>331</v>
      </c>
    </row>
    <row r="121" spans="1:4" ht="14" customHeight="1" x14ac:dyDescent="0.35">
      <c r="A121" s="89" t="s">
        <v>855</v>
      </c>
      <c r="B121" s="193">
        <v>5.3999999999999999E-2</v>
      </c>
      <c r="C121" s="425" t="s">
        <v>851</v>
      </c>
      <c r="D121" s="426" t="s">
        <v>856</v>
      </c>
    </row>
    <row r="122" spans="1:4" ht="14" customHeight="1" x14ac:dyDescent="0.35">
      <c r="A122" s="1" t="s">
        <v>857</v>
      </c>
      <c r="B122" s="194">
        <v>9.9000000000000005E-2</v>
      </c>
      <c r="C122" s="425"/>
      <c r="D122" s="427"/>
    </row>
    <row r="123" spans="1:4" ht="14" customHeight="1" x14ac:dyDescent="0.35">
      <c r="A123" s="1" t="s">
        <v>858</v>
      </c>
      <c r="B123" s="194">
        <v>0.35499999999999998</v>
      </c>
      <c r="C123" s="425"/>
      <c r="D123" s="427"/>
    </row>
    <row r="124" spans="1:4" ht="14" customHeight="1" x14ac:dyDescent="0.35">
      <c r="A124" s="1" t="s">
        <v>859</v>
      </c>
      <c r="B124" s="194">
        <v>0.49199999999999999</v>
      </c>
      <c r="C124" s="425"/>
      <c r="D124" s="427"/>
    </row>
    <row r="125" spans="1:4" ht="14" customHeight="1" x14ac:dyDescent="0.35"/>
    <row r="126" spans="1:4" ht="18.5" x14ac:dyDescent="0.45">
      <c r="A126" s="116" t="s">
        <v>860</v>
      </c>
    </row>
    <row r="127" spans="1:4" ht="14" customHeight="1" x14ac:dyDescent="0.35">
      <c r="A127" s="36"/>
    </row>
    <row r="128" spans="1:4" ht="14" customHeight="1" x14ac:dyDescent="0.35">
      <c r="A128" s="1" t="s">
        <v>861</v>
      </c>
      <c r="B128" s="169">
        <f>$B$17*$B$116</f>
        <v>0.43259999999999998</v>
      </c>
      <c r="C128" s="91"/>
    </row>
    <row r="129" spans="1:23" ht="14" customHeight="1" x14ac:dyDescent="0.35">
      <c r="A129" s="1" t="s">
        <v>862</v>
      </c>
      <c r="B129" s="169">
        <f>$B$16*$B$117</f>
        <v>0.11459999999999999</v>
      </c>
    </row>
    <row r="130" spans="1:23" ht="14" customHeight="1" x14ac:dyDescent="0.35"/>
    <row r="131" spans="1:23" ht="14" customHeight="1" x14ac:dyDescent="0.35">
      <c r="A131" s="1" t="s">
        <v>863</v>
      </c>
      <c r="B131" s="195">
        <f>-1*$B$128*$B$121</f>
        <v>-2.33604E-2</v>
      </c>
    </row>
    <row r="132" spans="1:23" ht="14" customHeight="1" x14ac:dyDescent="0.35">
      <c r="A132" s="1" t="s">
        <v>864</v>
      </c>
      <c r="B132" s="195">
        <f>-1*$B$128*$B$122</f>
        <v>-4.2827400000000002E-2</v>
      </c>
    </row>
    <row r="133" spans="1:23" ht="14" customHeight="1" x14ac:dyDescent="0.35">
      <c r="A133" s="1" t="s">
        <v>865</v>
      </c>
      <c r="B133" s="195">
        <f>-1*($B$128+B129)*$B$124</f>
        <v>-0.26922240000000003</v>
      </c>
    </row>
    <row r="134" spans="1:23" ht="14" customHeight="1" x14ac:dyDescent="0.35">
      <c r="A134" s="1" t="s">
        <v>866</v>
      </c>
      <c r="B134" s="195">
        <f>-1*($B$128+B129)*$B$123</f>
        <v>-0.19425599999999998</v>
      </c>
    </row>
    <row r="135" spans="1:23" ht="14" customHeight="1" x14ac:dyDescent="0.35"/>
    <row r="136" spans="1:23" ht="14" customHeight="1" x14ac:dyDescent="0.35"/>
    <row r="137" spans="1:23" ht="14" customHeight="1" x14ac:dyDescent="0.35"/>
    <row r="138" spans="1:23" ht="87" x14ac:dyDescent="0.35">
      <c r="A138" s="103" t="s">
        <v>276</v>
      </c>
      <c r="B138" s="103" t="s">
        <v>277</v>
      </c>
      <c r="C138" s="103" t="s">
        <v>589</v>
      </c>
      <c r="D138" s="103" t="s">
        <v>867</v>
      </c>
      <c r="E138" s="103" t="s">
        <v>279</v>
      </c>
      <c r="F138" s="103" t="s">
        <v>280</v>
      </c>
      <c r="G138" s="103" t="s">
        <v>281</v>
      </c>
      <c r="H138" s="103" t="s">
        <v>282</v>
      </c>
      <c r="I138" s="103" t="s">
        <v>283</v>
      </c>
      <c r="J138" s="103" t="s">
        <v>284</v>
      </c>
      <c r="K138" s="103" t="s">
        <v>285</v>
      </c>
      <c r="L138" s="103" t="s">
        <v>286</v>
      </c>
      <c r="M138" s="103" t="s">
        <v>287</v>
      </c>
      <c r="N138" s="103" t="s">
        <v>288</v>
      </c>
      <c r="O138" s="103" t="s">
        <v>289</v>
      </c>
      <c r="P138" s="103" t="s">
        <v>290</v>
      </c>
      <c r="Q138" s="103" t="s">
        <v>291</v>
      </c>
      <c r="R138" s="103" t="s">
        <v>292</v>
      </c>
      <c r="S138" s="103" t="s">
        <v>293</v>
      </c>
      <c r="T138" s="103" t="s">
        <v>294</v>
      </c>
      <c r="U138" s="103" t="s">
        <v>295</v>
      </c>
      <c r="V138" s="103" t="s">
        <v>296</v>
      </c>
      <c r="W138" s="103" t="s">
        <v>297</v>
      </c>
    </row>
    <row r="139" spans="1:23" ht="14" customHeight="1" x14ac:dyDescent="0.35">
      <c r="A139" s="1" t="s">
        <v>863</v>
      </c>
      <c r="B139" s="1" t="s">
        <v>59</v>
      </c>
      <c r="C139" s="195">
        <f>$B$131</f>
        <v>-2.33604E-2</v>
      </c>
      <c r="D139" s="176" t="str">
        <f>Input!C39</f>
        <v>Conventional_Bitumen</v>
      </c>
      <c r="E139" s="154" cm="1">
        <f t="array" ref="E139">INDEX(LCI!H$2:H$137,MATCH('D- Benefits &amp; Burdens'!$B139&amp;'D- Benefits &amp; Burdens'!$D139,LCI!$B$2:$B$137&amp;LCI!$D$2:$D$137,0))*$C$139</f>
        <v>-4.0179887999999997E-2</v>
      </c>
      <c r="F139" s="154" cm="1">
        <f t="array" ref="F139">INDEX(LCI!I$2:I$137,MATCH('D- Benefits &amp; Burdens'!$B139&amp;'D- Benefits &amp; Burdens'!$D139,LCI!$B$2:$B$137&amp;LCI!$D$2:$D$137,0))*$C$139</f>
        <v>-12.381012</v>
      </c>
      <c r="G139" s="154" cm="1">
        <f t="array" ref="G139">INDEX(LCI!J$2:J$137,MATCH('D- Benefits &amp; Burdens'!$B139&amp;'D- Benefits &amp; Burdens'!$D139,LCI!$B$2:$B$137&amp;LCI!$D$2:$D$137,0))*$C$139</f>
        <v>-4.9056840000000004E-2</v>
      </c>
      <c r="H139" s="154" cm="1">
        <f t="array" ref="H139">INDEX(LCI!K$2:K$137,MATCH('D- Benefits &amp; Burdens'!$B139&amp;'D- Benefits &amp; Burdens'!$D139,LCI!$B$2:$B$137&amp;LCI!$D$2:$D$137,0))*$C$139</f>
        <v>-12.334291199999999</v>
      </c>
      <c r="I139" s="154" cm="1">
        <f t="array" ref="I139">INDEX(LCI!L$2:L$137,MATCH('D- Benefits &amp; Burdens'!$B139&amp;'D- Benefits &amp; Burdens'!$D139,LCI!$B$2:$B$137&amp;LCI!$D$2:$D$137,0))*$C$139</f>
        <v>-6.1905060000000001E-3</v>
      </c>
      <c r="J139" s="154" cm="1">
        <f t="array" ref="J139">INDEX(LCI!M$2:M$137,MATCH('D- Benefits &amp; Burdens'!$B139&amp;'D- Benefits &amp; Burdens'!$D139,LCI!$B$2:$B$137&amp;LCI!$D$2:$D$137,0))*$C$139</f>
        <v>-665.77139999999997</v>
      </c>
      <c r="K139" s="154" cm="1">
        <f t="array" ref="K139">INDEX(LCI!N$2:N$137,MATCH('D- Benefits &amp; Burdens'!$B139&amp;'D- Benefits &amp; Burdens'!$D139,LCI!$B$2:$B$137&amp;LCI!$D$2:$D$137,0))*$C$139</f>
        <v>-1069.9063200000001</v>
      </c>
      <c r="L139" s="154" cm="1">
        <f t="array" ref="L139">INDEX(LCI!O$2:O$137,MATCH('D- Benefits &amp; Burdens'!$B139&amp;'D- Benefits &amp; Burdens'!$D139,LCI!$B$2:$B$137&amp;LCI!$D$2:$D$137,0))*$C$139</f>
        <v>-1.0395377999999999E-5</v>
      </c>
      <c r="M139" s="154" cm="1">
        <f t="array" ref="M139">INDEX(LCI!P$2:P$137,MATCH('D- Benefits &amp; Burdens'!$B139&amp;'D- Benefits &amp; Burdens'!$D139,LCI!$B$2:$B$137&amp;LCI!$D$2:$D$137,0))*$C$139</f>
        <v>-1.03720176E-2</v>
      </c>
      <c r="N139" s="154" cm="1">
        <f t="array" ref="N139">INDEX(LCI!Q$2:Q$137,MATCH('D- Benefits &amp; Burdens'!$B139&amp;'D- Benefits &amp; Burdens'!$D139,LCI!$B$2:$B$137&amp;LCI!$D$2:$D$137,0))*$C$139</f>
        <v>-0.11353154400000001</v>
      </c>
      <c r="O139" s="154" cm="1">
        <f t="array" ref="O139">INDEX(LCI!R$2:R$137,MATCH('D- Benefits &amp; Burdens'!$B139&amp;'D- Benefits &amp; Burdens'!$D139,LCI!$B$2:$B$137&amp;LCI!$D$2:$D$137,0))*$C$139</f>
        <v>-1.1586758400000001E-8</v>
      </c>
      <c r="P139" s="154" cm="1">
        <f t="array" ref="P139">INDEX(LCI!S$2:S$137,MATCH('D- Benefits &amp; Burdens'!$B139&amp;'D- Benefits &amp; Burdens'!$D139,LCI!$B$2:$B$137&amp;LCI!$D$2:$D$137,0))*$C$139</f>
        <v>-3.3405372E-7</v>
      </c>
      <c r="Q139" s="154" cm="1">
        <f t="array" ref="Q139">INDEX(LCI!T$2:T$137,MATCH('D- Benefits &amp; Burdens'!$B139&amp;'D- Benefits &amp; Burdens'!$D139,LCI!$B$2:$B$137&amp;LCI!$D$2:$D$137,0))*$C$139</f>
        <v>-0.17637101999999999</v>
      </c>
      <c r="R139" s="154" cm="1">
        <f t="array" ref="R139">INDEX(LCI!U$2:U$137,MATCH('D- Benefits &amp; Burdens'!$B139&amp;'D- Benefits &amp; Burdens'!$D139,LCI!$B$2:$B$137&amp;LCI!$D$2:$D$137,0))*$C$139</f>
        <v>-6.1437851999999999</v>
      </c>
      <c r="S139" s="154" cm="1">
        <f t="array" ref="S139">INDEX(LCI!V$2:V$137,MATCH('D- Benefits &amp; Burdens'!$B139&amp;'D- Benefits &amp; Burdens'!$D139,LCI!$B$2:$B$137&amp;LCI!$D$2:$D$137,0))*$C$139</f>
        <v>-2.3827608E-6</v>
      </c>
      <c r="T139" s="154" cm="1">
        <f t="array" ref="T139">INDEX(LCI!W$2:W$137,MATCH('D- Benefits &amp; Burdens'!$B139&amp;'D- Benefits &amp; Burdens'!$D139,LCI!$B$2:$B$137&amp;LCI!$D$2:$D$137,0))*$C$139</f>
        <v>-7.7556528000000004E-12</v>
      </c>
      <c r="U139" s="154" cm="1">
        <f t="array" ref="U139">INDEX(LCI!X$2:X$137,MATCH('D- Benefits &amp; Burdens'!$B139&amp;'D- Benefits &amp; Burdens'!$D139,LCI!$B$2:$B$137&amp;LCI!$D$2:$D$137,0))*$C$139</f>
        <v>-6.2605872E-7</v>
      </c>
      <c r="V139" s="154" cm="1">
        <f t="array" ref="V139">INDEX(LCI!Y$2:Y$137,MATCH('D- Benefits &amp; Burdens'!$B139&amp;'D- Benefits &amp; Burdens'!$D139,LCI!$B$2:$B$137&amp;LCI!$D$2:$D$137,0))*$C$139</f>
        <v>-4.7421611999999995E-2</v>
      </c>
      <c r="W139" s="154" cm="1">
        <f t="array" ref="W139">INDEX(LCI!Z$2:Z$137,MATCH('D- Benefits &amp; Burdens'!$B139&amp;'D- Benefits &amp; Burdens'!$D139,LCI!$B$2:$B$137&amp;LCI!$D$2:$D$137,0))*$C$139</f>
        <v>-0.16842848399999999</v>
      </c>
    </row>
    <row r="140" spans="1:23" ht="14" customHeight="1" x14ac:dyDescent="0.35">
      <c r="A140" s="1" t="s">
        <v>864</v>
      </c>
      <c r="B140" s="1" t="s">
        <v>77</v>
      </c>
      <c r="C140" s="195">
        <f>$B$132</f>
        <v>-4.2827400000000002E-2</v>
      </c>
      <c r="D140" s="176" t="str">
        <f>Input!C49</f>
        <v>Limestone_residue</v>
      </c>
      <c r="E140" s="154" cm="1">
        <f t="array" ref="E140">INDEX(LCI!H$2:H$137,MATCH('D- Benefits &amp; Burdens'!$B140&amp;'D- Benefits &amp; Burdens'!$D140,LCI!$B$2:$B$137&amp;LCI!$D$2:$D$137,0))*$C$140</f>
        <v>-7.2480855828086074E-3</v>
      </c>
      <c r="F140" s="154" cm="1">
        <f t="array" ref="F140">INDEX(LCI!I$2:I$137,MATCH('D- Benefits &amp; Burdens'!$B140&amp;'D- Benefits &amp; Burdens'!$D140,LCI!$B$2:$B$137&amp;LCI!$D$2:$D$137,0))*$C$140</f>
        <v>-0.94737620791540567</v>
      </c>
      <c r="G140" s="154" cm="1">
        <f t="array" ref="G140">INDEX(LCI!J$2:J$137,MATCH('D- Benefits &amp; Burdens'!$B140&amp;'D- Benefits &amp; Burdens'!$D140,LCI!$B$2:$B$137&amp;LCI!$D$2:$D$137,0))*$C$140</f>
        <v>-1.4774654030505841E-2</v>
      </c>
      <c r="H140" s="154" cm="1">
        <f t="array" ref="H140">INDEX(LCI!K$2:K$137,MATCH('D- Benefits &amp; Burdens'!$B140&amp;'D- Benefits &amp; Burdens'!$D140,LCI!$B$2:$B$137&amp;LCI!$D$2:$D$137,0))*$C$140</f>
        <v>-0.93100043186025327</v>
      </c>
      <c r="I140" s="154" cm="1">
        <f t="array" ref="I140">INDEX(LCI!L$2:L$137,MATCH('D- Benefits &amp; Burdens'!$B140&amp;'D- Benefits &amp; Burdens'!$D140,LCI!$B$2:$B$137&amp;LCI!$D$2:$D$137,0))*$C$140</f>
        <v>-1.6011220246464912E-3</v>
      </c>
      <c r="J140" s="154" cm="1">
        <f t="array" ref="J140">INDEX(LCI!M$2:M$137,MATCH('D- Benefits &amp; Burdens'!$B140&amp;'D- Benefits &amp; Burdens'!$D140,LCI!$B$2:$B$137&amp;LCI!$D$2:$D$137,0))*$C$140</f>
        <v>-2.9572357625819019</v>
      </c>
      <c r="K140" s="154" cm="1">
        <f t="array" ref="K140">INDEX(LCI!N$2:N$137,MATCH('D- Benefits &amp; Burdens'!$B140&amp;'D- Benefits &amp; Burdens'!$D140,LCI!$B$2:$B$137&amp;LCI!$D$2:$D$137,0))*$C$140</f>
        <v>-15.864297627135885</v>
      </c>
      <c r="L140" s="154" cm="1">
        <f t="array" ref="L140">INDEX(LCI!O$2:O$137,MATCH('D- Benefits &amp; Burdens'!$B140&amp;'D- Benefits &amp; Burdens'!$D140,LCI!$B$2:$B$137&amp;LCI!$D$2:$D$137,0))*$C$140</f>
        <v>-5.6926113903009868E-4</v>
      </c>
      <c r="M140" s="154" cm="1">
        <f t="array" ref="M140">INDEX(LCI!P$2:P$137,MATCH('D- Benefits &amp; Burdens'!$B140&amp;'D- Benefits &amp; Burdens'!$D140,LCI!$B$2:$B$137&amp;LCI!$D$2:$D$137,0))*$C$140</f>
        <v>-1.6414777326539999E-3</v>
      </c>
      <c r="N140" s="154" cm="1">
        <f t="array" ref="N140">INDEX(LCI!Q$2:Q$137,MATCH('D- Benefits &amp; Burdens'!$B140&amp;'D- Benefits &amp; Burdens'!$D140,LCI!$B$2:$B$137&amp;LCI!$D$2:$D$137,0))*$C$140</f>
        <v>-1.9456079493570384E-2</v>
      </c>
      <c r="O140" s="154" cm="1">
        <f t="array" ref="O140">INDEX(LCI!R$2:R$137,MATCH('D- Benefits &amp; Burdens'!$B140&amp;'D- Benefits &amp; Burdens'!$D140,LCI!$B$2:$B$137&amp;LCI!$D$2:$D$137,0))*$C$140</f>
        <v>-1.9522320984513078E-10</v>
      </c>
      <c r="P140" s="154" cm="1">
        <f t="array" ref="P140">INDEX(LCI!S$2:S$137,MATCH('D- Benefits &amp; Burdens'!$B140&amp;'D- Benefits &amp; Burdens'!$D140,LCI!$B$2:$B$137&amp;LCI!$D$2:$D$137,0))*$C$140</f>
        <v>-7.417745436868156E-9</v>
      </c>
      <c r="Q140" s="154" cm="1">
        <f t="array" ref="Q140">INDEX(LCI!T$2:T$137,MATCH('D- Benefits &amp; Burdens'!$B140&amp;'D- Benefits &amp; Burdens'!$D140,LCI!$B$2:$B$137&amp;LCI!$D$2:$D$137,0))*$C$140</f>
        <v>-0.30454180078598542</v>
      </c>
      <c r="R140" s="154" cm="1">
        <f t="array" ref="R140">INDEX(LCI!U$2:U$137,MATCH('D- Benefits &amp; Burdens'!$B140&amp;'D- Benefits &amp; Burdens'!$D140,LCI!$B$2:$B$137&amp;LCI!$D$2:$D$137,0))*$C$140</f>
        <v>-4.8920568793900054</v>
      </c>
      <c r="S140" s="154" cm="1">
        <f t="array" ref="S140">INDEX(LCI!V$2:V$137,MATCH('D- Benefits &amp; Burdens'!$B140&amp;'D- Benefits &amp; Burdens'!$D140,LCI!$B$2:$B$137&amp;LCI!$D$2:$D$137,0))*$C$140</f>
        <v>-2.7867996834265543E-6</v>
      </c>
      <c r="T140" s="154" cm="1">
        <f t="array" ref="T140">INDEX(LCI!W$2:W$137,MATCH('D- Benefits &amp; Burdens'!$B140&amp;'D- Benefits &amp; Burdens'!$D140,LCI!$B$2:$B$137&amp;LCI!$D$2:$D$137,0))*$C$140</f>
        <v>-1.2127284771164252E-8</v>
      </c>
      <c r="U140" s="154" cm="1">
        <f t="array" ref="U140">INDEX(LCI!X$2:X$137,MATCH('D- Benefits &amp; Burdens'!$B140&amp;'D- Benefits &amp; Burdens'!$D140,LCI!$B$2:$B$137&amp;LCI!$D$2:$D$137,0))*$C$140</f>
        <v>-7.6678485927542402E-8</v>
      </c>
      <c r="V140" s="154" cm="1">
        <f t="array" ref="V140">INDEX(LCI!Y$2:Y$137,MATCH('D- Benefits &amp; Burdens'!$B140&amp;'D- Benefits &amp; Burdens'!$D140,LCI!$B$2:$B$137&amp;LCI!$D$2:$D$137,0))*$C$140</f>
        <v>-5.1388182398949718E-3</v>
      </c>
      <c r="W140" s="154" cm="1">
        <f t="array" ref="W140">INDEX(LCI!Z$2:Z$137,MATCH('D- Benefits &amp; Burdens'!$B140&amp;'D- Benefits &amp; Burdens'!$D140,LCI!$B$2:$B$137&amp;LCI!$D$2:$D$137,0))*$C$140</f>
        <v>-1.9772688563369476</v>
      </c>
    </row>
    <row r="141" spans="1:23" ht="14" customHeight="1" x14ac:dyDescent="0.35">
      <c r="A141" s="1" t="s">
        <v>865</v>
      </c>
      <c r="B141" s="1" t="s">
        <v>62</v>
      </c>
      <c r="C141" s="195">
        <f>$B$133</f>
        <v>-0.26922240000000003</v>
      </c>
      <c r="D141" s="94"/>
      <c r="E141" s="154">
        <f>INDEX(LCI!H$2:H$137,MATCH('D- Benefits &amp; Burdens'!$B$141,LCI!$D$2:$D$137,0))*$C$141</f>
        <v>-1.4655669292787669E-2</v>
      </c>
      <c r="F141" s="154">
        <f>INDEX(LCI!I$2:I$137,MATCH('D- Benefits &amp; Burdens'!$B$141,LCI!$D$2:$D$137,0))*$C$141</f>
        <v>-0.76160680160773897</v>
      </c>
      <c r="G141" s="154">
        <f>INDEX(LCI!J$2:J$137,MATCH('D- Benefits &amp; Burdens'!$B$141,LCI!$D$2:$D$137,0))*$C$141</f>
        <v>-2.347542500540156E-3</v>
      </c>
      <c r="H141" s="154">
        <f>INDEX(LCI!K$2:K$137,MATCH('D- Benefits &amp; Burdens'!$B$141,LCI!$D$2:$D$137,0))*$C$141</f>
        <v>-0.75900889721440212</v>
      </c>
      <c r="I141" s="154">
        <f>INDEX(LCI!L$2:L$137,MATCH('D- Benefits &amp; Burdens'!$B$141,LCI!$D$2:$D$137,0))*$C$141</f>
        <v>-2.5036189279653651E-4</v>
      </c>
      <c r="J141" s="154">
        <f>INDEX(LCI!M$2:M$137,MATCH('D- Benefits &amp; Burdens'!$B$141,LCI!$D$2:$D$137,0))*$C$141</f>
        <v>-7.5255544780829347</v>
      </c>
      <c r="K141" s="154">
        <f>INDEX(LCI!N$2:N$137,MATCH('D- Benefits &amp; Burdens'!$B$141,LCI!$D$2:$D$137,0))*$C$141</f>
        <v>-10.791774022823558</v>
      </c>
      <c r="L141" s="154">
        <f>INDEX(LCI!O$2:O$137,MATCH('D- Benefits &amp; Burdens'!$B$141,LCI!$D$2:$D$137,0))*$C$141</f>
        <v>-5.6275216266641469E-5</v>
      </c>
      <c r="M141" s="154">
        <f>INDEX(LCI!P$2:P$137,MATCH('D- Benefits &amp; Burdens'!$B$141,LCI!$D$2:$D$137,0))*$C$141</f>
        <v>-5.2644061437122488E-3</v>
      </c>
      <c r="N141" s="154">
        <f>INDEX(LCI!Q$2:Q$137,MATCH('D- Benefits &amp; Burdens'!$B$141,LCI!$D$2:$D$137,0))*$C$141</f>
        <v>-7.3426905431849876E-2</v>
      </c>
      <c r="O141" s="154">
        <f>INDEX(LCI!R$2:R$137,MATCH('D- Benefits &amp; Burdens'!$B$141,LCI!$D$2:$D$137,0))*$C$141</f>
        <v>-1.372537038332449E-10</v>
      </c>
      <c r="P141" s="154">
        <f>INDEX(LCI!S$2:S$137,MATCH('D- Benefits &amp; Burdens'!$B$141,LCI!$D$2:$D$137,0))*$C$141</f>
        <v>-3.6435167362792405E-9</v>
      </c>
      <c r="Q141" s="154">
        <f>INDEX(LCI!T$2:T$137,MATCH('D- Benefits &amp; Burdens'!$B$141,LCI!$D$2:$D$137,0))*$C$141</f>
        <v>-2.8791530511477918E-2</v>
      </c>
      <c r="R141" s="154">
        <f>INDEX(LCI!U$2:U$137,MATCH('D- Benefits &amp; Burdens'!$B$141,LCI!$D$2:$D$137,0))*$C$141</f>
        <v>-8.8760555023183514</v>
      </c>
      <c r="S141" s="154">
        <f>INDEX(LCI!V$2:V$137,MATCH('D- Benefits &amp; Burdens'!$B$141,LCI!$D$2:$D$137,0))*$C$141</f>
        <v>-2.2074421142253213E-6</v>
      </c>
      <c r="T141" s="154">
        <f>INDEX(LCI!W$2:W$137,MATCH('D- Benefits &amp; Burdens'!$B$141,LCI!$D$2:$D$137,0))*$C$141</f>
        <v>-1.2553939128773711E-8</v>
      </c>
      <c r="U141" s="154">
        <f>INDEX(LCI!X$2:X$137,MATCH('D- Benefits &amp; Burdens'!$B$141,LCI!$D$2:$D$137,0))*$C$141</f>
        <v>-2.3735714186745847E-7</v>
      </c>
      <c r="V141" s="154">
        <f>INDEX(LCI!Y$2:Y$137,MATCH('D- Benefits &amp; Burdens'!$B$141,LCI!$D$2:$D$137,0))*$C$141</f>
        <v>-1.6583011729087289E-2</v>
      </c>
      <c r="W141" s="154">
        <f>INDEX(LCI!Z$2:Z$137,MATCH('D- Benefits &amp; Burdens'!$B$141,LCI!$D$2:$D$137,0))*$C$141</f>
        <v>-1.0837889978467863</v>
      </c>
    </row>
    <row r="142" spans="1:23" ht="14" customHeight="1" x14ac:dyDescent="0.35">
      <c r="A142" s="9" t="s">
        <v>866</v>
      </c>
      <c r="B142" s="9" t="s">
        <v>73</v>
      </c>
      <c r="C142" s="196">
        <f>B134</f>
        <v>-0.19425599999999998</v>
      </c>
      <c r="D142" s="94"/>
      <c r="E142" s="154">
        <f>INDEX(LCI!H$2:H$137,MATCH('D- Benefits &amp; Burdens'!$B$142,LCI!$D$2:$D$137,0))*$C$142</f>
        <v>-8.9310864495955131E-3</v>
      </c>
      <c r="F142" s="154">
        <f>INDEX(LCI!I$2:I$137,MATCH('D- Benefits &amp; Burdens'!$B$142,LCI!$D$2:$D$137,0))*$C$142</f>
        <v>-1.0130154825271522</v>
      </c>
      <c r="G142" s="154">
        <f>INDEX(LCI!J$2:J$137,MATCH('D- Benefits &amp; Burdens'!$B$142,LCI!$D$2:$D$137,0))*$C$142</f>
        <v>2.4371335735976125E-4</v>
      </c>
      <c r="H142" s="154">
        <f>INDEX(LCI!K$2:K$137,MATCH('D- Benefits &amp; Burdens'!$B$142,LCI!$D$2:$D$137,0))*$C$142</f>
        <v>-1.0131197910789436</v>
      </c>
      <c r="I142" s="154">
        <f>INDEX(LCI!L$2:L$137,MATCH('D- Benefits &amp; Burdens'!$B$142,LCI!$D$2:$D$137,0))*$C$142</f>
        <v>-1.3940480556886E-4</v>
      </c>
      <c r="J142" s="154">
        <f>INDEX(LCI!M$2:M$137,MATCH('D- Benefits &amp; Burdens'!$B$142,LCI!$D$2:$D$137,0))*$C$142</f>
        <v>-0.86515576199929611</v>
      </c>
      <c r="K142" s="154">
        <f>INDEX(LCI!N$2:N$137,MATCH('D- Benefits &amp; Burdens'!$B$142,LCI!$D$2:$D$137,0))*$C$142</f>
        <v>-13.16743971431517</v>
      </c>
      <c r="L142" s="154">
        <f>INDEX(LCI!O$2:O$137,MATCH('D- Benefits &amp; Burdens'!$B$142,LCI!$D$2:$D$137,0))*$C$142</f>
        <v>-4.5690197620322211E-5</v>
      </c>
      <c r="M142" s="154">
        <f>INDEX(LCI!P$2:P$137,MATCH('D- Benefits &amp; Burdens'!$B$142,LCI!$D$2:$D$137,0))*$C$142</f>
        <v>-4.0986453918732376E-3</v>
      </c>
      <c r="N142" s="154">
        <f>INDEX(LCI!Q$2:Q$137,MATCH('D- Benefits &amp; Burdens'!$B$142,LCI!$D$2:$D$137,0))*$C$142</f>
        <v>-4.5015356269378845E-2</v>
      </c>
      <c r="O142" s="154">
        <f>INDEX(LCI!R$2:R$137,MATCH('D- Benefits &amp; Burdens'!$B$142,LCI!$D$2:$D$137,0))*$C$142</f>
        <v>-1.1917000506180149E-10</v>
      </c>
      <c r="P142" s="154">
        <f>INDEX(LCI!S$2:S$137,MATCH('D- Benefits &amp; Burdens'!$B$142,LCI!$D$2:$D$137,0))*$C$142</f>
        <v>-1.9208638110406951E-9</v>
      </c>
      <c r="Q142" s="154">
        <f>INDEX(LCI!T$2:T$137,MATCH('D- Benefits &amp; Burdens'!$B$142,LCI!$D$2:$D$137,0))*$C$142</f>
        <v>-8.6554156114640821E-3</v>
      </c>
      <c r="R142" s="154">
        <f>INDEX(LCI!U$2:U$137,MATCH('D- Benefits &amp; Burdens'!$B$142,LCI!$D$2:$D$137,0))*$C$142</f>
        <v>-475.08902869255985</v>
      </c>
      <c r="S142" s="154">
        <f>INDEX(LCI!V$2:V$137,MATCH('D- Benefits &amp; Burdens'!$B$142,LCI!$D$2:$D$137,0))*$C$142</f>
        <v>-6.4987430677752329E-7</v>
      </c>
      <c r="T142" s="154">
        <f>INDEX(LCI!W$2:W$137,MATCH('D- Benefits &amp; Burdens'!$B$142,LCI!$D$2:$D$137,0))*$C$142</f>
        <v>-1.4779949541860452E-8</v>
      </c>
      <c r="U142" s="154">
        <f>INDEX(LCI!X$2:X$137,MATCH('D- Benefits &amp; Burdens'!$B$142,LCI!$D$2:$D$137,0))*$C$142</f>
        <v>-2.5225046950408361E-7</v>
      </c>
      <c r="V142" s="154">
        <f>INDEX(LCI!Y$2:Y$137,MATCH('D- Benefits &amp; Burdens'!$B$142,LCI!$D$2:$D$137,0))*$C$142</f>
        <v>-1.3430190325964372E-2</v>
      </c>
      <c r="W142" s="154">
        <f>INDEX(LCI!Z$2:Z$137,MATCH('D- Benefits &amp; Burdens'!$B$142,LCI!$D$2:$D$137,0))*$C$142</f>
        <v>-1.2960012094595244</v>
      </c>
    </row>
    <row r="143" spans="1:23" ht="14" customHeight="1" x14ac:dyDescent="0.35">
      <c r="A143" s="410" t="s">
        <v>200</v>
      </c>
      <c r="B143" s="411"/>
      <c r="C143" s="411"/>
      <c r="D143" s="424"/>
      <c r="E143" s="154">
        <f>SUM(E139:E142)</f>
        <v>-7.1014729325191789E-2</v>
      </c>
      <c r="F143" s="154">
        <f t="shared" ref="F143:W143" si="2">SUM(F139:F142)</f>
        <v>-15.103010492050297</v>
      </c>
      <c r="G143" s="154">
        <f t="shared" si="2"/>
        <v>-6.593532317368625E-2</v>
      </c>
      <c r="H143" s="154">
        <f t="shared" si="2"/>
        <v>-15.037420320153599</v>
      </c>
      <c r="I143" s="154">
        <f t="shared" si="2"/>
        <v>-8.181394723011888E-3</v>
      </c>
      <c r="J143" s="154">
        <f t="shared" si="2"/>
        <v>-677.11934600266409</v>
      </c>
      <c r="K143" s="154">
        <f t="shared" si="2"/>
        <v>-1109.7298313642746</v>
      </c>
      <c r="L143" s="154">
        <f t="shared" si="2"/>
        <v>-6.8162193091706228E-4</v>
      </c>
      <c r="M143" s="154">
        <f t="shared" si="2"/>
        <v>-2.1376546868239487E-2</v>
      </c>
      <c r="N143" s="154">
        <f t="shared" si="2"/>
        <v>-0.25142988519479914</v>
      </c>
      <c r="O143" s="154">
        <f t="shared" si="2"/>
        <v>-1.2038405318740179E-8</v>
      </c>
      <c r="P143" s="154">
        <f t="shared" si="2"/>
        <v>-3.470358459841881E-7</v>
      </c>
      <c r="Q143" s="154">
        <f t="shared" si="2"/>
        <v>-0.51835976690892738</v>
      </c>
      <c r="R143" s="154">
        <f t="shared" si="2"/>
        <v>-495.00092627426818</v>
      </c>
      <c r="S143" s="154">
        <f t="shared" si="2"/>
        <v>-8.0268769044293994E-6</v>
      </c>
      <c r="T143" s="154">
        <f t="shared" si="2"/>
        <v>-3.9468929094598414E-8</v>
      </c>
      <c r="U143" s="154">
        <f t="shared" si="2"/>
        <v>-1.1923448172990844E-6</v>
      </c>
      <c r="V143" s="154">
        <f t="shared" si="2"/>
        <v>-8.2573632294946631E-2</v>
      </c>
      <c r="W143" s="154">
        <f t="shared" si="2"/>
        <v>-4.5254875476432588</v>
      </c>
    </row>
    <row r="144" spans="1:23" ht="14" customHeight="1" x14ac:dyDescent="0.35"/>
    <row r="145" spans="1:25" ht="14" customHeight="1" x14ac:dyDescent="0.35"/>
    <row r="146" spans="1:25" ht="14" customHeight="1" x14ac:dyDescent="0.35"/>
    <row r="147" spans="1:25" ht="23.5" x14ac:dyDescent="0.55000000000000004">
      <c r="A147" s="100" t="s">
        <v>868</v>
      </c>
    </row>
    <row r="148" spans="1:25" ht="14" customHeight="1" x14ac:dyDescent="0.55000000000000004">
      <c r="A148" s="100"/>
    </row>
    <row r="149" spans="1:25" ht="87" x14ac:dyDescent="0.35">
      <c r="A149" s="302" t="s">
        <v>452</v>
      </c>
      <c r="B149" s="302" t="s">
        <v>277</v>
      </c>
      <c r="C149" s="302" t="s">
        <v>589</v>
      </c>
      <c r="D149" s="302" t="s">
        <v>56</v>
      </c>
      <c r="E149" s="302" t="s">
        <v>339</v>
      </c>
      <c r="F149" s="302" t="s">
        <v>340</v>
      </c>
      <c r="G149" s="309" t="s">
        <v>279</v>
      </c>
      <c r="H149" s="309" t="s">
        <v>280</v>
      </c>
      <c r="I149" s="309" t="s">
        <v>281</v>
      </c>
      <c r="J149" s="309" t="s">
        <v>282</v>
      </c>
      <c r="K149" s="309" t="s">
        <v>283</v>
      </c>
      <c r="L149" s="309" t="s">
        <v>284</v>
      </c>
      <c r="M149" s="309" t="s">
        <v>285</v>
      </c>
      <c r="N149" s="309" t="s">
        <v>286</v>
      </c>
      <c r="O149" s="309" t="s">
        <v>287</v>
      </c>
      <c r="P149" s="309" t="s">
        <v>288</v>
      </c>
      <c r="Q149" s="309" t="s">
        <v>289</v>
      </c>
      <c r="R149" s="309" t="s">
        <v>290</v>
      </c>
      <c r="S149" s="309" t="s">
        <v>291</v>
      </c>
      <c r="T149" s="309" t="s">
        <v>292</v>
      </c>
      <c r="U149" s="309" t="s">
        <v>293</v>
      </c>
      <c r="V149" s="309" t="s">
        <v>294</v>
      </c>
      <c r="W149" s="309" t="s">
        <v>295</v>
      </c>
      <c r="X149" s="309" t="s">
        <v>296</v>
      </c>
      <c r="Y149" s="309" t="s">
        <v>297</v>
      </c>
    </row>
    <row r="150" spans="1:25" ht="14" customHeight="1" x14ac:dyDescent="0.35">
      <c r="A150" s="89" t="s">
        <v>863</v>
      </c>
      <c r="B150" s="311" t="s">
        <v>59</v>
      </c>
      <c r="C150" s="195">
        <f>$B$131</f>
        <v>-2.33604E-2</v>
      </c>
      <c r="D150" s="154">
        <f>$D$8</f>
        <v>262</v>
      </c>
      <c r="E150" s="154" t="str">
        <f>$B$8</f>
        <v>Truck</v>
      </c>
      <c r="F150" s="154" t="str">
        <f>$C$8</f>
        <v>Diesel_Euro5</v>
      </c>
      <c r="G150" s="154" cm="1">
        <f t="array" ref="G150">INDEX(LCI!H$2:H$137,MATCH('D- Benefits &amp; Burdens'!$E150&amp;'D- Benefits &amp; Burdens'!$F150,LCI!$B$2:$B$137&amp;LCI!$D$2:$D$137,0))*$C150*$D150</f>
        <v>-2.7097385146776002E-3</v>
      </c>
      <c r="H150" s="154" cm="1">
        <f t="array" ref="H150">INDEX(LCI!I$2:I$137,MATCH('D- Benefits &amp; Burdens'!$E150&amp;'D- Benefits &amp; Burdens'!$F150,LCI!$B$2:$B$137&amp;LCI!$D$2:$D$137,0))*$C150*$D150</f>
        <v>-0.99050475579113528</v>
      </c>
      <c r="I150" s="154" cm="1">
        <f t="array" ref="I150">INDEX(LCI!J$2:J$137,MATCH('D- Benefits &amp; Burdens'!$E150&amp;'D- Benefits &amp; Burdens'!$F150,LCI!$B$2:$B$137&amp;LCI!$D$2:$D$137,0))*$C150*$D150</f>
        <v>-4.5780043053024E-4</v>
      </c>
      <c r="J150" s="154" cm="1">
        <f t="array" ref="J150">INDEX(LCI!K$2:K$137,MATCH('D- Benefits &amp; Burdens'!$E150&amp;'D- Benefits &amp; Burdens'!$F150,LCI!$B$2:$B$137&amp;LCI!$D$2:$D$137,0))*$C150*$D150</f>
        <v>-0.98996907173093995</v>
      </c>
      <c r="K150" s="154" cm="1">
        <f t="array" ref="K150">INDEX(LCI!L$2:L$137,MATCH('D- Benefits &amp; Burdens'!$E150&amp;'D- Benefits &amp; Burdens'!$F150,LCI!$B$2:$B$137&amp;LCI!$D$2:$D$137,0))*$C150*$D150</f>
        <v>-7.7881793537520005E-5</v>
      </c>
      <c r="L150" s="154" cm="1">
        <f t="array" ref="L150">INDEX(LCI!M$2:M$137,MATCH('D- Benefits &amp; Burdens'!$E150&amp;'D- Benefits &amp; Burdens'!$F150,LCI!$B$2:$B$137&amp;LCI!$D$2:$D$137,0))*$C150*$D150</f>
        <v>-0.84178381300453442</v>
      </c>
      <c r="M150" s="154" cm="1">
        <f t="array" ref="M150">INDEX(LCI!N$2:N$137,MATCH('D- Benefits &amp; Burdens'!$E150&amp;'D- Benefits &amp; Burdens'!$F150,LCI!$B$2:$B$137&amp;LCI!$D$2:$D$137,0))*$C150*$D150</f>
        <v>-13.317674752346328</v>
      </c>
      <c r="N150" s="154" cm="1">
        <f t="array" ref="N150">INDEX(LCI!O$2:O$137,MATCH('D- Benefits &amp; Burdens'!$E150&amp;'D- Benefits &amp; Burdens'!$F150,LCI!$B$2:$B$137&amp;LCI!$D$2:$D$137,0))*$C150*$D150</f>
        <v>-2.2786341530400002E-5</v>
      </c>
      <c r="O150" s="154" cm="1">
        <f t="array" ref="O150">INDEX(LCI!P$2:P$137,MATCH('D- Benefits &amp; Burdens'!$E150&amp;'D- Benefits &amp; Burdens'!$F150,LCI!$B$2:$B$137&amp;LCI!$D$2:$D$137,0))*$C150*$D150</f>
        <v>-9.7225396117919989E-4</v>
      </c>
      <c r="P150" s="154" cm="1">
        <f t="array" ref="P150">INDEX(LCI!Q$2:Q$137,MATCH('D- Benefits &amp; Burdens'!$E150&amp;'D- Benefits &amp; Burdens'!$F150,LCI!$B$2:$B$137&amp;LCI!$D$2:$D$137,0))*$C150*$D150</f>
        <v>-1.0605808716803999E-2</v>
      </c>
      <c r="Q150" s="154" cm="1">
        <f t="array" ref="Q150">INDEX(LCI!R$2:R$137,MATCH('D- Benefits &amp; Burdens'!$E150&amp;'D- Benefits &amp; Burdens'!$F150,LCI!$B$2:$B$137&amp;LCI!$D$2:$D$137,0))*$C150*$D150</f>
        <v>-9.2584277992079997E-11</v>
      </c>
      <c r="R150" s="154" cm="1">
        <f t="array" ref="R150">INDEX(LCI!S$2:S$137,MATCH('D- Benefits &amp; Burdens'!$E150&amp;'D- Benefits &amp; Burdens'!$F150,LCI!$B$2:$B$137&amp;LCI!$D$2:$D$137,0))*$C150*$D150</f>
        <v>-7.0987747042800001E-9</v>
      </c>
      <c r="S150" s="154" cm="1">
        <f t="array" ref="S150">INDEX(LCI!T$2:T$137,MATCH('D- Benefits &amp; Burdens'!$E150&amp;'D- Benefits &amp; Burdens'!$F150,LCI!$B$2:$B$137&amp;LCI!$D$2:$D$137,0))*$C150*$D150</f>
        <v>-5.9957395059743995E-3</v>
      </c>
      <c r="T150" s="154" cm="1">
        <f t="array" ref="T150">INDEX(LCI!U$2:U$137,MATCH('D- Benefits &amp; Burdens'!$E150&amp;'D- Benefits &amp; Burdens'!$F150,LCI!$B$2:$B$137&amp;LCI!$D$2:$D$137,0))*$C150*$D150</f>
        <v>-0.83569406377363198</v>
      </c>
      <c r="U150" s="154" cm="1">
        <f t="array" ref="U150">INDEX(LCI!V$2:V$137,MATCH('D- Benefits &amp; Burdens'!$E150&amp;'D- Benefits &amp; Burdens'!$F150,LCI!$B$2:$B$137&amp;LCI!$D$2:$D$137,0))*$C150*$D150</f>
        <v>-1.0736510388407999E-6</v>
      </c>
      <c r="V150" s="154" cm="1">
        <f t="array" ref="V150">INDEX(LCI!W$2:W$137,MATCH('D- Benefits &amp; Burdens'!$E150&amp;'D- Benefits &amp; Burdens'!$F150,LCI!$B$2:$B$137&amp;LCI!$D$2:$D$137,0))*$C150*$D150</f>
        <v>-2.2032672420528E-8</v>
      </c>
      <c r="W150" s="154" cm="1">
        <f t="array" ref="W150">INDEX(LCI!X$2:X$137,MATCH('D- Benefits &amp; Burdens'!$E150&amp;'D- Benefits &amp; Burdens'!$F150,LCI!$B$2:$B$137&amp;LCI!$D$2:$D$137,0))*$C150*$D150</f>
        <v>-6.6975808586400005E-8</v>
      </c>
      <c r="X150" s="154" cm="1">
        <f t="array" ref="X150">INDEX(LCI!Y$2:Y$137,MATCH('D- Benefits &amp; Burdens'!$E150&amp;'D- Benefits &amp; Burdens'!$F150,LCI!$B$2:$B$137&amp;LCI!$D$2:$D$137,0))*$C150*$D150</f>
        <v>-4.2662727089640001E-3</v>
      </c>
      <c r="Y150" s="154" cm="1">
        <f t="array" ref="Y150">INDEX(LCI!Z$2:Z$137,MATCH('D- Benefits &amp; Burdens'!$E150&amp;'D- Benefits &amp; Burdens'!$F150,LCI!$B$2:$B$137&amp;LCI!$D$2:$D$137,0))*$C150*$D150</f>
        <v>-3.0058887335601598E-2</v>
      </c>
    </row>
    <row r="151" spans="1:25" ht="14" customHeight="1" x14ac:dyDescent="0.35">
      <c r="A151" s="1" t="s">
        <v>864</v>
      </c>
      <c r="B151" s="141" t="str">
        <f>Input!$C$49</f>
        <v>Limestone_residue</v>
      </c>
      <c r="C151" s="195">
        <f>$B$132</f>
        <v>-4.2827400000000002E-2</v>
      </c>
      <c r="D151" s="154">
        <f>$D$9</f>
        <v>190</v>
      </c>
      <c r="E151" s="154" t="str">
        <f>$B$9</f>
        <v>Truck</v>
      </c>
      <c r="F151" s="154" t="str">
        <f>$C$9</f>
        <v>Diesel_Euro5</v>
      </c>
      <c r="G151" s="154" cm="1">
        <f t="array" ref="G151">INDEX(LCI!H$2:H$137,MATCH('D- Benefits &amp; Burdens'!$E151&amp;'D- Benefits &amp; Burdens'!$F151,LCI!$B$2:$B$137&amp;LCI!$D$2:$D$137,0))*$C151*$D151</f>
        <v>-3.6026421728220007E-3</v>
      </c>
      <c r="H151" s="154" cm="1">
        <f t="array" ref="H151">INDEX(LCI!I$2:I$137,MATCH('D- Benefits &amp; Burdens'!$E151&amp;'D- Benefits &amp; Burdens'!$F151,LCI!$B$2:$B$137&amp;LCI!$D$2:$D$137,0))*$C151*$D151</f>
        <v>-1.316892455218494</v>
      </c>
      <c r="I151" s="154" cm="1">
        <f t="array" ref="I151">INDEX(LCI!J$2:J$137,MATCH('D- Benefits &amp; Burdens'!$E151&amp;'D- Benefits &amp; Burdens'!$F151,LCI!$B$2:$B$137&amp;LCI!$D$2:$D$137,0))*$C151*$D151</f>
        <v>-6.0865324415279999E-4</v>
      </c>
      <c r="J151" s="154" cm="1">
        <f t="array" ref="J151">INDEX(LCI!K$2:K$137,MATCH('D- Benefits &amp; Burdens'!$E151&amp;'D- Benefits &amp; Burdens'!$F151,LCI!$B$2:$B$137&amp;LCI!$D$2:$D$137,0))*$C151*$D151</f>
        <v>-1.3161802544005501</v>
      </c>
      <c r="K151" s="154" cm="1">
        <f t="array" ref="K151">INDEX(LCI!L$2:L$137,MATCH('D- Benefits &amp; Burdens'!$E151&amp;'D- Benefits &amp; Burdens'!$F151,LCI!$B$2:$B$137&amp;LCI!$D$2:$D$137,0))*$C151*$D151</f>
        <v>-1.0354513262940002E-4</v>
      </c>
      <c r="L151" s="154" cm="1">
        <f t="array" ref="L151">INDEX(LCI!M$2:M$137,MATCH('D- Benefits &amp; Burdens'!$E151&amp;'D- Benefits &amp; Burdens'!$F151,LCI!$B$2:$B$137&amp;LCI!$D$2:$D$137,0))*$C151*$D151</f>
        <v>-1.1191655020225681</v>
      </c>
      <c r="M151" s="154" cm="1">
        <f t="array" ref="M151">INDEX(LCI!N$2:N$137,MATCH('D- Benefits &amp; Burdens'!$E151&amp;'D- Benefits &amp; Burdens'!$F151,LCI!$B$2:$B$137&amp;LCI!$D$2:$D$137,0))*$C151*$D151</f>
        <v>-17.706068850129661</v>
      </c>
      <c r="N151" s="154" cm="1">
        <f t="array" ref="N151">INDEX(LCI!O$2:O$137,MATCH('D- Benefits &amp; Burdens'!$E151&amp;'D- Benefits &amp; Burdens'!$F151,LCI!$B$2:$B$137&amp;LCI!$D$2:$D$137,0))*$C151*$D151</f>
        <v>-3.0294817938E-5</v>
      </c>
      <c r="O151" s="154" cm="1">
        <f t="array" ref="O151">INDEX(LCI!P$2:P$137,MATCH('D- Benefits &amp; Burdens'!$E151&amp;'D- Benefits &amp; Burdens'!$F151,LCI!$B$2:$B$137&amp;LCI!$D$2:$D$137,0))*$C151*$D151</f>
        <v>-1.2926277219239999E-3</v>
      </c>
      <c r="P151" s="154" cm="1">
        <f t="array" ref="P151">INDEX(LCI!Q$2:Q$137,MATCH('D- Benefits &amp; Burdens'!$E151&amp;'D- Benefits &amp; Burdens'!$F151,LCI!$B$2:$B$137&amp;LCI!$D$2:$D$137,0))*$C151*$D151</f>
        <v>-1.410059810313E-2</v>
      </c>
      <c r="Q151" s="154" cm="1">
        <f t="array" ref="Q151">INDEX(LCI!R$2:R$137,MATCH('D- Benefits &amp; Burdens'!$E151&amp;'D- Benefits &amp; Burdens'!$F151,LCI!$B$2:$B$137&amp;LCI!$D$2:$D$137,0))*$C151*$D151</f>
        <v>-1.2309232888259999E-10</v>
      </c>
      <c r="R151" s="154" cm="1">
        <f t="array" ref="R151">INDEX(LCI!S$2:S$137,MATCH('D- Benefits &amp; Burdens'!$E151&amp;'D- Benefits &amp; Burdens'!$F151,LCI!$B$2:$B$137&amp;LCI!$D$2:$D$137,0))*$C151*$D151</f>
        <v>-9.4379383791000014E-9</v>
      </c>
      <c r="S151" s="154" cm="1">
        <f t="array" ref="S151">INDEX(LCI!T$2:T$137,MATCH('D- Benefits &amp; Burdens'!$E151&amp;'D- Benefits &amp; Burdens'!$F151,LCI!$B$2:$B$137&amp;LCI!$D$2:$D$137,0))*$C151*$D151</f>
        <v>-7.9714348393679999E-3</v>
      </c>
      <c r="T151" s="154" cm="1">
        <f t="array" ref="T151">INDEX(LCI!U$2:U$137,MATCH('D- Benefits &amp; Burdens'!$E151&amp;'D- Benefits &amp; Burdens'!$F151,LCI!$B$2:$B$137&amp;LCI!$D$2:$D$137,0))*$C151*$D151</f>
        <v>-1.1110690796990401</v>
      </c>
      <c r="U151" s="154" cm="1">
        <f t="array" ref="U151">INDEX(LCI!V$2:V$137,MATCH('D- Benefits &amp; Burdens'!$E151&amp;'D- Benefits &amp; Burdens'!$F151,LCI!$B$2:$B$137&amp;LCI!$D$2:$D$137,0))*$C151*$D151</f>
        <v>-1.4274368137259999E-6</v>
      </c>
      <c r="V151" s="154" cm="1">
        <f t="array" ref="V151">INDEX(LCI!W$2:W$137,MATCH('D- Benefits &amp; Burdens'!$E151&amp;'D- Benefits &amp; Burdens'!$F151,LCI!$B$2:$B$137&amp;LCI!$D$2:$D$137,0))*$C151*$D151</f>
        <v>-2.929280239116E-8</v>
      </c>
      <c r="W151" s="154" cm="1">
        <f t="array" ref="W151">INDEX(LCI!X$2:X$137,MATCH('D- Benefits &amp; Burdens'!$E151&amp;'D- Benefits &amp; Burdens'!$F151,LCI!$B$2:$B$137&amp;LCI!$D$2:$D$137,0))*$C151*$D151</f>
        <v>-8.9045445258000003E-8</v>
      </c>
      <c r="X151" s="154" cm="1">
        <f t="array" ref="X151">INDEX(LCI!Y$2:Y$137,MATCH('D- Benefits &amp; Burdens'!$E151&amp;'D- Benefits &amp; Burdens'!$F151,LCI!$B$2:$B$137&amp;LCI!$D$2:$D$137,0))*$C151*$D151</f>
        <v>-5.6720801283300006E-3</v>
      </c>
      <c r="Y151" s="154" cm="1">
        <f t="array" ref="Y151">INDEX(LCI!Z$2:Z$137,MATCH('D- Benefits &amp; Burdens'!$E151&amp;'D- Benefits &amp; Burdens'!$F151,LCI!$B$2:$B$137&amp;LCI!$D$2:$D$137,0))*$C151*$D151</f>
        <v>-3.9963787869851997E-2</v>
      </c>
    </row>
    <row r="152" spans="1:25" ht="14" customHeight="1" x14ac:dyDescent="0.35">
      <c r="A152" s="1" t="s">
        <v>865</v>
      </c>
      <c r="B152" s="141" t="str">
        <f>Input!$A$40</f>
        <v>Virgin crushed coarse aggregate 1 (&gt;2 mm)</v>
      </c>
      <c r="C152" s="195">
        <f>$B$133</f>
        <v>-0.26922240000000003</v>
      </c>
      <c r="D152" s="154">
        <f>$D$10</f>
        <v>128</v>
      </c>
      <c r="E152" s="154" t="str">
        <f>$B$10</f>
        <v>Truck</v>
      </c>
      <c r="F152" s="154" t="str">
        <f>$C$10</f>
        <v>Diesel_Euro5</v>
      </c>
      <c r="G152" s="154" cm="1">
        <f t="array" ref="G152">INDEX(LCI!H$2:H$137,MATCH('D- Benefits &amp; Burdens'!$E152&amp;'D- Benefits &amp; Burdens'!$F152,LCI!$B$2:$B$137&amp;LCI!$D$2:$D$137,0))*$C152*$D152</f>
        <v>-1.5256923866726403E-2</v>
      </c>
      <c r="H152" s="154" cm="1">
        <f t="array" ref="H152">INDEX(LCI!I$2:I$137,MATCH('D- Benefits &amp; Burdens'!$E152&amp;'D- Benefits &amp; Burdens'!$F152,LCI!$B$2:$B$137&amp;LCI!$D$2:$D$137,0))*$C152*$D152</f>
        <v>-5.5769424122953737</v>
      </c>
      <c r="I152" s="154" cm="1">
        <f t="array" ref="I152">INDEX(LCI!J$2:J$137,MATCH('D- Benefits &amp; Burdens'!$E152&amp;'D- Benefits &amp; Burdens'!$F152,LCI!$B$2:$B$137&amp;LCI!$D$2:$D$137,0))*$C152*$D152</f>
        <v>-2.5776015939993602E-3</v>
      </c>
      <c r="J152" s="154" cm="1">
        <f t="array" ref="J152">INDEX(LCI!K$2:K$137,MATCH('D- Benefits &amp; Burdens'!$E152&amp;'D- Benefits &amp; Burdens'!$F152,LCI!$B$2:$B$137&amp;LCI!$D$2:$D$137,0))*$C152*$D152</f>
        <v>-5.5739262943641608</v>
      </c>
      <c r="K152" s="154" cm="1">
        <f t="array" ref="K152">INDEX(LCI!L$2:L$137,MATCH('D- Benefits &amp; Burdens'!$E152&amp;'D- Benefits &amp; Burdens'!$F152,LCI!$B$2:$B$137&amp;LCI!$D$2:$D$137,0))*$C152*$D152</f>
        <v>-4.3850599907328006E-4</v>
      </c>
      <c r="L152" s="154" cm="1">
        <f t="array" ref="L152">INDEX(LCI!M$2:M$137,MATCH('D- Benefits &amp; Burdens'!$E152&amp;'D- Benefits &amp; Burdens'!$F152,LCI!$B$2:$B$137&amp;LCI!$D$2:$D$137,0))*$C152*$D152</f>
        <v>-4.7395833500860425</v>
      </c>
      <c r="M152" s="154" cm="1">
        <f t="array" ref="M152">INDEX(LCI!N$2:N$137,MATCH('D- Benefits &amp; Burdens'!$E152&amp;'D- Benefits &amp; Burdens'!$F152,LCI!$B$2:$B$137&amp;LCI!$D$2:$D$137,0))*$C152*$D152</f>
        <v>-74.983895559585804</v>
      </c>
      <c r="N152" s="154" cm="1">
        <f t="array" ref="N152">INDEX(LCI!O$2:O$137,MATCH('D- Benefits &amp; Burdens'!$E152&amp;'D- Benefits &amp; Burdens'!$F152,LCI!$B$2:$B$137&amp;LCI!$D$2:$D$137,0))*$C152*$D152</f>
        <v>-1.2829631938560002E-4</v>
      </c>
      <c r="O152" s="154" cm="1">
        <f t="array" ref="O152">INDEX(LCI!P$2:P$137,MATCH('D- Benefits &amp; Burdens'!$E152&amp;'D- Benefits &amp; Burdens'!$F152,LCI!$B$2:$B$137&amp;LCI!$D$2:$D$137,0))*$C152*$D152</f>
        <v>-5.4741830565888001E-3</v>
      </c>
      <c r="P152" s="154" cm="1">
        <f t="array" ref="P152">INDEX(LCI!Q$2:Q$137,MATCH('D- Benefits &amp; Burdens'!$E152&amp;'D- Benefits &amp; Burdens'!$F152,LCI!$B$2:$B$137&amp;LCI!$D$2:$D$137,0))*$C152*$D152</f>
        <v>-5.9714992889856003E-2</v>
      </c>
      <c r="Q152" s="154" cm="1">
        <f t="array" ref="Q152">INDEX(LCI!R$2:R$137,MATCH('D- Benefits &amp; Burdens'!$E152&amp;'D- Benefits &amp; Burdens'!$F152,LCI!$B$2:$B$137&amp;LCI!$D$2:$D$137,0))*$C152*$D152</f>
        <v>-5.2128693338112003E-10</v>
      </c>
      <c r="R152" s="154" cm="1">
        <f t="array" ref="R152">INDEX(LCI!S$2:S$137,MATCH('D- Benefits &amp; Burdens'!$E152&amp;'D- Benefits &amp; Burdens'!$F152,LCI!$B$2:$B$137&amp;LCI!$D$2:$D$137,0))*$C152*$D152</f>
        <v>-3.9968972881920007E-8</v>
      </c>
      <c r="S152" s="154" cm="1">
        <f t="array" ref="S152">INDEX(LCI!T$2:T$137,MATCH('D- Benefits &amp; Burdens'!$E152&amp;'D- Benefits &amp; Burdens'!$F152,LCI!$B$2:$B$137&amp;LCI!$D$2:$D$137,0))*$C152*$D152</f>
        <v>-3.3758438562201599E-2</v>
      </c>
      <c r="T152" s="154" cm="1">
        <f t="array" ref="T152">INDEX(LCI!U$2:U$137,MATCH('D- Benefits &amp; Burdens'!$E152&amp;'D- Benefits &amp; Burdens'!$F152,LCI!$B$2:$B$137&amp;LCI!$D$2:$D$137,0))*$C152*$D152</f>
        <v>-4.7052955987476484</v>
      </c>
      <c r="U152" s="154" cm="1">
        <f t="array" ref="U152">INDEX(LCI!V$2:V$137,MATCH('D- Benefits &amp; Burdens'!$E152&amp;'D- Benefits &amp; Burdens'!$F152,LCI!$B$2:$B$137&amp;LCI!$D$2:$D$137,0))*$C152*$D152</f>
        <v>-6.0450896166912004E-6</v>
      </c>
      <c r="V152" s="154" cm="1">
        <f t="array" ref="V152">INDEX(LCI!W$2:W$137,MATCH('D- Benefits &amp; Burdens'!$E152&amp;'D- Benefits &amp; Burdens'!$F152,LCI!$B$2:$B$137&amp;LCI!$D$2:$D$137,0))*$C152*$D152</f>
        <v>-1.2405285745459201E-7</v>
      </c>
      <c r="W152" s="154" cm="1">
        <f t="array" ref="W152">INDEX(LCI!X$2:X$137,MATCH('D- Benefits &amp; Burdens'!$E152&amp;'D- Benefits &amp; Burdens'!$F152,LCI!$B$2:$B$137&amp;LCI!$D$2:$D$137,0))*$C152*$D152</f>
        <v>-3.7710089256960008E-7</v>
      </c>
      <c r="X152" s="154" cm="1">
        <f t="array" ref="X152">INDEX(LCI!Y$2:Y$137,MATCH('D- Benefits &amp; Burdens'!$E152&amp;'D- Benefits &amp; Burdens'!$F152,LCI!$B$2:$B$137&amp;LCI!$D$2:$D$137,0))*$C152*$D152</f>
        <v>-2.4020840964096003E-2</v>
      </c>
      <c r="Y152" s="154" cm="1">
        <f t="array" ref="Y152">INDEX(LCI!Z$2:Z$137,MATCH('D- Benefits &amp; Burdens'!$E152&amp;'D- Benefits &amp; Burdens'!$F152,LCI!$B$2:$B$137&amp;LCI!$D$2:$D$137,0))*$C152*$D152</f>
        <v>-0.1692436938522624</v>
      </c>
    </row>
    <row r="153" spans="1:25" ht="14" customHeight="1" x14ac:dyDescent="0.35">
      <c r="A153" s="1" t="s">
        <v>866</v>
      </c>
      <c r="B153" s="141" t="s">
        <v>73</v>
      </c>
      <c r="C153" s="195">
        <f>$B$134</f>
        <v>-0.19425599999999998</v>
      </c>
      <c r="D153" s="154">
        <f>$D$11</f>
        <v>95</v>
      </c>
      <c r="E153" s="154" t="str">
        <f>$B$11</f>
        <v>Truck</v>
      </c>
      <c r="F153" s="154" t="str">
        <f>$C$11</f>
        <v>Diesel_Euro5</v>
      </c>
      <c r="G153" s="154" cm="1">
        <f t="array" ref="G153">INDEX(LCI!H$2:H$137,MATCH('D- Benefits &amp; Burdens'!$E153&amp;'D- Benefits &amp; Burdens'!$F153,LCI!$B$2:$B$137&amp;LCI!$D$2:$D$137,0))*$C153*$D153</f>
        <v>-8.1704102738400005E-3</v>
      </c>
      <c r="H153" s="154" cm="1">
        <f t="array" ref="H153">INDEX(LCI!I$2:I$137,MATCH('D- Benefits &amp; Burdens'!$E153&amp;'D- Benefits &amp; Burdens'!$F153,LCI!$B$2:$B$137&amp;LCI!$D$2:$D$137,0))*$C153*$D153</f>
        <v>-2.9865723903496799</v>
      </c>
      <c r="I153" s="154" cm="1">
        <f t="array" ref="I153">INDEX(LCI!J$2:J$137,MATCH('D- Benefits &amp; Burdens'!$E153&amp;'D- Benefits &amp; Burdens'!$F153,LCI!$B$2:$B$137&amp;LCI!$D$2:$D$137,0))*$C153*$D153</f>
        <v>-1.380360990816E-3</v>
      </c>
      <c r="J153" s="154" cm="1">
        <f t="array" ref="J153">INDEX(LCI!K$2:K$137,MATCH('D- Benefits &amp; Burdens'!$E153&amp;'D- Benefits &amp; Burdens'!$F153,LCI!$B$2:$B$137&amp;LCI!$D$2:$D$137,0))*$C153*$D153</f>
        <v>-2.9849571944459998</v>
      </c>
      <c r="K153" s="154" cm="1">
        <f t="array" ref="K153">INDEX(LCI!L$2:L$137,MATCH('D- Benefits &amp; Burdens'!$E153&amp;'D- Benefits &amp; Burdens'!$F153,LCI!$B$2:$B$137&amp;LCI!$D$2:$D$137,0))*$C153*$D153</f>
        <v>-2.3482937656799999E-4</v>
      </c>
      <c r="L153" s="154" cm="1">
        <f t="array" ref="L153">INDEX(LCI!M$2:M$137,MATCH('D- Benefits &amp; Burdens'!$E153&amp;'D- Benefits &amp; Burdens'!$F153,LCI!$B$2:$B$137&amp;LCI!$D$2:$D$137,0))*$C153*$D153</f>
        <v>-2.53814863569696</v>
      </c>
      <c r="M153" s="154" cm="1">
        <f t="array" ref="M153">INDEX(LCI!N$2:N$137,MATCH('D- Benefits &amp; Burdens'!$E153&amp;'D- Benefits &amp; Burdens'!$F153,LCI!$B$2:$B$137&amp;LCI!$D$2:$D$137,0))*$C153*$D153</f>
        <v>-40.155485863615191</v>
      </c>
      <c r="N153" s="154" cm="1">
        <f t="array" ref="N153">INDEX(LCI!O$2:O$137,MATCH('D- Benefits &amp; Burdens'!$E153&amp;'D- Benefits &amp; Burdens'!$F153,LCI!$B$2:$B$137&amp;LCI!$D$2:$D$137,0))*$C153*$D153</f>
        <v>-6.8705433359999999E-5</v>
      </c>
      <c r="O153" s="154" cm="1">
        <f t="array" ref="O153">INDEX(LCI!P$2:P$137,MATCH('D- Benefits &amp; Burdens'!$E153&amp;'D- Benefits &amp; Burdens'!$F153,LCI!$B$2:$B$137&amp;LCI!$D$2:$D$137,0))*$C153*$D153</f>
        <v>-2.9315425492799996E-3</v>
      </c>
      <c r="P153" s="154" cm="1">
        <f t="array" ref="P153">INDEX(LCI!Q$2:Q$137,MATCH('D- Benefits &amp; Burdens'!$E153&amp;'D- Benefits &amp; Burdens'!$F153,LCI!$B$2:$B$137&amp;LCI!$D$2:$D$137,0))*$C153*$D153</f>
        <v>-3.1978660683599995E-2</v>
      </c>
      <c r="Q153" s="154" cm="1">
        <f t="array" ref="Q153">INDEX(LCI!R$2:R$137,MATCH('D- Benefits &amp; Burdens'!$E153&amp;'D- Benefits &amp; Burdens'!$F153,LCI!$B$2:$B$137&amp;LCI!$D$2:$D$137,0))*$C153*$D153</f>
        <v>-2.7916034407200001E-10</v>
      </c>
      <c r="R153" s="154" cm="1">
        <f t="array" ref="R153">INDEX(LCI!S$2:S$137,MATCH('D- Benefits &amp; Burdens'!$E153&amp;'D- Benefits &amp; Burdens'!$F153,LCI!$B$2:$B$137&amp;LCI!$D$2:$D$137,0))*$C153*$D153</f>
        <v>-2.1404243052E-8</v>
      </c>
      <c r="S153" s="154" cm="1">
        <f t="array" ref="S153">INDEX(LCI!T$2:T$137,MATCH('D- Benefits &amp; Burdens'!$E153&amp;'D- Benefits &amp; Burdens'!$F153,LCI!$B$2:$B$137&amp;LCI!$D$2:$D$137,0))*$C153*$D153</f>
        <v>-1.8078368592959998E-2</v>
      </c>
      <c r="T153" s="154" cm="1">
        <f t="array" ref="T153">INDEX(LCI!U$2:U$137,MATCH('D- Benefits &amp; Burdens'!$E153&amp;'D- Benefits &amp; Burdens'!$F153,LCI!$B$2:$B$137&amp;LCI!$D$2:$D$137,0))*$C153*$D153</f>
        <v>-2.5197868087487998</v>
      </c>
      <c r="U153" s="154" cm="1">
        <f t="array" ref="U153">INDEX(LCI!V$2:V$137,MATCH('D- Benefits &amp; Burdens'!$E153&amp;'D- Benefits &amp; Burdens'!$F153,LCI!$B$2:$B$137&amp;LCI!$D$2:$D$137,0))*$C153*$D153</f>
        <v>-3.2372752687199996E-6</v>
      </c>
      <c r="V153" s="154" cm="1">
        <f t="array" ref="V153">INDEX(LCI!W$2:W$137,MATCH('D- Benefits &amp; Burdens'!$E153&amp;'D- Benefits &amp; Burdens'!$F153,LCI!$B$2:$B$137&amp;LCI!$D$2:$D$137,0))*$C153*$D153</f>
        <v>-6.643296839519999E-8</v>
      </c>
      <c r="W153" s="154" cm="1">
        <f t="array" ref="W153">INDEX(LCI!X$2:X$137,MATCH('D- Benefits &amp; Burdens'!$E153&amp;'D- Benefits &amp; Burdens'!$F153,LCI!$B$2:$B$137&amp;LCI!$D$2:$D$137,0))*$C153*$D153</f>
        <v>-2.0194562376E-7</v>
      </c>
      <c r="X153" s="154" cm="1">
        <f t="array" ref="X153">INDEX(LCI!Y$2:Y$137,MATCH('D- Benefits &amp; Burdens'!$E153&amp;'D- Benefits &amp; Burdens'!$F153,LCI!$B$2:$B$137&amp;LCI!$D$2:$D$137,0))*$C153*$D153</f>
        <v>-1.2863676027599998E-2</v>
      </c>
      <c r="Y153" s="154" cm="1">
        <f t="array" ref="Y153">INDEX(LCI!Z$2:Z$137,MATCH('D- Benefits &amp; Burdens'!$E153&amp;'D- Benefits &amp; Burdens'!$F153,LCI!$B$2:$B$137&amp;LCI!$D$2:$D$137,0))*$C153*$D153</f>
        <v>-9.0633631465439984E-2</v>
      </c>
    </row>
    <row r="154" spans="1:25" ht="14" customHeight="1" x14ac:dyDescent="0.35">
      <c r="C154" s="312"/>
      <c r="D154" s="1"/>
      <c r="E154" s="1"/>
      <c r="F154" s="1"/>
      <c r="G154" s="154">
        <f>SUM(G150:G153)</f>
        <v>-2.9739714828066005E-2</v>
      </c>
      <c r="H154" s="154">
        <f t="shared" ref="H154:Y154" si="3">SUM(H150:H153)</f>
        <v>-10.870912013654683</v>
      </c>
      <c r="I154" s="154">
        <f t="shared" si="3"/>
        <v>-5.0244162594984005E-3</v>
      </c>
      <c r="J154" s="154">
        <f t="shared" si="3"/>
        <v>-10.865032814941651</v>
      </c>
      <c r="K154" s="154">
        <f t="shared" si="3"/>
        <v>-8.5476230180820008E-4</v>
      </c>
      <c r="L154" s="154">
        <f t="shared" si="3"/>
        <v>-9.2386813008101054</v>
      </c>
      <c r="M154" s="154">
        <f t="shared" si="3"/>
        <v>-146.16312502567698</v>
      </c>
      <c r="N154" s="154">
        <f t="shared" si="3"/>
        <v>-2.5008291221400002E-4</v>
      </c>
      <c r="O154" s="154">
        <f t="shared" si="3"/>
        <v>-1.0670607288971999E-2</v>
      </c>
      <c r="P154" s="154">
        <f t="shared" si="3"/>
        <v>-0.11640006039338999</v>
      </c>
      <c r="Q154" s="154">
        <f t="shared" si="3"/>
        <v>-1.0161238843278E-9</v>
      </c>
      <c r="R154" s="154">
        <f t="shared" si="3"/>
        <v>-7.7909929017300007E-8</v>
      </c>
      <c r="S154" s="154">
        <f t="shared" si="3"/>
        <v>-6.5803981500503997E-2</v>
      </c>
      <c r="T154" s="154">
        <f t="shared" si="3"/>
        <v>-9.1718455509691204</v>
      </c>
      <c r="U154" s="154">
        <f t="shared" si="3"/>
        <v>-1.1783452737978001E-5</v>
      </c>
      <c r="V154" s="154">
        <f t="shared" si="3"/>
        <v>-2.4181130066147997E-7</v>
      </c>
      <c r="W154" s="154">
        <f t="shared" si="3"/>
        <v>-7.3506777017400009E-7</v>
      </c>
      <c r="X154" s="154">
        <f t="shared" si="3"/>
        <v>-4.6822869828989998E-2</v>
      </c>
      <c r="Y154" s="154">
        <f t="shared" si="3"/>
        <v>-0.32990000052315593</v>
      </c>
    </row>
    <row r="155" spans="1:25" ht="14" customHeight="1" x14ac:dyDescent="0.35"/>
    <row r="157" spans="1:25" ht="23.5" x14ac:dyDescent="0.55000000000000004">
      <c r="A157" s="100" t="s">
        <v>869</v>
      </c>
    </row>
    <row r="158" spans="1:25" ht="14" customHeight="1" x14ac:dyDescent="0.55000000000000004">
      <c r="A158" s="100"/>
    </row>
    <row r="159" spans="1:25" ht="14" customHeight="1" x14ac:dyDescent="0.35">
      <c r="A159" s="432" t="s">
        <v>153</v>
      </c>
      <c r="B159" s="419" t="s">
        <v>229</v>
      </c>
      <c r="C159" s="421"/>
      <c r="D159" s="419" t="s">
        <v>231</v>
      </c>
      <c r="E159" s="420"/>
      <c r="F159" s="420"/>
      <c r="G159" s="420"/>
      <c r="H159" s="420"/>
      <c r="I159" s="420"/>
      <c r="J159" s="420"/>
      <c r="K159" s="421"/>
      <c r="L159" s="380" t="s">
        <v>230</v>
      </c>
      <c r="M159" s="384" t="s">
        <v>870</v>
      </c>
      <c r="N159" s="380" t="s">
        <v>233</v>
      </c>
    </row>
    <row r="160" spans="1:25" ht="14" customHeight="1" x14ac:dyDescent="0.35">
      <c r="A160" s="432"/>
      <c r="B160" s="104" t="s">
        <v>871</v>
      </c>
      <c r="C160" s="102" t="s">
        <v>872</v>
      </c>
      <c r="D160" s="103" t="s">
        <v>873</v>
      </c>
      <c r="E160" s="103" t="s">
        <v>244</v>
      </c>
      <c r="F160" s="103" t="s">
        <v>874</v>
      </c>
      <c r="G160" s="103" t="s">
        <v>875</v>
      </c>
      <c r="H160" s="103" t="s">
        <v>876</v>
      </c>
      <c r="I160" s="103" t="s">
        <v>877</v>
      </c>
      <c r="J160" s="103" t="s">
        <v>878</v>
      </c>
      <c r="K160" s="103" t="s">
        <v>879</v>
      </c>
      <c r="L160" s="380"/>
      <c r="M160" s="384"/>
      <c r="N160" s="380"/>
    </row>
    <row r="161" spans="1:14" ht="14" customHeight="1" x14ac:dyDescent="0.35">
      <c r="A161" s="53" t="s">
        <v>279</v>
      </c>
      <c r="B161" s="154" cm="1">
        <f t="array" ref="B161">INDEX(LCI!H$2:H$137,MATCH('D- Benefits &amp; Burdens'!$E$30&amp;'D- Benefits &amp; Burdens'!$F$30,LCI!$B$2:$B$137&amp;LCI!$D$2:$D$137,0))*IF(AND($E30="Truck",$F30="Electric"),$B$26,1)*$D$30*$C$30</f>
        <v>1.5495794999999998E-2</v>
      </c>
      <c r="C161" s="154">
        <f>SUM(H106:H109)</f>
        <v>9.7208322691190062E-4</v>
      </c>
      <c r="D161" s="154" cm="1">
        <f t="array" ref="D161">INDEX(LCI!H$2:H$137,MATCH('D- Benefits &amp; Burdens'!$B139&amp;'D- Benefits &amp; Burdens'!$D139,LCI!$B$2:$B$137&amp;LCI!$D$2:$D$137,0))*$C$139</f>
        <v>-4.0179887999999997E-2</v>
      </c>
      <c r="E161" s="154" cm="1">
        <f t="array" ref="E161">INDEX(LCI!H$2:H$137,MATCH('D- Benefits &amp; Burdens'!$B140&amp;'D- Benefits &amp; Burdens'!$D140,LCI!$B$2:$B$137&amp;LCI!$D$2:$D$137,0))*$C$140</f>
        <v>-7.2480855828086074E-3</v>
      </c>
      <c r="F161" s="154">
        <f>INDEX(LCI!H$2:H$137,MATCH('D- Benefits &amp; Burdens'!$B$141,LCI!$D$2:$D$137,0))*$C$141</f>
        <v>-1.4655669292787669E-2</v>
      </c>
      <c r="G161" s="154">
        <f>INDEX(LCI!H$2:H$137,MATCH('D- Benefits &amp; Burdens'!$B$142,LCI!$D$2:$D$137,0))*$C$142</f>
        <v>-8.9310864495955131E-3</v>
      </c>
      <c r="H161" s="154" cm="1">
        <f t="array" ref="H161">INDEX(LCI!H$2:H$137,MATCH('D- Benefits &amp; Burdens'!$E150&amp;'D- Benefits &amp; Burdens'!$F150,LCI!$B$2:$B$137&amp;LCI!$D$2:$D$137,0))*$C150*$D150</f>
        <v>-2.7097385146776002E-3</v>
      </c>
      <c r="I161" s="154" cm="1">
        <f t="array" ref="I161">INDEX(LCI!H$2:H$137,MATCH('D- Benefits &amp; Burdens'!$E151&amp;'D- Benefits &amp; Burdens'!$F151,LCI!$B$2:$B$137&amp;LCI!$D$2:$D$137,0))*$C151*$D151</f>
        <v>-3.6026421728220007E-3</v>
      </c>
      <c r="J161" s="154" cm="1">
        <f t="array" ref="J161">INDEX(LCI!H$2:H$137,MATCH('D- Benefits &amp; Burdens'!$E152&amp;'D- Benefits &amp; Burdens'!$F152,LCI!$B$2:$B$137&amp;LCI!$D$2:$D$137,0))*$C152*$D152</f>
        <v>-1.5256923866726403E-2</v>
      </c>
      <c r="K161" s="154" cm="1">
        <f t="array" ref="K161">INDEX(LCI!H$2:H$137,MATCH('D- Benefits &amp; Burdens'!$E153&amp;'D- Benefits &amp; Burdens'!$F153,LCI!$B$2:$B$137&amp;LCI!$D$2:$D$137,0))*$C153*$D153</f>
        <v>-8.1704102738400005E-3</v>
      </c>
      <c r="L161" s="154">
        <f>SUM(B161:C161)</f>
        <v>1.6467878226911897E-2</v>
      </c>
      <c r="M161" s="154">
        <f>SUM(D161:K161)</f>
        <v>-0.10075444415325778</v>
      </c>
      <c r="N161" s="154">
        <f>SUM(L161:M161)</f>
        <v>-8.4286565926345883E-2</v>
      </c>
    </row>
    <row r="162" spans="1:14" ht="14" customHeight="1" x14ac:dyDescent="0.35">
      <c r="A162" s="53" t="s">
        <v>280</v>
      </c>
      <c r="B162" s="154" cm="1">
        <f t="array" ref="B162">INDEX(LCI!I$2:I$137,MATCH('D- Benefits &amp; Burdens'!$E$30&amp;'D- Benefits &amp; Burdens'!$F$30,LCI!$B$2:$B$137&amp;LCI!$D$2:$D$137,0))*IF(AND($E30="Truck",$F30="Electric"),$B$26,1)*$D$30*$C$30</f>
        <v>5.6642582149999994</v>
      </c>
      <c r="C162" s="154">
        <f>SUM(I106:I109)</f>
        <v>0.76033864762898462</v>
      </c>
      <c r="D162" s="154" cm="1">
        <f t="array" ref="D162">INDEX(LCI!I$2:I$137,MATCH('D- Benefits &amp; Burdens'!$B139&amp;'D- Benefits &amp; Burdens'!$D139,LCI!$B$2:$B$137&amp;LCI!$D$2:$D$137,0))*$C$139</f>
        <v>-12.381012</v>
      </c>
      <c r="E162" s="154" cm="1">
        <f t="array" ref="E162">INDEX(LCI!I$2:I$137,MATCH('D- Benefits &amp; Burdens'!$B140&amp;'D- Benefits &amp; Burdens'!$D140,LCI!$B$2:$B$137&amp;LCI!$D$2:$D$137,0))*$C$140</f>
        <v>-0.94737620791540567</v>
      </c>
      <c r="F162" s="154">
        <f>INDEX(LCI!I$2:I$137,MATCH('D- Benefits &amp; Burdens'!$B$141,LCI!$D$2:$D$137,0))*$C$141</f>
        <v>-0.76160680160773897</v>
      </c>
      <c r="G162" s="154">
        <f>INDEX(LCI!I$2:I$137,MATCH('D- Benefits &amp; Burdens'!$B$142,LCI!$D$2:$D$137,0))*$C$142</f>
        <v>-1.0130154825271522</v>
      </c>
      <c r="H162" s="154" cm="1">
        <f t="array" ref="H162">INDEX(LCI!I$2:I$137,MATCH('D- Benefits &amp; Burdens'!$E150&amp;'D- Benefits &amp; Burdens'!$F150,LCI!$B$2:$B$137&amp;LCI!$D$2:$D$137,0))*$C150*$D150</f>
        <v>-0.99050475579113528</v>
      </c>
      <c r="I162" s="154" cm="1">
        <f t="array" ref="I162">INDEX(LCI!I$2:I$137,MATCH('D- Benefits &amp; Burdens'!$E151&amp;'D- Benefits &amp; Burdens'!$F151,LCI!$B$2:$B$137&amp;LCI!$D$2:$D$137,0))*$C151*$D151</f>
        <v>-1.316892455218494</v>
      </c>
      <c r="J162" s="154" cm="1">
        <f t="array" ref="J162">INDEX(LCI!I$2:I$137,MATCH('D- Benefits &amp; Burdens'!$E152&amp;'D- Benefits &amp; Burdens'!$F152,LCI!$B$2:$B$137&amp;LCI!$D$2:$D$137,0))*$C152*$D152</f>
        <v>-5.5769424122953737</v>
      </c>
      <c r="K162" s="154" cm="1">
        <f t="array" ref="K162">INDEX(LCI!I$2:I$137,MATCH('D- Benefits &amp; Burdens'!$E153&amp;'D- Benefits &amp; Burdens'!$F153,LCI!$B$2:$B$137&amp;LCI!$D$2:$D$137,0))*$C153*$D153</f>
        <v>-2.9865723903496799</v>
      </c>
      <c r="L162" s="154">
        <f t="shared" ref="L162:L179" si="4">SUM(B162:C162)</f>
        <v>6.4245968626289844</v>
      </c>
      <c r="M162" s="154">
        <f t="shared" ref="M162:M179" si="5">SUM(D162:K162)</f>
        <v>-25.973922505704977</v>
      </c>
      <c r="N162" s="154">
        <f t="shared" ref="N162:N179" si="6">SUM(L162:M162)</f>
        <v>-19.549325643075992</v>
      </c>
    </row>
    <row r="163" spans="1:14" ht="14" customHeight="1" x14ac:dyDescent="0.35">
      <c r="A163" s="53" t="s">
        <v>281</v>
      </c>
      <c r="B163" s="154" cm="1">
        <f t="array" ref="B163">INDEX(LCI!J$2:J$137,MATCH('D- Benefits &amp; Burdens'!$E$30&amp;'D- Benefits &amp; Burdens'!$F$30,LCI!$B$2:$B$137&amp;LCI!$D$2:$D$137,0))*IF(AND($E30="Truck",$F30="Electric"),$B$26,1)*$D$30*$C$30</f>
        <v>2.6179579999999997E-3</v>
      </c>
      <c r="C163" s="154">
        <f>SUM(J106:J109)</f>
        <v>1.5714271260259654E-4</v>
      </c>
      <c r="D163" s="154" cm="1">
        <f t="array" ref="D163">INDEX(LCI!J$2:J$137,MATCH('D- Benefits &amp; Burdens'!$B139&amp;'D- Benefits &amp; Burdens'!$D139,LCI!$B$2:$B$137&amp;LCI!$D$2:$D$137,0))*$C$139</f>
        <v>-4.9056840000000004E-2</v>
      </c>
      <c r="E163" s="154" cm="1">
        <f t="array" ref="E163">INDEX(LCI!J$2:J$137,MATCH('D- Benefits &amp; Burdens'!$B140&amp;'D- Benefits &amp; Burdens'!$D140,LCI!$B$2:$B$137&amp;LCI!$D$2:$D$137,0))*$C$140</f>
        <v>-1.4774654030505841E-2</v>
      </c>
      <c r="F163" s="154">
        <f>INDEX(LCI!J$2:J$137,MATCH('D- Benefits &amp; Burdens'!$B$141,LCI!$D$2:$D$137,0))*$C$141</f>
        <v>-2.347542500540156E-3</v>
      </c>
      <c r="G163" s="154">
        <f>INDEX(LCI!J$2:J$137,MATCH('D- Benefits &amp; Burdens'!$B$142,LCI!$D$2:$D$137,0))*$C$142</f>
        <v>2.4371335735976125E-4</v>
      </c>
      <c r="H163" s="154" cm="1">
        <f t="array" ref="H163">INDEX(LCI!J$2:J$137,MATCH('D- Benefits &amp; Burdens'!$E150&amp;'D- Benefits &amp; Burdens'!$F150,LCI!$B$2:$B$137&amp;LCI!$D$2:$D$137,0))*$C150*$D150</f>
        <v>-4.5780043053024E-4</v>
      </c>
      <c r="I163" s="154" cm="1">
        <f t="array" ref="I163">INDEX(LCI!J$2:J$137,MATCH('D- Benefits &amp; Burdens'!$E151&amp;'D- Benefits &amp; Burdens'!$F151,LCI!$B$2:$B$137&amp;LCI!$D$2:$D$137,0))*$C151*$D151</f>
        <v>-6.0865324415279999E-4</v>
      </c>
      <c r="J163" s="154" cm="1">
        <f t="array" ref="J163">INDEX(LCI!J$2:J$137,MATCH('D- Benefits &amp; Burdens'!$E152&amp;'D- Benefits &amp; Burdens'!$F152,LCI!$B$2:$B$137&amp;LCI!$D$2:$D$137,0))*$C152*$D152</f>
        <v>-2.5776015939993602E-3</v>
      </c>
      <c r="K163" s="154" cm="1">
        <f t="array" ref="K163">INDEX(LCI!J$2:J$137,MATCH('D- Benefits &amp; Burdens'!$E153&amp;'D- Benefits &amp; Burdens'!$F153,LCI!$B$2:$B$137&amp;LCI!$D$2:$D$137,0))*$C153*$D153</f>
        <v>-1.380360990816E-3</v>
      </c>
      <c r="L163" s="154">
        <f t="shared" si="4"/>
        <v>2.7751007126025963E-3</v>
      </c>
      <c r="M163" s="154">
        <f t="shared" si="5"/>
        <v>-7.0959739433184649E-2</v>
      </c>
      <c r="N163" s="154">
        <f t="shared" si="6"/>
        <v>-6.8184638720582058E-2</v>
      </c>
    </row>
    <row r="164" spans="1:14" ht="14" customHeight="1" x14ac:dyDescent="0.35">
      <c r="A164" s="53" t="s">
        <v>282</v>
      </c>
      <c r="B164" s="154" cm="1">
        <f t="array" ref="B164">INDEX(LCI!K$2:K$137,MATCH('D- Benefits &amp; Burdens'!$E$30&amp;'D- Benefits &amp; Burdens'!$F$30,LCI!$B$2:$B$137&amp;LCI!$D$2:$D$137,0))*IF(AND($E30="Truck",$F30="Electric"),$B$26,1)*$D$30*$C$30</f>
        <v>5.6611948749999996</v>
      </c>
      <c r="C164" s="154">
        <f>SUM(K106:K109)</f>
        <v>0.76014788075498918</v>
      </c>
      <c r="D164" s="154" cm="1">
        <f t="array" ref="D164">INDEX(LCI!K$2:K$137,MATCH('D- Benefits &amp; Burdens'!$B139&amp;'D- Benefits &amp; Burdens'!$D139,LCI!$B$2:$B$137&amp;LCI!$D$2:$D$137,0))*$C$139</f>
        <v>-12.334291199999999</v>
      </c>
      <c r="E164" s="154" cm="1">
        <f t="array" ref="E164">INDEX(LCI!K$2:K$137,MATCH('D- Benefits &amp; Burdens'!$B140&amp;'D- Benefits &amp; Burdens'!$D140,LCI!$B$2:$B$137&amp;LCI!$D$2:$D$137,0))*$C$140</f>
        <v>-0.93100043186025327</v>
      </c>
      <c r="F164" s="154">
        <f>INDEX(LCI!K$2:K$137,MATCH('D- Benefits &amp; Burdens'!$B$141,LCI!$D$2:$D$137,0))*$C$141</f>
        <v>-0.75900889721440212</v>
      </c>
      <c r="G164" s="154">
        <f>INDEX(LCI!K$2:K$137,MATCH('D- Benefits &amp; Burdens'!$B$142,LCI!$D$2:$D$137,0))*$C$142</f>
        <v>-1.0131197910789436</v>
      </c>
      <c r="H164" s="154" cm="1">
        <f t="array" ref="H164">INDEX(LCI!K$2:K$137,MATCH('D- Benefits &amp; Burdens'!$E150&amp;'D- Benefits &amp; Burdens'!$F150,LCI!$B$2:$B$137&amp;LCI!$D$2:$D$137,0))*$C150*$D150</f>
        <v>-0.98996907173093995</v>
      </c>
      <c r="I164" s="154" cm="1">
        <f t="array" ref="I164">INDEX(LCI!K$2:K$137,MATCH('D- Benefits &amp; Burdens'!$E151&amp;'D- Benefits &amp; Burdens'!$F151,LCI!$B$2:$B$137&amp;LCI!$D$2:$D$137,0))*$C151*$D151</f>
        <v>-1.3161802544005501</v>
      </c>
      <c r="J164" s="154" cm="1">
        <f t="array" ref="J164">INDEX(LCI!K$2:K$137,MATCH('D- Benefits &amp; Burdens'!$E152&amp;'D- Benefits &amp; Burdens'!$F152,LCI!$B$2:$B$137&amp;LCI!$D$2:$D$137,0))*$C152*$D152</f>
        <v>-5.5739262943641608</v>
      </c>
      <c r="K164" s="154" cm="1">
        <f t="array" ref="K164">INDEX(LCI!K$2:K$137,MATCH('D- Benefits &amp; Burdens'!$E153&amp;'D- Benefits &amp; Burdens'!$F153,LCI!$B$2:$B$137&amp;LCI!$D$2:$D$137,0))*$C153*$D153</f>
        <v>-2.9849571944459998</v>
      </c>
      <c r="L164" s="154">
        <f t="shared" si="4"/>
        <v>6.4213427557549885</v>
      </c>
      <c r="M164" s="154">
        <f t="shared" si="5"/>
        <v>-25.90245313509525</v>
      </c>
      <c r="N164" s="154">
        <f t="shared" si="6"/>
        <v>-19.481110379340262</v>
      </c>
    </row>
    <row r="165" spans="1:14" ht="14" customHeight="1" x14ac:dyDescent="0.35">
      <c r="A165" s="53" t="s">
        <v>283</v>
      </c>
      <c r="B165" s="154" cm="1">
        <f t="array" ref="B165">INDEX(LCI!L$2:L$137,MATCH('D- Benefits &amp; Burdens'!$E$30&amp;'D- Benefits &amp; Burdens'!$F$30,LCI!$B$2:$B$137&amp;LCI!$D$2:$D$137,0))*IF(AND($E30="Truck",$F30="Electric"),$B$26,1)*$D$30*$C$30</f>
        <v>4.4537149999999997E-4</v>
      </c>
      <c r="C165" s="154">
        <f>SUM(L106:L109)</f>
        <v>3.3624161392820239E-5</v>
      </c>
      <c r="D165" s="154" cm="1">
        <f t="array" ref="D165">INDEX(LCI!L$2:L$137,MATCH('D- Benefits &amp; Burdens'!$B139&amp;'D- Benefits &amp; Burdens'!$D139,LCI!$B$2:$B$137&amp;LCI!$D$2:$D$137,0))*$C$139</f>
        <v>-6.1905060000000001E-3</v>
      </c>
      <c r="E165" s="154" cm="1">
        <f t="array" ref="E165">INDEX(LCI!L$2:L$137,MATCH('D- Benefits &amp; Burdens'!$B140&amp;'D- Benefits &amp; Burdens'!$D140,LCI!$B$2:$B$137&amp;LCI!$D$2:$D$137,0))*$C$140</f>
        <v>-1.6011220246464912E-3</v>
      </c>
      <c r="F165" s="154">
        <f>INDEX(LCI!L$2:L$137,MATCH('D- Benefits &amp; Burdens'!$B$141,LCI!$D$2:$D$137,0))*$C$141</f>
        <v>-2.5036189279653651E-4</v>
      </c>
      <c r="G165" s="154">
        <f>INDEX(LCI!L$2:L$137,MATCH('D- Benefits &amp; Burdens'!$B$142,LCI!$D$2:$D$137,0))*$C$142</f>
        <v>-1.3940480556886E-4</v>
      </c>
      <c r="H165" s="154" cm="1">
        <f t="array" ref="H165">INDEX(LCI!L$2:L$137,MATCH('D- Benefits &amp; Burdens'!$E150&amp;'D- Benefits &amp; Burdens'!$F150,LCI!$B$2:$B$137&amp;LCI!$D$2:$D$137,0))*$C150*$D150</f>
        <v>-7.7881793537520005E-5</v>
      </c>
      <c r="I165" s="154" cm="1">
        <f t="array" ref="I165">INDEX(LCI!L$2:L$137,MATCH('D- Benefits &amp; Burdens'!$E151&amp;'D- Benefits &amp; Burdens'!$F151,LCI!$B$2:$B$137&amp;LCI!$D$2:$D$137,0))*$C151*$D151</f>
        <v>-1.0354513262940002E-4</v>
      </c>
      <c r="J165" s="154" cm="1">
        <f t="array" ref="J165">INDEX(LCI!L$2:L$137,MATCH('D- Benefits &amp; Burdens'!$E152&amp;'D- Benefits &amp; Burdens'!$F152,LCI!$B$2:$B$137&amp;LCI!$D$2:$D$137,0))*$C152*$D152</f>
        <v>-4.3850599907328006E-4</v>
      </c>
      <c r="K165" s="154" cm="1">
        <f t="array" ref="K165">INDEX(LCI!L$2:L$137,MATCH('D- Benefits &amp; Burdens'!$E153&amp;'D- Benefits &amp; Burdens'!$F153,LCI!$B$2:$B$137&amp;LCI!$D$2:$D$137,0))*$C153*$D153</f>
        <v>-2.3482937656799999E-4</v>
      </c>
      <c r="L165" s="154">
        <f t="shared" si="4"/>
        <v>4.7899566139282019E-4</v>
      </c>
      <c r="M165" s="154">
        <f t="shared" si="5"/>
        <v>-9.0361570248200882E-3</v>
      </c>
      <c r="N165" s="154">
        <f t="shared" si="6"/>
        <v>-8.5571613634272681E-3</v>
      </c>
    </row>
    <row r="166" spans="1:14" ht="14" customHeight="1" x14ac:dyDescent="0.35">
      <c r="A166" s="53" t="s">
        <v>284</v>
      </c>
      <c r="B166" s="154" cm="1">
        <f t="array" ref="B166">INDEX(LCI!M$2:M$137,MATCH('D- Benefits &amp; Burdens'!$E$30&amp;'D- Benefits &amp; Burdens'!$F$30,LCI!$B$2:$B$137&amp;LCI!$D$2:$D$137,0))*IF(AND($E30="Truck",$F30="Electric"),$B$26,1)*$D$30*$C$30</f>
        <v>4.81378898</v>
      </c>
      <c r="C166" s="154">
        <f>SUM(M106:M109)</f>
        <v>0.33594090053099462</v>
      </c>
      <c r="D166" s="154" cm="1">
        <f t="array" ref="D166">INDEX(LCI!M$2:M$137,MATCH('D- Benefits &amp; Burdens'!$B139&amp;'D- Benefits &amp; Burdens'!$D139,LCI!$B$2:$B$137&amp;LCI!$D$2:$D$137,0))*$C$139</f>
        <v>-665.77139999999997</v>
      </c>
      <c r="E166" s="154" cm="1">
        <f t="array" ref="E166">INDEX(LCI!M$2:M$137,MATCH('D- Benefits &amp; Burdens'!$B140&amp;'D- Benefits &amp; Burdens'!$D140,LCI!$B$2:$B$137&amp;LCI!$D$2:$D$137,0))*$C$140</f>
        <v>-2.9572357625819019</v>
      </c>
      <c r="F166" s="154">
        <f>INDEX(LCI!M$2:M$137,MATCH('D- Benefits &amp; Burdens'!$B$141,LCI!$D$2:$D$137,0))*$C$141</f>
        <v>-7.5255544780829347</v>
      </c>
      <c r="G166" s="154">
        <f>INDEX(LCI!M$2:M$137,MATCH('D- Benefits &amp; Burdens'!$B$142,LCI!$D$2:$D$137,0))*$C$142</f>
        <v>-0.86515576199929611</v>
      </c>
      <c r="H166" s="154" cm="1">
        <f t="array" ref="H166">INDEX(LCI!M$2:M$137,MATCH('D- Benefits &amp; Burdens'!$E150&amp;'D- Benefits &amp; Burdens'!$F150,LCI!$B$2:$B$137&amp;LCI!$D$2:$D$137,0))*$C150*$D150</f>
        <v>-0.84178381300453442</v>
      </c>
      <c r="I166" s="154" cm="1">
        <f t="array" ref="I166">INDEX(LCI!M$2:M$137,MATCH('D- Benefits &amp; Burdens'!$E151&amp;'D- Benefits &amp; Burdens'!$F151,LCI!$B$2:$B$137&amp;LCI!$D$2:$D$137,0))*$C151*$D151</f>
        <v>-1.1191655020225681</v>
      </c>
      <c r="J166" s="154" cm="1">
        <f t="array" ref="J166">INDEX(LCI!M$2:M$137,MATCH('D- Benefits &amp; Burdens'!$E152&amp;'D- Benefits &amp; Burdens'!$F152,LCI!$B$2:$B$137&amp;LCI!$D$2:$D$137,0))*$C152*$D152</f>
        <v>-4.7395833500860425</v>
      </c>
      <c r="K166" s="154" cm="1">
        <f t="array" ref="K166">INDEX(LCI!M$2:M$137,MATCH('D- Benefits &amp; Burdens'!$E153&amp;'D- Benefits &amp; Burdens'!$F153,LCI!$B$2:$B$137&amp;LCI!$D$2:$D$137,0))*$C153*$D153</f>
        <v>-2.53814863569696</v>
      </c>
      <c r="L166" s="154">
        <f t="shared" si="4"/>
        <v>5.1497298805309946</v>
      </c>
      <c r="M166" s="154">
        <f t="shared" si="5"/>
        <v>-686.35802730347427</v>
      </c>
      <c r="N166" s="154">
        <f t="shared" si="6"/>
        <v>-681.20829742294325</v>
      </c>
    </row>
    <row r="167" spans="1:14" ht="14" customHeight="1" x14ac:dyDescent="0.35">
      <c r="A167" s="53" t="s">
        <v>285</v>
      </c>
      <c r="B167" s="154" cm="1">
        <f t="array" ref="B167">INDEX(LCI!N$2:N$137,MATCH('D- Benefits &amp; Burdens'!$E$30&amp;'D- Benefits &amp; Burdens'!$F$30,LCI!$B$2:$B$137&amp;LCI!$D$2:$D$137,0))*IF(AND($E30="Truck",$F30="Electric"),$B$26,1)*$D$30*$C$30</f>
        <v>76.157886349999984</v>
      </c>
      <c r="C167" s="154">
        <f>SUM(N106:N109)</f>
        <v>10.099329724872872</v>
      </c>
      <c r="D167" s="154" cm="1">
        <f t="array" ref="D167">INDEX(LCI!N$2:N$137,MATCH('D- Benefits &amp; Burdens'!$B139&amp;'D- Benefits &amp; Burdens'!$D139,LCI!$B$2:$B$137&amp;LCI!$D$2:$D$137,0))*$C$139</f>
        <v>-1069.9063200000001</v>
      </c>
      <c r="E167" s="154" cm="1">
        <f t="array" ref="E167">INDEX(LCI!N$2:N$137,MATCH('D- Benefits &amp; Burdens'!$B140&amp;'D- Benefits &amp; Burdens'!$D140,LCI!$B$2:$B$137&amp;LCI!$D$2:$D$137,0))*$C$140</f>
        <v>-15.864297627135885</v>
      </c>
      <c r="F167" s="154">
        <f>INDEX(LCI!N$2:N$137,MATCH('D- Benefits &amp; Burdens'!$B$141,LCI!$D$2:$D$137,0))*$C$141</f>
        <v>-10.791774022823558</v>
      </c>
      <c r="G167" s="154">
        <f>INDEX(LCI!N$2:N$137,MATCH('D- Benefits &amp; Burdens'!$B$142,LCI!$D$2:$D$137,0))*$C$142</f>
        <v>-13.16743971431517</v>
      </c>
      <c r="H167" s="154" cm="1">
        <f t="array" ref="H167">INDEX(LCI!N$2:N$137,MATCH('D- Benefits &amp; Burdens'!$E150&amp;'D- Benefits &amp; Burdens'!$F150,LCI!$B$2:$B$137&amp;LCI!$D$2:$D$137,0))*$C150*$D150</f>
        <v>-13.317674752346328</v>
      </c>
      <c r="I167" s="154" cm="1">
        <f t="array" ref="I167">INDEX(LCI!N$2:N$137,MATCH('D- Benefits &amp; Burdens'!$E151&amp;'D- Benefits &amp; Burdens'!$F151,LCI!$B$2:$B$137&amp;LCI!$D$2:$D$137,0))*$C151*$D151</f>
        <v>-17.706068850129661</v>
      </c>
      <c r="J167" s="154" cm="1">
        <f t="array" ref="J167">INDEX(LCI!N$2:N$137,MATCH('D- Benefits &amp; Burdens'!$E152&amp;'D- Benefits &amp; Burdens'!$F152,LCI!$B$2:$B$137&amp;LCI!$D$2:$D$137,0))*$C152*$D152</f>
        <v>-74.983895559585804</v>
      </c>
      <c r="K167" s="154" cm="1">
        <f t="array" ref="K167">INDEX(LCI!N$2:N$137,MATCH('D- Benefits &amp; Burdens'!$E153&amp;'D- Benefits &amp; Burdens'!$F153,LCI!$B$2:$B$137&amp;LCI!$D$2:$D$137,0))*$C153*$D153</f>
        <v>-40.155485863615191</v>
      </c>
      <c r="L167" s="154">
        <f t="shared" si="4"/>
        <v>86.257216074872858</v>
      </c>
      <c r="M167" s="154">
        <f t="shared" si="5"/>
        <v>-1255.8929563899517</v>
      </c>
      <c r="N167" s="154">
        <f t="shared" si="6"/>
        <v>-1169.6357403150789</v>
      </c>
    </row>
    <row r="168" spans="1:14" ht="14" customHeight="1" x14ac:dyDescent="0.35">
      <c r="A168" s="53" t="s">
        <v>286</v>
      </c>
      <c r="B168" s="154" cm="1">
        <f t="array" ref="B168">INDEX(LCI!O$2:O$137,MATCH('D- Benefits &amp; Burdens'!$E$30&amp;'D- Benefits &amp; Burdens'!$F$30,LCI!$B$2:$B$137&amp;LCI!$D$2:$D$137,0))*IF(AND($E30="Truck",$F30="Electric"),$B$26,1)*$D$30*$C$30</f>
        <v>1.3030499999999999E-4</v>
      </c>
      <c r="C168" s="154">
        <f>SUM(O106:O109)</f>
        <v>8.0378071638972046E-6</v>
      </c>
      <c r="D168" s="154" cm="1">
        <f t="array" ref="D168">INDEX(LCI!O$2:O$137,MATCH('D- Benefits &amp; Burdens'!$B139&amp;'D- Benefits &amp; Burdens'!$D139,LCI!$B$2:$B$137&amp;LCI!$D$2:$D$137,0))*$C$139</f>
        <v>-1.0395377999999999E-5</v>
      </c>
      <c r="E168" s="154" cm="1">
        <f t="array" ref="E168">INDEX(LCI!O$2:O$137,MATCH('D- Benefits &amp; Burdens'!$B140&amp;'D- Benefits &amp; Burdens'!$D140,LCI!$B$2:$B$137&amp;LCI!$D$2:$D$137,0))*$C$140</f>
        <v>-5.6926113903009868E-4</v>
      </c>
      <c r="F168" s="154">
        <f>INDEX(LCI!O$2:O$137,MATCH('D- Benefits &amp; Burdens'!$B$141,LCI!$D$2:$D$137,0))*$C$141</f>
        <v>-5.6275216266641469E-5</v>
      </c>
      <c r="G168" s="154">
        <f>INDEX(LCI!O$2:O$137,MATCH('D- Benefits &amp; Burdens'!$B$142,LCI!$D$2:$D$137,0))*$C$142</f>
        <v>-4.5690197620322211E-5</v>
      </c>
      <c r="H168" s="154" cm="1">
        <f t="array" ref="H168">INDEX(LCI!O$2:O$137,MATCH('D- Benefits &amp; Burdens'!$E150&amp;'D- Benefits &amp; Burdens'!$F150,LCI!$B$2:$B$137&amp;LCI!$D$2:$D$137,0))*$C150*$D150</f>
        <v>-2.2786341530400002E-5</v>
      </c>
      <c r="I168" s="154" cm="1">
        <f t="array" ref="I168">INDEX(LCI!O$2:O$137,MATCH('D- Benefits &amp; Burdens'!$E151&amp;'D- Benefits &amp; Burdens'!$F151,LCI!$B$2:$B$137&amp;LCI!$D$2:$D$137,0))*$C151*$D151</f>
        <v>-3.0294817938E-5</v>
      </c>
      <c r="J168" s="154" cm="1">
        <f t="array" ref="J168">INDEX(LCI!O$2:O$137,MATCH('D- Benefits &amp; Burdens'!$E152&amp;'D- Benefits &amp; Burdens'!$F152,LCI!$B$2:$B$137&amp;LCI!$D$2:$D$137,0))*$C152*$D152</f>
        <v>-1.2829631938560002E-4</v>
      </c>
      <c r="K168" s="154" cm="1">
        <f t="array" ref="K168">INDEX(LCI!O$2:O$137,MATCH('D- Benefits &amp; Burdens'!$E153&amp;'D- Benefits &amp; Burdens'!$F153,LCI!$B$2:$B$137&amp;LCI!$D$2:$D$137,0))*$C153*$D153</f>
        <v>-6.8705433359999999E-5</v>
      </c>
      <c r="L168" s="154">
        <f t="shared" si="4"/>
        <v>1.383428071638972E-4</v>
      </c>
      <c r="M168" s="154">
        <f t="shared" si="5"/>
        <v>-9.3170484313106225E-4</v>
      </c>
      <c r="N168" s="154">
        <f t="shared" si="6"/>
        <v>-7.9336203596716505E-4</v>
      </c>
    </row>
    <row r="169" spans="1:14" ht="14" customHeight="1" x14ac:dyDescent="0.35">
      <c r="A169" s="53" t="s">
        <v>287</v>
      </c>
      <c r="B169" s="154" cm="1">
        <f t="array" ref="B169">INDEX(LCI!P$2:P$137,MATCH('D- Benefits &amp; Burdens'!$E$30&amp;'D- Benefits &amp; Burdens'!$F$30,LCI!$B$2:$B$137&amp;LCI!$D$2:$D$137,0))*IF(AND($E30="Truck",$F30="Electric"),$B$26,1)*$D$30*$C$30</f>
        <v>5.5598899999999996E-3</v>
      </c>
      <c r="C169" s="154">
        <f>SUM(P106:P109)</f>
        <v>2.1981968836628309E-4</v>
      </c>
      <c r="D169" s="154" cm="1">
        <f t="array" ref="D169">INDEX(LCI!P$2:P$137,MATCH('D- Benefits &amp; Burdens'!$B139&amp;'D- Benefits &amp; Burdens'!$D139,LCI!$B$2:$B$137&amp;LCI!$D$2:$D$137,0))*$C$139</f>
        <v>-1.03720176E-2</v>
      </c>
      <c r="E169" s="154" cm="1">
        <f t="array" ref="E169">INDEX(LCI!P$2:P$137,MATCH('D- Benefits &amp; Burdens'!$B140&amp;'D- Benefits &amp; Burdens'!$D140,LCI!$B$2:$B$137&amp;LCI!$D$2:$D$137,0))*$C$140</f>
        <v>-1.6414777326539999E-3</v>
      </c>
      <c r="F169" s="154">
        <f>INDEX(LCI!P$2:P$137,MATCH('D- Benefits &amp; Burdens'!$B$141,LCI!$D$2:$D$137,0))*$C$141</f>
        <v>-5.2644061437122488E-3</v>
      </c>
      <c r="G169" s="154">
        <f>INDEX(LCI!P$2:P$137,MATCH('D- Benefits &amp; Burdens'!$B$142,LCI!$D$2:$D$137,0))*$C$142</f>
        <v>-4.0986453918732376E-3</v>
      </c>
      <c r="H169" s="154" cm="1">
        <f t="array" ref="H169">INDEX(LCI!P$2:P$137,MATCH('D- Benefits &amp; Burdens'!$E150&amp;'D- Benefits &amp; Burdens'!$F150,LCI!$B$2:$B$137&amp;LCI!$D$2:$D$137,0))*$C150*$D150</f>
        <v>-9.7225396117919989E-4</v>
      </c>
      <c r="I169" s="154" cm="1">
        <f t="array" ref="I169">INDEX(LCI!P$2:P$137,MATCH('D- Benefits &amp; Burdens'!$E151&amp;'D- Benefits &amp; Burdens'!$F151,LCI!$B$2:$B$137&amp;LCI!$D$2:$D$137,0))*$C151*$D151</f>
        <v>-1.2926277219239999E-3</v>
      </c>
      <c r="J169" s="154" cm="1">
        <f t="array" ref="J169">INDEX(LCI!P$2:P$137,MATCH('D- Benefits &amp; Burdens'!$E152&amp;'D- Benefits &amp; Burdens'!$F152,LCI!$B$2:$B$137&amp;LCI!$D$2:$D$137,0))*$C152*$D152</f>
        <v>-5.4741830565888001E-3</v>
      </c>
      <c r="K169" s="154" cm="1">
        <f t="array" ref="K169">INDEX(LCI!P$2:P$137,MATCH('D- Benefits &amp; Burdens'!$E153&amp;'D- Benefits &amp; Burdens'!$F153,LCI!$B$2:$B$137&amp;LCI!$D$2:$D$137,0))*$C153*$D153</f>
        <v>-2.9315425492799996E-3</v>
      </c>
      <c r="L169" s="154">
        <f t="shared" si="4"/>
        <v>5.7797096883662824E-3</v>
      </c>
      <c r="M169" s="154">
        <f t="shared" si="5"/>
        <v>-3.2047154157211488E-2</v>
      </c>
      <c r="N169" s="154">
        <f t="shared" si="6"/>
        <v>-2.6267444468845207E-2</v>
      </c>
    </row>
    <row r="170" spans="1:14" ht="14" customHeight="1" x14ac:dyDescent="0.35">
      <c r="A170" s="53" t="s">
        <v>288</v>
      </c>
      <c r="B170" s="154" cm="1">
        <f t="array" ref="B170">INDEX(LCI!Q$2:Q$137,MATCH('D- Benefits &amp; Burdens'!$E$30&amp;'D- Benefits &amp; Burdens'!$F$30,LCI!$B$2:$B$137&amp;LCI!$D$2:$D$137,0))*IF(AND($E30="Truck",$F30="Electric"),$B$26,1)*$D$30*$C$30</f>
        <v>6.0649924999999986E-2</v>
      </c>
      <c r="C170" s="154">
        <f>SUM(Q106:Q109)</f>
        <v>2.3897108838200898E-3</v>
      </c>
      <c r="D170" s="154" cm="1">
        <f t="array" ref="D170">INDEX(LCI!Q$2:Q$137,MATCH('D- Benefits &amp; Burdens'!$B139&amp;'D- Benefits &amp; Burdens'!$D139,LCI!$B$2:$B$137&amp;LCI!$D$2:$D$137,0))*$C$139</f>
        <v>-0.11353154400000001</v>
      </c>
      <c r="E170" s="154" cm="1">
        <f t="array" ref="E170">INDEX(LCI!Q$2:Q$137,MATCH('D- Benefits &amp; Burdens'!$B140&amp;'D- Benefits &amp; Burdens'!$D140,LCI!$B$2:$B$137&amp;LCI!$D$2:$D$137,0))*$C$140</f>
        <v>-1.9456079493570384E-2</v>
      </c>
      <c r="F170" s="154">
        <f>INDEX(LCI!Q$2:Q$137,MATCH('D- Benefits &amp; Burdens'!$B$141,LCI!$D$2:$D$137,0))*$C$141</f>
        <v>-7.3426905431849876E-2</v>
      </c>
      <c r="G170" s="154">
        <f>INDEX(LCI!Q$2:Q$137,MATCH('D- Benefits &amp; Burdens'!$B$142,LCI!$D$2:$D$137,0))*$C$142</f>
        <v>-4.5015356269378845E-2</v>
      </c>
      <c r="H170" s="154" cm="1">
        <f t="array" ref="H170">INDEX(LCI!Q$2:Q$137,MATCH('D- Benefits &amp; Burdens'!$E150&amp;'D- Benefits &amp; Burdens'!$F150,LCI!$B$2:$B$137&amp;LCI!$D$2:$D$137,0))*$C150*$D150</f>
        <v>-1.0605808716803999E-2</v>
      </c>
      <c r="I170" s="154" cm="1">
        <f t="array" ref="I170">INDEX(LCI!Q$2:Q$137,MATCH('D- Benefits &amp; Burdens'!$E151&amp;'D- Benefits &amp; Burdens'!$F151,LCI!$B$2:$B$137&amp;LCI!$D$2:$D$137,0))*$C151*$D151</f>
        <v>-1.410059810313E-2</v>
      </c>
      <c r="J170" s="154" cm="1">
        <f t="array" ref="J170">INDEX(LCI!Q$2:Q$137,MATCH('D- Benefits &amp; Burdens'!$E152&amp;'D- Benefits &amp; Burdens'!$F152,LCI!$B$2:$B$137&amp;LCI!$D$2:$D$137,0))*$C152*$D152</f>
        <v>-5.9714992889856003E-2</v>
      </c>
      <c r="K170" s="154" cm="1">
        <f t="array" ref="K170">INDEX(LCI!Q$2:Q$137,MATCH('D- Benefits &amp; Burdens'!$E153&amp;'D- Benefits &amp; Burdens'!$F153,LCI!$B$2:$B$137&amp;LCI!$D$2:$D$137,0))*$C153*$D153</f>
        <v>-3.1978660683599995E-2</v>
      </c>
      <c r="L170" s="154">
        <f t="shared" si="4"/>
        <v>6.3039635883820083E-2</v>
      </c>
      <c r="M170" s="154">
        <f t="shared" si="5"/>
        <v>-0.36782994558818916</v>
      </c>
      <c r="N170" s="154">
        <f t="shared" si="6"/>
        <v>-0.30479030970436904</v>
      </c>
    </row>
    <row r="171" spans="1:14" ht="14" customHeight="1" x14ac:dyDescent="0.35">
      <c r="A171" s="53" t="s">
        <v>289</v>
      </c>
      <c r="B171" s="154" cm="1">
        <f t="array" ref="B171">INDEX(LCI!R$2:R$137,MATCH('D- Benefits &amp; Burdens'!$E$30&amp;'D- Benefits &amp; Burdens'!$F$30,LCI!$B$2:$B$137&amp;LCI!$D$2:$D$137,0))*IF(AND($E30="Truck",$F30="Electric"),$B$26,1)*$D$30*$C$30</f>
        <v>5.294485E-10</v>
      </c>
      <c r="C171" s="154">
        <f>SUM(R106:R109)</f>
        <v>4.6464702038275903E-11</v>
      </c>
      <c r="D171" s="154" cm="1">
        <f t="array" ref="D171">INDEX(LCI!R$2:R$137,MATCH('D- Benefits &amp; Burdens'!$B139&amp;'D- Benefits &amp; Burdens'!$D139,LCI!$B$2:$B$137&amp;LCI!$D$2:$D$137,0))*$C$139</f>
        <v>-1.1586758400000001E-8</v>
      </c>
      <c r="E171" s="154" cm="1">
        <f t="array" ref="E171">INDEX(LCI!R$2:R$137,MATCH('D- Benefits &amp; Burdens'!$B140&amp;'D- Benefits &amp; Burdens'!$D140,LCI!$B$2:$B$137&amp;LCI!$D$2:$D$137,0))*$C$140</f>
        <v>-1.9522320984513078E-10</v>
      </c>
      <c r="F171" s="154">
        <f>INDEX(LCI!R$2:R$137,MATCH('D- Benefits &amp; Burdens'!$B$141,LCI!$D$2:$D$137,0))*$C$141</f>
        <v>-1.372537038332449E-10</v>
      </c>
      <c r="G171" s="154">
        <f>INDEX(LCI!R$2:R$137,MATCH('D- Benefits &amp; Burdens'!$B$142,LCI!$D$2:$D$137,0))*$C$142</f>
        <v>-1.1917000506180149E-10</v>
      </c>
      <c r="H171" s="154" cm="1">
        <f t="array" ref="H171">INDEX(LCI!R$2:R$137,MATCH('D- Benefits &amp; Burdens'!$E150&amp;'D- Benefits &amp; Burdens'!$F150,LCI!$B$2:$B$137&amp;LCI!$D$2:$D$137,0))*$C150*$D150</f>
        <v>-9.2584277992079997E-11</v>
      </c>
      <c r="I171" s="154" cm="1">
        <f t="array" ref="I171">INDEX(LCI!R$2:R$137,MATCH('D- Benefits &amp; Burdens'!$E151&amp;'D- Benefits &amp; Burdens'!$F151,LCI!$B$2:$B$137&amp;LCI!$D$2:$D$137,0))*$C151*$D151</f>
        <v>-1.2309232888259999E-10</v>
      </c>
      <c r="J171" s="154" cm="1">
        <f t="array" ref="J171">INDEX(LCI!R$2:R$137,MATCH('D- Benefits &amp; Burdens'!$E152&amp;'D- Benefits &amp; Burdens'!$F152,LCI!$B$2:$B$137&amp;LCI!$D$2:$D$137,0))*$C152*$D152</f>
        <v>-5.2128693338112003E-10</v>
      </c>
      <c r="K171" s="154" cm="1">
        <f t="array" ref="K171">INDEX(LCI!R$2:R$137,MATCH('D- Benefits &amp; Burdens'!$E153&amp;'D- Benefits &amp; Burdens'!$F153,LCI!$B$2:$B$137&amp;LCI!$D$2:$D$137,0))*$C153*$D153</f>
        <v>-2.7916034407200001E-10</v>
      </c>
      <c r="L171" s="154">
        <f t="shared" si="4"/>
        <v>5.7591320203827593E-10</v>
      </c>
      <c r="M171" s="154">
        <f t="shared" si="5"/>
        <v>-1.3054529203067979E-8</v>
      </c>
      <c r="N171" s="154">
        <f t="shared" si="6"/>
        <v>-1.2478616001029703E-8</v>
      </c>
    </row>
    <row r="172" spans="1:14" ht="14" customHeight="1" x14ac:dyDescent="0.35">
      <c r="A172" s="53" t="s">
        <v>290</v>
      </c>
      <c r="B172" s="154" cm="1">
        <f t="array" ref="B172">INDEX(LCI!S$2:S$137,MATCH('D- Benefits &amp; Burdens'!$E$30&amp;'D- Benefits &amp; Burdens'!$F$30,LCI!$B$2:$B$137&amp;LCI!$D$2:$D$137,0))*IF(AND($E30="Truck",$F30="Electric"),$B$26,1)*$D$30*$C$30</f>
        <v>4.059475E-8</v>
      </c>
      <c r="C172" s="154">
        <f>SUM(S106:S109)</f>
        <v>1.2384739377919393E-9</v>
      </c>
      <c r="D172" s="154" cm="1">
        <f t="array" ref="D172">INDEX(LCI!S$2:S$137,MATCH('D- Benefits &amp; Burdens'!$B139&amp;'D- Benefits &amp; Burdens'!$D139,LCI!$B$2:$B$137&amp;LCI!$D$2:$D$137,0))*$C$139</f>
        <v>-3.3405372E-7</v>
      </c>
      <c r="E172" s="154" cm="1">
        <f t="array" ref="E172">INDEX(LCI!S$2:S$137,MATCH('D- Benefits &amp; Burdens'!$B140&amp;'D- Benefits &amp; Burdens'!$D140,LCI!$B$2:$B$137&amp;LCI!$D$2:$D$137,0))*$C$140</f>
        <v>-7.417745436868156E-9</v>
      </c>
      <c r="F172" s="154">
        <f>INDEX(LCI!S$2:S$137,MATCH('D- Benefits &amp; Burdens'!$B$141,LCI!$D$2:$D$137,0))*$C$141</f>
        <v>-3.6435167362792405E-9</v>
      </c>
      <c r="G172" s="154">
        <f>INDEX(LCI!S$2:S$137,MATCH('D- Benefits &amp; Burdens'!$B$142,LCI!$D$2:$D$137,0))*$C$142</f>
        <v>-1.9208638110406951E-9</v>
      </c>
      <c r="H172" s="154" cm="1">
        <f t="array" ref="H172">INDEX(LCI!S$2:S$137,MATCH('D- Benefits &amp; Burdens'!$E150&amp;'D- Benefits &amp; Burdens'!$F150,LCI!$B$2:$B$137&amp;LCI!$D$2:$D$137,0))*$C150*$D150</f>
        <v>-7.0987747042800001E-9</v>
      </c>
      <c r="I172" s="154" cm="1">
        <f t="array" ref="I172">INDEX(LCI!S$2:S$137,MATCH('D- Benefits &amp; Burdens'!$E151&amp;'D- Benefits &amp; Burdens'!$F151,LCI!$B$2:$B$137&amp;LCI!$D$2:$D$137,0))*$C151*$D151</f>
        <v>-9.4379383791000014E-9</v>
      </c>
      <c r="J172" s="154" cm="1">
        <f t="array" ref="J172">INDEX(LCI!S$2:S$137,MATCH('D- Benefits &amp; Burdens'!$E152&amp;'D- Benefits &amp; Burdens'!$F152,LCI!$B$2:$B$137&amp;LCI!$D$2:$D$137,0))*$C152*$D152</f>
        <v>-3.9968972881920007E-8</v>
      </c>
      <c r="K172" s="154" cm="1">
        <f t="array" ref="K172">INDEX(LCI!S$2:S$137,MATCH('D- Benefits &amp; Burdens'!$E153&amp;'D- Benefits &amp; Burdens'!$F153,LCI!$B$2:$B$137&amp;LCI!$D$2:$D$137,0))*$C153*$D153</f>
        <v>-2.1404243052E-8</v>
      </c>
      <c r="L172" s="154">
        <f t="shared" si="4"/>
        <v>4.1833223937791942E-8</v>
      </c>
      <c r="M172" s="154">
        <f t="shared" si="5"/>
        <v>-4.2494577500148811E-7</v>
      </c>
      <c r="N172" s="154">
        <f t="shared" si="6"/>
        <v>-3.8311255106369617E-7</v>
      </c>
    </row>
    <row r="173" spans="1:14" ht="14" customHeight="1" x14ac:dyDescent="0.35">
      <c r="A173" s="53" t="s">
        <v>291</v>
      </c>
      <c r="B173" s="154" cm="1">
        <f t="array" ref="B173">INDEX(LCI!T$2:T$137,MATCH('D- Benefits &amp; Burdens'!$E$30&amp;'D- Benefits &amp; Burdens'!$F$30,LCI!$B$2:$B$137&amp;LCI!$D$2:$D$137,0))*IF(AND($E30="Truck",$F30="Electric"),$B$26,1)*$D$30*$C$30</f>
        <v>3.4286980000000002E-2</v>
      </c>
      <c r="C173" s="154">
        <f>SUM(T106:T109)</f>
        <v>3.0324074708544474E-3</v>
      </c>
      <c r="D173" s="154" cm="1">
        <f t="array" ref="D173">INDEX(LCI!T$2:T$137,MATCH('D- Benefits &amp; Burdens'!$B139&amp;'D- Benefits &amp; Burdens'!$D139,LCI!$B$2:$B$137&amp;LCI!$D$2:$D$137,0))*$C$139</f>
        <v>-0.17637101999999999</v>
      </c>
      <c r="E173" s="154" cm="1">
        <f t="array" ref="E173">INDEX(LCI!T$2:T$137,MATCH('D- Benefits &amp; Burdens'!$B140&amp;'D- Benefits &amp; Burdens'!$D140,LCI!$B$2:$B$137&amp;LCI!$D$2:$D$137,0))*$C$140</f>
        <v>-0.30454180078598542</v>
      </c>
      <c r="F173" s="154">
        <f>INDEX(LCI!T$2:T$137,MATCH('D- Benefits &amp; Burdens'!$B$141,LCI!$D$2:$D$137,0))*$C$141</f>
        <v>-2.8791530511477918E-2</v>
      </c>
      <c r="G173" s="154">
        <f>INDEX(LCI!T$2:T$137,MATCH('D- Benefits &amp; Burdens'!$B$142,LCI!$D$2:$D$137,0))*$C$142</f>
        <v>-8.6554156114640821E-3</v>
      </c>
      <c r="H173" s="154" cm="1">
        <f t="array" ref="H173">INDEX(LCI!T$2:T$137,MATCH('D- Benefits &amp; Burdens'!$E150&amp;'D- Benefits &amp; Burdens'!$F150,LCI!$B$2:$B$137&amp;LCI!$D$2:$D$137,0))*$C150*$D150</f>
        <v>-5.9957395059743995E-3</v>
      </c>
      <c r="I173" s="154" cm="1">
        <f t="array" ref="I173">INDEX(LCI!T$2:T$137,MATCH('D- Benefits &amp; Burdens'!$E151&amp;'D- Benefits &amp; Burdens'!$F151,LCI!$B$2:$B$137&amp;LCI!$D$2:$D$137,0))*$C151*$D151</f>
        <v>-7.9714348393679999E-3</v>
      </c>
      <c r="J173" s="154" cm="1">
        <f t="array" ref="J173">INDEX(LCI!T$2:T$137,MATCH('D- Benefits &amp; Burdens'!$E152&amp;'D- Benefits &amp; Burdens'!$F152,LCI!$B$2:$B$137&amp;LCI!$D$2:$D$137,0))*$C152*$D152</f>
        <v>-3.3758438562201599E-2</v>
      </c>
      <c r="K173" s="154" cm="1">
        <f t="array" ref="K173">INDEX(LCI!T$2:T$137,MATCH('D- Benefits &amp; Burdens'!$E153&amp;'D- Benefits &amp; Burdens'!$F153,LCI!$B$2:$B$137&amp;LCI!$D$2:$D$137,0))*$C153*$D153</f>
        <v>-1.8078368592959998E-2</v>
      </c>
      <c r="L173" s="154">
        <f t="shared" si="4"/>
        <v>3.7319387470854448E-2</v>
      </c>
      <c r="M173" s="154">
        <f t="shared" si="5"/>
        <v>-0.58416374840943142</v>
      </c>
      <c r="N173" s="154">
        <f t="shared" si="6"/>
        <v>-0.54684436093857691</v>
      </c>
    </row>
    <row r="174" spans="1:14" ht="14" customHeight="1" x14ac:dyDescent="0.35">
      <c r="A174" s="53" t="s">
        <v>292</v>
      </c>
      <c r="B174" s="154" cm="1">
        <f t="array" ref="B174">INDEX(LCI!U$2:U$137,MATCH('D- Benefits &amp; Burdens'!$E$30&amp;'D- Benefits &amp; Burdens'!$F$30,LCI!$B$2:$B$137&amp;LCI!$D$2:$D$137,0))*IF(AND($E30="Truck",$F30="Electric"),$B$26,1)*$D$30*$C$30</f>
        <v>4.7789643999999996</v>
      </c>
      <c r="C174" s="154">
        <f>SUM(U106:U109)</f>
        <v>0.51925126691056267</v>
      </c>
      <c r="D174" s="154" cm="1">
        <f t="array" ref="D174">INDEX(LCI!U$2:U$137,MATCH('D- Benefits &amp; Burdens'!$B139&amp;'D- Benefits &amp; Burdens'!$D139,LCI!$B$2:$B$137&amp;LCI!$D$2:$D$137,0))*$C$139</f>
        <v>-6.1437851999999999</v>
      </c>
      <c r="E174" s="154" cm="1">
        <f t="array" ref="E174">INDEX(LCI!U$2:U$137,MATCH('D- Benefits &amp; Burdens'!$B140&amp;'D- Benefits &amp; Burdens'!$D140,LCI!$B$2:$B$137&amp;LCI!$D$2:$D$137,0))*$C$140</f>
        <v>-4.8920568793900054</v>
      </c>
      <c r="F174" s="154">
        <f>INDEX(LCI!U$2:U$137,MATCH('D- Benefits &amp; Burdens'!$B$141,LCI!$D$2:$D$137,0))*$C$141</f>
        <v>-8.8760555023183514</v>
      </c>
      <c r="G174" s="154">
        <f>INDEX(LCI!U$2:U$137,MATCH('D- Benefits &amp; Burdens'!$B$142,LCI!$D$2:$D$137,0))*$C$142</f>
        <v>-475.08902869255985</v>
      </c>
      <c r="H174" s="154" cm="1">
        <f t="array" ref="H174">INDEX(LCI!U$2:U$137,MATCH('D- Benefits &amp; Burdens'!$E150&amp;'D- Benefits &amp; Burdens'!$F150,LCI!$B$2:$B$137&amp;LCI!$D$2:$D$137,0))*$C150*$D150</f>
        <v>-0.83569406377363198</v>
      </c>
      <c r="I174" s="154" cm="1">
        <f t="array" ref="I174">INDEX(LCI!U$2:U$137,MATCH('D- Benefits &amp; Burdens'!$E151&amp;'D- Benefits &amp; Burdens'!$F151,LCI!$B$2:$B$137&amp;LCI!$D$2:$D$137,0))*$C151*$D151</f>
        <v>-1.1110690796990401</v>
      </c>
      <c r="J174" s="154" cm="1">
        <f t="array" ref="J174">INDEX(LCI!U$2:U$137,MATCH('D- Benefits &amp; Burdens'!$E152&amp;'D- Benefits &amp; Burdens'!$F152,LCI!$B$2:$B$137&amp;LCI!$D$2:$D$137,0))*$C152*$D152</f>
        <v>-4.7052955987476484</v>
      </c>
      <c r="K174" s="154" cm="1">
        <f t="array" ref="K174">INDEX(LCI!U$2:U$137,MATCH('D- Benefits &amp; Burdens'!$E153&amp;'D- Benefits &amp; Burdens'!$F153,LCI!$B$2:$B$137&amp;LCI!$D$2:$D$137,0))*$C153*$D153</f>
        <v>-2.5197868087487998</v>
      </c>
      <c r="L174" s="154">
        <f t="shared" si="4"/>
        <v>5.2982156669105622</v>
      </c>
      <c r="M174" s="154">
        <f t="shared" si="5"/>
        <v>-504.17277182523731</v>
      </c>
      <c r="N174" s="154">
        <f t="shared" si="6"/>
        <v>-498.87455615832675</v>
      </c>
    </row>
    <row r="175" spans="1:14" ht="14" customHeight="1" x14ac:dyDescent="0.35">
      <c r="A175" s="53" t="s">
        <v>293</v>
      </c>
      <c r="B175" s="154" cm="1">
        <f t="array" ref="B175">INDEX(LCI!V$2:V$137,MATCH('D- Benefits &amp; Burdens'!$E$30&amp;'D- Benefits &amp; Burdens'!$F$30,LCI!$B$2:$B$137&amp;LCI!$D$2:$D$137,0))*IF(AND($E30="Truck",$F30="Electric"),$B$26,1)*$D$30*$C$30</f>
        <v>6.1397349999999998E-6</v>
      </c>
      <c r="C175" s="154">
        <f>SUM(V106:V109)</f>
        <v>1.1856105166899467E-7</v>
      </c>
      <c r="D175" s="154" cm="1">
        <f t="array" ref="D175">INDEX(LCI!V$2:V$137,MATCH('D- Benefits &amp; Burdens'!$B139&amp;'D- Benefits &amp; Burdens'!$D139,LCI!$B$2:$B$137&amp;LCI!$D$2:$D$137,0))*$C$139</f>
        <v>-2.3827608E-6</v>
      </c>
      <c r="E175" s="154" cm="1">
        <f t="array" ref="E175">INDEX(LCI!V$2:V$137,MATCH('D- Benefits &amp; Burdens'!$B140&amp;'D- Benefits &amp; Burdens'!$D140,LCI!$B$2:$B$137&amp;LCI!$D$2:$D$137,0))*$C$140</f>
        <v>-2.7867996834265543E-6</v>
      </c>
      <c r="F175" s="154">
        <f>INDEX(LCI!V$2:V$137,MATCH('D- Benefits &amp; Burdens'!$B$141,LCI!$D$2:$D$137,0))*$C$141</f>
        <v>-2.2074421142253213E-6</v>
      </c>
      <c r="G175" s="154">
        <f>INDEX(LCI!V$2:V$137,MATCH('D- Benefits &amp; Burdens'!$B$142,LCI!$D$2:$D$137,0))*$C$142</f>
        <v>-6.4987430677752329E-7</v>
      </c>
      <c r="H175" s="154" cm="1">
        <f t="array" ref="H175">INDEX(LCI!V$2:V$137,MATCH('D- Benefits &amp; Burdens'!$E150&amp;'D- Benefits &amp; Burdens'!$F150,LCI!$B$2:$B$137&amp;LCI!$D$2:$D$137,0))*$C150*$D150</f>
        <v>-1.0736510388407999E-6</v>
      </c>
      <c r="I175" s="154" cm="1">
        <f t="array" ref="I175">INDEX(LCI!V$2:V$137,MATCH('D- Benefits &amp; Burdens'!$E151&amp;'D- Benefits &amp; Burdens'!$F151,LCI!$B$2:$B$137&amp;LCI!$D$2:$D$137,0))*$C151*$D151</f>
        <v>-1.4274368137259999E-6</v>
      </c>
      <c r="J175" s="154" cm="1">
        <f t="array" ref="J175">INDEX(LCI!V$2:V$137,MATCH('D- Benefits &amp; Burdens'!$E152&amp;'D- Benefits &amp; Burdens'!$F152,LCI!$B$2:$B$137&amp;LCI!$D$2:$D$137,0))*$C152*$D152</f>
        <v>-6.0450896166912004E-6</v>
      </c>
      <c r="K175" s="154" cm="1">
        <f t="array" ref="K175">INDEX(LCI!V$2:V$137,MATCH('D- Benefits &amp; Burdens'!$E153&amp;'D- Benefits &amp; Burdens'!$F153,LCI!$B$2:$B$137&amp;LCI!$D$2:$D$137,0))*$C153*$D153</f>
        <v>-3.2372752687199996E-6</v>
      </c>
      <c r="L175" s="154">
        <f t="shared" si="4"/>
        <v>6.2582960516689943E-6</v>
      </c>
      <c r="M175" s="154">
        <f t="shared" si="5"/>
        <v>-1.9810329642407397E-5</v>
      </c>
      <c r="N175" s="154">
        <f t="shared" si="6"/>
        <v>-1.3552033590738403E-5</v>
      </c>
    </row>
    <row r="176" spans="1:14" ht="14" customHeight="1" x14ac:dyDescent="0.35">
      <c r="A176" s="53" t="s">
        <v>294</v>
      </c>
      <c r="B176" s="154" cm="1">
        <f t="array" ref="B176">INDEX(LCI!W$2:W$137,MATCH('D- Benefits &amp; Burdens'!$E$30&amp;'D- Benefits &amp; Burdens'!$F$30,LCI!$B$2:$B$137&amp;LCI!$D$2:$D$137,0))*IF(AND($E30="Truck",$F30="Electric"),$B$26,1)*$D$30*$C$30</f>
        <v>1.2599509999999998E-7</v>
      </c>
      <c r="C176" s="154">
        <f>SUM(W106:W109)</f>
        <v>1.7133940654170295E-8</v>
      </c>
      <c r="D176" s="154" cm="1">
        <f t="array" ref="D176">INDEX(LCI!W$2:W$137,MATCH('D- Benefits &amp; Burdens'!$B139&amp;'D- Benefits &amp; Burdens'!$D139,LCI!$B$2:$B$137&amp;LCI!$D$2:$D$137,0))*$C$139</f>
        <v>-7.7556528000000004E-12</v>
      </c>
      <c r="E176" s="154" cm="1">
        <f t="array" ref="E176">INDEX(LCI!W$2:W$137,MATCH('D- Benefits &amp; Burdens'!$B140&amp;'D- Benefits &amp; Burdens'!$D140,LCI!$B$2:$B$137&amp;LCI!$D$2:$D$137,0))*$C$140</f>
        <v>-1.2127284771164252E-8</v>
      </c>
      <c r="F176" s="154">
        <f>INDEX(LCI!W$2:W$137,MATCH('D- Benefits &amp; Burdens'!$B$141,LCI!$D$2:$D$137,0))*$C$141</f>
        <v>-1.2553939128773711E-8</v>
      </c>
      <c r="G176" s="154">
        <f>INDEX(LCI!W$2:W$137,MATCH('D- Benefits &amp; Burdens'!$B$142,LCI!$D$2:$D$137,0))*$C$142</f>
        <v>-1.4779949541860452E-8</v>
      </c>
      <c r="H176" s="154" cm="1">
        <f t="array" ref="H176">INDEX(LCI!W$2:W$137,MATCH('D- Benefits &amp; Burdens'!$E150&amp;'D- Benefits &amp; Burdens'!$F150,LCI!$B$2:$B$137&amp;LCI!$D$2:$D$137,0))*$C150*$D150</f>
        <v>-2.2032672420528E-8</v>
      </c>
      <c r="I176" s="154" cm="1">
        <f t="array" ref="I176">INDEX(LCI!W$2:W$137,MATCH('D- Benefits &amp; Burdens'!$E151&amp;'D- Benefits &amp; Burdens'!$F151,LCI!$B$2:$B$137&amp;LCI!$D$2:$D$137,0))*$C151*$D151</f>
        <v>-2.929280239116E-8</v>
      </c>
      <c r="J176" s="154" cm="1">
        <f t="array" ref="J176">INDEX(LCI!W$2:W$137,MATCH('D- Benefits &amp; Burdens'!$E152&amp;'D- Benefits &amp; Burdens'!$F152,LCI!$B$2:$B$137&amp;LCI!$D$2:$D$137,0))*$C152*$D152</f>
        <v>-1.2405285745459201E-7</v>
      </c>
      <c r="K176" s="154" cm="1">
        <f t="array" ref="K176">INDEX(LCI!W$2:W$137,MATCH('D- Benefits &amp; Burdens'!$E153&amp;'D- Benefits &amp; Burdens'!$F153,LCI!$B$2:$B$137&amp;LCI!$D$2:$D$137,0))*$C153*$D153</f>
        <v>-6.643296839519999E-8</v>
      </c>
      <c r="L176" s="154">
        <f t="shared" si="4"/>
        <v>1.4312904065417027E-7</v>
      </c>
      <c r="M176" s="154">
        <f t="shared" si="5"/>
        <v>-2.8128022975607842E-7</v>
      </c>
      <c r="N176" s="154">
        <f t="shared" si="6"/>
        <v>-1.3815118910190815E-7</v>
      </c>
    </row>
    <row r="177" spans="1:14" ht="14" customHeight="1" x14ac:dyDescent="0.35">
      <c r="A177" s="53" t="s">
        <v>295</v>
      </c>
      <c r="B177" s="154" cm="1">
        <f t="array" ref="B177">INDEX(LCI!X$2:X$137,MATCH('D- Benefits &amp; Burdens'!$E$30&amp;'D- Benefits &amp; Burdens'!$F$30,LCI!$B$2:$B$137&amp;LCI!$D$2:$D$137,0))*IF(AND($E30="Truck",$F30="Electric"),$B$26,1)*$D$30*$C$30</f>
        <v>3.8300500000000001E-7</v>
      </c>
      <c r="C177" s="154">
        <f>SUM(X106:X109)</f>
        <v>7.4887730072320456E-9</v>
      </c>
      <c r="D177" s="154" cm="1">
        <f t="array" ref="D177">INDEX(LCI!X$2:X$137,MATCH('D- Benefits &amp; Burdens'!$B139&amp;'D- Benefits &amp; Burdens'!$D139,LCI!$B$2:$B$137&amp;LCI!$D$2:$D$137,0))*$C$139</f>
        <v>-6.2605872E-7</v>
      </c>
      <c r="E177" s="154" cm="1">
        <f t="array" ref="E177">INDEX(LCI!X$2:X$137,MATCH('D- Benefits &amp; Burdens'!$B140&amp;'D- Benefits &amp; Burdens'!$D140,LCI!$B$2:$B$137&amp;LCI!$D$2:$D$137,0))*$C$140</f>
        <v>-7.6678485927542402E-8</v>
      </c>
      <c r="F177" s="154">
        <f>INDEX(LCI!X$2:X$137,MATCH('D- Benefits &amp; Burdens'!$B$141,LCI!$D$2:$D$137,0))*$C$141</f>
        <v>-2.3735714186745847E-7</v>
      </c>
      <c r="G177" s="154">
        <f>INDEX(LCI!X$2:X$137,MATCH('D- Benefits &amp; Burdens'!$B$142,LCI!$D$2:$D$137,0))*$C$142</f>
        <v>-2.5225046950408361E-7</v>
      </c>
      <c r="H177" s="154" cm="1">
        <f t="array" ref="H177">INDEX(LCI!X$2:X$137,MATCH('D- Benefits &amp; Burdens'!$E150&amp;'D- Benefits &amp; Burdens'!$F150,LCI!$B$2:$B$137&amp;LCI!$D$2:$D$137,0))*$C150*$D150</f>
        <v>-6.6975808586400005E-8</v>
      </c>
      <c r="I177" s="154" cm="1">
        <f t="array" ref="I177">INDEX(LCI!X$2:X$137,MATCH('D- Benefits &amp; Burdens'!$E151&amp;'D- Benefits &amp; Burdens'!$F151,LCI!$B$2:$B$137&amp;LCI!$D$2:$D$137,0))*$C151*$D151</f>
        <v>-8.9045445258000003E-8</v>
      </c>
      <c r="J177" s="154" cm="1">
        <f t="array" ref="J177">INDEX(LCI!X$2:X$137,MATCH('D- Benefits &amp; Burdens'!$E152&amp;'D- Benefits &amp; Burdens'!$F152,LCI!$B$2:$B$137&amp;LCI!$D$2:$D$137,0))*$C152*$D152</f>
        <v>-3.7710089256960008E-7</v>
      </c>
      <c r="K177" s="154" cm="1">
        <f t="array" ref="K177">INDEX(LCI!X$2:X$137,MATCH('D- Benefits &amp; Burdens'!$E153&amp;'D- Benefits &amp; Burdens'!$F153,LCI!$B$2:$B$137&amp;LCI!$D$2:$D$137,0))*$C153*$D153</f>
        <v>-2.0194562376E-7</v>
      </c>
      <c r="L177" s="154">
        <f t="shared" si="4"/>
        <v>3.9049377300723205E-7</v>
      </c>
      <c r="M177" s="154">
        <f t="shared" si="5"/>
        <v>-1.9274125874730844E-6</v>
      </c>
      <c r="N177" s="154">
        <f t="shared" si="6"/>
        <v>-1.5369188144658524E-6</v>
      </c>
    </row>
    <row r="178" spans="1:14" ht="14" customHeight="1" x14ac:dyDescent="0.35">
      <c r="A178" s="53" t="s">
        <v>296</v>
      </c>
      <c r="B178" s="154" cm="1">
        <f t="array" ref="B178">INDEX(LCI!Y$2:Y$137,MATCH('D- Benefits &amp; Burdens'!$E$30&amp;'D- Benefits &amp; Burdens'!$F$30,LCI!$B$2:$B$137&amp;LCI!$D$2:$D$137,0))*IF(AND($E30="Truck",$F30="Electric"),$B$26,1)*$D$30*$C$30</f>
        <v>2.4396925E-2</v>
      </c>
      <c r="C178" s="154">
        <f>SUM(Y106:Y109)</f>
        <v>1.872817953219971E-3</v>
      </c>
      <c r="D178" s="154" cm="1">
        <f t="array" ref="D178">INDEX(LCI!Y$2:Y$137,MATCH('D- Benefits &amp; Burdens'!$B139&amp;'D- Benefits &amp; Burdens'!$D139,LCI!$B$2:$B$137&amp;LCI!$D$2:$D$137,0))*$C$139</f>
        <v>-4.7421611999999995E-2</v>
      </c>
      <c r="E178" s="154" cm="1">
        <f t="array" ref="E178">INDEX(LCI!Y$2:Y$137,MATCH('D- Benefits &amp; Burdens'!$B140&amp;'D- Benefits &amp; Burdens'!$D140,LCI!$B$2:$B$137&amp;LCI!$D$2:$D$137,0))*$C$140</f>
        <v>-5.1388182398949718E-3</v>
      </c>
      <c r="F178" s="154">
        <f>INDEX(LCI!Y$2:Y$137,MATCH('D- Benefits &amp; Burdens'!$B$141,LCI!$D$2:$D$137,0))*$C$141</f>
        <v>-1.6583011729087289E-2</v>
      </c>
      <c r="G178" s="154">
        <f>INDEX(LCI!Y$2:Y$137,MATCH('D- Benefits &amp; Burdens'!$B$142,LCI!$D$2:$D$137,0))*$C$142</f>
        <v>-1.3430190325964372E-2</v>
      </c>
      <c r="H178" s="154" cm="1">
        <f t="array" ref="H178">INDEX(LCI!Y$2:Y$137,MATCH('D- Benefits &amp; Burdens'!$E150&amp;'D- Benefits &amp; Burdens'!$F150,LCI!$B$2:$B$137&amp;LCI!$D$2:$D$137,0))*$C150*$D150</f>
        <v>-4.2662727089640001E-3</v>
      </c>
      <c r="I178" s="154" cm="1">
        <f t="array" ref="I178">INDEX(LCI!Y$2:Y$137,MATCH('D- Benefits &amp; Burdens'!$E151&amp;'D- Benefits &amp; Burdens'!$F151,LCI!$B$2:$B$137&amp;LCI!$D$2:$D$137,0))*$C151*$D151</f>
        <v>-5.6720801283300006E-3</v>
      </c>
      <c r="J178" s="154" cm="1">
        <f t="array" ref="J178">INDEX(LCI!Y$2:Y$137,MATCH('D- Benefits &amp; Burdens'!$E152&amp;'D- Benefits &amp; Burdens'!$F152,LCI!$B$2:$B$137&amp;LCI!$D$2:$D$137,0))*$C152*$D152</f>
        <v>-2.4020840964096003E-2</v>
      </c>
      <c r="K178" s="154" cm="1">
        <f t="array" ref="K178">INDEX(LCI!Y$2:Y$137,MATCH('D- Benefits &amp; Burdens'!$E153&amp;'D- Benefits &amp; Burdens'!$F153,LCI!$B$2:$B$137&amp;LCI!$D$2:$D$137,0))*$C153*$D153</f>
        <v>-1.2863676027599998E-2</v>
      </c>
      <c r="L178" s="154">
        <f t="shared" si="4"/>
        <v>2.626974295321997E-2</v>
      </c>
      <c r="M178" s="154">
        <f t="shared" si="5"/>
        <v>-0.12939650212393664</v>
      </c>
      <c r="N178" s="154">
        <f t="shared" si="6"/>
        <v>-0.10312675917071666</v>
      </c>
    </row>
    <row r="179" spans="1:14" ht="14" customHeight="1" x14ac:dyDescent="0.35">
      <c r="A179" s="53" t="s">
        <v>297</v>
      </c>
      <c r="B179" s="154" cm="1">
        <f t="array" ref="B179">INDEX(LCI!Z$2:Z$137,MATCH('D- Benefits &amp; Burdens'!$E$30&amp;'D- Benefits &amp; Burdens'!$F$30,LCI!$B$2:$B$137&amp;LCI!$D$2:$D$137,0))*IF(AND($E30="Truck",$F30="Electric"),$B$26,1)*$D$30*$C$30</f>
        <v>0.17189346999999996</v>
      </c>
      <c r="C179" s="154">
        <f>SUM(Z106:Z109)</f>
        <v>1.366867821518138E-2</v>
      </c>
      <c r="D179" s="154" cm="1">
        <f t="array" ref="D179">INDEX(LCI!Z$2:Z$137,MATCH('D- Benefits &amp; Burdens'!$B139&amp;'D- Benefits &amp; Burdens'!$D139,LCI!$B$2:$B$137&amp;LCI!$D$2:$D$137,0))*$C$139</f>
        <v>-0.16842848399999999</v>
      </c>
      <c r="E179" s="154" cm="1">
        <f t="array" ref="E179">INDEX(LCI!Z$2:Z$137,MATCH('D- Benefits &amp; Burdens'!$B140&amp;'D- Benefits &amp; Burdens'!$D140,LCI!$B$2:$B$137&amp;LCI!$D$2:$D$137,0))*$C$140</f>
        <v>-1.9772688563369476</v>
      </c>
      <c r="F179" s="154">
        <f>INDEX(LCI!Z$2:Z$137,MATCH('D- Benefits &amp; Burdens'!$B$141,LCI!$D$2:$D$137,0))*$C$141</f>
        <v>-1.0837889978467863</v>
      </c>
      <c r="G179" s="154">
        <f>INDEX(LCI!Z$2:Z$137,MATCH('D- Benefits &amp; Burdens'!$B$142,LCI!$D$2:$D$137,0))*$C$142</f>
        <v>-1.2960012094595244</v>
      </c>
      <c r="H179" s="154" cm="1">
        <f t="array" ref="H179">INDEX(LCI!Z$2:Z$137,MATCH('D- Benefits &amp; Burdens'!$E150&amp;'D- Benefits &amp; Burdens'!$F150,LCI!$B$2:$B$137&amp;LCI!$D$2:$D$137,0))*$C150*$D150</f>
        <v>-3.0058887335601598E-2</v>
      </c>
      <c r="I179" s="154" cm="1">
        <f t="array" ref="I179">INDEX(LCI!Z$2:Z$137,MATCH('D- Benefits &amp; Burdens'!$E151&amp;'D- Benefits &amp; Burdens'!$F151,LCI!$B$2:$B$137&amp;LCI!$D$2:$D$137,0))*$C151*$D151</f>
        <v>-3.9963787869851997E-2</v>
      </c>
      <c r="J179" s="154" cm="1">
        <f t="array" ref="J179">INDEX(LCI!Z$2:Z$137,MATCH('D- Benefits &amp; Burdens'!$E152&amp;'D- Benefits &amp; Burdens'!$F152,LCI!$B$2:$B$137&amp;LCI!$D$2:$D$137,0))*$C152*$D152</f>
        <v>-0.1692436938522624</v>
      </c>
      <c r="K179" s="154" cm="1">
        <f t="array" ref="K179">INDEX(LCI!Z$2:Z$137,MATCH('D- Benefits &amp; Burdens'!$E153&amp;'D- Benefits &amp; Burdens'!$F153,LCI!$B$2:$B$137&amp;LCI!$D$2:$D$137,0))*$C153*$D153</f>
        <v>-9.0633631465439984E-2</v>
      </c>
      <c r="L179" s="154">
        <f t="shared" si="4"/>
        <v>0.18556214821518136</v>
      </c>
      <c r="M179" s="154">
        <f t="shared" si="5"/>
        <v>-4.8553875481664157</v>
      </c>
      <c r="N179" s="154">
        <f t="shared" si="6"/>
        <v>-4.6698253999512342</v>
      </c>
    </row>
    <row r="180" spans="1:14" ht="14" customHeight="1" x14ac:dyDescent="0.35"/>
    <row r="181" spans="1:14" ht="14" customHeight="1" x14ac:dyDescent="0.35"/>
    <row r="182" spans="1:14" ht="14" customHeight="1" x14ac:dyDescent="0.35"/>
    <row r="183" spans="1:14" ht="23.5" x14ac:dyDescent="0.55000000000000004">
      <c r="A183" s="100" t="s">
        <v>880</v>
      </c>
    </row>
    <row r="184" spans="1:14" ht="14" customHeight="1" x14ac:dyDescent="0.35"/>
    <row r="185" spans="1:14" ht="14" customHeight="1" x14ac:dyDescent="0.35">
      <c r="A185" s="422" t="s">
        <v>153</v>
      </c>
      <c r="B185" s="419" t="s">
        <v>229</v>
      </c>
      <c r="C185" s="421"/>
      <c r="D185" s="419" t="s">
        <v>231</v>
      </c>
      <c r="E185" s="420"/>
      <c r="F185" s="420"/>
      <c r="G185" s="420"/>
      <c r="H185" s="420"/>
      <c r="I185" s="420"/>
      <c r="J185" s="420"/>
      <c r="K185" s="421"/>
      <c r="L185" s="380" t="s">
        <v>230</v>
      </c>
      <c r="M185" s="384" t="s">
        <v>870</v>
      </c>
      <c r="N185" s="380" t="s">
        <v>233</v>
      </c>
    </row>
    <row r="186" spans="1:14" ht="14" customHeight="1" x14ac:dyDescent="0.35">
      <c r="A186" s="423"/>
      <c r="B186" s="104" t="s">
        <v>871</v>
      </c>
      <c r="C186" s="102" t="s">
        <v>872</v>
      </c>
      <c r="D186" s="103" t="s">
        <v>873</v>
      </c>
      <c r="E186" s="103" t="s">
        <v>244</v>
      </c>
      <c r="F186" s="103" t="s">
        <v>874</v>
      </c>
      <c r="G186" s="103" t="s">
        <v>875</v>
      </c>
      <c r="H186" s="103" t="s">
        <v>876</v>
      </c>
      <c r="I186" s="103" t="s">
        <v>877</v>
      </c>
      <c r="J186" s="103" t="s">
        <v>878</v>
      </c>
      <c r="K186" s="103" t="s">
        <v>879</v>
      </c>
      <c r="L186" s="380"/>
      <c r="M186" s="384"/>
      <c r="N186" s="380"/>
    </row>
    <row r="187" spans="1:14" ht="14" customHeight="1" x14ac:dyDescent="0.35">
      <c r="A187" s="53" t="s">
        <v>279</v>
      </c>
      <c r="B187" s="154">
        <f>B161*Input!$C$31</f>
        <v>2.9751926399999998E-3</v>
      </c>
      <c r="C187" s="154">
        <f>C161*Input!$C$31</f>
        <v>1.8663997956708492E-4</v>
      </c>
      <c r="D187" s="154">
        <f>D161*Input!$C$31</f>
        <v>-7.7145384959999997E-3</v>
      </c>
      <c r="E187" s="154">
        <f>E161*Input!$C$31</f>
        <v>-1.3916324318992525E-3</v>
      </c>
      <c r="F187" s="154">
        <f>F161*Input!$C$31</f>
        <v>-2.8138885042152326E-3</v>
      </c>
      <c r="G187" s="154">
        <f>G161*Input!$C$31</f>
        <v>-1.7147685983223385E-3</v>
      </c>
      <c r="H187" s="154">
        <f>H161*Input!$C$31</f>
        <v>-5.2026979481809921E-4</v>
      </c>
      <c r="I187" s="154">
        <f>I161*Input!$C$31</f>
        <v>-6.9170729718182414E-4</v>
      </c>
      <c r="J187" s="154">
        <f>J161*Input!$C$31</f>
        <v>-2.9293293824114693E-3</v>
      </c>
      <c r="K187" s="154">
        <f>K161*Input!$C$31</f>
        <v>-1.5687187725772801E-3</v>
      </c>
      <c r="L187" s="154">
        <f>SUM(B187:C187)</f>
        <v>3.1618326195670845E-3</v>
      </c>
      <c r="M187" s="154">
        <f>SUM(D187:K187)</f>
        <v>-1.9344853277425494E-2</v>
      </c>
      <c r="N187" s="154">
        <f>SUM(L187:M187)</f>
        <v>-1.6183020657858409E-2</v>
      </c>
    </row>
    <row r="188" spans="1:14" ht="14" customHeight="1" x14ac:dyDescent="0.35">
      <c r="A188" s="53" t="s">
        <v>280</v>
      </c>
      <c r="B188" s="154">
        <f>B162*Input!$C$31</f>
        <v>1.08753757728</v>
      </c>
      <c r="C188" s="154">
        <f>C162*Input!$C$31</f>
        <v>0.14598502034476504</v>
      </c>
      <c r="D188" s="154">
        <f>D162*Input!$C$31</f>
        <v>-2.3771543040000003</v>
      </c>
      <c r="E188" s="154">
        <f>E162*Input!$C$31</f>
        <v>-0.1818962319197579</v>
      </c>
      <c r="F188" s="154">
        <f>F162*Input!$C$31</f>
        <v>-0.14622850590868589</v>
      </c>
      <c r="G188" s="154">
        <f>G162*Input!$C$31</f>
        <v>-0.19449897264521324</v>
      </c>
      <c r="H188" s="154">
        <f>H162*Input!$C$31</f>
        <v>-0.19017691311189797</v>
      </c>
      <c r="I188" s="154">
        <f>I162*Input!$C$31</f>
        <v>-0.25284335140195086</v>
      </c>
      <c r="J188" s="154">
        <f>J162*Input!$C$31</f>
        <v>-1.0707729431607118</v>
      </c>
      <c r="K188" s="154">
        <f>K162*Input!$C$31</f>
        <v>-0.57342189894713858</v>
      </c>
      <c r="L188" s="154">
        <f t="shared" ref="L188:L205" si="7">SUM(B188:C188)</f>
        <v>1.233522597624765</v>
      </c>
      <c r="M188" s="154">
        <f t="shared" ref="M188:M205" si="8">SUM(D188:K188)</f>
        <v>-4.9869931210953569</v>
      </c>
      <c r="N188" s="154">
        <f t="shared" ref="N188:N205" si="9">SUM(L188:M188)</f>
        <v>-3.7534705234705918</v>
      </c>
    </row>
    <row r="189" spans="1:14" ht="14" customHeight="1" x14ac:dyDescent="0.35">
      <c r="A189" s="53" t="s">
        <v>281</v>
      </c>
      <c r="B189" s="154">
        <f>B163*Input!$C$31</f>
        <v>5.0264793599999989E-4</v>
      </c>
      <c r="C189" s="154">
        <f>C163*Input!$C$31</f>
        <v>3.0171400819698537E-5</v>
      </c>
      <c r="D189" s="154">
        <f>D163*Input!$C$31</f>
        <v>-9.4189132800000016E-3</v>
      </c>
      <c r="E189" s="154">
        <f>E163*Input!$C$31</f>
        <v>-2.8367335738571217E-3</v>
      </c>
      <c r="F189" s="154">
        <f>F163*Input!$C$31</f>
        <v>-4.5072816010370998E-4</v>
      </c>
      <c r="G189" s="154">
        <f>G163*Input!$C$31</f>
        <v>4.6792964613074159E-5</v>
      </c>
      <c r="H189" s="154">
        <f>H163*Input!$C$31</f>
        <v>-8.7897682661806087E-5</v>
      </c>
      <c r="I189" s="154">
        <f>I163*Input!$C$31</f>
        <v>-1.168614228773376E-4</v>
      </c>
      <c r="J189" s="154">
        <f>J163*Input!$C$31</f>
        <v>-4.9489950604787714E-4</v>
      </c>
      <c r="K189" s="154">
        <f>K163*Input!$C$31</f>
        <v>-2.6502931023667198E-4</v>
      </c>
      <c r="L189" s="154">
        <f t="shared" si="7"/>
        <v>5.3281933681969846E-4</v>
      </c>
      <c r="M189" s="154">
        <f t="shared" si="8"/>
        <v>-1.3624269971171452E-2</v>
      </c>
      <c r="N189" s="154">
        <f t="shared" si="9"/>
        <v>-1.3091450634351753E-2</v>
      </c>
    </row>
    <row r="190" spans="1:14" ht="14" customHeight="1" x14ac:dyDescent="0.35">
      <c r="A190" s="53" t="s">
        <v>282</v>
      </c>
      <c r="B190" s="154">
        <f>B164*Input!$C$31</f>
        <v>1.0869494159999999</v>
      </c>
      <c r="C190" s="154">
        <f>C164*Input!$C$31</f>
        <v>0.14594839310495791</v>
      </c>
      <c r="D190" s="154">
        <f>D164*Input!$C$31</f>
        <v>-2.3681839104</v>
      </c>
      <c r="E190" s="154">
        <f>E164*Input!$C$31</f>
        <v>-0.17875208291716863</v>
      </c>
      <c r="F190" s="154">
        <f>F164*Input!$C$31</f>
        <v>-0.14572970826516521</v>
      </c>
      <c r="G190" s="154">
        <f>G164*Input!$C$31</f>
        <v>-0.19451899988715718</v>
      </c>
      <c r="H190" s="154">
        <f>H164*Input!$C$31</f>
        <v>-0.19007406177234049</v>
      </c>
      <c r="I190" s="154">
        <f>I164*Input!$C$31</f>
        <v>-0.25270660884490564</v>
      </c>
      <c r="J190" s="154">
        <f>J164*Input!$C$31</f>
        <v>-1.070193848517919</v>
      </c>
      <c r="K190" s="154">
        <f>K164*Input!$C$31</f>
        <v>-0.57311178133363194</v>
      </c>
      <c r="L190" s="154">
        <f t="shared" si="7"/>
        <v>1.2328978091049578</v>
      </c>
      <c r="M190" s="154">
        <f t="shared" si="8"/>
        <v>-4.9732710019382882</v>
      </c>
      <c r="N190" s="154">
        <f t="shared" si="9"/>
        <v>-3.7403731928333306</v>
      </c>
    </row>
    <row r="191" spans="1:14" ht="14" customHeight="1" x14ac:dyDescent="0.35">
      <c r="A191" s="53" t="s">
        <v>283</v>
      </c>
      <c r="B191" s="154">
        <f>B165*Input!$C$31</f>
        <v>8.5511327999999992E-5</v>
      </c>
      <c r="C191" s="154">
        <f>C165*Input!$C$31</f>
        <v>6.4558389874214863E-6</v>
      </c>
      <c r="D191" s="154">
        <f>D165*Input!$C$31</f>
        <v>-1.1885771519999999E-3</v>
      </c>
      <c r="E191" s="154">
        <f>E165*Input!$C$31</f>
        <v>-3.0741542873212631E-4</v>
      </c>
      <c r="F191" s="154">
        <f>F165*Input!$C$31</f>
        <v>-4.8069483416935012E-5</v>
      </c>
      <c r="G191" s="154">
        <f>G165*Input!$C$31</f>
        <v>-2.6765722669221122E-5</v>
      </c>
      <c r="H191" s="154">
        <f>H165*Input!$C$31</f>
        <v>-1.4953304359203841E-5</v>
      </c>
      <c r="I191" s="154">
        <f>I165*Input!$C$31</f>
        <v>-1.9880665464844802E-5</v>
      </c>
      <c r="J191" s="154">
        <f>J165*Input!$C$31</f>
        <v>-8.4193151822069766E-5</v>
      </c>
      <c r="K191" s="154">
        <f>K165*Input!$C$31</f>
        <v>-4.5087240301056001E-5</v>
      </c>
      <c r="L191" s="154">
        <f t="shared" si="7"/>
        <v>9.1967166987421485E-5</v>
      </c>
      <c r="M191" s="154">
        <f t="shared" si="8"/>
        <v>-1.7349421487654567E-3</v>
      </c>
      <c r="N191" s="154">
        <f t="shared" si="9"/>
        <v>-1.6429749817780353E-3</v>
      </c>
    </row>
    <row r="192" spans="1:14" ht="14" customHeight="1" x14ac:dyDescent="0.35">
      <c r="A192" s="53" t="s">
        <v>284</v>
      </c>
      <c r="B192" s="154">
        <f>B166*Input!$C$31</f>
        <v>0.92424748416000002</v>
      </c>
      <c r="C192" s="154">
        <f>C166*Input!$C$31</f>
        <v>6.4500652901950964E-2</v>
      </c>
      <c r="D192" s="154">
        <f>D166*Input!$C$31</f>
        <v>-127.8281088</v>
      </c>
      <c r="E192" s="154">
        <f>E166*Input!$C$31</f>
        <v>-0.56778926641572514</v>
      </c>
      <c r="F192" s="154">
        <f>F166*Input!$C$31</f>
        <v>-1.4449064597919234</v>
      </c>
      <c r="G192" s="154">
        <f>G166*Input!$C$31</f>
        <v>-0.16610990630386485</v>
      </c>
      <c r="H192" s="154">
        <f>H166*Input!$C$31</f>
        <v>-0.1616224920968706</v>
      </c>
      <c r="I192" s="154">
        <f>I166*Input!$C$31</f>
        <v>-0.21487977638833308</v>
      </c>
      <c r="J192" s="154">
        <f>J166*Input!$C$31</f>
        <v>-0.91000000321652019</v>
      </c>
      <c r="K192" s="154">
        <f>K166*Input!$C$31</f>
        <v>-0.48732453805381631</v>
      </c>
      <c r="L192" s="154">
        <f t="shared" si="7"/>
        <v>0.98874813706195097</v>
      </c>
      <c r="M192" s="154">
        <f t="shared" si="8"/>
        <v>-131.78074124226706</v>
      </c>
      <c r="N192" s="154">
        <f t="shared" si="9"/>
        <v>-130.79199310520511</v>
      </c>
    </row>
    <row r="193" spans="1:14" ht="14" customHeight="1" x14ac:dyDescent="0.35">
      <c r="A193" s="53" t="s">
        <v>285</v>
      </c>
      <c r="B193" s="154">
        <f>B167*Input!$C$31</f>
        <v>14.622314179199996</v>
      </c>
      <c r="C193" s="154">
        <f>C167*Input!$C$31</f>
        <v>1.9390713071755914</v>
      </c>
      <c r="D193" s="154">
        <f>D167*Input!$C$31</f>
        <v>-205.42201344</v>
      </c>
      <c r="E193" s="154">
        <f>E167*Input!$C$31</f>
        <v>-3.0459451444100898</v>
      </c>
      <c r="F193" s="154">
        <f>F167*Input!$C$31</f>
        <v>-2.0720206123821234</v>
      </c>
      <c r="G193" s="154">
        <f>G167*Input!$C$31</f>
        <v>-2.5281484251485127</v>
      </c>
      <c r="H193" s="154">
        <f>H167*Input!$C$31</f>
        <v>-2.556993552450495</v>
      </c>
      <c r="I193" s="154">
        <f>I167*Input!$C$31</f>
        <v>-3.3995652192248951</v>
      </c>
      <c r="J193" s="154">
        <f>J167*Input!$C$31</f>
        <v>-14.396907947440475</v>
      </c>
      <c r="K193" s="154">
        <f>K167*Input!$C$31</f>
        <v>-7.7098532858141171</v>
      </c>
      <c r="L193" s="154">
        <f t="shared" si="7"/>
        <v>16.561385486375588</v>
      </c>
      <c r="M193" s="154">
        <f t="shared" si="8"/>
        <v>-241.13144762687071</v>
      </c>
      <c r="N193" s="154">
        <f t="shared" si="9"/>
        <v>-224.57006214049511</v>
      </c>
    </row>
    <row r="194" spans="1:14" ht="14" customHeight="1" x14ac:dyDescent="0.35">
      <c r="A194" s="53" t="s">
        <v>286</v>
      </c>
      <c r="B194" s="154">
        <f>B168*Input!$C$31</f>
        <v>2.5018559999999999E-5</v>
      </c>
      <c r="C194" s="154">
        <f>C168*Input!$C$31</f>
        <v>1.5432589754682634E-6</v>
      </c>
      <c r="D194" s="154">
        <f>D168*Input!$C$31</f>
        <v>-1.9959125759999997E-6</v>
      </c>
      <c r="E194" s="154">
        <f>E168*Input!$C$31</f>
        <v>-1.0929813869377895E-4</v>
      </c>
      <c r="F194" s="154">
        <f>F168*Input!$C$31</f>
        <v>-1.0804841523195163E-5</v>
      </c>
      <c r="G194" s="154">
        <f>G168*Input!$C$31</f>
        <v>-8.7725179431018649E-6</v>
      </c>
      <c r="H194" s="154">
        <f>H168*Input!$C$31</f>
        <v>-4.3749775738368003E-6</v>
      </c>
      <c r="I194" s="154">
        <f>I168*Input!$C$31</f>
        <v>-5.8166050440959998E-6</v>
      </c>
      <c r="J194" s="154">
        <f>J168*Input!$C$31</f>
        <v>-2.4632893322035205E-5</v>
      </c>
      <c r="K194" s="154">
        <f>K168*Input!$C$31</f>
        <v>-1.319144320512E-5</v>
      </c>
      <c r="L194" s="154">
        <f t="shared" si="7"/>
        <v>2.6561818975468261E-5</v>
      </c>
      <c r="M194" s="154">
        <f t="shared" si="8"/>
        <v>-1.7888732988116397E-4</v>
      </c>
      <c r="N194" s="154">
        <f t="shared" si="9"/>
        <v>-1.5232551090569571E-4</v>
      </c>
    </row>
    <row r="195" spans="1:14" ht="14" customHeight="1" x14ac:dyDescent="0.35">
      <c r="A195" s="53" t="s">
        <v>287</v>
      </c>
      <c r="B195" s="154">
        <f>B169*Input!$C$31</f>
        <v>1.06749888E-3</v>
      </c>
      <c r="C195" s="154">
        <f>C169*Input!$C$31</f>
        <v>4.220538016632635E-5</v>
      </c>
      <c r="D195" s="154">
        <f>D169*Input!$C$31</f>
        <v>-1.9914273792E-3</v>
      </c>
      <c r="E195" s="154">
        <f>E169*Input!$C$31</f>
        <v>-3.1516372466956798E-4</v>
      </c>
      <c r="F195" s="154">
        <f>F169*Input!$C$31</f>
        <v>-1.0107659795927518E-3</v>
      </c>
      <c r="G195" s="154">
        <f>G169*Input!$C$31</f>
        <v>-7.8693991523966168E-4</v>
      </c>
      <c r="H195" s="154">
        <f>H169*Input!$C$31</f>
        <v>-1.8667276054640638E-4</v>
      </c>
      <c r="I195" s="154">
        <f>I169*Input!$C$31</f>
        <v>-2.4818452260940799E-4</v>
      </c>
      <c r="J195" s="154">
        <f>J169*Input!$C$31</f>
        <v>-1.0510431468650496E-3</v>
      </c>
      <c r="K195" s="154">
        <f>K169*Input!$C$31</f>
        <v>-5.6285616946175998E-4</v>
      </c>
      <c r="L195" s="154">
        <f t="shared" si="7"/>
        <v>1.1097042601663264E-3</v>
      </c>
      <c r="M195" s="154">
        <f t="shared" si="8"/>
        <v>-6.1530535981846064E-3</v>
      </c>
      <c r="N195" s="154">
        <f t="shared" si="9"/>
        <v>-5.04334933801828E-3</v>
      </c>
    </row>
    <row r="196" spans="1:14" ht="14" customHeight="1" x14ac:dyDescent="0.35">
      <c r="A196" s="53" t="s">
        <v>288</v>
      </c>
      <c r="B196" s="154">
        <f>B170*Input!$C$31</f>
        <v>1.1644785599999997E-2</v>
      </c>
      <c r="C196" s="154">
        <f>C170*Input!$C$31</f>
        <v>4.5882448969345726E-4</v>
      </c>
      <c r="D196" s="154">
        <f>D170*Input!$C$31</f>
        <v>-2.1798056448000001E-2</v>
      </c>
      <c r="E196" s="154">
        <f>E170*Input!$C$31</f>
        <v>-3.7355672627655137E-3</v>
      </c>
      <c r="F196" s="154">
        <f>F170*Input!$C$31</f>
        <v>-1.4097965842915176E-2</v>
      </c>
      <c r="G196" s="154">
        <f>G170*Input!$C$31</f>
        <v>-8.6429484037207384E-3</v>
      </c>
      <c r="H196" s="154">
        <f>H170*Input!$C$31</f>
        <v>-2.036315273626368E-3</v>
      </c>
      <c r="I196" s="154">
        <f>I170*Input!$C$31</f>
        <v>-2.7073148358009599E-3</v>
      </c>
      <c r="J196" s="154">
        <f>J170*Input!$C$31</f>
        <v>-1.1465278634852354E-2</v>
      </c>
      <c r="K196" s="154">
        <f>K170*Input!$C$31</f>
        <v>-6.1399028512511989E-3</v>
      </c>
      <c r="L196" s="154">
        <f t="shared" si="7"/>
        <v>1.2103610089693455E-2</v>
      </c>
      <c r="M196" s="154">
        <f t="shared" si="8"/>
        <v>-7.0623349552932299E-2</v>
      </c>
      <c r="N196" s="154">
        <f t="shared" si="9"/>
        <v>-5.8519739463238844E-2</v>
      </c>
    </row>
    <row r="197" spans="1:14" ht="14" customHeight="1" x14ac:dyDescent="0.35">
      <c r="A197" s="53" t="s">
        <v>289</v>
      </c>
      <c r="B197" s="154">
        <f>B171*Input!$C$31</f>
        <v>1.01654112E-10</v>
      </c>
      <c r="C197" s="154">
        <f>C171*Input!$C$31</f>
        <v>8.9212227913489734E-12</v>
      </c>
      <c r="D197" s="154">
        <f>D171*Input!$C$31</f>
        <v>-2.2246576128000001E-9</v>
      </c>
      <c r="E197" s="154">
        <f>E171*Input!$C$31</f>
        <v>-3.7482856290265112E-11</v>
      </c>
      <c r="F197" s="154">
        <f>F171*Input!$C$31</f>
        <v>-2.6352711135983022E-11</v>
      </c>
      <c r="G197" s="154">
        <f>G171*Input!$C$31</f>
        <v>-2.2880640971865886E-11</v>
      </c>
      <c r="H197" s="154">
        <f>H171*Input!$C$31</f>
        <v>-1.777618137447936E-11</v>
      </c>
      <c r="I197" s="154">
        <f>I171*Input!$C$31</f>
        <v>-2.36337271454592E-11</v>
      </c>
      <c r="J197" s="154">
        <f>J171*Input!$C$31</f>
        <v>-1.0008709120917505E-10</v>
      </c>
      <c r="K197" s="154">
        <f>K171*Input!$C$31</f>
        <v>-5.3598786061824001E-11</v>
      </c>
      <c r="L197" s="154">
        <f t="shared" si="7"/>
        <v>1.1057533479134897E-10</v>
      </c>
      <c r="M197" s="154">
        <f t="shared" si="8"/>
        <v>-2.5064696069890519E-9</v>
      </c>
      <c r="N197" s="154">
        <f t="shared" si="9"/>
        <v>-2.395894272197703E-9</v>
      </c>
    </row>
    <row r="198" spans="1:14" ht="14" customHeight="1" x14ac:dyDescent="0.35">
      <c r="A198" s="53" t="s">
        <v>290</v>
      </c>
      <c r="B198" s="154">
        <f>B172*Input!$C$31</f>
        <v>7.7941920000000002E-9</v>
      </c>
      <c r="C198" s="154">
        <f>C172*Input!$C$31</f>
        <v>2.3778699605605235E-10</v>
      </c>
      <c r="D198" s="154">
        <f>D172*Input!$C$31</f>
        <v>-6.4138314239999999E-8</v>
      </c>
      <c r="E198" s="154">
        <f>E172*Input!$C$31</f>
        <v>-1.4242071238786861E-9</v>
      </c>
      <c r="F198" s="154">
        <f>F172*Input!$C$31</f>
        <v>-6.9955521336561415E-10</v>
      </c>
      <c r="G198" s="154">
        <f>G172*Input!$C$31</f>
        <v>-3.6880585171981345E-10</v>
      </c>
      <c r="H198" s="154">
        <f>H172*Input!$C$31</f>
        <v>-1.36296474322176E-9</v>
      </c>
      <c r="I198" s="154">
        <f>I172*Input!$C$31</f>
        <v>-1.8120841687872004E-9</v>
      </c>
      <c r="J198" s="154">
        <f>J172*Input!$C$31</f>
        <v>-7.6740427933286413E-9</v>
      </c>
      <c r="K198" s="154">
        <f>K172*Input!$C$31</f>
        <v>-4.1096146659840002E-9</v>
      </c>
      <c r="L198" s="154">
        <f t="shared" si="7"/>
        <v>8.0319789960560528E-9</v>
      </c>
      <c r="M198" s="154">
        <f t="shared" si="8"/>
        <v>-8.1589588800285707E-8</v>
      </c>
      <c r="N198" s="154">
        <f t="shared" si="9"/>
        <v>-7.355760980422966E-8</v>
      </c>
    </row>
    <row r="199" spans="1:14" ht="14" customHeight="1" x14ac:dyDescent="0.35">
      <c r="A199" s="53" t="s">
        <v>291</v>
      </c>
      <c r="B199" s="154">
        <f>B173*Input!$C$31</f>
        <v>6.5831001600000008E-3</v>
      </c>
      <c r="C199" s="154">
        <f>C173*Input!$C$31</f>
        <v>5.8222223440405397E-4</v>
      </c>
      <c r="D199" s="154">
        <f>D173*Input!$C$31</f>
        <v>-3.3863235839999999E-2</v>
      </c>
      <c r="E199" s="154">
        <f>E173*Input!$C$31</f>
        <v>-5.84720257509092E-2</v>
      </c>
      <c r="F199" s="154">
        <f>F173*Input!$C$31</f>
        <v>-5.5279738582037601E-3</v>
      </c>
      <c r="G199" s="154">
        <f>G173*Input!$C$31</f>
        <v>-1.6618397974011037E-3</v>
      </c>
      <c r="H199" s="154">
        <f>H173*Input!$C$31</f>
        <v>-1.1511819851470848E-3</v>
      </c>
      <c r="I199" s="154">
        <f>I173*Input!$C$31</f>
        <v>-1.5305154891586559E-3</v>
      </c>
      <c r="J199" s="154">
        <f>J173*Input!$C$31</f>
        <v>-6.4816202039427069E-3</v>
      </c>
      <c r="K199" s="154">
        <f>K173*Input!$C$31</f>
        <v>-3.4710467698483198E-3</v>
      </c>
      <c r="L199" s="154">
        <f t="shared" si="7"/>
        <v>7.1653223944040546E-3</v>
      </c>
      <c r="M199" s="154">
        <f t="shared" si="8"/>
        <v>-0.11215943969461083</v>
      </c>
      <c r="N199" s="154">
        <f t="shared" si="9"/>
        <v>-0.10499411730020677</v>
      </c>
    </row>
    <row r="200" spans="1:14" ht="14" customHeight="1" x14ac:dyDescent="0.35">
      <c r="A200" s="53" t="s">
        <v>292</v>
      </c>
      <c r="B200" s="154">
        <f>B174*Input!$C$31</f>
        <v>0.91756116479999994</v>
      </c>
      <c r="C200" s="154">
        <f>C174*Input!$C$31</f>
        <v>9.9696243246828034E-2</v>
      </c>
      <c r="D200" s="154">
        <f>D174*Input!$C$31</f>
        <v>-1.1796067584000001</v>
      </c>
      <c r="E200" s="154">
        <f>E174*Input!$C$31</f>
        <v>-0.93927492084288111</v>
      </c>
      <c r="F200" s="154">
        <f>F174*Input!$C$31</f>
        <v>-1.7042026564451236</v>
      </c>
      <c r="G200" s="154">
        <f>G174*Input!$C$31</f>
        <v>-91.217093508971487</v>
      </c>
      <c r="H200" s="154">
        <f>H174*Input!$C$31</f>
        <v>-0.16045326024453735</v>
      </c>
      <c r="I200" s="154">
        <f>I174*Input!$C$31</f>
        <v>-0.21332526330221571</v>
      </c>
      <c r="J200" s="154">
        <f>J174*Input!$C$31</f>
        <v>-0.90341675495954854</v>
      </c>
      <c r="K200" s="154">
        <f>K174*Input!$C$31</f>
        <v>-0.48379906727976957</v>
      </c>
      <c r="L200" s="154">
        <f t="shared" si="7"/>
        <v>1.017257408046828</v>
      </c>
      <c r="M200" s="154">
        <f t="shared" si="8"/>
        <v>-96.80117219044557</v>
      </c>
      <c r="N200" s="154">
        <f t="shared" si="9"/>
        <v>-95.783914782398739</v>
      </c>
    </row>
    <row r="201" spans="1:14" ht="14" customHeight="1" x14ac:dyDescent="0.35">
      <c r="A201" s="53" t="s">
        <v>293</v>
      </c>
      <c r="B201" s="154">
        <f>B175*Input!$C$31</f>
        <v>1.17882912E-6</v>
      </c>
      <c r="C201" s="154">
        <f>C175*Input!$C$31</f>
        <v>2.2763721920446975E-8</v>
      </c>
      <c r="D201" s="154">
        <f>D175*Input!$C$31</f>
        <v>-4.5749007360000003E-7</v>
      </c>
      <c r="E201" s="154">
        <f>E175*Input!$C$31</f>
        <v>-5.3506553921789849E-7</v>
      </c>
      <c r="F201" s="154">
        <f>F175*Input!$C$31</f>
        <v>-4.2382888593126167E-7</v>
      </c>
      <c r="G201" s="154">
        <f>G175*Input!$C$31</f>
        <v>-1.2477586690128448E-7</v>
      </c>
      <c r="H201" s="154">
        <f>H175*Input!$C$31</f>
        <v>-2.0614099945743359E-7</v>
      </c>
      <c r="I201" s="154">
        <f>I175*Input!$C$31</f>
        <v>-2.74067868235392E-7</v>
      </c>
      <c r="J201" s="154">
        <f>J175*Input!$C$31</f>
        <v>-1.1606572064047106E-6</v>
      </c>
      <c r="K201" s="154">
        <f>K175*Input!$C$31</f>
        <v>-6.2155685159423996E-7</v>
      </c>
      <c r="L201" s="154">
        <f t="shared" si="7"/>
        <v>1.201592841920447E-6</v>
      </c>
      <c r="M201" s="154">
        <f t="shared" si="8"/>
        <v>-3.8035832913422207E-6</v>
      </c>
      <c r="N201" s="154">
        <f t="shared" si="9"/>
        <v>-2.6019904494217735E-6</v>
      </c>
    </row>
    <row r="202" spans="1:14" ht="14" customHeight="1" x14ac:dyDescent="0.35">
      <c r="A202" s="53" t="s">
        <v>294</v>
      </c>
      <c r="B202" s="154">
        <f>B176*Input!$C$31</f>
        <v>2.4191059199999997E-8</v>
      </c>
      <c r="C202" s="154">
        <f>C176*Input!$C$31</f>
        <v>3.2897166056006967E-9</v>
      </c>
      <c r="D202" s="154">
        <f>D176*Input!$C$31</f>
        <v>-1.4890853376000002E-12</v>
      </c>
      <c r="E202" s="154">
        <f>E176*Input!$C$31</f>
        <v>-2.3284386760635366E-9</v>
      </c>
      <c r="F202" s="154">
        <f>F176*Input!$C$31</f>
        <v>-2.4103563127245524E-9</v>
      </c>
      <c r="G202" s="154">
        <f>G176*Input!$C$31</f>
        <v>-2.8377503120372069E-9</v>
      </c>
      <c r="H202" s="154">
        <f>H176*Input!$C$31</f>
        <v>-4.230273104741376E-9</v>
      </c>
      <c r="I202" s="154">
        <f>I176*Input!$C$31</f>
        <v>-5.6242180591027203E-9</v>
      </c>
      <c r="J202" s="154">
        <f>J176*Input!$C$31</f>
        <v>-2.3818148631281668E-8</v>
      </c>
      <c r="K202" s="154">
        <f>K176*Input!$C$31</f>
        <v>-1.2755129931878398E-8</v>
      </c>
      <c r="L202" s="154">
        <f t="shared" si="7"/>
        <v>2.7480775805600692E-8</v>
      </c>
      <c r="M202" s="154">
        <f t="shared" si="8"/>
        <v>-5.400580411316706E-8</v>
      </c>
      <c r="N202" s="154">
        <f t="shared" si="9"/>
        <v>-2.6525028307566368E-8</v>
      </c>
    </row>
    <row r="203" spans="1:14" ht="14" customHeight="1" x14ac:dyDescent="0.35">
      <c r="A203" s="53" t="s">
        <v>295</v>
      </c>
      <c r="B203" s="154">
        <f>B177*Input!$C$31</f>
        <v>7.3536960000000006E-8</v>
      </c>
      <c r="C203" s="154">
        <f>C177*Input!$C$31</f>
        <v>1.4378444173885529E-9</v>
      </c>
      <c r="D203" s="154">
        <f>D177*Input!$C$31</f>
        <v>-1.2020327424000001E-7</v>
      </c>
      <c r="E203" s="154">
        <f>E177*Input!$C$31</f>
        <v>-1.4722269298088142E-8</v>
      </c>
      <c r="F203" s="154">
        <f>F177*Input!$C$31</f>
        <v>-4.5572571238552026E-8</v>
      </c>
      <c r="G203" s="154">
        <f>G177*Input!$C$31</f>
        <v>-4.8432090144784052E-8</v>
      </c>
      <c r="H203" s="154">
        <f>H177*Input!$C$31</f>
        <v>-1.2859355248588801E-8</v>
      </c>
      <c r="I203" s="154">
        <f>I177*Input!$C$31</f>
        <v>-1.7096725489536001E-8</v>
      </c>
      <c r="J203" s="154">
        <f>J177*Input!$C$31</f>
        <v>-7.2403371373363215E-8</v>
      </c>
      <c r="K203" s="154">
        <f>K177*Input!$C$31</f>
        <v>-3.8773559761920002E-8</v>
      </c>
      <c r="L203" s="154">
        <f t="shared" si="7"/>
        <v>7.4974804417388559E-8</v>
      </c>
      <c r="M203" s="154">
        <f t="shared" si="8"/>
        <v>-3.7006321679483225E-7</v>
      </c>
      <c r="N203" s="154">
        <f t="shared" si="9"/>
        <v>-2.9508841237744369E-7</v>
      </c>
    </row>
    <row r="204" spans="1:14" ht="14" customHeight="1" x14ac:dyDescent="0.35">
      <c r="A204" s="53" t="s">
        <v>296</v>
      </c>
      <c r="B204" s="154">
        <f>B178*Input!$C$31</f>
        <v>4.6842096000000001E-3</v>
      </c>
      <c r="C204" s="154">
        <f>C178*Input!$C$31</f>
        <v>3.5958104701823445E-4</v>
      </c>
      <c r="D204" s="154">
        <f>D178*Input!$C$31</f>
        <v>-9.1049495039999991E-3</v>
      </c>
      <c r="E204" s="154">
        <f>E178*Input!$C$31</f>
        <v>-9.8665310205983464E-4</v>
      </c>
      <c r="F204" s="154">
        <f>F178*Input!$C$31</f>
        <v>-3.1839382519847593E-3</v>
      </c>
      <c r="G204" s="154">
        <f>G178*Input!$C$31</f>
        <v>-2.5785965425851594E-3</v>
      </c>
      <c r="H204" s="154">
        <f>H178*Input!$C$31</f>
        <v>-8.1912436012108807E-4</v>
      </c>
      <c r="I204" s="154">
        <f>I178*Input!$C$31</f>
        <v>-1.0890393846393601E-3</v>
      </c>
      <c r="J204" s="154">
        <f>J178*Input!$C$31</f>
        <v>-4.6120014651064327E-3</v>
      </c>
      <c r="K204" s="154">
        <f>K178*Input!$C$31</f>
        <v>-2.4698257972991995E-3</v>
      </c>
      <c r="L204" s="154">
        <f t="shared" si="7"/>
        <v>5.0437906470182344E-3</v>
      </c>
      <c r="M204" s="154">
        <f t="shared" si="8"/>
        <v>-2.4844128407795832E-2</v>
      </c>
      <c r="N204" s="154">
        <f t="shared" si="9"/>
        <v>-1.9800337760777598E-2</v>
      </c>
    </row>
    <row r="205" spans="1:14" ht="14" customHeight="1" x14ac:dyDescent="0.35">
      <c r="A205" s="53" t="s">
        <v>297</v>
      </c>
      <c r="B205" s="154">
        <f>B179*Input!$C$31</f>
        <v>3.3003546239999994E-2</v>
      </c>
      <c r="C205" s="154">
        <f>C179*Input!$C$31</f>
        <v>2.6243862173148248E-3</v>
      </c>
      <c r="D205" s="154">
        <f>D179*Input!$C$31</f>
        <v>-3.2338268928E-2</v>
      </c>
      <c r="E205" s="154">
        <f>E179*Input!$C$31</f>
        <v>-0.37963562041669396</v>
      </c>
      <c r="F205" s="154">
        <f>F179*Input!$C$31</f>
        <v>-0.20808748758658296</v>
      </c>
      <c r="G205" s="154">
        <f>G179*Input!$C$31</f>
        <v>-0.24883223221622869</v>
      </c>
      <c r="H205" s="154">
        <f>H179*Input!$C$31</f>
        <v>-5.7713063684355073E-3</v>
      </c>
      <c r="I205" s="154">
        <f>I179*Input!$C$31</f>
        <v>-7.6730472710115835E-3</v>
      </c>
      <c r="J205" s="154">
        <f>J179*Input!$C$31</f>
        <v>-3.2494789219634383E-2</v>
      </c>
      <c r="K205" s="154">
        <f>K179*Input!$C$31</f>
        <v>-1.7401657241364478E-2</v>
      </c>
      <c r="L205" s="154">
        <f t="shared" si="7"/>
        <v>3.5627932457314819E-2</v>
      </c>
      <c r="M205" s="154">
        <f t="shared" si="8"/>
        <v>-0.93223440924795153</v>
      </c>
      <c r="N205" s="154">
        <f t="shared" si="9"/>
        <v>-0.89660647679063676</v>
      </c>
    </row>
    <row r="206" spans="1:14" ht="14" customHeight="1" x14ac:dyDescent="0.35"/>
    <row r="207" spans="1:14" ht="14" customHeight="1" x14ac:dyDescent="0.35"/>
    <row r="208" spans="1:14" ht="14" customHeight="1" x14ac:dyDescent="0.35"/>
    <row r="209" spans="1:3" ht="14" customHeight="1" x14ac:dyDescent="0.35">
      <c r="B209" t="s">
        <v>352</v>
      </c>
    </row>
    <row r="210" spans="1:3" ht="14" customHeight="1" x14ac:dyDescent="0.35">
      <c r="B210" s="205" t="s">
        <v>881</v>
      </c>
      <c r="C210" s="205" t="s">
        <v>882</v>
      </c>
    </row>
    <row r="211" spans="1:3" ht="14" customHeight="1" x14ac:dyDescent="0.35">
      <c r="A211" s="95" t="s">
        <v>530</v>
      </c>
      <c r="B211" s="1">
        <f>SUM(G$30:Y$30)+SUM(H$110:Z$110)+SUM(E$143:W$143)+SUM(G$154:Y$154)</f>
        <v>-2394.5617215437396</v>
      </c>
      <c r="C211" s="1">
        <f>+SUM(B161:N179)*Input!C31</f>
        <v>-1379.2675516091952</v>
      </c>
    </row>
    <row r="212" spans="1:3" ht="14" customHeight="1" x14ac:dyDescent="0.35">
      <c r="A212" s="95" t="s">
        <v>531</v>
      </c>
      <c r="B212" s="1">
        <f>SUM($B$161:$K$179)</f>
        <v>-2394.5617215437414</v>
      </c>
      <c r="C212" s="1">
        <f>+SUM(B187:N205)</f>
        <v>-1379.2675516091952</v>
      </c>
    </row>
    <row r="213" spans="1:3" ht="14" customHeight="1" x14ac:dyDescent="0.35">
      <c r="A213" s="148" t="s">
        <v>58</v>
      </c>
      <c r="B213" s="204">
        <f>B211-B212</f>
        <v>0</v>
      </c>
      <c r="C213" s="204">
        <f>C211-C212</f>
        <v>0</v>
      </c>
    </row>
    <row r="214" spans="1:3" ht="14" customHeight="1" x14ac:dyDescent="0.35"/>
  </sheetData>
  <mergeCells count="18">
    <mergeCell ref="A110:F110"/>
    <mergeCell ref="M159:M160"/>
    <mergeCell ref="N159:N160"/>
    <mergeCell ref="B159:C159"/>
    <mergeCell ref="D159:K159"/>
    <mergeCell ref="L159:L160"/>
    <mergeCell ref="A143:D143"/>
    <mergeCell ref="C121:C124"/>
    <mergeCell ref="D121:D124"/>
    <mergeCell ref="C116:C117"/>
    <mergeCell ref="D116:D117"/>
    <mergeCell ref="A159:A160"/>
    <mergeCell ref="D185:K185"/>
    <mergeCell ref="L185:L186"/>
    <mergeCell ref="M185:M186"/>
    <mergeCell ref="N185:N186"/>
    <mergeCell ref="A185:A186"/>
    <mergeCell ref="B185:C185"/>
  </mergeCells>
  <phoneticPr fontId="5" type="noConversion"/>
  <hyperlinks>
    <hyperlink ref="D40" r:id="rId1" xr:uid="{602F5439-AE9D-4C4E-81CE-6DDBDCDB1ACE}"/>
    <hyperlink ref="D55" r:id="rId2" xr:uid="{DACB3B69-F72C-4F57-A9E2-E17328DE3079}"/>
    <hyperlink ref="D77" r:id="rId3" xr:uid="{505D8018-2169-4B0F-94A4-56A66E663B42}"/>
    <hyperlink ref="D53" r:id="rId4" xr:uid="{2128CDD1-8A00-4C4E-BA4E-E2FB68123947}"/>
    <hyperlink ref="D65" r:id="rId5" xr:uid="{722A63BE-3452-4EFD-9FF2-60AB350C270D}"/>
    <hyperlink ref="D80" r:id="rId6" xr:uid="{41CBA93A-74E2-4EA9-B974-D1886779BF38}"/>
    <hyperlink ref="D116" r:id="rId7" xr:uid="{4D72F0EC-9FEB-4150-B50C-0FBB22010293}"/>
    <hyperlink ref="D121" r:id="rId8" xr:uid="{06A8A5B0-C799-4E98-8576-53E721B7E1B2}"/>
    <hyperlink ref="D67" r:id="rId9" xr:uid="{8D8CA5D1-E83B-45B6-AB57-407819DE8F57}"/>
    <hyperlink ref="D24" r:id="rId10" xr:uid="{CB838A10-0B12-4E3B-B78D-7D11CA843379}"/>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B4F79-5FE2-4F6B-A418-FF965D4B4FA8}">
  <sheetPr codeName="Sheet15"/>
  <dimension ref="A1:AA137"/>
  <sheetViews>
    <sheetView showGridLines="0" topLeftCell="C43" zoomScale="84" zoomScaleNormal="84" workbookViewId="0">
      <selection activeCell="H2" sqref="H2"/>
    </sheetView>
  </sheetViews>
  <sheetFormatPr defaultColWidth="8.81640625" defaultRowHeight="14.5" x14ac:dyDescent="0.35"/>
  <cols>
    <col min="1" max="1" width="8.81640625" style="28"/>
    <col min="2" max="2" width="57.81640625" style="242" customWidth="1"/>
    <col min="3" max="3" width="9.1796875" style="28" customWidth="1"/>
    <col min="4" max="4" width="42.1796875" style="28" customWidth="1"/>
    <col min="5" max="5" width="93.453125" style="28" customWidth="1"/>
    <col min="6" max="6" width="7.453125" style="28" bestFit="1" customWidth="1"/>
    <col min="7" max="7" width="8.81640625" style="28"/>
    <col min="8" max="26" width="20" style="28" customWidth="1"/>
    <col min="27" max="16384" width="8.81640625" style="28"/>
  </cols>
  <sheetData>
    <row r="1" spans="1:26" ht="87" x14ac:dyDescent="0.35">
      <c r="A1" s="108" t="s">
        <v>883</v>
      </c>
      <c r="B1" s="108" t="s">
        <v>452</v>
      </c>
      <c r="C1" s="108" t="s">
        <v>884</v>
      </c>
      <c r="D1" s="108" t="s">
        <v>885</v>
      </c>
      <c r="E1" s="108" t="s">
        <v>886</v>
      </c>
      <c r="F1" s="108" t="s">
        <v>486</v>
      </c>
      <c r="G1" s="108" t="s">
        <v>154</v>
      </c>
      <c r="H1" s="108" t="s">
        <v>279</v>
      </c>
      <c r="I1" s="108" t="s">
        <v>280</v>
      </c>
      <c r="J1" s="108" t="s">
        <v>281</v>
      </c>
      <c r="K1" s="108" t="s">
        <v>282</v>
      </c>
      <c r="L1" s="108" t="s">
        <v>283</v>
      </c>
      <c r="M1" s="108" t="s">
        <v>284</v>
      </c>
      <c r="N1" s="108" t="s">
        <v>285</v>
      </c>
      <c r="O1" s="108" t="s">
        <v>286</v>
      </c>
      <c r="P1" s="108" t="s">
        <v>287</v>
      </c>
      <c r="Q1" s="108" t="s">
        <v>288</v>
      </c>
      <c r="R1" s="108" t="s">
        <v>289</v>
      </c>
      <c r="S1" s="108" t="s">
        <v>290</v>
      </c>
      <c r="T1" s="108" t="s">
        <v>291</v>
      </c>
      <c r="U1" s="108" t="s">
        <v>292</v>
      </c>
      <c r="V1" s="108" t="s">
        <v>293</v>
      </c>
      <c r="W1" s="108" t="s">
        <v>294</v>
      </c>
      <c r="X1" s="108" t="s">
        <v>295</v>
      </c>
      <c r="Y1" s="108" t="s">
        <v>296</v>
      </c>
      <c r="Z1" s="108" t="s">
        <v>297</v>
      </c>
    </row>
    <row r="2" spans="1:26" s="242" customFormat="1" x14ac:dyDescent="0.35">
      <c r="A2" s="88">
        <v>1</v>
      </c>
      <c r="B2" s="88" t="s">
        <v>211</v>
      </c>
      <c r="C2" s="88" t="s">
        <v>234</v>
      </c>
      <c r="D2" s="88" t="s">
        <v>62</v>
      </c>
      <c r="E2" s="88" t="s">
        <v>887</v>
      </c>
      <c r="F2" s="88">
        <v>1</v>
      </c>
      <c r="G2" s="88" t="s">
        <v>888</v>
      </c>
      <c r="H2" s="260">
        <v>5.4437035301622999E-2</v>
      </c>
      <c r="I2" s="260">
        <v>2.828913201901992</v>
      </c>
      <c r="J2" s="260">
        <v>8.7197146319925676E-3</v>
      </c>
      <c r="K2" s="260">
        <v>2.819263542760194</v>
      </c>
      <c r="L2" s="260">
        <v>9.2994450980504035E-4</v>
      </c>
      <c r="M2" s="260">
        <v>27.95292842676885</v>
      </c>
      <c r="N2" s="260">
        <v>40.084978154951287</v>
      </c>
      <c r="O2" s="260">
        <v>2.09028729654893E-4</v>
      </c>
      <c r="P2" s="260">
        <v>1.9554116387463481E-2</v>
      </c>
      <c r="Q2" s="260">
        <v>0.27273698411369141</v>
      </c>
      <c r="R2" s="260">
        <v>5.0981531935397974E-10</v>
      </c>
      <c r="S2" s="260">
        <v>1.3533482861304409E-8</v>
      </c>
      <c r="T2" s="260">
        <v>0.1069432948799131</v>
      </c>
      <c r="U2" s="260">
        <v>32.969231023563978</v>
      </c>
      <c r="V2" s="260">
        <v>8.1993255918724488E-6</v>
      </c>
      <c r="W2" s="260">
        <v>4.6630366302260543E-8</v>
      </c>
      <c r="X2" s="260">
        <v>8.816396476201774E-7</v>
      </c>
      <c r="Y2" s="260">
        <v>6.1595958319542822E-2</v>
      </c>
      <c r="Z2" s="260">
        <v>4.0256271314971794</v>
      </c>
    </row>
    <row r="3" spans="1:26" s="242" customFormat="1" x14ac:dyDescent="0.35">
      <c r="A3" s="88">
        <v>2</v>
      </c>
      <c r="B3" s="88" t="s">
        <v>211</v>
      </c>
      <c r="C3" s="88" t="s">
        <v>234</v>
      </c>
      <c r="D3" s="88" t="s">
        <v>65</v>
      </c>
      <c r="E3" s="88" t="s">
        <v>887</v>
      </c>
      <c r="F3" s="88">
        <v>1</v>
      </c>
      <c r="G3" s="88" t="s">
        <v>888</v>
      </c>
      <c r="H3" s="260">
        <v>5.4437035301622999E-2</v>
      </c>
      <c r="I3" s="260">
        <v>2.828913201901992</v>
      </c>
      <c r="J3" s="260">
        <v>8.7197146319925676E-3</v>
      </c>
      <c r="K3" s="260">
        <v>2.819263542760194</v>
      </c>
      <c r="L3" s="260">
        <v>9.2994450980504035E-4</v>
      </c>
      <c r="M3" s="260">
        <v>27.95292842676885</v>
      </c>
      <c r="N3" s="260">
        <v>40.084978154951287</v>
      </c>
      <c r="O3" s="260">
        <v>2.09028729654893E-4</v>
      </c>
      <c r="P3" s="260">
        <v>1.9554116387463481E-2</v>
      </c>
      <c r="Q3" s="260">
        <v>0.27273698411369141</v>
      </c>
      <c r="R3" s="260">
        <v>5.0981531935397974E-10</v>
      </c>
      <c r="S3" s="260">
        <v>1.3533482861304409E-8</v>
      </c>
      <c r="T3" s="260">
        <v>0.1069432948799131</v>
      </c>
      <c r="U3" s="260">
        <v>32.969231023563978</v>
      </c>
      <c r="V3" s="260">
        <v>8.1993255918724488E-6</v>
      </c>
      <c r="W3" s="260">
        <v>4.6630366302260543E-8</v>
      </c>
      <c r="X3" s="260">
        <v>8.816396476201774E-7</v>
      </c>
      <c r="Y3" s="260">
        <v>6.1595958319542822E-2</v>
      </c>
      <c r="Z3" s="260">
        <v>4.0256271314971794</v>
      </c>
    </row>
    <row r="4" spans="1:26" s="242" customFormat="1" x14ac:dyDescent="0.35">
      <c r="A4" s="88">
        <v>3</v>
      </c>
      <c r="B4" s="88" t="s">
        <v>211</v>
      </c>
      <c r="C4" s="88" t="s">
        <v>234</v>
      </c>
      <c r="D4" s="88" t="s">
        <v>66</v>
      </c>
      <c r="E4" s="88" t="s">
        <v>887</v>
      </c>
      <c r="F4" s="88">
        <v>1</v>
      </c>
      <c r="G4" s="88" t="s">
        <v>888</v>
      </c>
      <c r="H4" s="260">
        <v>5.4437035301622999E-2</v>
      </c>
      <c r="I4" s="260">
        <v>2.828913201901992</v>
      </c>
      <c r="J4" s="260">
        <v>8.7197146319925676E-3</v>
      </c>
      <c r="K4" s="260">
        <v>2.819263542760194</v>
      </c>
      <c r="L4" s="260">
        <v>9.2994450980504035E-4</v>
      </c>
      <c r="M4" s="260">
        <v>27.95292842676885</v>
      </c>
      <c r="N4" s="260">
        <v>40.084978154951287</v>
      </c>
      <c r="O4" s="260">
        <v>2.09028729654893E-4</v>
      </c>
      <c r="P4" s="260">
        <v>1.9554116387463481E-2</v>
      </c>
      <c r="Q4" s="260">
        <v>0.27273698411369141</v>
      </c>
      <c r="R4" s="260">
        <v>5.0981531935397974E-10</v>
      </c>
      <c r="S4" s="260">
        <v>1.3533482861304409E-8</v>
      </c>
      <c r="T4" s="260">
        <v>0.1069432948799131</v>
      </c>
      <c r="U4" s="260">
        <v>32.969231023563978</v>
      </c>
      <c r="V4" s="260">
        <v>8.1993255918724488E-6</v>
      </c>
      <c r="W4" s="260">
        <v>4.6630366302260543E-8</v>
      </c>
      <c r="X4" s="260">
        <v>8.816396476201774E-7</v>
      </c>
      <c r="Y4" s="260">
        <v>6.1595958319542822E-2</v>
      </c>
      <c r="Z4" s="260">
        <v>4.0256271314971794</v>
      </c>
    </row>
    <row r="5" spans="1:26" x14ac:dyDescent="0.35">
      <c r="A5" s="88">
        <v>4</v>
      </c>
      <c r="B5" s="88" t="s">
        <v>211</v>
      </c>
      <c r="C5" s="88" t="s">
        <v>234</v>
      </c>
      <c r="D5" s="88" t="s">
        <v>67</v>
      </c>
      <c r="E5" s="88" t="s">
        <v>887</v>
      </c>
      <c r="F5" s="88">
        <v>1</v>
      </c>
      <c r="G5" s="88" t="s">
        <v>888</v>
      </c>
      <c r="H5" s="261">
        <v>5.4437035301622999E-2</v>
      </c>
      <c r="I5" s="261">
        <v>2.828913201901992</v>
      </c>
      <c r="J5" s="261">
        <v>8.7197146319925676E-3</v>
      </c>
      <c r="K5" s="261">
        <v>2.819263542760194</v>
      </c>
      <c r="L5" s="261">
        <v>9.2994450980504035E-4</v>
      </c>
      <c r="M5" s="261">
        <v>27.95292842676885</v>
      </c>
      <c r="N5" s="261">
        <v>40.084978154951287</v>
      </c>
      <c r="O5" s="261">
        <v>2.09028729654893E-4</v>
      </c>
      <c r="P5" s="261">
        <v>1.9554116387463481E-2</v>
      </c>
      <c r="Q5" s="261">
        <v>0.27273698411369141</v>
      </c>
      <c r="R5" s="261">
        <v>5.0981531935397974E-10</v>
      </c>
      <c r="S5" s="261">
        <v>1.3533482861304409E-8</v>
      </c>
      <c r="T5" s="261">
        <v>0.1069432948799131</v>
      </c>
      <c r="U5" s="261">
        <v>32.969231023563978</v>
      </c>
      <c r="V5" s="261">
        <v>8.1993255918724488E-6</v>
      </c>
      <c r="W5" s="261">
        <v>4.6630366302260543E-8</v>
      </c>
      <c r="X5" s="261">
        <v>8.816396476201774E-7</v>
      </c>
      <c r="Y5" s="261">
        <v>6.1595958319542822E-2</v>
      </c>
      <c r="Z5" s="261">
        <v>4.0256271314971794</v>
      </c>
    </row>
    <row r="6" spans="1:26" x14ac:dyDescent="0.35">
      <c r="A6" s="88">
        <v>5</v>
      </c>
      <c r="B6" s="88" t="s">
        <v>211</v>
      </c>
      <c r="C6" s="88" t="s">
        <v>234</v>
      </c>
      <c r="D6" s="88" t="s">
        <v>71</v>
      </c>
      <c r="E6" s="88" t="s">
        <v>887</v>
      </c>
      <c r="F6" s="88">
        <v>1</v>
      </c>
      <c r="G6" s="88" t="s">
        <v>888</v>
      </c>
      <c r="H6" s="261">
        <v>5.4437035301622999E-2</v>
      </c>
      <c r="I6" s="261">
        <v>2.828913201901992</v>
      </c>
      <c r="J6" s="261">
        <v>8.7197146319925676E-3</v>
      </c>
      <c r="K6" s="261">
        <v>2.819263542760194</v>
      </c>
      <c r="L6" s="261">
        <v>9.2994450980504035E-4</v>
      </c>
      <c r="M6" s="261">
        <v>27.95292842676885</v>
      </c>
      <c r="N6" s="261">
        <v>40.084978154951287</v>
      </c>
      <c r="O6" s="261">
        <v>2.09028729654893E-4</v>
      </c>
      <c r="P6" s="261">
        <v>1.9554116387463481E-2</v>
      </c>
      <c r="Q6" s="261">
        <v>0.27273698411369141</v>
      </c>
      <c r="R6" s="261">
        <v>5.0981531935397974E-10</v>
      </c>
      <c r="S6" s="261">
        <v>1.3533482861304409E-8</v>
      </c>
      <c r="T6" s="261">
        <v>0.1069432948799131</v>
      </c>
      <c r="U6" s="261">
        <v>32.969231023563978</v>
      </c>
      <c r="V6" s="261">
        <v>8.1993255918724488E-6</v>
      </c>
      <c r="W6" s="261">
        <v>4.6630366302260543E-8</v>
      </c>
      <c r="X6" s="261">
        <v>8.816396476201774E-7</v>
      </c>
      <c r="Y6" s="261">
        <v>6.1595958319542822E-2</v>
      </c>
      <c r="Z6" s="261">
        <v>4.0256271314971794</v>
      </c>
    </row>
    <row r="7" spans="1:26" x14ac:dyDescent="0.35">
      <c r="A7" s="88">
        <v>6</v>
      </c>
      <c r="B7" s="88" t="s">
        <v>211</v>
      </c>
      <c r="C7" s="88" t="s">
        <v>234</v>
      </c>
      <c r="D7" s="88" t="s">
        <v>72</v>
      </c>
      <c r="E7" s="88" t="s">
        <v>887</v>
      </c>
      <c r="F7" s="88">
        <v>1</v>
      </c>
      <c r="G7" s="88" t="s">
        <v>888</v>
      </c>
      <c r="H7" s="261">
        <v>5.4437035301622999E-2</v>
      </c>
      <c r="I7" s="261">
        <v>2.828913201901992</v>
      </c>
      <c r="J7" s="261">
        <v>8.7197146319925676E-3</v>
      </c>
      <c r="K7" s="261">
        <v>2.819263542760194</v>
      </c>
      <c r="L7" s="261">
        <v>9.2994450980504035E-4</v>
      </c>
      <c r="M7" s="261">
        <v>27.95292842676885</v>
      </c>
      <c r="N7" s="261">
        <v>40.084978154951287</v>
      </c>
      <c r="O7" s="261">
        <v>2.09028729654893E-4</v>
      </c>
      <c r="P7" s="261">
        <v>1.9554116387463481E-2</v>
      </c>
      <c r="Q7" s="261">
        <v>0.27273698411369141</v>
      </c>
      <c r="R7" s="261">
        <v>5.0981531935397974E-10</v>
      </c>
      <c r="S7" s="261">
        <v>1.3533482861304409E-8</v>
      </c>
      <c r="T7" s="261">
        <v>0.1069432948799131</v>
      </c>
      <c r="U7" s="261">
        <v>32.969231023563978</v>
      </c>
      <c r="V7" s="261">
        <v>8.1993255918724488E-6</v>
      </c>
      <c r="W7" s="261">
        <v>4.6630366302260543E-8</v>
      </c>
      <c r="X7" s="261">
        <v>8.816396476201774E-7</v>
      </c>
      <c r="Y7" s="261">
        <v>6.1595958319542822E-2</v>
      </c>
      <c r="Z7" s="261">
        <v>4.0256271314971794</v>
      </c>
    </row>
    <row r="8" spans="1:26" x14ac:dyDescent="0.35">
      <c r="A8" s="88">
        <v>7</v>
      </c>
      <c r="B8" s="88" t="s">
        <v>211</v>
      </c>
      <c r="C8" s="88" t="s">
        <v>234</v>
      </c>
      <c r="D8" s="88" t="s">
        <v>73</v>
      </c>
      <c r="E8" s="88" t="s">
        <v>889</v>
      </c>
      <c r="F8" s="88">
        <v>1</v>
      </c>
      <c r="G8" s="88" t="s">
        <v>888</v>
      </c>
      <c r="H8" s="260">
        <v>4.5975858916046421E-2</v>
      </c>
      <c r="I8" s="260">
        <v>5.2148478426774583</v>
      </c>
      <c r="J8" s="260">
        <v>-1.2545988662371369E-3</v>
      </c>
      <c r="K8" s="260">
        <v>5.2153848070532884</v>
      </c>
      <c r="L8" s="260">
        <v>7.1763449040884199E-4</v>
      </c>
      <c r="M8" s="260">
        <v>4.4536887509229892</v>
      </c>
      <c r="N8" s="260">
        <v>67.783953722485649</v>
      </c>
      <c r="O8" s="260">
        <v>2.3520610750927751E-4</v>
      </c>
      <c r="P8" s="260">
        <v>2.109919586459743E-2</v>
      </c>
      <c r="Q8" s="260">
        <v>0.23173212806491869</v>
      </c>
      <c r="R8" s="262">
        <v>6.1346885070114434E-10</v>
      </c>
      <c r="S8" s="262">
        <v>9.8883113573876491E-9</v>
      </c>
      <c r="T8" s="260">
        <v>4.4556747855737183E-2</v>
      </c>
      <c r="U8" s="260">
        <v>2445.6852230693512</v>
      </c>
      <c r="V8" s="262">
        <v>3.345452942393148E-6</v>
      </c>
      <c r="W8" s="262">
        <v>7.6084906215820632E-8</v>
      </c>
      <c r="X8" s="262">
        <v>1.298546606046061E-6</v>
      </c>
      <c r="Y8" s="260">
        <v>6.9136553444755236E-2</v>
      </c>
      <c r="Z8" s="260">
        <v>6.6716148250737399</v>
      </c>
    </row>
    <row r="9" spans="1:26" x14ac:dyDescent="0.35">
      <c r="A9" s="88">
        <v>8</v>
      </c>
      <c r="B9" s="88" t="s">
        <v>211</v>
      </c>
      <c r="C9" s="88" t="s">
        <v>234</v>
      </c>
      <c r="D9" s="88" t="s">
        <v>75</v>
      </c>
      <c r="E9" s="88" t="s">
        <v>889</v>
      </c>
      <c r="F9" s="88">
        <v>1</v>
      </c>
      <c r="G9" s="88" t="s">
        <v>888</v>
      </c>
      <c r="H9" s="260">
        <v>4.5975858916046421E-2</v>
      </c>
      <c r="I9" s="260">
        <v>5.2148478426774583</v>
      </c>
      <c r="J9" s="260">
        <v>-1.2545988662371369E-3</v>
      </c>
      <c r="K9" s="260">
        <v>5.2153848070532884</v>
      </c>
      <c r="L9" s="260">
        <v>7.1763449040884199E-4</v>
      </c>
      <c r="M9" s="260">
        <v>4.4536887509229892</v>
      </c>
      <c r="N9" s="260">
        <v>67.783953722485649</v>
      </c>
      <c r="O9" s="260">
        <v>2.3520610750927751E-4</v>
      </c>
      <c r="P9" s="260">
        <v>2.109919586459743E-2</v>
      </c>
      <c r="Q9" s="260">
        <v>0.23173212806491869</v>
      </c>
      <c r="R9" s="262">
        <v>6.1346885070114434E-10</v>
      </c>
      <c r="S9" s="262">
        <v>9.8883113573876491E-9</v>
      </c>
      <c r="T9" s="260">
        <v>4.4556747855737183E-2</v>
      </c>
      <c r="U9" s="260">
        <v>2445.6852230693512</v>
      </c>
      <c r="V9" s="262">
        <v>3.345452942393148E-6</v>
      </c>
      <c r="W9" s="262">
        <v>7.6084906215820632E-8</v>
      </c>
      <c r="X9" s="262">
        <v>1.298546606046061E-6</v>
      </c>
      <c r="Y9" s="260">
        <v>6.9136553444755236E-2</v>
      </c>
      <c r="Z9" s="260">
        <v>6.6716148250737399</v>
      </c>
    </row>
    <row r="10" spans="1:26" x14ac:dyDescent="0.35">
      <c r="A10" s="88">
        <v>9</v>
      </c>
      <c r="B10" s="88" t="s">
        <v>211</v>
      </c>
      <c r="C10" s="88" t="s">
        <v>234</v>
      </c>
      <c r="D10" s="88" t="s">
        <v>76</v>
      </c>
      <c r="E10" s="88" t="s">
        <v>889</v>
      </c>
      <c r="F10" s="88">
        <v>1</v>
      </c>
      <c r="G10" s="88" t="s">
        <v>888</v>
      </c>
      <c r="H10" s="260">
        <v>4.5975858916046421E-2</v>
      </c>
      <c r="I10" s="260">
        <v>5.2148478426774583</v>
      </c>
      <c r="J10" s="260">
        <v>-1.2545988662371369E-3</v>
      </c>
      <c r="K10" s="260">
        <v>5.2153848070532884</v>
      </c>
      <c r="L10" s="260">
        <v>7.1763449040884199E-4</v>
      </c>
      <c r="M10" s="260">
        <v>4.4536887509229892</v>
      </c>
      <c r="N10" s="260">
        <v>67.783953722485649</v>
      </c>
      <c r="O10" s="260">
        <v>2.3520610750927751E-4</v>
      </c>
      <c r="P10" s="260">
        <v>2.109919586459743E-2</v>
      </c>
      <c r="Q10" s="260">
        <v>0.23173212806491869</v>
      </c>
      <c r="R10" s="262">
        <v>6.1346885070114434E-10</v>
      </c>
      <c r="S10" s="262">
        <v>9.8883113573876491E-9</v>
      </c>
      <c r="T10" s="260">
        <v>4.4556747855737183E-2</v>
      </c>
      <c r="U10" s="260">
        <v>2445.6852230693512</v>
      </c>
      <c r="V10" s="262">
        <v>3.345452942393148E-6</v>
      </c>
      <c r="W10" s="262">
        <v>7.6084906215820632E-8</v>
      </c>
      <c r="X10" s="262">
        <v>1.298546606046061E-6</v>
      </c>
      <c r="Y10" s="260">
        <v>6.9136553444755236E-2</v>
      </c>
      <c r="Z10" s="260">
        <v>6.6716148250737399</v>
      </c>
    </row>
    <row r="11" spans="1:26" x14ac:dyDescent="0.35">
      <c r="A11" s="88">
        <v>10</v>
      </c>
      <c r="B11" s="88" t="s">
        <v>77</v>
      </c>
      <c r="C11" s="88" t="s">
        <v>234</v>
      </c>
      <c r="D11" s="88" t="s">
        <v>576</v>
      </c>
      <c r="E11" s="88"/>
      <c r="F11" s="88">
        <v>1</v>
      </c>
      <c r="G11" s="88" t="s">
        <v>888</v>
      </c>
      <c r="H11" s="260"/>
      <c r="I11" s="260"/>
      <c r="J11" s="260"/>
      <c r="K11" s="260"/>
      <c r="L11" s="260"/>
      <c r="M11" s="260"/>
      <c r="N11" s="260"/>
      <c r="O11" s="260"/>
      <c r="P11" s="260"/>
      <c r="Q11" s="260"/>
      <c r="R11" s="260"/>
      <c r="S11" s="260"/>
      <c r="T11" s="260"/>
      <c r="U11" s="260"/>
      <c r="V11" s="260"/>
      <c r="W11" s="260"/>
      <c r="X11" s="260"/>
      <c r="Y11" s="260"/>
      <c r="Z11" s="260"/>
    </row>
    <row r="12" spans="1:26" x14ac:dyDescent="0.35">
      <c r="A12" s="88">
        <v>11</v>
      </c>
      <c r="B12" s="88" t="s">
        <v>77</v>
      </c>
      <c r="C12" s="88" t="s">
        <v>234</v>
      </c>
      <c r="D12" s="88" t="s">
        <v>574</v>
      </c>
      <c r="E12" s="88" t="s">
        <v>890</v>
      </c>
      <c r="F12" s="88">
        <v>1</v>
      </c>
      <c r="G12" s="88" t="s">
        <v>888</v>
      </c>
      <c r="H12" s="260">
        <v>1.557129995463286</v>
      </c>
      <c r="I12" s="260">
        <v>542.68668583260535</v>
      </c>
      <c r="J12" s="260">
        <v>8.2324044508229299</v>
      </c>
      <c r="K12" s="260">
        <v>534.21646403462989</v>
      </c>
      <c r="L12" s="260">
        <v>0.23781734715254851</v>
      </c>
      <c r="M12" s="260">
        <v>1477.95432666636</v>
      </c>
      <c r="N12" s="260">
        <v>2863.66898797872</v>
      </c>
      <c r="O12" s="260">
        <v>7.6548598240225821E-2</v>
      </c>
      <c r="P12" s="260">
        <v>0.36833250350479141</v>
      </c>
      <c r="Q12" s="260">
        <v>4.098006784229435</v>
      </c>
      <c r="R12" s="260">
        <v>6.5817141640584331E-8</v>
      </c>
      <c r="S12" s="260">
        <v>3.5583161342702528E-6</v>
      </c>
      <c r="T12" s="260">
        <v>23.403978285535921</v>
      </c>
      <c r="U12" s="260">
        <v>917.00110375675695</v>
      </c>
      <c r="V12" s="260">
        <v>1.8236823078801279E-3</v>
      </c>
      <c r="W12" s="260">
        <v>2.5862610588193262E-6</v>
      </c>
      <c r="X12" s="260">
        <v>1.236740283647099E-5</v>
      </c>
      <c r="Y12" s="260">
        <v>1.193871427646537</v>
      </c>
      <c r="Z12" s="260">
        <v>55.942561497654992</v>
      </c>
    </row>
    <row r="13" spans="1:26" s="242" customFormat="1" x14ac:dyDescent="0.35">
      <c r="A13" s="88">
        <v>12</v>
      </c>
      <c r="B13" s="88" t="s">
        <v>77</v>
      </c>
      <c r="C13" s="88" t="s">
        <v>234</v>
      </c>
      <c r="D13" s="88" t="s">
        <v>575</v>
      </c>
      <c r="E13" s="88" t="s">
        <v>891</v>
      </c>
      <c r="F13" s="88">
        <v>1</v>
      </c>
      <c r="G13" s="88" t="s">
        <v>888</v>
      </c>
      <c r="H13" s="260">
        <v>0</v>
      </c>
      <c r="I13" s="260">
        <v>0</v>
      </c>
      <c r="J13" s="260">
        <v>0</v>
      </c>
      <c r="K13" s="260">
        <v>0</v>
      </c>
      <c r="L13" s="260">
        <v>0</v>
      </c>
      <c r="M13" s="260">
        <v>0</v>
      </c>
      <c r="N13" s="260">
        <v>0</v>
      </c>
      <c r="O13" s="260">
        <v>0</v>
      </c>
      <c r="P13" s="260">
        <v>0</v>
      </c>
      <c r="Q13" s="260">
        <v>0</v>
      </c>
      <c r="R13" s="262">
        <v>0</v>
      </c>
      <c r="S13" s="262">
        <v>0</v>
      </c>
      <c r="T13" s="260">
        <v>0</v>
      </c>
      <c r="U13" s="260">
        <v>0</v>
      </c>
      <c r="V13" s="262">
        <v>0</v>
      </c>
      <c r="W13" s="262">
        <v>0</v>
      </c>
      <c r="X13" s="262">
        <v>0</v>
      </c>
      <c r="Y13" s="260">
        <v>0</v>
      </c>
      <c r="Z13" s="260">
        <v>0</v>
      </c>
    </row>
    <row r="14" spans="1:26" x14ac:dyDescent="0.35">
      <c r="A14" s="88">
        <v>13</v>
      </c>
      <c r="B14" s="88" t="s">
        <v>77</v>
      </c>
      <c r="C14" s="88" t="s">
        <v>234</v>
      </c>
      <c r="D14" s="88" t="s">
        <v>78</v>
      </c>
      <c r="E14" s="88" t="s">
        <v>892</v>
      </c>
      <c r="F14" s="88">
        <v>1</v>
      </c>
      <c r="G14" s="88" t="s">
        <v>888</v>
      </c>
      <c r="H14" s="260">
        <v>0.16923944910988309</v>
      </c>
      <c r="I14" s="260">
        <v>22.120796684258341</v>
      </c>
      <c r="J14" s="260">
        <v>0.34498134443150508</v>
      </c>
      <c r="K14" s="260">
        <v>21.73842988040958</v>
      </c>
      <c r="L14" s="260">
        <v>3.73854594172537E-2</v>
      </c>
      <c r="M14" s="260">
        <v>69.050088555034904</v>
      </c>
      <c r="N14" s="260">
        <v>370.42401890228882</v>
      </c>
      <c r="O14" s="260">
        <v>1.32919845479786E-2</v>
      </c>
      <c r="P14" s="260">
        <v>3.8327746551366643E-2</v>
      </c>
      <c r="Q14" s="260">
        <v>0.45429046576655091</v>
      </c>
      <c r="R14" s="262">
        <v>4.5583717397070744E-9</v>
      </c>
      <c r="S14" s="262">
        <v>1.7320092830450029E-7</v>
      </c>
      <c r="T14" s="260">
        <v>7.1109103234374587</v>
      </c>
      <c r="U14" s="260">
        <v>114.2272675761313</v>
      </c>
      <c r="V14" s="262">
        <v>6.5070484863114596E-5</v>
      </c>
      <c r="W14" s="262">
        <v>2.8316649554173851E-7</v>
      </c>
      <c r="X14" s="262">
        <v>1.7904072142493451E-6</v>
      </c>
      <c r="Y14" s="260">
        <v>0.11998903131861779</v>
      </c>
      <c r="Z14" s="260">
        <v>46.1683141245312</v>
      </c>
    </row>
    <row r="15" spans="1:26" x14ac:dyDescent="0.35">
      <c r="A15" s="88">
        <v>14</v>
      </c>
      <c r="B15" s="88" t="s">
        <v>80</v>
      </c>
      <c r="C15" s="88" t="s">
        <v>234</v>
      </c>
      <c r="D15" s="88" t="s">
        <v>576</v>
      </c>
      <c r="E15" s="88"/>
      <c r="F15" s="88">
        <v>1</v>
      </c>
      <c r="G15" s="88" t="s">
        <v>888</v>
      </c>
      <c r="H15" s="260"/>
      <c r="I15" s="260"/>
      <c r="J15" s="260"/>
      <c r="K15" s="260"/>
      <c r="L15" s="260"/>
      <c r="M15" s="260"/>
      <c r="N15" s="260"/>
      <c r="O15" s="260"/>
      <c r="P15" s="260"/>
      <c r="Q15" s="260"/>
      <c r="R15" s="260"/>
      <c r="S15" s="260"/>
      <c r="T15" s="260"/>
      <c r="U15" s="260"/>
      <c r="V15" s="260"/>
      <c r="W15" s="260"/>
      <c r="X15" s="260"/>
      <c r="Y15" s="260"/>
      <c r="Z15" s="260"/>
    </row>
    <row r="16" spans="1:26" x14ac:dyDescent="0.35">
      <c r="A16" s="88">
        <v>15</v>
      </c>
      <c r="B16" s="88" t="s">
        <v>80</v>
      </c>
      <c r="C16" s="88" t="s">
        <v>234</v>
      </c>
      <c r="D16" s="88" t="s">
        <v>574</v>
      </c>
      <c r="E16" s="88" t="s">
        <v>890</v>
      </c>
      <c r="F16" s="88">
        <v>1</v>
      </c>
      <c r="G16" s="88" t="s">
        <v>888</v>
      </c>
      <c r="H16" s="260">
        <v>1.557129995463286</v>
      </c>
      <c r="I16" s="260">
        <v>542.68668583260535</v>
      </c>
      <c r="J16" s="260">
        <v>8.2324044508229299</v>
      </c>
      <c r="K16" s="260">
        <v>534.21646403462989</v>
      </c>
      <c r="L16" s="260">
        <v>0.23781734715254851</v>
      </c>
      <c r="M16" s="260">
        <v>1477.95432666636</v>
      </c>
      <c r="N16" s="260">
        <v>2863.66898797872</v>
      </c>
      <c r="O16" s="260">
        <v>7.6548598240225821E-2</v>
      </c>
      <c r="P16" s="260">
        <v>0.36833250350479141</v>
      </c>
      <c r="Q16" s="260">
        <v>4.098006784229435</v>
      </c>
      <c r="R16" s="260">
        <v>6.5817141640584331E-8</v>
      </c>
      <c r="S16" s="260">
        <v>3.5583161342702528E-6</v>
      </c>
      <c r="T16" s="260">
        <v>23.403978285535921</v>
      </c>
      <c r="U16" s="260">
        <v>917.00110375675695</v>
      </c>
      <c r="V16" s="260">
        <v>1.8236823078801279E-3</v>
      </c>
      <c r="W16" s="260">
        <v>2.5862610588193262E-6</v>
      </c>
      <c r="X16" s="260">
        <v>1.236740283647099E-5</v>
      </c>
      <c r="Y16" s="260">
        <v>1.193871427646537</v>
      </c>
      <c r="Z16" s="260">
        <v>55.942561497654992</v>
      </c>
    </row>
    <row r="17" spans="1:27" x14ac:dyDescent="0.35">
      <c r="A17" s="88">
        <v>16</v>
      </c>
      <c r="B17" s="88" t="s">
        <v>80</v>
      </c>
      <c r="C17" s="88" t="s">
        <v>234</v>
      </c>
      <c r="D17" s="88" t="s">
        <v>575</v>
      </c>
      <c r="E17" s="88" t="s">
        <v>893</v>
      </c>
      <c r="F17" s="88">
        <v>1</v>
      </c>
      <c r="G17" s="88" t="s">
        <v>888</v>
      </c>
      <c r="H17" s="260"/>
      <c r="I17" s="260"/>
      <c r="J17" s="260"/>
      <c r="K17" s="260"/>
      <c r="L17" s="260"/>
      <c r="M17" s="260"/>
      <c r="N17" s="260"/>
      <c r="O17" s="260"/>
      <c r="P17" s="260"/>
      <c r="Q17" s="260"/>
      <c r="R17" s="262"/>
      <c r="S17" s="262"/>
      <c r="T17" s="260"/>
      <c r="U17" s="260"/>
      <c r="V17" s="262"/>
      <c r="W17" s="262"/>
      <c r="X17" s="262"/>
      <c r="Y17" s="260"/>
      <c r="Z17" s="260"/>
    </row>
    <row r="18" spans="1:27" x14ac:dyDescent="0.35">
      <c r="A18" s="88">
        <v>17</v>
      </c>
      <c r="B18" s="88" t="s">
        <v>80</v>
      </c>
      <c r="C18" s="88" t="s">
        <v>234</v>
      </c>
      <c r="D18" s="88" t="s">
        <v>78</v>
      </c>
      <c r="E18" s="88" t="s">
        <v>892</v>
      </c>
      <c r="F18" s="88">
        <v>1</v>
      </c>
      <c r="G18" s="88" t="s">
        <v>888</v>
      </c>
      <c r="H18" s="260">
        <v>0.16923944910988309</v>
      </c>
      <c r="I18" s="260">
        <v>22.120796684258341</v>
      </c>
      <c r="J18" s="260">
        <v>0.34498134443150508</v>
      </c>
      <c r="K18" s="260">
        <v>21.73842988040958</v>
      </c>
      <c r="L18" s="260">
        <v>3.73854594172537E-2</v>
      </c>
      <c r="M18" s="260">
        <v>69.050088555034904</v>
      </c>
      <c r="N18" s="260">
        <v>370.42401890228882</v>
      </c>
      <c r="O18" s="260">
        <v>1.32919845479786E-2</v>
      </c>
      <c r="P18" s="260">
        <v>3.8327746551366643E-2</v>
      </c>
      <c r="Q18" s="260">
        <v>0.45429046576655091</v>
      </c>
      <c r="R18" s="262">
        <v>4.5583717397070744E-9</v>
      </c>
      <c r="S18" s="262">
        <v>1.7320092830450029E-7</v>
      </c>
      <c r="T18" s="260">
        <v>7.1109103234374587</v>
      </c>
      <c r="U18" s="260">
        <v>114.2272675761313</v>
      </c>
      <c r="V18" s="262">
        <v>6.5070484863114596E-5</v>
      </c>
      <c r="W18" s="262">
        <v>2.8316649554173851E-7</v>
      </c>
      <c r="X18" s="262">
        <v>1.7904072142493451E-6</v>
      </c>
      <c r="Y18" s="260">
        <v>0.11998903131861779</v>
      </c>
      <c r="Z18" s="260">
        <v>46.1683141245312</v>
      </c>
    </row>
    <row r="19" spans="1:27" x14ac:dyDescent="0.35">
      <c r="A19" s="88">
        <v>18</v>
      </c>
      <c r="B19" s="88" t="s">
        <v>59</v>
      </c>
      <c r="C19" s="88" t="s">
        <v>234</v>
      </c>
      <c r="D19" s="88" t="s">
        <v>60</v>
      </c>
      <c r="E19" s="88" t="s">
        <v>894</v>
      </c>
      <c r="F19" s="88">
        <v>1</v>
      </c>
      <c r="G19" s="88" t="s">
        <v>888</v>
      </c>
      <c r="H19" s="161">
        <v>1.72</v>
      </c>
      <c r="I19" s="161">
        <v>530</v>
      </c>
      <c r="J19" s="161">
        <v>2.1</v>
      </c>
      <c r="K19" s="161">
        <v>528</v>
      </c>
      <c r="L19" s="161">
        <v>0.26500000000000001</v>
      </c>
      <c r="M19" s="161">
        <v>28500</v>
      </c>
      <c r="N19" s="161">
        <v>45800</v>
      </c>
      <c r="O19" s="161">
        <v>4.4499999999999997E-4</v>
      </c>
      <c r="P19" s="161">
        <v>0.44400000000000001</v>
      </c>
      <c r="Q19" s="161">
        <v>4.8600000000000003</v>
      </c>
      <c r="R19" s="161">
        <v>4.9599999999999999E-7</v>
      </c>
      <c r="S19" s="161">
        <v>1.43E-5</v>
      </c>
      <c r="T19" s="161">
        <v>7.55</v>
      </c>
      <c r="U19" s="161">
        <v>263</v>
      </c>
      <c r="V19" s="161">
        <v>1.02E-4</v>
      </c>
      <c r="W19" s="161">
        <v>3.3199999999999999E-10</v>
      </c>
      <c r="X19" s="161">
        <v>2.6800000000000001E-5</v>
      </c>
      <c r="Y19" s="161">
        <v>2.0299999999999998</v>
      </c>
      <c r="Z19" s="161">
        <v>7.21</v>
      </c>
    </row>
    <row r="20" spans="1:27" s="242" customFormat="1" x14ac:dyDescent="0.35">
      <c r="A20" s="88">
        <v>19</v>
      </c>
      <c r="B20" s="88" t="s">
        <v>59</v>
      </c>
      <c r="C20" s="88" t="s">
        <v>234</v>
      </c>
      <c r="D20" s="88" t="s">
        <v>573</v>
      </c>
      <c r="E20" s="88" t="s">
        <v>894</v>
      </c>
      <c r="F20" s="88">
        <v>1</v>
      </c>
      <c r="G20" s="88" t="s">
        <v>888</v>
      </c>
      <c r="H20" s="260">
        <v>2.0510417776475092</v>
      </c>
      <c r="I20" s="260">
        <v>608.09872914313371</v>
      </c>
      <c r="J20" s="260">
        <v>2.1358014132855123</v>
      </c>
      <c r="K20" s="260">
        <v>605.975710370721</v>
      </c>
      <c r="L20" s="260">
        <v>0.33944235912709753</v>
      </c>
      <c r="M20" s="260">
        <v>28124.590161857188</v>
      </c>
      <c r="N20" s="260">
        <v>46965.007480406348</v>
      </c>
      <c r="O20" s="260">
        <v>2.8136476485622237E-2</v>
      </c>
      <c r="P20" s="260">
        <v>0.49601022267701866</v>
      </c>
      <c r="Q20" s="260">
        <v>5.3890995560901134</v>
      </c>
      <c r="R20" s="260">
        <v>5.0553366141632008E-7</v>
      </c>
      <c r="S20" s="260">
        <v>1.4680426011979555E-5</v>
      </c>
      <c r="T20" s="260">
        <v>19.448916172377988</v>
      </c>
      <c r="U20" s="260">
        <v>662.35961210763014</v>
      </c>
      <c r="V20" s="260">
        <v>1.6195903800054691E-3</v>
      </c>
      <c r="W20" s="260">
        <v>3.3184038889492906E-6</v>
      </c>
      <c r="X20" s="260">
        <v>3.2021809656003697E-5</v>
      </c>
      <c r="Y20" s="260">
        <v>2.5199334773093591</v>
      </c>
      <c r="Z20" s="260">
        <v>68.936129505589975</v>
      </c>
    </row>
    <row r="21" spans="1:27" x14ac:dyDescent="0.35">
      <c r="A21" s="88">
        <v>20</v>
      </c>
      <c r="B21" s="88" t="s">
        <v>301</v>
      </c>
      <c r="C21" s="88" t="s">
        <v>234</v>
      </c>
      <c r="D21" s="88" t="s">
        <v>895</v>
      </c>
      <c r="E21" s="88" t="s">
        <v>896</v>
      </c>
      <c r="F21" s="88">
        <v>1</v>
      </c>
      <c r="G21" s="88" t="s">
        <v>888</v>
      </c>
      <c r="H21" s="260">
        <v>0.57099999999999995</v>
      </c>
      <c r="I21" s="260">
        <v>-2930</v>
      </c>
      <c r="J21" s="260">
        <v>-3000</v>
      </c>
      <c r="K21" s="260">
        <v>69</v>
      </c>
      <c r="L21" s="260">
        <v>0.24</v>
      </c>
      <c r="M21" s="262">
        <v>5620</v>
      </c>
      <c r="N21" s="260">
        <v>615</v>
      </c>
      <c r="O21" s="260">
        <v>4.5999999999999999E-3</v>
      </c>
      <c r="P21" s="260">
        <v>0.121</v>
      </c>
      <c r="Q21" s="260">
        <v>1.03</v>
      </c>
      <c r="R21" s="262">
        <v>4.6299999999999998E-8</v>
      </c>
      <c r="S21" s="262">
        <v>2.5799999999999999E-6</v>
      </c>
      <c r="T21" s="262">
        <v>0.70499999999999996</v>
      </c>
      <c r="U21" s="262">
        <v>409</v>
      </c>
      <c r="V21" s="262">
        <v>7.6000000000000004E-4</v>
      </c>
      <c r="W21" s="262">
        <v>2.2500000000000001E-6</v>
      </c>
      <c r="X21" s="262">
        <v>4.78E-6</v>
      </c>
      <c r="Y21" s="260">
        <v>0.217</v>
      </c>
      <c r="Z21" s="260">
        <v>51.2</v>
      </c>
    </row>
    <row r="22" spans="1:27" x14ac:dyDescent="0.35">
      <c r="A22" s="88">
        <v>21</v>
      </c>
      <c r="B22" s="88" t="s">
        <v>90</v>
      </c>
      <c r="C22" s="88" t="s">
        <v>234</v>
      </c>
      <c r="D22" s="88" t="s">
        <v>91</v>
      </c>
      <c r="E22" s="88"/>
      <c r="F22" s="88"/>
      <c r="G22" s="88"/>
      <c r="H22" s="260"/>
      <c r="I22" s="260"/>
      <c r="J22" s="260"/>
      <c r="K22" s="260"/>
      <c r="L22" s="260"/>
      <c r="M22" s="260"/>
      <c r="N22" s="260"/>
      <c r="O22" s="260"/>
      <c r="P22" s="260"/>
      <c r="Q22" s="260"/>
      <c r="R22" s="260"/>
      <c r="S22" s="260"/>
      <c r="T22" s="260"/>
      <c r="U22" s="260"/>
      <c r="V22" s="260"/>
      <c r="W22" s="260"/>
      <c r="X22" s="260"/>
      <c r="Y22" s="260"/>
      <c r="Z22" s="260"/>
    </row>
    <row r="23" spans="1:27" s="242" customFormat="1" x14ac:dyDescent="0.35">
      <c r="A23" s="88">
        <v>22</v>
      </c>
      <c r="B23" s="88" t="s">
        <v>90</v>
      </c>
      <c r="C23" s="88" t="s">
        <v>234</v>
      </c>
      <c r="D23" s="88" t="s">
        <v>580</v>
      </c>
      <c r="E23" s="88" t="s">
        <v>900</v>
      </c>
      <c r="F23" s="88">
        <v>1</v>
      </c>
      <c r="G23" s="88" t="s">
        <v>888</v>
      </c>
      <c r="H23" s="260">
        <v>7.0086494351332984</v>
      </c>
      <c r="I23" s="260">
        <v>502.65106887308781</v>
      </c>
      <c r="J23" s="260">
        <v>-2609.7779006742112</v>
      </c>
      <c r="K23" s="260">
        <v>895.68599403479357</v>
      </c>
      <c r="L23" s="260">
        <v>2216.7429755125058</v>
      </c>
      <c r="M23" s="260">
        <v>86134.251741253436</v>
      </c>
      <c r="N23" s="260">
        <v>7757.0981801534836</v>
      </c>
      <c r="O23" s="260">
        <v>0.45722958075583781</v>
      </c>
      <c r="P23" s="260">
        <v>20.4097965202726</v>
      </c>
      <c r="Q23" s="260">
        <v>24.48974610315021</v>
      </c>
      <c r="R23" s="262">
        <v>1.6155274745311481E-6</v>
      </c>
      <c r="S23" s="262">
        <v>1.155803714194934E-5</v>
      </c>
      <c r="T23" s="260">
        <v>26.22801422465772</v>
      </c>
      <c r="U23" s="260">
        <v>255927.98088004571</v>
      </c>
      <c r="V23" s="260">
        <v>6.8062847782772492E-3</v>
      </c>
      <c r="W23" s="262">
        <v>3.4562412381637612E-5</v>
      </c>
      <c r="X23" s="260">
        <v>6.9987841276671704E-5</v>
      </c>
      <c r="Y23" s="260">
        <v>7.1442100698958866</v>
      </c>
      <c r="Z23" s="260">
        <v>266.50002197461902</v>
      </c>
    </row>
    <row r="24" spans="1:27" x14ac:dyDescent="0.35">
      <c r="A24" s="88">
        <v>23</v>
      </c>
      <c r="B24" s="88" t="s">
        <v>90</v>
      </c>
      <c r="C24" s="88" t="s">
        <v>234</v>
      </c>
      <c r="D24" s="88" t="s">
        <v>94</v>
      </c>
      <c r="E24" s="88" t="s">
        <v>898</v>
      </c>
      <c r="F24" s="88">
        <v>1</v>
      </c>
      <c r="G24" s="88" t="s">
        <v>888</v>
      </c>
      <c r="H24" s="260">
        <v>5.3213382315972</v>
      </c>
      <c r="I24" s="260">
        <v>674.00691161004124</v>
      </c>
      <c r="J24" s="260">
        <v>1.945327099797586</v>
      </c>
      <c r="K24" s="260">
        <v>671.9069226627239</v>
      </c>
      <c r="L24" s="260">
        <v>0.15466184751970169</v>
      </c>
      <c r="M24" s="260">
        <v>1218.310218327247</v>
      </c>
      <c r="N24" s="260">
        <v>51675.276626060957</v>
      </c>
      <c r="O24" s="260">
        <v>0.13250925724489801</v>
      </c>
      <c r="P24" s="260">
        <v>0.95327363731636461</v>
      </c>
      <c r="Q24" s="260">
        <v>10.341156303520441</v>
      </c>
      <c r="R24" s="262">
        <v>1.2529073898362509E-7</v>
      </c>
      <c r="S24" s="262">
        <v>6.0928835171547224E-6</v>
      </c>
      <c r="T24" s="260">
        <v>16.902784328926771</v>
      </c>
      <c r="U24" s="260">
        <v>1811.805861829273</v>
      </c>
      <c r="V24" s="260">
        <v>7.999527772846524E-3</v>
      </c>
      <c r="W24" s="262">
        <v>8.8081937977297842E-6</v>
      </c>
      <c r="X24" s="262">
        <v>5.0104530181600858E-5</v>
      </c>
      <c r="Y24" s="260">
        <v>3.7030469669004078</v>
      </c>
      <c r="Z24" s="260">
        <v>107.9112515754309</v>
      </c>
    </row>
    <row r="25" spans="1:27" x14ac:dyDescent="0.35">
      <c r="A25" s="88">
        <v>24</v>
      </c>
      <c r="B25" s="88" t="s">
        <v>90</v>
      </c>
      <c r="C25" s="88" t="s">
        <v>234</v>
      </c>
      <c r="D25" s="88" t="s">
        <v>581</v>
      </c>
      <c r="E25" s="88" t="s">
        <v>899</v>
      </c>
      <c r="F25" s="88">
        <v>1</v>
      </c>
      <c r="G25" s="88" t="s">
        <v>888</v>
      </c>
      <c r="H25" s="260">
        <v>1.5808651972062131</v>
      </c>
      <c r="I25" s="260">
        <v>198.25310978427581</v>
      </c>
      <c r="J25" s="260">
        <v>32.384275897514122</v>
      </c>
      <c r="K25" s="260">
        <v>165.7321883610112</v>
      </c>
      <c r="L25" s="260">
        <v>0.13664552575042979</v>
      </c>
      <c r="M25" s="260">
        <v>827.9953579476894</v>
      </c>
      <c r="N25" s="260">
        <v>2288.4796567912372</v>
      </c>
      <c r="O25" s="260">
        <v>5.2277107964037263E-2</v>
      </c>
      <c r="P25" s="260">
        <v>0.31235393926740479</v>
      </c>
      <c r="Q25" s="260">
        <v>3.2058277643332631</v>
      </c>
      <c r="R25" s="262">
        <v>1.040085396506787E-7</v>
      </c>
      <c r="S25" s="262">
        <v>4.604735449702842E-6</v>
      </c>
      <c r="T25" s="260">
        <v>32.25249826461426</v>
      </c>
      <c r="U25" s="260">
        <v>886.00489181851674</v>
      </c>
      <c r="V25" s="260">
        <v>6.0614609511729832E-2</v>
      </c>
      <c r="W25" s="262">
        <v>2.0262825035625359E-6</v>
      </c>
      <c r="X25" s="262">
        <v>2.1191201897683668E-5</v>
      </c>
      <c r="Y25" s="260">
        <v>1.0583578184848039</v>
      </c>
      <c r="Z25" s="260">
        <v>100.0649514424976</v>
      </c>
    </row>
    <row r="26" spans="1:27" x14ac:dyDescent="0.35">
      <c r="A26" s="88">
        <v>25</v>
      </c>
      <c r="B26" s="88" t="s">
        <v>93</v>
      </c>
      <c r="C26" s="88" t="s">
        <v>234</v>
      </c>
      <c r="D26" s="88" t="s">
        <v>91</v>
      </c>
      <c r="E26" s="263"/>
      <c r="F26" s="88"/>
      <c r="G26" s="88"/>
      <c r="H26" s="260"/>
      <c r="I26" s="260"/>
      <c r="J26" s="260"/>
      <c r="K26" s="260"/>
      <c r="L26" s="260"/>
      <c r="M26" s="260"/>
      <c r="N26" s="260"/>
      <c r="O26" s="260"/>
      <c r="P26" s="260"/>
      <c r="Q26" s="260"/>
      <c r="R26" s="260"/>
      <c r="S26" s="260"/>
      <c r="T26" s="260"/>
      <c r="U26" s="260"/>
      <c r="V26" s="260"/>
      <c r="W26" s="260"/>
      <c r="X26" s="260"/>
      <c r="Y26" s="260"/>
      <c r="Z26" s="260"/>
      <c r="AA26" s="264"/>
    </row>
    <row r="27" spans="1:27" x14ac:dyDescent="0.35">
      <c r="A27" s="88">
        <v>26</v>
      </c>
      <c r="B27" s="88" t="s">
        <v>93</v>
      </c>
      <c r="C27" s="88" t="s">
        <v>234</v>
      </c>
      <c r="D27" s="88" t="s">
        <v>580</v>
      </c>
      <c r="E27" s="88" t="s">
        <v>900</v>
      </c>
      <c r="F27" s="88">
        <v>1</v>
      </c>
      <c r="G27" s="88" t="s">
        <v>888</v>
      </c>
      <c r="H27" s="260">
        <v>7.0086494351332904</v>
      </c>
      <c r="I27" s="260">
        <v>502.65106887308701</v>
      </c>
      <c r="J27" s="260">
        <v>-2609.7779006742098</v>
      </c>
      <c r="K27" s="260">
        <v>895.685994034793</v>
      </c>
      <c r="L27" s="260">
        <v>2216.7429755124999</v>
      </c>
      <c r="M27" s="260">
        <v>86134.251741253407</v>
      </c>
      <c r="N27" s="260">
        <v>7757.0981801534799</v>
      </c>
      <c r="O27" s="260">
        <v>0.45722958075583697</v>
      </c>
      <c r="P27" s="260">
        <v>20.4097965202726</v>
      </c>
      <c r="Q27" s="260">
        <v>24.4897461031502</v>
      </c>
      <c r="R27" s="262">
        <v>1.61552747453114E-6</v>
      </c>
      <c r="S27" s="262">
        <v>1.15580371419493E-5</v>
      </c>
      <c r="T27" s="260">
        <v>26.228014224657699</v>
      </c>
      <c r="U27" s="260">
        <v>255927.98088004501</v>
      </c>
      <c r="V27" s="260">
        <v>6.8062847782772396E-3</v>
      </c>
      <c r="W27" s="262">
        <v>3.4562412381637599E-5</v>
      </c>
      <c r="X27" s="262">
        <v>6.9987841276671704E-5</v>
      </c>
      <c r="Y27" s="260">
        <v>7.1442100698958804</v>
      </c>
      <c r="Z27" s="260">
        <v>266.50002197461799</v>
      </c>
      <c r="AA27" s="264"/>
    </row>
    <row r="28" spans="1:27" x14ac:dyDescent="0.35">
      <c r="A28" s="88">
        <v>27</v>
      </c>
      <c r="B28" s="88" t="s">
        <v>93</v>
      </c>
      <c r="C28" s="88" t="s">
        <v>234</v>
      </c>
      <c r="D28" s="88" t="s">
        <v>94</v>
      </c>
      <c r="E28" s="88" t="s">
        <v>898</v>
      </c>
      <c r="F28" s="88">
        <v>1</v>
      </c>
      <c r="G28" s="88" t="s">
        <v>888</v>
      </c>
      <c r="H28" s="260">
        <v>5.3213382315972</v>
      </c>
      <c r="I28" s="260">
        <v>674.00691161004124</v>
      </c>
      <c r="J28" s="260">
        <v>1.945327099797586</v>
      </c>
      <c r="K28" s="260">
        <v>671.9069226627239</v>
      </c>
      <c r="L28" s="260">
        <v>0.15466184751970169</v>
      </c>
      <c r="M28" s="260">
        <v>1218.310218327247</v>
      </c>
      <c r="N28" s="260">
        <v>51675.276626060957</v>
      </c>
      <c r="O28" s="260">
        <v>0.13250925724489801</v>
      </c>
      <c r="P28" s="260">
        <v>0.95327363731636461</v>
      </c>
      <c r="Q28" s="260">
        <v>10.341156303520441</v>
      </c>
      <c r="R28" s="260">
        <v>1.2529073898362509E-7</v>
      </c>
      <c r="S28" s="260">
        <v>6.0928835171547224E-6</v>
      </c>
      <c r="T28" s="260">
        <v>16.902784328926771</v>
      </c>
      <c r="U28" s="260">
        <v>1811.805861829273</v>
      </c>
      <c r="V28" s="260">
        <v>7.999527772846524E-3</v>
      </c>
      <c r="W28" s="260">
        <v>8.8081937977297842E-6</v>
      </c>
      <c r="X28" s="260">
        <v>5.0104530181600858E-5</v>
      </c>
      <c r="Y28" s="260">
        <v>3.7030469669004078</v>
      </c>
      <c r="Z28" s="260">
        <v>107.9112515754309</v>
      </c>
      <c r="AA28" s="264"/>
    </row>
    <row r="29" spans="1:27" x14ac:dyDescent="0.35">
      <c r="A29" s="88">
        <v>28</v>
      </c>
      <c r="B29" s="88" t="s">
        <v>93</v>
      </c>
      <c r="C29" s="88" t="s">
        <v>234</v>
      </c>
      <c r="D29" s="88" t="s">
        <v>581</v>
      </c>
      <c r="E29" s="88" t="s">
        <v>899</v>
      </c>
      <c r="F29" s="88">
        <v>1</v>
      </c>
      <c r="G29" s="88" t="s">
        <v>888</v>
      </c>
      <c r="H29" s="260">
        <v>1.5808651972062131</v>
      </c>
      <c r="I29" s="260">
        <v>198.25310978427581</v>
      </c>
      <c r="J29" s="260">
        <v>32.384275897514122</v>
      </c>
      <c r="K29" s="260">
        <v>165.7321883610112</v>
      </c>
      <c r="L29" s="260">
        <v>0.13664552575042979</v>
      </c>
      <c r="M29" s="260">
        <v>827.9953579476894</v>
      </c>
      <c r="N29" s="260">
        <v>2288.4796567912372</v>
      </c>
      <c r="O29" s="260">
        <v>5.2277107964037263E-2</v>
      </c>
      <c r="P29" s="260">
        <v>0.31235393926740479</v>
      </c>
      <c r="Q29" s="260">
        <v>3.2058277643332631</v>
      </c>
      <c r="R29" s="260">
        <v>1.040085396506787E-7</v>
      </c>
      <c r="S29" s="260">
        <v>4.604735449702842E-6</v>
      </c>
      <c r="T29" s="260">
        <v>32.25249826461426</v>
      </c>
      <c r="U29" s="260">
        <v>886.00489181851674</v>
      </c>
      <c r="V29" s="260">
        <v>6.0614609511729832E-2</v>
      </c>
      <c r="W29" s="260">
        <v>2.0262825035625359E-6</v>
      </c>
      <c r="X29" s="260">
        <v>2.1191201897683668E-5</v>
      </c>
      <c r="Y29" s="260">
        <v>1.0583578184848039</v>
      </c>
      <c r="Z29" s="260">
        <v>100.0649514424976</v>
      </c>
      <c r="AA29" s="264"/>
    </row>
    <row r="30" spans="1:27" x14ac:dyDescent="0.35">
      <c r="A30" s="88">
        <v>29</v>
      </c>
      <c r="B30" s="88" t="s">
        <v>95</v>
      </c>
      <c r="C30" s="88" t="s">
        <v>234</v>
      </c>
      <c r="D30" s="88" t="s">
        <v>91</v>
      </c>
      <c r="E30" s="88"/>
      <c r="F30" s="88"/>
      <c r="G30" s="88"/>
      <c r="H30" s="260"/>
      <c r="I30" s="260"/>
      <c r="J30" s="260"/>
      <c r="K30" s="260"/>
      <c r="L30" s="260"/>
      <c r="M30" s="260"/>
      <c r="N30" s="260"/>
      <c r="O30" s="260"/>
      <c r="P30" s="260"/>
      <c r="Q30" s="260"/>
      <c r="R30" s="260"/>
      <c r="S30" s="260"/>
      <c r="T30" s="260"/>
      <c r="U30" s="260"/>
      <c r="V30" s="260"/>
      <c r="W30" s="260"/>
      <c r="X30" s="260"/>
      <c r="Y30" s="260"/>
      <c r="Z30" s="260"/>
      <c r="AA30" s="264"/>
    </row>
    <row r="31" spans="1:27" x14ac:dyDescent="0.35">
      <c r="A31" s="88">
        <v>30</v>
      </c>
      <c r="B31" s="88" t="s">
        <v>95</v>
      </c>
      <c r="C31" s="88" t="s">
        <v>234</v>
      </c>
      <c r="D31" s="88" t="s">
        <v>897</v>
      </c>
      <c r="E31" s="88" t="s">
        <v>900</v>
      </c>
      <c r="F31" s="88">
        <v>1</v>
      </c>
      <c r="G31" s="88" t="s">
        <v>888</v>
      </c>
      <c r="H31" s="260">
        <v>7.0086494351332984</v>
      </c>
      <c r="I31" s="260">
        <v>502.65106887308781</v>
      </c>
      <c r="J31" s="260">
        <v>-2609.7779006742112</v>
      </c>
      <c r="K31" s="260">
        <v>895.68599403479357</v>
      </c>
      <c r="L31" s="260">
        <v>2216.7429755125058</v>
      </c>
      <c r="M31" s="260">
        <v>86134.251741253436</v>
      </c>
      <c r="N31" s="260">
        <v>7757.0981801534836</v>
      </c>
      <c r="O31" s="260">
        <v>0.45722958075583781</v>
      </c>
      <c r="P31" s="260">
        <v>20.4097965202726</v>
      </c>
      <c r="Q31" s="260">
        <v>24.48974610315021</v>
      </c>
      <c r="R31" s="260">
        <v>1.6155274745311481E-6</v>
      </c>
      <c r="S31" s="260">
        <v>1.155803714194934E-5</v>
      </c>
      <c r="T31" s="260">
        <v>26.22801422465772</v>
      </c>
      <c r="U31" s="260">
        <v>255927.98088004571</v>
      </c>
      <c r="V31" s="260">
        <v>6.8062847782772492E-3</v>
      </c>
      <c r="W31" s="260">
        <v>3.4562412381637612E-5</v>
      </c>
      <c r="X31" s="260">
        <v>6.9987841276671704E-5</v>
      </c>
      <c r="Y31" s="260">
        <v>7.1442100698958866</v>
      </c>
      <c r="Z31" s="260">
        <v>266.50002197461902</v>
      </c>
      <c r="AA31" s="264"/>
    </row>
    <row r="32" spans="1:27" x14ac:dyDescent="0.35">
      <c r="A32" s="88">
        <v>31</v>
      </c>
      <c r="B32" s="88" t="s">
        <v>95</v>
      </c>
      <c r="C32" s="88" t="s">
        <v>234</v>
      </c>
      <c r="D32" s="88" t="s">
        <v>580</v>
      </c>
      <c r="E32" s="88" t="s">
        <v>900</v>
      </c>
      <c r="F32" s="88">
        <v>1</v>
      </c>
      <c r="G32" s="88" t="s">
        <v>888</v>
      </c>
      <c r="H32" s="260">
        <v>7.0086494351332984</v>
      </c>
      <c r="I32" s="260">
        <v>502.65106887308781</v>
      </c>
      <c r="J32" s="260">
        <v>-2609.7779006742112</v>
      </c>
      <c r="K32" s="260">
        <v>895.68599403479357</v>
      </c>
      <c r="L32" s="260">
        <v>2216.7429755125058</v>
      </c>
      <c r="M32" s="260">
        <v>86134.251741253436</v>
      </c>
      <c r="N32" s="260">
        <v>7757.0981801534836</v>
      </c>
      <c r="O32" s="260">
        <v>0.45722958075583781</v>
      </c>
      <c r="P32" s="260">
        <v>20.4097965202726</v>
      </c>
      <c r="Q32" s="260">
        <v>24.48974610315021</v>
      </c>
      <c r="R32" s="260">
        <v>1.6155274745311481E-6</v>
      </c>
      <c r="S32" s="260">
        <v>1.155803714194934E-5</v>
      </c>
      <c r="T32" s="260">
        <v>26.22801422465772</v>
      </c>
      <c r="U32" s="260">
        <v>255927.98088004571</v>
      </c>
      <c r="V32" s="260">
        <v>6.8062847782772492E-3</v>
      </c>
      <c r="W32" s="260">
        <v>3.4562412381637612E-5</v>
      </c>
      <c r="X32" s="260">
        <v>6.9987841276671704E-5</v>
      </c>
      <c r="Y32" s="260">
        <v>7.1442100698958866</v>
      </c>
      <c r="Z32" s="260">
        <v>266.50002197461902</v>
      </c>
      <c r="AA32" s="264"/>
    </row>
    <row r="33" spans="1:27" x14ac:dyDescent="0.35">
      <c r="A33" s="88">
        <v>32</v>
      </c>
      <c r="B33" s="88" t="s">
        <v>95</v>
      </c>
      <c r="C33" s="88" t="s">
        <v>234</v>
      </c>
      <c r="D33" s="88" t="s">
        <v>94</v>
      </c>
      <c r="E33" s="88" t="s">
        <v>898</v>
      </c>
      <c r="F33" s="88">
        <v>1</v>
      </c>
      <c r="G33" s="88" t="s">
        <v>888</v>
      </c>
      <c r="H33" s="260">
        <v>5.3213382315972</v>
      </c>
      <c r="I33" s="260">
        <v>674.00691161004124</v>
      </c>
      <c r="J33" s="260">
        <v>1.945327099797586</v>
      </c>
      <c r="K33" s="260">
        <v>671.9069226627239</v>
      </c>
      <c r="L33" s="260">
        <v>0.15466184751970169</v>
      </c>
      <c r="M33" s="260">
        <v>1218.310218327247</v>
      </c>
      <c r="N33" s="260">
        <v>51675.276626060957</v>
      </c>
      <c r="O33" s="260">
        <v>0.13250925724489801</v>
      </c>
      <c r="P33" s="260">
        <v>0.95327363731636461</v>
      </c>
      <c r="Q33" s="260">
        <v>10.341156303520441</v>
      </c>
      <c r="R33" s="260">
        <v>1.2529073898362509E-7</v>
      </c>
      <c r="S33" s="260">
        <v>6.0928835171547224E-6</v>
      </c>
      <c r="T33" s="260">
        <v>16.902784328926771</v>
      </c>
      <c r="U33" s="260">
        <v>1811.805861829273</v>
      </c>
      <c r="V33" s="260">
        <v>7.999527772846524E-3</v>
      </c>
      <c r="W33" s="260">
        <v>8.8081937977297842E-6</v>
      </c>
      <c r="X33" s="260">
        <v>5.0104530181600858E-5</v>
      </c>
      <c r="Y33" s="260">
        <v>3.7030469669004078</v>
      </c>
      <c r="Z33" s="260">
        <v>107.9112515754309</v>
      </c>
      <c r="AA33" s="264"/>
    </row>
    <row r="34" spans="1:27" x14ac:dyDescent="0.35">
      <c r="A34" s="88">
        <v>33</v>
      </c>
      <c r="B34" s="88" t="s">
        <v>95</v>
      </c>
      <c r="C34" s="88" t="s">
        <v>234</v>
      </c>
      <c r="D34" s="88" t="s">
        <v>581</v>
      </c>
      <c r="E34" s="88" t="s">
        <v>899</v>
      </c>
      <c r="F34" s="88">
        <v>1</v>
      </c>
      <c r="G34" s="88" t="s">
        <v>888</v>
      </c>
      <c r="H34" s="260">
        <v>1.5808651972062131</v>
      </c>
      <c r="I34" s="260">
        <v>198.25310978427581</v>
      </c>
      <c r="J34" s="260">
        <v>32.384275897514122</v>
      </c>
      <c r="K34" s="260">
        <v>165.7321883610112</v>
      </c>
      <c r="L34" s="260">
        <v>0.13664552575042979</v>
      </c>
      <c r="M34" s="260">
        <v>827.9953579476894</v>
      </c>
      <c r="N34" s="260">
        <v>2288.4796567912372</v>
      </c>
      <c r="O34" s="260">
        <v>5.2277107964037263E-2</v>
      </c>
      <c r="P34" s="260">
        <v>0.31235393926740479</v>
      </c>
      <c r="Q34" s="260">
        <v>3.2058277643332631</v>
      </c>
      <c r="R34" s="260">
        <v>1.040085396506787E-7</v>
      </c>
      <c r="S34" s="260">
        <v>4.604735449702842E-6</v>
      </c>
      <c r="T34" s="260">
        <v>32.25249826461426</v>
      </c>
      <c r="U34" s="260">
        <v>886.00489181851674</v>
      </c>
      <c r="V34" s="260">
        <v>6.0614609511729832E-2</v>
      </c>
      <c r="W34" s="260">
        <v>2.0262825035625359E-6</v>
      </c>
      <c r="X34" s="260">
        <v>2.1191201897683668E-5</v>
      </c>
      <c r="Y34" s="260">
        <v>1.0583578184848039</v>
      </c>
      <c r="Z34" s="260">
        <v>100.0649514424976</v>
      </c>
      <c r="AA34" s="264"/>
    </row>
    <row r="35" spans="1:27" x14ac:dyDescent="0.35">
      <c r="A35" s="88">
        <v>34</v>
      </c>
      <c r="B35" s="88" t="s">
        <v>84</v>
      </c>
      <c r="C35" s="88" t="s">
        <v>234</v>
      </c>
      <c r="D35" s="88" t="s">
        <v>579</v>
      </c>
      <c r="E35" s="88"/>
      <c r="F35" s="88"/>
      <c r="G35" s="88"/>
      <c r="H35" s="260">
        <v>0</v>
      </c>
      <c r="I35" s="260"/>
      <c r="J35" s="260"/>
      <c r="K35" s="260"/>
      <c r="L35" s="260"/>
      <c r="M35" s="260"/>
      <c r="N35" s="260"/>
      <c r="O35" s="260"/>
      <c r="P35" s="260"/>
      <c r="Q35" s="260"/>
      <c r="R35" s="260"/>
      <c r="S35" s="260"/>
      <c r="T35" s="260"/>
      <c r="U35" s="260"/>
      <c r="V35" s="260"/>
      <c r="W35" s="260"/>
      <c r="X35" s="260"/>
      <c r="Y35" s="260"/>
      <c r="Z35" s="260"/>
    </row>
    <row r="36" spans="1:27" x14ac:dyDescent="0.35">
      <c r="A36" s="88">
        <v>35</v>
      </c>
      <c r="B36" s="88" t="s">
        <v>84</v>
      </c>
      <c r="C36" s="88" t="s">
        <v>234</v>
      </c>
      <c r="D36" s="88" t="s">
        <v>578</v>
      </c>
      <c r="E36" s="88" t="s">
        <v>901</v>
      </c>
      <c r="F36" s="88">
        <v>1</v>
      </c>
      <c r="G36" s="88" t="s">
        <v>888</v>
      </c>
      <c r="H36" s="260">
        <v>2.9683214852791711</v>
      </c>
      <c r="I36" s="260">
        <v>701.18103132597707</v>
      </c>
      <c r="J36" s="260">
        <v>91.813825097241931</v>
      </c>
      <c r="K36" s="260">
        <v>608.30515999177135</v>
      </c>
      <c r="L36" s="260">
        <v>1.062046236963718</v>
      </c>
      <c r="M36" s="260">
        <v>3632.141016350869</v>
      </c>
      <c r="N36" s="260">
        <v>7407.2365123525706</v>
      </c>
      <c r="O36" s="260">
        <v>0.22089869480984289</v>
      </c>
      <c r="P36" s="260">
        <v>0.87657664312895212</v>
      </c>
      <c r="Q36" s="260">
        <v>7.0750654620624864</v>
      </c>
      <c r="R36" s="262">
        <v>5.9390903473145381E-7</v>
      </c>
      <c r="S36" s="262">
        <v>8.3803378136663099E-6</v>
      </c>
      <c r="T36" s="260">
        <v>46.914398293685551</v>
      </c>
      <c r="U36" s="260">
        <v>3939.679898199201</v>
      </c>
      <c r="V36" s="260">
        <v>3.7485176375450721E-3</v>
      </c>
      <c r="W36" s="262">
        <v>5.5441633314015041E-6</v>
      </c>
      <c r="X36" s="262">
        <v>9.3570830914821174E-5</v>
      </c>
      <c r="Y36" s="260">
        <v>2.3046932598848349</v>
      </c>
      <c r="Z36" s="260">
        <v>153.2241349479759</v>
      </c>
    </row>
    <row r="37" spans="1:27" x14ac:dyDescent="0.35">
      <c r="A37" s="88">
        <v>36</v>
      </c>
      <c r="B37" s="88" t="s">
        <v>84</v>
      </c>
      <c r="C37" s="88" t="s">
        <v>234</v>
      </c>
      <c r="D37" s="88" t="s">
        <v>85</v>
      </c>
      <c r="E37" s="88" t="s">
        <v>902</v>
      </c>
      <c r="F37" s="88">
        <v>1</v>
      </c>
      <c r="G37" s="88" t="s">
        <v>888</v>
      </c>
      <c r="H37" s="260">
        <v>0.76241860248027316</v>
      </c>
      <c r="I37" s="260">
        <v>95.997897451301156</v>
      </c>
      <c r="J37" s="260">
        <v>0.81548161492207116</v>
      </c>
      <c r="K37" s="260">
        <v>95.034385883202702</v>
      </c>
      <c r="L37" s="260">
        <v>0.14802995317638851</v>
      </c>
      <c r="M37" s="260">
        <v>2309.0035340195882</v>
      </c>
      <c r="N37" s="260">
        <v>1044.470714969905</v>
      </c>
      <c r="O37" s="260">
        <v>2.4365757538113351E-2</v>
      </c>
      <c r="P37" s="260">
        <v>9.0830382498191836E-2</v>
      </c>
      <c r="Q37" s="260">
        <v>0.96907519420505395</v>
      </c>
      <c r="R37" s="260">
        <v>1.8347471694717739E-8</v>
      </c>
      <c r="S37" s="260">
        <v>8.3551729353085093E-7</v>
      </c>
      <c r="T37" s="260">
        <v>5.3806764571512007</v>
      </c>
      <c r="U37" s="260">
        <v>475.14756198905587</v>
      </c>
      <c r="V37" s="260">
        <v>5.1204517517300461E-4</v>
      </c>
      <c r="W37" s="260">
        <v>8.0242455041511396E-7</v>
      </c>
      <c r="X37" s="260">
        <v>8.7321622785087735E-6</v>
      </c>
      <c r="Y37" s="260">
        <v>0.32687969142101297</v>
      </c>
      <c r="Z37" s="260">
        <v>16.800162089894489</v>
      </c>
    </row>
    <row r="38" spans="1:27" x14ac:dyDescent="0.35">
      <c r="A38" s="88">
        <v>37</v>
      </c>
      <c r="B38" s="88" t="s">
        <v>84</v>
      </c>
      <c r="C38" s="88" t="s">
        <v>234</v>
      </c>
      <c r="D38" s="88" t="s">
        <v>89</v>
      </c>
      <c r="E38" s="88" t="s">
        <v>903</v>
      </c>
      <c r="F38" s="88">
        <v>1</v>
      </c>
      <c r="G38" s="88" t="s">
        <v>888</v>
      </c>
      <c r="H38" s="265">
        <f>'C3'' - Secondary Raw Material '!C302</f>
        <v>0.28477396892204759</v>
      </c>
      <c r="I38" s="265">
        <f>'C3'' - Secondary Raw Material '!D302</f>
        <v>103.22134232032127</v>
      </c>
      <c r="J38" s="265">
        <f>'C3'' - Secondary Raw Material '!E302</f>
        <v>1.3892893205579686</v>
      </c>
      <c r="K38" s="265">
        <f>'C3'' - Secondary Raw Material '!F302</f>
        <v>101.66784334021006</v>
      </c>
      <c r="L38" s="265">
        <f>'C3'' - Secondary Raw Material '!G302</f>
        <v>0.16420964705327432</v>
      </c>
      <c r="M38" s="265">
        <f>'C3'' - Secondary Raw Material '!H302</f>
        <v>247.01938915649339</v>
      </c>
      <c r="N38" s="265">
        <f>'C3'' - Secondary Raw Material '!I302</f>
        <v>3668.3653451994619</v>
      </c>
      <c r="O38" s="265">
        <f>'C3'' - Secondary Raw Material '!J302</f>
        <v>2.4718431640125303E-2</v>
      </c>
      <c r="P38" s="265">
        <f>'C3'' - Secondary Raw Material '!K302</f>
        <v>5.9461506013288992E-2</v>
      </c>
      <c r="Q38" s="265">
        <f>'C3'' - Secondary Raw Material '!L302</f>
        <v>0.57964064261754411</v>
      </c>
      <c r="R38" s="265">
        <f>'C3'' - Secondary Raw Material '!M302</f>
        <v>2.9518076150578666E-8</v>
      </c>
      <c r="S38" s="265">
        <f>'C3'' - Secondary Raw Material '!N302</f>
        <v>1.6072483523424545E-6</v>
      </c>
      <c r="T38" s="265">
        <f>'C3'' - Secondary Raw Material '!O302</f>
        <v>133.40386286133807</v>
      </c>
      <c r="U38" s="265">
        <f>'C3'' - Secondary Raw Material '!P302</f>
        <v>527.60583151236142</v>
      </c>
      <c r="V38" s="265">
        <f>'C3'' - Secondary Raw Material '!Q302</f>
        <v>1.7327993182822915E-3</v>
      </c>
      <c r="W38" s="265">
        <f>'C3'' - Secondary Raw Material '!R302</f>
        <v>2.8962523451066689E-6</v>
      </c>
      <c r="X38" s="265">
        <f>'C3'' - Secondary Raw Material '!S302</f>
        <v>2.611319406426671E-6</v>
      </c>
      <c r="Y38" s="265">
        <f>'C3'' - Secondary Raw Material '!T302</f>
        <v>0.23974728350920368</v>
      </c>
      <c r="Z38" s="265">
        <f>'C3'' - Secondary Raw Material '!U302</f>
        <v>38.898123690711053</v>
      </c>
    </row>
    <row r="39" spans="1:27" x14ac:dyDescent="0.35">
      <c r="A39" s="88">
        <v>38</v>
      </c>
      <c r="B39" s="88" t="s">
        <v>88</v>
      </c>
      <c r="C39" s="88" t="s">
        <v>234</v>
      </c>
      <c r="D39" s="88" t="s">
        <v>579</v>
      </c>
      <c r="E39" s="88"/>
      <c r="F39" s="88"/>
      <c r="G39" s="88"/>
      <c r="H39" s="260"/>
      <c r="I39" s="260"/>
      <c r="J39" s="260"/>
      <c r="K39" s="260"/>
      <c r="L39" s="260"/>
      <c r="M39" s="260"/>
      <c r="N39" s="260"/>
      <c r="O39" s="260"/>
      <c r="P39" s="260"/>
      <c r="Q39" s="260"/>
      <c r="R39" s="260"/>
      <c r="S39" s="260"/>
      <c r="T39" s="260"/>
      <c r="U39" s="260"/>
      <c r="V39" s="260"/>
      <c r="W39" s="260"/>
      <c r="X39" s="260"/>
      <c r="Y39" s="260"/>
      <c r="Z39" s="260"/>
    </row>
    <row r="40" spans="1:27" x14ac:dyDescent="0.35">
      <c r="A40" s="88">
        <v>39</v>
      </c>
      <c r="B40" s="88" t="s">
        <v>88</v>
      </c>
      <c r="C40" s="88" t="s">
        <v>234</v>
      </c>
      <c r="D40" s="88" t="s">
        <v>578</v>
      </c>
      <c r="E40" s="88" t="s">
        <v>904</v>
      </c>
      <c r="F40" s="88">
        <v>1</v>
      </c>
      <c r="G40" s="88" t="s">
        <v>888</v>
      </c>
      <c r="H40" s="260">
        <v>2.9683214852791711</v>
      </c>
      <c r="I40" s="260">
        <v>701.18103132597707</v>
      </c>
      <c r="J40" s="260">
        <v>91.813825097241931</v>
      </c>
      <c r="K40" s="260">
        <v>608.30515999177135</v>
      </c>
      <c r="L40" s="260">
        <v>1.062046236963718</v>
      </c>
      <c r="M40" s="260">
        <v>3632.141016350869</v>
      </c>
      <c r="N40" s="260">
        <v>7407.2365123525706</v>
      </c>
      <c r="O40" s="260">
        <v>0.22089869480984289</v>
      </c>
      <c r="P40" s="260">
        <v>0.87657664312895212</v>
      </c>
      <c r="Q40" s="260">
        <v>7.0750654620624864</v>
      </c>
      <c r="R40" s="262">
        <v>5.9390903473145381E-7</v>
      </c>
      <c r="S40" s="262">
        <v>8.3803378136663099E-6</v>
      </c>
      <c r="T40" s="260">
        <v>46.914398293685551</v>
      </c>
      <c r="U40" s="260">
        <v>3939.679898199201</v>
      </c>
      <c r="V40" s="260">
        <v>3.7485176375450721E-3</v>
      </c>
      <c r="W40" s="262">
        <v>5.5441633314015041E-6</v>
      </c>
      <c r="X40" s="262">
        <v>9.3570830914821174E-5</v>
      </c>
      <c r="Y40" s="260">
        <v>2.3046932598848349</v>
      </c>
      <c r="Z40" s="260">
        <v>153.2241349479759</v>
      </c>
    </row>
    <row r="41" spans="1:27" x14ac:dyDescent="0.35">
      <c r="A41" s="88">
        <v>40</v>
      </c>
      <c r="B41" s="88" t="s">
        <v>88</v>
      </c>
      <c r="C41" s="88" t="s">
        <v>234</v>
      </c>
      <c r="D41" s="88" t="s">
        <v>85</v>
      </c>
      <c r="E41" s="88" t="s">
        <v>902</v>
      </c>
      <c r="F41" s="88">
        <v>1</v>
      </c>
      <c r="G41" s="88" t="s">
        <v>888</v>
      </c>
      <c r="H41" s="260">
        <v>0.76241860248027316</v>
      </c>
      <c r="I41" s="260">
        <v>95.997897451301156</v>
      </c>
      <c r="J41" s="260">
        <v>0.81548161492207116</v>
      </c>
      <c r="K41" s="260">
        <v>95.034385883202702</v>
      </c>
      <c r="L41" s="260">
        <v>0.14802995317638851</v>
      </c>
      <c r="M41" s="260">
        <v>2309.0035340195882</v>
      </c>
      <c r="N41" s="260">
        <v>1044.470714969905</v>
      </c>
      <c r="O41" s="260">
        <v>2.4365757538113351E-2</v>
      </c>
      <c r="P41" s="260">
        <v>9.0830382498191836E-2</v>
      </c>
      <c r="Q41" s="260">
        <v>0.96907519420505395</v>
      </c>
      <c r="R41" s="262">
        <v>1.8347471694717739E-8</v>
      </c>
      <c r="S41" s="262">
        <v>8.3551729353085093E-7</v>
      </c>
      <c r="T41" s="260">
        <v>5.3806764571512007</v>
      </c>
      <c r="U41" s="260">
        <v>475.14756198905587</v>
      </c>
      <c r="V41" s="260">
        <v>5.1204517517300461E-4</v>
      </c>
      <c r="W41" s="262">
        <v>8.0242455041511396E-7</v>
      </c>
      <c r="X41" s="262">
        <v>8.7321622785087735E-6</v>
      </c>
      <c r="Y41" s="260">
        <v>0.32687969142101297</v>
      </c>
      <c r="Z41" s="260">
        <v>16.800162089894489</v>
      </c>
    </row>
    <row r="42" spans="1:27" x14ac:dyDescent="0.35">
      <c r="A42" s="88">
        <v>41</v>
      </c>
      <c r="B42" s="88" t="s">
        <v>88</v>
      </c>
      <c r="C42" s="88" t="s">
        <v>234</v>
      </c>
      <c r="D42" s="88" t="s">
        <v>89</v>
      </c>
      <c r="E42" s="88" t="s">
        <v>903</v>
      </c>
      <c r="F42" s="88">
        <v>1</v>
      </c>
      <c r="G42" s="88" t="s">
        <v>888</v>
      </c>
      <c r="H42" s="265">
        <f>'C3'' - Secondary Raw Material '!C302</f>
        <v>0.28477396892204759</v>
      </c>
      <c r="I42" s="265">
        <f>'C3'' - Secondary Raw Material '!D302</f>
        <v>103.22134232032127</v>
      </c>
      <c r="J42" s="265">
        <f>'C3'' - Secondary Raw Material '!E302</f>
        <v>1.3892893205579686</v>
      </c>
      <c r="K42" s="265">
        <f>'C3'' - Secondary Raw Material '!F302</f>
        <v>101.66784334021006</v>
      </c>
      <c r="L42" s="265">
        <f>'C3'' - Secondary Raw Material '!G302</f>
        <v>0.16420964705327432</v>
      </c>
      <c r="M42" s="265">
        <f>'C3'' - Secondary Raw Material '!H302</f>
        <v>247.01938915649339</v>
      </c>
      <c r="N42" s="265">
        <f>'C3'' - Secondary Raw Material '!I302</f>
        <v>3668.3653451994619</v>
      </c>
      <c r="O42" s="265">
        <f>'C3'' - Secondary Raw Material '!J302</f>
        <v>2.4718431640125303E-2</v>
      </c>
      <c r="P42" s="265">
        <f>'C3'' - Secondary Raw Material '!K302</f>
        <v>5.9461506013288992E-2</v>
      </c>
      <c r="Q42" s="265">
        <f>'C3'' - Secondary Raw Material '!L302</f>
        <v>0.57964064261754411</v>
      </c>
      <c r="R42" s="265">
        <f>'C3'' - Secondary Raw Material '!M302</f>
        <v>2.9518076150578666E-8</v>
      </c>
      <c r="S42" s="265">
        <f>'C3'' - Secondary Raw Material '!N302</f>
        <v>1.6072483523424545E-6</v>
      </c>
      <c r="T42" s="265">
        <f>'C3'' - Secondary Raw Material '!O302</f>
        <v>133.40386286133807</v>
      </c>
      <c r="U42" s="265">
        <f>'C3'' - Secondary Raw Material '!P302</f>
        <v>527.60583151236142</v>
      </c>
      <c r="V42" s="265">
        <f>'C3'' - Secondary Raw Material '!Q302</f>
        <v>1.7327993182822915E-3</v>
      </c>
      <c r="W42" s="265">
        <f>'C3'' - Secondary Raw Material '!R302</f>
        <v>2.8962523451066689E-6</v>
      </c>
      <c r="X42" s="265">
        <f>'C3'' - Secondary Raw Material '!S302</f>
        <v>2.611319406426671E-6</v>
      </c>
      <c r="Y42" s="265">
        <f>'C3'' - Secondary Raw Material '!T302</f>
        <v>0.23974728350920368</v>
      </c>
      <c r="Z42" s="265">
        <f>'C3'' - Secondary Raw Material '!U302</f>
        <v>38.898123690711053</v>
      </c>
    </row>
    <row r="43" spans="1:27" x14ac:dyDescent="0.35">
      <c r="A43" s="88">
        <v>42</v>
      </c>
      <c r="B43" s="88" t="s">
        <v>513</v>
      </c>
      <c r="C43" s="88" t="s">
        <v>234</v>
      </c>
      <c r="D43" s="88" t="s">
        <v>25</v>
      </c>
      <c r="E43" s="88" t="s">
        <v>905</v>
      </c>
      <c r="F43" s="88">
        <v>1</v>
      </c>
      <c r="G43" s="88" t="s">
        <v>557</v>
      </c>
      <c r="H43" s="260">
        <v>6.4917479808378111E-4</v>
      </c>
      <c r="I43" s="260">
        <v>0.18219807126195031</v>
      </c>
      <c r="J43" s="260">
        <v>3.8089322137568331E-3</v>
      </c>
      <c r="K43" s="260">
        <v>0.17794109566114399</v>
      </c>
      <c r="L43" s="260">
        <v>4.4804338704950098E-4</v>
      </c>
      <c r="M43" s="260">
        <v>0.6253928631247595</v>
      </c>
      <c r="N43" s="260">
        <v>8.7606274521720966</v>
      </c>
      <c r="O43" s="262">
        <v>6.6837193946409128E-5</v>
      </c>
      <c r="P43" s="260">
        <v>1.3350194646841919E-4</v>
      </c>
      <c r="Q43" s="260">
        <v>1.2673002520927801E-3</v>
      </c>
      <c r="R43" s="262">
        <v>7.4488651800677251E-11</v>
      </c>
      <c r="S43" s="262">
        <v>4.118758088693749E-9</v>
      </c>
      <c r="T43" s="260">
        <v>0.36800533721835249</v>
      </c>
      <c r="U43" s="260">
        <v>1.3824672680048169</v>
      </c>
      <c r="V43" s="262">
        <v>4.7441431552970934E-6</v>
      </c>
      <c r="W43" s="262">
        <v>5.6888941542182206E-9</v>
      </c>
      <c r="X43" s="262">
        <v>4.7704281210385562E-9</v>
      </c>
      <c r="Y43" s="260">
        <v>4.0497861688886352E-4</v>
      </c>
      <c r="Z43" s="260">
        <v>0.1052427822298047</v>
      </c>
    </row>
    <row r="44" spans="1:27" x14ac:dyDescent="0.35">
      <c r="A44" s="88">
        <v>43</v>
      </c>
      <c r="B44" s="266" t="s">
        <v>513</v>
      </c>
      <c r="C44" s="88" t="s">
        <v>234</v>
      </c>
      <c r="D44" s="88" t="s">
        <v>36</v>
      </c>
      <c r="E44" s="88" t="s">
        <v>906</v>
      </c>
      <c r="F44" s="88"/>
      <c r="G44" s="88"/>
      <c r="H44" s="265">
        <f>'Aux - Emissions'!E68</f>
        <v>5.3035459840249186E-3</v>
      </c>
      <c r="I44" s="265">
        <f>'Aux - Emissions'!F68</f>
        <v>4.1482980772561993</v>
      </c>
      <c r="J44" s="265">
        <f>'Aux - Emissions'!G68</f>
        <v>8.5734799168365311E-4</v>
      </c>
      <c r="K44" s="265">
        <f>'Aux - Emissions'!H68</f>
        <v>4.1472572806860564</v>
      </c>
      <c r="L44" s="265">
        <f>'Aux - Emissions'!I68</f>
        <v>1.8344857845927959E-4</v>
      </c>
      <c r="M44" s="265">
        <f>'Aux - Emissions'!J68</f>
        <v>1.832845135638107</v>
      </c>
      <c r="N44" s="265">
        <f>'Aux - Emissions'!K68</f>
        <v>55.100487407697372</v>
      </c>
      <c r="O44" s="265">
        <f>'Aux - Emissions'!L68</f>
        <v>4.3853117433037627E-5</v>
      </c>
      <c r="P44" s="265">
        <f>'Aux - Emissions'!M68</f>
        <v>1.1993045380982259E-3</v>
      </c>
      <c r="Q44" s="265">
        <f>'Aux - Emissions'!N68</f>
        <v>1.3037918163784251E-2</v>
      </c>
      <c r="R44" s="265">
        <f>'Aux - Emissions'!O68</f>
        <v>2.5350471757121082E-10</v>
      </c>
      <c r="S44" s="265">
        <f>'Aux - Emissions'!P68</f>
        <v>6.7569353088850776E-9</v>
      </c>
      <c r="T44" s="265">
        <f>'Aux - Emissions'!Q68</f>
        <v>1.6544378113660031E-2</v>
      </c>
      <c r="U44" s="265">
        <f>'Aux - Emissions'!R68</f>
        <v>2.8329600749020512</v>
      </c>
      <c r="V44" s="265">
        <f>'Aux - Emissions'!S68</f>
        <v>6.4685201023209792E-7</v>
      </c>
      <c r="W44" s="265">
        <f>'Aux - Emissions'!T68</f>
        <v>9.3480310770943594E-8</v>
      </c>
      <c r="X44" s="265">
        <f>'Aux - Emissions'!U68</f>
        <v>4.0857666204109152E-8</v>
      </c>
      <c r="Y44" s="265">
        <f>'Aux - Emissions'!V68</f>
        <v>1.021782483189552E-2</v>
      </c>
      <c r="Z44" s="265">
        <f>'Aux - Emissions'!W68</f>
        <v>7.4574338336591883E-2</v>
      </c>
    </row>
    <row r="45" spans="1:27" x14ac:dyDescent="0.35">
      <c r="A45" s="88">
        <v>44</v>
      </c>
      <c r="B45" s="88" t="s">
        <v>619</v>
      </c>
      <c r="C45" s="88" t="s">
        <v>234</v>
      </c>
      <c r="D45" s="88" t="s">
        <v>36</v>
      </c>
      <c r="E45" s="88" t="s">
        <v>907</v>
      </c>
      <c r="F45" s="88">
        <v>1</v>
      </c>
      <c r="G45" s="88" t="s">
        <v>558</v>
      </c>
      <c r="H45" s="265">
        <f>'Aux - Emissions'!E74</f>
        <v>5.3035459840249186E-3</v>
      </c>
      <c r="I45" s="265">
        <f>'Aux - Emissions'!F74</f>
        <v>4.1482980772561993</v>
      </c>
      <c r="J45" s="265">
        <f>'Aux - Emissions'!G74</f>
        <v>8.5734799168365311E-4</v>
      </c>
      <c r="K45" s="265">
        <f>'Aux - Emissions'!H74</f>
        <v>4.1472572806860564</v>
      </c>
      <c r="L45" s="265">
        <f>'Aux - Emissions'!I74</f>
        <v>1.8344857845927959E-4</v>
      </c>
      <c r="M45" s="265">
        <f>'Aux - Emissions'!J74</f>
        <v>1.832845135638107</v>
      </c>
      <c r="N45" s="265">
        <f>'Aux - Emissions'!K74</f>
        <v>55.100487407697372</v>
      </c>
      <c r="O45" s="265">
        <f>'Aux - Emissions'!L74</f>
        <v>4.3853117433037627E-5</v>
      </c>
      <c r="P45" s="265">
        <f>'Aux - Emissions'!M74</f>
        <v>1.1993045380982259E-3</v>
      </c>
      <c r="Q45" s="265">
        <f>'Aux - Emissions'!N74</f>
        <v>1.3037918163784251E-2</v>
      </c>
      <c r="R45" s="265">
        <f>'Aux - Emissions'!O74</f>
        <v>2.5350471757121082E-10</v>
      </c>
      <c r="S45" s="265">
        <f>'Aux - Emissions'!P74</f>
        <v>6.7569353088850776E-9</v>
      </c>
      <c r="T45" s="265">
        <f>'Aux - Emissions'!Q74</f>
        <v>1.6544378113660031E-2</v>
      </c>
      <c r="U45" s="265">
        <f>'Aux - Emissions'!R74</f>
        <v>2.8329600749020512</v>
      </c>
      <c r="V45" s="265">
        <f>'Aux - Emissions'!S74</f>
        <v>6.4685201023209792E-7</v>
      </c>
      <c r="W45" s="265">
        <f>'Aux - Emissions'!T74</f>
        <v>9.3480310770943594E-8</v>
      </c>
      <c r="X45" s="265">
        <f>'Aux - Emissions'!U74</f>
        <v>4.0857666204109152E-8</v>
      </c>
      <c r="Y45" s="265">
        <f>'Aux - Emissions'!V74</f>
        <v>1.021782483189552E-2</v>
      </c>
      <c r="Z45" s="265">
        <f>'Aux - Emissions'!W74</f>
        <v>7.4574338336591883E-2</v>
      </c>
    </row>
    <row r="46" spans="1:27" x14ac:dyDescent="0.35">
      <c r="A46" s="88">
        <v>45</v>
      </c>
      <c r="B46" s="88" t="s">
        <v>619</v>
      </c>
      <c r="C46" s="88" t="s">
        <v>234</v>
      </c>
      <c r="D46" s="88" t="s">
        <v>87</v>
      </c>
      <c r="E46" s="88" t="s">
        <v>908</v>
      </c>
      <c r="F46" s="88">
        <v>1</v>
      </c>
      <c r="G46" s="88" t="s">
        <v>558</v>
      </c>
      <c r="H46" s="265">
        <f>'Aux - Emissions'!E75</f>
        <v>7.9203098977798508E-3</v>
      </c>
      <c r="I46" s="265">
        <f>'Aux - Emissions'!F75</f>
        <v>4.0575303534544211</v>
      </c>
      <c r="J46" s="265">
        <f>'Aux - Emissions'!G75</f>
        <v>6.0635780932299715E-3</v>
      </c>
      <c r="K46" s="265">
        <f>'Aux - Emissions'!H75</f>
        <v>4.0470240451361068</v>
      </c>
      <c r="L46" s="265">
        <f>'Aux - Emissions'!I75</f>
        <v>4.4427302250839972E-3</v>
      </c>
      <c r="M46" s="265">
        <f>'Aux - Emissions'!J75</f>
        <v>4.7040131708537114</v>
      </c>
      <c r="N46" s="265">
        <f>'Aux - Emissions'!K75</f>
        <v>53.416061595492351</v>
      </c>
      <c r="O46" s="265">
        <f>'Aux - Emissions'!L75</f>
        <v>6.5802952593443679E-5</v>
      </c>
      <c r="P46" s="265">
        <f>'Aux - Emissions'!M75</f>
        <v>3.3612963234816414E-3</v>
      </c>
      <c r="Q46" s="265">
        <f>'Aux - Emissions'!N75</f>
        <v>2.5988167685268841E-2</v>
      </c>
      <c r="R46" s="265">
        <f>'Aux - Emissions'!O75</f>
        <v>3.1964676133622929E-10</v>
      </c>
      <c r="S46" s="265">
        <f>'Aux - Emissions'!P75</f>
        <v>1.4403663513192116E-8</v>
      </c>
      <c r="T46" s="265">
        <f>'Aux - Emissions'!Q75</f>
        <v>1.9042496375533659E-2</v>
      </c>
      <c r="U46" s="265">
        <f>'Aux - Emissions'!R75</f>
        <v>11.219626763947172</v>
      </c>
      <c r="V46" s="265">
        <f>'Aux - Emissions'!S75</f>
        <v>1.0437898941982373E-6</v>
      </c>
      <c r="W46" s="265">
        <f>'Aux - Emissions'!T75</f>
        <v>9.3502202012651712E-8</v>
      </c>
      <c r="X46" s="265">
        <f>'Aux - Emissions'!U75</f>
        <v>6.0650031984858996E-8</v>
      </c>
      <c r="Y46" s="265">
        <f>'Aux - Emissions'!V75</f>
        <v>1.1315090003252705E-2</v>
      </c>
      <c r="Z46" s="265">
        <f>'Aux - Emissions'!W75</f>
        <v>0.20821182302675101</v>
      </c>
    </row>
    <row r="47" spans="1:27" x14ac:dyDescent="0.35">
      <c r="A47" s="88">
        <v>46</v>
      </c>
      <c r="B47" s="88" t="s">
        <v>619</v>
      </c>
      <c r="C47" s="88" t="s">
        <v>234</v>
      </c>
      <c r="D47" s="88" t="s">
        <v>806</v>
      </c>
      <c r="E47" s="88" t="s">
        <v>909</v>
      </c>
      <c r="F47" s="88">
        <v>1</v>
      </c>
      <c r="G47" s="88" t="s">
        <v>558</v>
      </c>
      <c r="H47" s="265">
        <f>'Aux - Emissions'!E76</f>
        <v>9.3740676276437042E-3</v>
      </c>
      <c r="I47" s="265">
        <f>'Aux - Emissions'!F76</f>
        <v>4.0071038402312116</v>
      </c>
      <c r="J47" s="265">
        <f>'Aux - Emissions'!G76</f>
        <v>8.9559281496445937E-3</v>
      </c>
      <c r="K47" s="265">
        <f>'Aux - Emissions'!H76</f>
        <v>3.9913389142750249</v>
      </c>
      <c r="L47" s="265">
        <f>'Aux - Emissions'!I76</f>
        <v>6.8089978065421749E-3</v>
      </c>
      <c r="M47" s="265">
        <f>'Aux - Emissions'!J76</f>
        <v>6.2991065237512709</v>
      </c>
      <c r="N47" s="265">
        <f>'Aux - Emissions'!K76</f>
        <v>52.480269477600686</v>
      </c>
      <c r="O47" s="265">
        <f>'Aux - Emissions'!L76</f>
        <v>7.7997305460335959E-5</v>
      </c>
      <c r="P47" s="265">
        <f>'Aux - Emissions'!M76</f>
        <v>4.5624028709168726E-3</v>
      </c>
      <c r="Q47" s="265">
        <f>'Aux - Emissions'!N76</f>
        <v>3.3182750752760282E-2</v>
      </c>
      <c r="R47" s="265">
        <f>'Aux - Emissions'!O76</f>
        <v>3.5639234120568401E-10</v>
      </c>
      <c r="S47" s="265">
        <f>'Aux - Emissions'!P76</f>
        <v>1.8651845848918251E-8</v>
      </c>
      <c r="T47" s="265">
        <f>'Aux - Emissions'!Q76</f>
        <v>2.0430339854352345E-2</v>
      </c>
      <c r="U47" s="265">
        <f>'Aux - Emissions'!R76</f>
        <v>15.878886035638907</v>
      </c>
      <c r="V47" s="265">
        <f>'Aux - Emissions'!S76</f>
        <v>1.2643109408460927E-6</v>
      </c>
      <c r="W47" s="265">
        <f>'Aux - Emissions'!T76</f>
        <v>9.3514363813600682E-8</v>
      </c>
      <c r="X47" s="265">
        <f>'Aux - Emissions'!U76</f>
        <v>7.164579075194226E-8</v>
      </c>
      <c r="Y47" s="265">
        <f>'Aux - Emissions'!V76</f>
        <v>1.1924681765117809E-2</v>
      </c>
      <c r="Z47" s="265">
        <f>'Aux - Emissions'!W76</f>
        <v>0.28245487007683945</v>
      </c>
    </row>
    <row r="48" spans="1:27" x14ac:dyDescent="0.35">
      <c r="A48" s="88">
        <v>47</v>
      </c>
      <c r="B48" s="88" t="s">
        <v>619</v>
      </c>
      <c r="C48" s="88" t="s">
        <v>234</v>
      </c>
      <c r="D48" s="88" t="s">
        <v>807</v>
      </c>
      <c r="E48" s="88" t="s">
        <v>910</v>
      </c>
      <c r="F48" s="88">
        <v>1</v>
      </c>
      <c r="G48" s="88" t="s">
        <v>558</v>
      </c>
      <c r="H48" s="265">
        <f>'Aux - Emissions'!E77</f>
        <v>1.1118576903480327E-2</v>
      </c>
      <c r="I48" s="265">
        <f>'Aux - Emissions'!F77</f>
        <v>3.9465920243633597</v>
      </c>
      <c r="J48" s="265">
        <f>'Aux - Emissions'!G77</f>
        <v>1.2426748217342139E-2</v>
      </c>
      <c r="K48" s="265">
        <f>'Aux - Emissions'!H77</f>
        <v>3.9245167572417254</v>
      </c>
      <c r="L48" s="265">
        <f>'Aux - Emissions'!I77</f>
        <v>9.6485189042919868E-3</v>
      </c>
      <c r="M48" s="265">
        <f>'Aux - Emissions'!J77</f>
        <v>8.2132185472283403</v>
      </c>
      <c r="N48" s="265">
        <f>'Aux - Emissions'!K77</f>
        <v>51.357318936130675</v>
      </c>
      <c r="O48" s="265">
        <f>'Aux - Emissions'!L77</f>
        <v>9.2630528900606646E-5</v>
      </c>
      <c r="P48" s="265">
        <f>'Aux - Emissions'!M77</f>
        <v>6.0037307278391497E-3</v>
      </c>
      <c r="Q48" s="265">
        <f>'Aux - Emissions'!N77</f>
        <v>4.1816250433750007E-2</v>
      </c>
      <c r="R48" s="265">
        <f>'Aux - Emissions'!O77</f>
        <v>4.0048703704902963E-10</v>
      </c>
      <c r="S48" s="265">
        <f>'Aux - Emissions'!P77</f>
        <v>2.3749664651789609E-8</v>
      </c>
      <c r="T48" s="265">
        <f>'Aux - Emissions'!Q77</f>
        <v>2.2095752028934761E-2</v>
      </c>
      <c r="U48" s="265">
        <f>'Aux - Emissions'!R77</f>
        <v>21.469997161668989</v>
      </c>
      <c r="V48" s="265">
        <f>'Aux - Emissions'!S77</f>
        <v>1.528936196823519E-6</v>
      </c>
      <c r="W48" s="265">
        <f>'Aux - Emissions'!T77</f>
        <v>9.3528957974739409E-8</v>
      </c>
      <c r="X48" s="265">
        <f>'Aux - Emissions'!U77</f>
        <v>8.4840701272442151E-8</v>
      </c>
      <c r="Y48" s="265">
        <f>'Aux - Emissions'!V77</f>
        <v>1.2656191879355932E-2</v>
      </c>
      <c r="Z48" s="265">
        <f>'Aux - Emissions'!W77</f>
        <v>0.37154652653694553</v>
      </c>
    </row>
    <row r="49" spans="1:26" x14ac:dyDescent="0.35">
      <c r="A49" s="88">
        <v>48</v>
      </c>
      <c r="B49" s="88" t="s">
        <v>619</v>
      </c>
      <c r="C49" s="88" t="s">
        <v>234</v>
      </c>
      <c r="D49" s="88" t="s">
        <v>79</v>
      </c>
      <c r="E49" s="88" t="s">
        <v>911</v>
      </c>
      <c r="F49" s="88">
        <v>1</v>
      </c>
      <c r="G49" s="88" t="s">
        <v>558</v>
      </c>
      <c r="H49" s="265">
        <f>'Aux - Emissions'!E78</f>
        <v>1.6933607822935733E-2</v>
      </c>
      <c r="I49" s="265">
        <f>'Aux - Emissions'!F78</f>
        <v>3.74488597147052</v>
      </c>
      <c r="J49" s="265">
        <f>'Aux - Emissions'!G78</f>
        <v>2.3996148443000624E-2</v>
      </c>
      <c r="K49" s="265">
        <f>'Aux - Emissions'!H78</f>
        <v>3.7017762337973945</v>
      </c>
      <c r="L49" s="265">
        <f>'Aux - Emissions'!I78</f>
        <v>1.9113589230124694E-2</v>
      </c>
      <c r="M49" s="265">
        <f>'Aux - Emissions'!J78</f>
        <v>14.593591958818575</v>
      </c>
      <c r="N49" s="265">
        <f>'Aux - Emissions'!K78</f>
        <v>47.61415046456397</v>
      </c>
      <c r="O49" s="265">
        <f>'Aux - Emissions'!L78</f>
        <v>1.4140794036817569E-4</v>
      </c>
      <c r="P49" s="265">
        <f>'Aux - Emissions'!M78</f>
        <v>1.0808156917580074E-2</v>
      </c>
      <c r="Q49" s="265">
        <f>'Aux - Emissions'!N78</f>
        <v>7.0594582703715769E-2</v>
      </c>
      <c r="R49" s="265">
        <f>'Aux - Emissions'!O78</f>
        <v>5.4746935652684843E-10</v>
      </c>
      <c r="S49" s="265">
        <f>'Aux - Emissions'!P78</f>
        <v>4.0742393994694141E-8</v>
      </c>
      <c r="T49" s="265">
        <f>'Aux - Emissions'!Q78</f>
        <v>2.764712594420949E-2</v>
      </c>
      <c r="U49" s="265">
        <f>'Aux - Emissions'!R78</f>
        <v>40.107034248435923</v>
      </c>
      <c r="V49" s="265">
        <f>'Aux - Emissions'!S78</f>
        <v>2.4110203834149401E-6</v>
      </c>
      <c r="W49" s="265">
        <f>'Aux - Emissions'!T78</f>
        <v>9.3577605178535238E-8</v>
      </c>
      <c r="X49" s="265">
        <f>'Aux - Emissions'!U78</f>
        <v>1.2882373634077516E-7</v>
      </c>
      <c r="Y49" s="265">
        <f>'Aux - Emissions'!V78</f>
        <v>1.5094558926816345E-2</v>
      </c>
      <c r="Z49" s="265">
        <f>'Aux - Emissions'!W78</f>
        <v>0.66851871473729907</v>
      </c>
    </row>
    <row r="50" spans="1:26" x14ac:dyDescent="0.35">
      <c r="A50" s="88">
        <v>49</v>
      </c>
      <c r="B50" s="88" t="s">
        <v>619</v>
      </c>
      <c r="C50" s="88" t="s">
        <v>234</v>
      </c>
      <c r="D50" s="88" t="s">
        <v>808</v>
      </c>
      <c r="E50" s="88" t="s">
        <v>912</v>
      </c>
      <c r="F50" s="88">
        <v>1</v>
      </c>
      <c r="G50" s="88" t="s">
        <v>558</v>
      </c>
      <c r="H50" s="265">
        <f>'Aux - Emissions'!E79</f>
        <v>6.3453855178578988E-2</v>
      </c>
      <c r="I50" s="265">
        <f>'Aux - Emissions'!F79</f>
        <v>2.1312375483278019</v>
      </c>
      <c r="J50" s="265">
        <f>'Aux - Emissions'!G79</f>
        <v>0.1165513502482685</v>
      </c>
      <c r="K50" s="265">
        <f>'Aux - Emissions'!H79</f>
        <v>1.9198520462427471</v>
      </c>
      <c r="L50" s="265">
        <f>'Aux - Emissions'!I79</f>
        <v>9.483415183678634E-2</v>
      </c>
      <c r="M50" s="265">
        <f>'Aux - Emissions'!J79</f>
        <v>65.636579251540439</v>
      </c>
      <c r="N50" s="265">
        <f>'Aux - Emissions'!K79</f>
        <v>17.668802692030361</v>
      </c>
      <c r="O50" s="265">
        <f>'Aux - Emissions'!L79</f>
        <v>5.3162723210872787E-4</v>
      </c>
      <c r="P50" s="265">
        <f>'Aux - Emissions'!M79</f>
        <v>4.9243566435507459E-2</v>
      </c>
      <c r="Q50" s="265">
        <f>'Aux - Emissions'!N79</f>
        <v>0.30082124086344181</v>
      </c>
      <c r="R50" s="265">
        <f>'Aux - Emissions'!O79</f>
        <v>1.723327912349399E-9</v>
      </c>
      <c r="S50" s="265">
        <f>'Aux - Emissions'!P79</f>
        <v>1.7668422873793039E-7</v>
      </c>
      <c r="T50" s="265">
        <f>'Aux - Emissions'!Q79</f>
        <v>7.2058117266407318E-2</v>
      </c>
      <c r="U50" s="265">
        <f>'Aux - Emissions'!R79</f>
        <v>189.2033309425714</v>
      </c>
      <c r="V50" s="265">
        <f>'Aux - Emissions'!S79</f>
        <v>9.4676938761463082E-6</v>
      </c>
      <c r="W50" s="265">
        <f>'Aux - Emissions'!T79</f>
        <v>9.3966782808901814E-8</v>
      </c>
      <c r="X50" s="265">
        <f>'Aux - Emissions'!U79</f>
        <v>4.8068801688743912E-7</v>
      </c>
      <c r="Y50" s="265">
        <f>'Aux - Emissions'!V79</f>
        <v>3.4601495306499641E-2</v>
      </c>
      <c r="Z50" s="265">
        <f>'Aux - Emissions'!W79</f>
        <v>3.044296220340128</v>
      </c>
    </row>
    <row r="51" spans="1:26" x14ac:dyDescent="0.35">
      <c r="A51" s="88">
        <v>50</v>
      </c>
      <c r="B51" s="88" t="s">
        <v>619</v>
      </c>
      <c r="C51" s="88" t="s">
        <v>234</v>
      </c>
      <c r="D51" s="88" t="s">
        <v>82</v>
      </c>
      <c r="E51" s="88" t="s">
        <v>913</v>
      </c>
      <c r="F51" s="88">
        <v>1</v>
      </c>
      <c r="G51" s="88" t="s">
        <v>557</v>
      </c>
      <c r="H51" s="265">
        <f>'Aux - Emissions'!E80</f>
        <v>6.4917479808378111E-4</v>
      </c>
      <c r="I51" s="265">
        <f>'Aux - Emissions'!F80</f>
        <v>0.18219807126195031</v>
      </c>
      <c r="J51" s="265">
        <f>'Aux - Emissions'!G80</f>
        <v>3.8089322137568331E-3</v>
      </c>
      <c r="K51" s="265">
        <f>'Aux - Emissions'!H80</f>
        <v>0.17794109566114399</v>
      </c>
      <c r="L51" s="265">
        <f>'Aux - Emissions'!I80</f>
        <v>4.4804338704950098E-4</v>
      </c>
      <c r="M51" s="265">
        <f>'Aux - Emissions'!J80</f>
        <v>0.6253928631247595</v>
      </c>
      <c r="N51" s="265">
        <f>'Aux - Emissions'!K80</f>
        <v>8.7606274521720966</v>
      </c>
      <c r="O51" s="265">
        <f>'Aux - Emissions'!L80</f>
        <v>6.6837193946409128E-5</v>
      </c>
      <c r="P51" s="265">
        <f>'Aux - Emissions'!M80</f>
        <v>1.3350194646841919E-4</v>
      </c>
      <c r="Q51" s="265">
        <f>'Aux - Emissions'!N80</f>
        <v>1.2673002520927801E-3</v>
      </c>
      <c r="R51" s="265">
        <f>'Aux - Emissions'!O80</f>
        <v>7.4488651800677251E-11</v>
      </c>
      <c r="S51" s="265">
        <f>'Aux - Emissions'!P80</f>
        <v>4.118758088693749E-9</v>
      </c>
      <c r="T51" s="265">
        <f>'Aux - Emissions'!Q80</f>
        <v>0.36800533721835249</v>
      </c>
      <c r="U51" s="265">
        <f>'Aux - Emissions'!R80</f>
        <v>1.3824672680048169</v>
      </c>
      <c r="V51" s="265">
        <f>'Aux - Emissions'!S80</f>
        <v>4.7441431552970934E-6</v>
      </c>
      <c r="W51" s="265">
        <f>'Aux - Emissions'!T80</f>
        <v>5.6888941542182206E-9</v>
      </c>
      <c r="X51" s="265">
        <f>'Aux - Emissions'!U80</f>
        <v>4.7704281210385562E-9</v>
      </c>
      <c r="Y51" s="265">
        <f>'Aux - Emissions'!V80</f>
        <v>4.0497861688886352E-4</v>
      </c>
      <c r="Z51" s="265">
        <f>'Aux - Emissions'!W80</f>
        <v>0.1052427822298047</v>
      </c>
    </row>
    <row r="52" spans="1:26" x14ac:dyDescent="0.35">
      <c r="A52" s="88">
        <v>51</v>
      </c>
      <c r="B52" s="88" t="s">
        <v>619</v>
      </c>
      <c r="C52" s="88" t="s">
        <v>234</v>
      </c>
      <c r="D52" s="88" t="s">
        <v>92</v>
      </c>
      <c r="E52" s="88" t="s">
        <v>914</v>
      </c>
      <c r="F52" s="88">
        <v>1</v>
      </c>
      <c r="G52" s="88" t="s">
        <v>557</v>
      </c>
      <c r="H52" s="265">
        <f>'Aux - Emissions'!E81</f>
        <v>5.88814108568818E-4</v>
      </c>
      <c r="I52" s="265">
        <f>'Aux - Emissions'!F81</f>
        <v>5.18727049626619E-2</v>
      </c>
      <c r="J52" s="265">
        <f>'Aux - Emissions'!G81</f>
        <v>6.6321407021587906E-5</v>
      </c>
      <c r="K52" s="265">
        <f>'Aux - Emissions'!H81</f>
        <v>5.1723773168274E-2</v>
      </c>
      <c r="L52" s="265">
        <f>'Aux - Emissions'!I81</f>
        <v>8.2610387366315494E-5</v>
      </c>
      <c r="M52" s="265">
        <f>'Aux - Emissions'!J81</f>
        <v>0.73519640383391605</v>
      </c>
      <c r="N52" s="265">
        <f>'Aux - Emissions'!K81</f>
        <v>0.61152364724192398</v>
      </c>
      <c r="O52" s="265">
        <f>'Aux - Emissions'!L81</f>
        <v>4.8212189078874897E-5</v>
      </c>
      <c r="P52" s="265">
        <f>'Aux - Emissions'!M81</f>
        <v>6.4180496659697607E-5</v>
      </c>
      <c r="Q52" s="265">
        <f>'Aux - Emissions'!N81</f>
        <v>7.1157743150184599E-4</v>
      </c>
      <c r="R52" s="265">
        <f>'Aux - Emissions'!O81</f>
        <v>7.7725899378582605E-11</v>
      </c>
      <c r="S52" s="265">
        <f>'Aux - Emissions'!P81</f>
        <v>4.7854270802401399E-9</v>
      </c>
      <c r="T52" s="265">
        <f>'Aux - Emissions'!Q81</f>
        <v>3.5860747038049499E-3</v>
      </c>
      <c r="U52" s="265">
        <f>'Aux - Emissions'!R81</f>
        <v>1.2941657200477401</v>
      </c>
      <c r="V52" s="265">
        <f>'Aux - Emissions'!S81</f>
        <v>6.1440658107819203E-6</v>
      </c>
      <c r="W52" s="265">
        <f>'Aux - Emissions'!T81</f>
        <v>3.59423968054589E-9</v>
      </c>
      <c r="X52" s="265">
        <f>'Aux - Emissions'!U81</f>
        <v>4.0402100723667703E-9</v>
      </c>
      <c r="Y52" s="265">
        <f>'Aux - Emissions'!V81</f>
        <v>2.42060646074334E-4</v>
      </c>
      <c r="Z52" s="265">
        <f>'Aux - Emissions'!W81</f>
        <v>5.54606113605558E-2</v>
      </c>
    </row>
    <row r="53" spans="1:26" x14ac:dyDescent="0.35">
      <c r="A53" s="88">
        <v>52</v>
      </c>
      <c r="B53" s="88" t="s">
        <v>619</v>
      </c>
      <c r="C53" s="88" t="s">
        <v>234</v>
      </c>
      <c r="D53" s="88" t="s">
        <v>27</v>
      </c>
      <c r="E53" s="88"/>
      <c r="F53" s="88">
        <v>1</v>
      </c>
      <c r="G53" s="88" t="s">
        <v>557</v>
      </c>
      <c r="H53" s="265"/>
      <c r="I53" s="265"/>
      <c r="J53" s="265"/>
      <c r="K53" s="265"/>
      <c r="L53" s="265"/>
      <c r="M53" s="265"/>
      <c r="N53" s="265"/>
      <c r="O53" s="265"/>
      <c r="P53" s="265"/>
      <c r="Q53" s="265"/>
      <c r="R53" s="265"/>
      <c r="S53" s="265"/>
      <c r="T53" s="265"/>
      <c r="U53" s="265"/>
      <c r="V53" s="265"/>
      <c r="W53" s="265"/>
      <c r="X53" s="265"/>
      <c r="Y53" s="265"/>
      <c r="Z53" s="265"/>
    </row>
    <row r="54" spans="1:26" x14ac:dyDescent="0.35">
      <c r="A54" s="88">
        <v>53</v>
      </c>
      <c r="B54" s="88" t="s">
        <v>69</v>
      </c>
      <c r="C54" s="88" t="s">
        <v>235</v>
      </c>
      <c r="D54" s="88" t="s">
        <v>70</v>
      </c>
      <c r="E54" s="88" t="s">
        <v>915</v>
      </c>
      <c r="F54" s="88">
        <v>1</v>
      </c>
      <c r="G54" s="88" t="s">
        <v>916</v>
      </c>
      <c r="H54" s="265">
        <f>'Aux - Emissions'!E93</f>
        <v>4.4273700000000001E-4</v>
      </c>
      <c r="I54" s="265">
        <f>'Aux - Emissions'!F93</f>
        <v>0.16183594900000001</v>
      </c>
      <c r="J54" s="265">
        <f>'Aux - Emissions'!G93</f>
        <v>7.4798799999999999E-5</v>
      </c>
      <c r="K54" s="265">
        <f>'Aux - Emissions'!H93</f>
        <v>0.161748425</v>
      </c>
      <c r="L54" s="265">
        <f>'Aux - Emissions'!I93</f>
        <v>1.2724900000000001E-5</v>
      </c>
      <c r="M54" s="265">
        <f>'Aux - Emissions'!J93</f>
        <v>0.137536828</v>
      </c>
      <c r="N54" s="265">
        <f>'Aux - Emissions'!K93</f>
        <v>2.1759396099999999</v>
      </c>
      <c r="O54" s="265">
        <f>'Aux - Emissions'!L93</f>
        <v>3.7230000000000002E-6</v>
      </c>
      <c r="P54" s="265">
        <f>'Aux - Emissions'!M93</f>
        <v>1.5885399999999999E-4</v>
      </c>
      <c r="Q54" s="265">
        <f>'Aux - Emissions'!N93</f>
        <v>1.7328549999999999E-3</v>
      </c>
      <c r="R54" s="265">
        <f>'Aux - Emissions'!O93</f>
        <v>1.51271E-11</v>
      </c>
      <c r="S54" s="265">
        <f>'Aux - Emissions'!P93</f>
        <v>1.1598500000000001E-9</v>
      </c>
      <c r="T54" s="265">
        <f>'Aux - Emissions'!Q93</f>
        <v>9.7962799999999997E-4</v>
      </c>
      <c r="U54" s="265">
        <f>'Aux - Emissions'!R93</f>
        <v>0.13654184</v>
      </c>
      <c r="V54" s="265">
        <f>'Aux - Emissions'!S93</f>
        <v>1.7542099999999999E-7</v>
      </c>
      <c r="W54" s="265">
        <f>'Aux - Emissions'!T93</f>
        <v>3.59986E-9</v>
      </c>
      <c r="X54" s="265">
        <f>'Aux - Emissions'!U93</f>
        <v>1.0943000000000001E-8</v>
      </c>
      <c r="Y54" s="265">
        <f>'Aux - Emissions'!V93</f>
        <v>6.9705500000000003E-4</v>
      </c>
      <c r="Z54" s="265">
        <f>'Aux - Emissions'!W93</f>
        <v>4.9112419999999997E-3</v>
      </c>
    </row>
    <row r="55" spans="1:26" x14ac:dyDescent="0.35">
      <c r="A55" s="88">
        <v>54</v>
      </c>
      <c r="B55" s="88" t="s">
        <v>69</v>
      </c>
      <c r="C55" s="88" t="s">
        <v>235</v>
      </c>
      <c r="D55" s="88" t="s">
        <v>489</v>
      </c>
      <c r="E55" s="88" t="s">
        <v>917</v>
      </c>
      <c r="F55" s="88">
        <v>1</v>
      </c>
      <c r="G55" s="88" t="s">
        <v>916</v>
      </c>
      <c r="H55" s="265">
        <f>'Aux - Emissions'!E107</f>
        <v>2.36722E-4</v>
      </c>
      <c r="I55" s="265">
        <f>'Aux - Emissions'!F107</f>
        <v>0.15874485899999999</v>
      </c>
      <c r="J55" s="265">
        <f>'Aux - Emissions'!G107</f>
        <v>7.41903E-5</v>
      </c>
      <c r="K55" s="265">
        <f>'Aux - Emissions'!H107</f>
        <v>0.158658042</v>
      </c>
      <c r="L55" s="265">
        <f>'Aux - Emissions'!I107</f>
        <v>1.26265E-5</v>
      </c>
      <c r="M55" s="265">
        <f>'Aux - Emissions'!J107</f>
        <v>0.13634394899999999</v>
      </c>
      <c r="N55" s="265">
        <f>'Aux - Emissions'!K107</f>
        <v>2.1365407599999999</v>
      </c>
      <c r="O55" s="265">
        <f>'Aux - Emissions'!L107</f>
        <v>3.7026899999999999E-6</v>
      </c>
      <c r="P55" s="265">
        <f>'Aux - Emissions'!M107</f>
        <v>5.1597200000000001E-5</v>
      </c>
      <c r="Q55" s="265">
        <f>'Aux - Emissions'!N107</f>
        <v>5.5849299999999997E-4</v>
      </c>
      <c r="R55" s="265">
        <f>'Aux - Emissions'!O107</f>
        <v>1.4069699999999999E-11</v>
      </c>
      <c r="S55" s="265">
        <f>'Aux - Emissions'!P107</f>
        <v>1.1447800000000001E-9</v>
      </c>
      <c r="T55" s="265">
        <f>'Aux - Emissions'!Q107</f>
        <v>9.6880600000000001E-4</v>
      </c>
      <c r="U55" s="265">
        <f>'Aux - Emissions'!R107</f>
        <v>0.134766514</v>
      </c>
      <c r="V55" s="265">
        <f>'Aux - Emissions'!S107</f>
        <v>1.7513699999999999E-7</v>
      </c>
      <c r="W55" s="265">
        <f>'Aux - Emissions'!T107</f>
        <v>3.5298200000000001E-9</v>
      </c>
      <c r="X55" s="265">
        <f>'Aux - Emissions'!U107</f>
        <v>9.8395699999999993E-9</v>
      </c>
      <c r="Y55" s="265">
        <f>'Aux - Emissions'!V107</f>
        <v>4.1271599999999998E-4</v>
      </c>
      <c r="Z55" s="265">
        <f>'Aux - Emissions'!W107</f>
        <v>4.8661889999999999E-3</v>
      </c>
    </row>
    <row r="56" spans="1:26" ht="14.5" customHeight="1" x14ac:dyDescent="0.35">
      <c r="A56" s="88">
        <v>55</v>
      </c>
      <c r="B56" s="88" t="s">
        <v>69</v>
      </c>
      <c r="C56" s="88" t="s">
        <v>235</v>
      </c>
      <c r="D56" s="88" t="s">
        <v>87</v>
      </c>
      <c r="E56" s="88" t="s">
        <v>918</v>
      </c>
      <c r="F56" s="88">
        <v>1</v>
      </c>
      <c r="G56" s="88" t="s">
        <v>916</v>
      </c>
      <c r="H56" s="265">
        <f>'Aux - Emissions'!E94</f>
        <v>5.5462544999999993E-4</v>
      </c>
      <c r="I56" s="265">
        <f>'Aux - Emissions'!F94</f>
        <v>0.15890119408</v>
      </c>
      <c r="J56" s="265">
        <f>'Aux - Emissions'!G94</f>
        <v>2.2085269899999998E-4</v>
      </c>
      <c r="K56" s="265">
        <f>'Aux - Emissions'!H94</f>
        <v>0.15866601275</v>
      </c>
      <c r="L56" s="265">
        <f>'Aux - Emissions'!I94</f>
        <v>1.4328357999999998E-5</v>
      </c>
      <c r="M56" s="265">
        <f>'Aux - Emissions'!J94</f>
        <v>0.28705138909</v>
      </c>
      <c r="N56" s="265">
        <f>'Aux - Emissions'!K94</f>
        <v>2.1208426396449997</v>
      </c>
      <c r="O56" s="265">
        <f>'Aux - Emissions'!L94</f>
        <v>4.6849155000000006E-6</v>
      </c>
      <c r="P56" s="265">
        <f>'Aux - Emissions'!M94</f>
        <v>2.6797382499999997E-4</v>
      </c>
      <c r="Q56" s="265">
        <f>'Aux - Emissions'!N94</f>
        <v>2.2800939249999997E-3</v>
      </c>
      <c r="R56" s="265">
        <f>'Aux - Emissions'!O94</f>
        <v>1.8927399499999998E-11</v>
      </c>
      <c r="S56" s="265">
        <f>'Aux - Emissions'!P94</f>
        <v>1.5974727500000001E-9</v>
      </c>
      <c r="T56" s="265">
        <f>'Aux - Emissions'!Q94</f>
        <v>1.1868611449999998E-3</v>
      </c>
      <c r="U56" s="265">
        <f>'Aux - Emissions'!R94</f>
        <v>0.44812541898500002</v>
      </c>
      <c r="V56" s="265">
        <f>'Aux - Emissions'!S94</f>
        <v>1.9550589499999997E-7</v>
      </c>
      <c r="W56" s="265">
        <f>'Aux - Emissions'!T94</f>
        <v>3.6889833999999997E-9</v>
      </c>
      <c r="X56" s="265">
        <f>'Aux - Emissions'!U94</f>
        <v>1.1797901000000001E-8</v>
      </c>
      <c r="Y56" s="265">
        <f>'Aux - Emissions'!V94</f>
        <v>7.3818482E-4</v>
      </c>
      <c r="Z56" s="265">
        <f>'Aux - Emissions'!W94</f>
        <v>1.1324531524999999E-2</v>
      </c>
    </row>
    <row r="57" spans="1:26" x14ac:dyDescent="0.35">
      <c r="A57" s="88">
        <v>56</v>
      </c>
      <c r="B57" s="88" t="s">
        <v>69</v>
      </c>
      <c r="C57" s="88" t="s">
        <v>235</v>
      </c>
      <c r="D57" s="88" t="s">
        <v>806</v>
      </c>
      <c r="E57" s="88" t="s">
        <v>919</v>
      </c>
      <c r="F57" s="88">
        <v>1</v>
      </c>
      <c r="G57" s="88" t="s">
        <v>916</v>
      </c>
      <c r="H57" s="265">
        <f>'Aux - Emissions'!E95</f>
        <v>6.1678570000000003E-4</v>
      </c>
      <c r="I57" s="265">
        <f>'Aux - Emissions'!F95</f>
        <v>0.15727077468</v>
      </c>
      <c r="J57" s="265">
        <f>'Aux - Emissions'!G95</f>
        <v>3.0199375399999999E-4</v>
      </c>
      <c r="K57" s="265">
        <f>'Aux - Emissions'!H95</f>
        <v>0.15695356150000001</v>
      </c>
      <c r="L57" s="265">
        <f>'Aux - Emissions'!I95</f>
        <v>1.5219168000000002E-5</v>
      </c>
      <c r="M57" s="265">
        <f>'Aux - Emissions'!J95</f>
        <v>0.37011503414000002</v>
      </c>
      <c r="N57" s="265">
        <f>'Aux - Emissions'!K95</f>
        <v>2.0902332116700002</v>
      </c>
      <c r="O57" s="265">
        <f>'Aux - Emissions'!L95</f>
        <v>5.2193130000000007E-6</v>
      </c>
      <c r="P57" s="265">
        <f>'Aux - Emissions'!M95</f>
        <v>3.2859594999999999E-4</v>
      </c>
      <c r="Q57" s="265">
        <f>'Aux - Emissions'!N95</f>
        <v>2.5841155500000001E-3</v>
      </c>
      <c r="R57" s="265">
        <f>'Aux - Emissions'!O95</f>
        <v>2.1038677000000001E-11</v>
      </c>
      <c r="S57" s="265">
        <f>'Aux - Emissions'!P95</f>
        <v>1.8405965000000004E-9</v>
      </c>
      <c r="T57" s="265">
        <f>'Aux - Emissions'!Q95</f>
        <v>1.3019906700000002E-3</v>
      </c>
      <c r="U57" s="265">
        <f>'Aux - Emissions'!R95</f>
        <v>0.62122740731000003</v>
      </c>
      <c r="V57" s="265">
        <f>'Aux - Emissions'!S95</f>
        <v>2.0666417000000001E-7</v>
      </c>
      <c r="W57" s="265">
        <f>'Aux - Emissions'!T95</f>
        <v>3.7384964000000004E-9</v>
      </c>
      <c r="X57" s="265">
        <f>'Aux - Emissions'!U95</f>
        <v>1.2272846000000001E-8</v>
      </c>
      <c r="Y57" s="265">
        <f>'Aux - Emissions'!V95</f>
        <v>7.6103472000000011E-4</v>
      </c>
      <c r="Z57" s="265">
        <f>'Aux - Emissions'!W95</f>
        <v>1.488747015E-2</v>
      </c>
    </row>
    <row r="58" spans="1:26" x14ac:dyDescent="0.35">
      <c r="A58" s="88">
        <v>57</v>
      </c>
      <c r="B58" s="88" t="s">
        <v>69</v>
      </c>
      <c r="C58" s="88" t="s">
        <v>235</v>
      </c>
      <c r="D58" s="88" t="s">
        <v>807</v>
      </c>
      <c r="E58" s="88" t="s">
        <v>920</v>
      </c>
      <c r="F58" s="88">
        <v>1</v>
      </c>
      <c r="G58" s="88" t="s">
        <v>916</v>
      </c>
      <c r="H58" s="265">
        <f>'Aux - Emissions'!E96</f>
        <v>6.9137800000000009E-4</v>
      </c>
      <c r="I58" s="265">
        <f>'Aux - Emissions'!F96</f>
        <v>0.15531427140000001</v>
      </c>
      <c r="J58" s="265">
        <f>'Aux - Emissions'!G96</f>
        <v>3.9936302000000005E-4</v>
      </c>
      <c r="K58" s="265">
        <f>'Aux - Emissions'!H96</f>
        <v>0.15489861999999999</v>
      </c>
      <c r="L58" s="265">
        <f>'Aux - Emissions'!I96</f>
        <v>1.628814E-5</v>
      </c>
      <c r="M58" s="265">
        <f>'Aux - Emissions'!J96</f>
        <v>0.46979140820000004</v>
      </c>
      <c r="N58" s="265">
        <f>'Aux - Emissions'!K96</f>
        <v>2.0535018980999999</v>
      </c>
      <c r="O58" s="265">
        <f>'Aux - Emissions'!L96</f>
        <v>5.8605900000000004E-6</v>
      </c>
      <c r="P58" s="265">
        <f>'Aux - Emissions'!M96</f>
        <v>4.0134250000000002E-4</v>
      </c>
      <c r="Q58" s="265">
        <f>'Aux - Emissions'!N96</f>
        <v>2.9489414999999998E-3</v>
      </c>
      <c r="R58" s="265">
        <f>'Aux - Emissions'!O96</f>
        <v>2.3572209999999999E-11</v>
      </c>
      <c r="S58" s="265">
        <f>'Aux - Emissions'!P96</f>
        <v>2.1323450000000005E-9</v>
      </c>
      <c r="T58" s="265">
        <f>'Aux - Emissions'!Q96</f>
        <v>1.4401460999999998E-3</v>
      </c>
      <c r="U58" s="265">
        <f>'Aux - Emissions'!R96</f>
        <v>0.82894979329999996</v>
      </c>
      <c r="V58" s="265">
        <f>'Aux - Emissions'!S96</f>
        <v>2.2005409999999999E-7</v>
      </c>
      <c r="W58" s="265">
        <f>'Aux - Emissions'!T96</f>
        <v>3.7979119999999996E-9</v>
      </c>
      <c r="X58" s="265">
        <f>'Aux - Emissions'!U96</f>
        <v>1.2842780000000001E-8</v>
      </c>
      <c r="Y58" s="265">
        <f>'Aux - Emissions'!V96</f>
        <v>7.8845460000000005E-4</v>
      </c>
      <c r="Z58" s="265">
        <f>'Aux - Emissions'!W96</f>
        <v>1.9162996500000001E-2</v>
      </c>
    </row>
    <row r="59" spans="1:26" x14ac:dyDescent="0.35">
      <c r="A59" s="88">
        <v>58</v>
      </c>
      <c r="B59" s="88" t="s">
        <v>69</v>
      </c>
      <c r="C59" s="88" t="s">
        <v>235</v>
      </c>
      <c r="D59" s="88" t="s">
        <v>79</v>
      </c>
      <c r="E59" s="88" t="s">
        <v>921</v>
      </c>
      <c r="F59" s="88">
        <v>1</v>
      </c>
      <c r="G59" s="88" t="s">
        <v>916</v>
      </c>
      <c r="H59" s="265">
        <f>'Aux - Emissions'!E97</f>
        <v>9.4001900000000005E-4</v>
      </c>
      <c r="I59" s="265">
        <f>'Aux - Emissions'!F97</f>
        <v>0.14879259380000001</v>
      </c>
      <c r="J59" s="265">
        <f>'Aux - Emissions'!G97</f>
        <v>7.2392723999999999E-4</v>
      </c>
      <c r="K59" s="265">
        <f>'Aux - Emissions'!H97</f>
        <v>0.148048815</v>
      </c>
      <c r="L59" s="265">
        <f>'Aux - Emissions'!I97</f>
        <v>1.9851380000000003E-5</v>
      </c>
      <c r="M59" s="265">
        <f>'Aux - Emissions'!J97</f>
        <v>0.80204598840000008</v>
      </c>
      <c r="N59" s="265">
        <f>'Aux - Emissions'!K97</f>
        <v>1.9310641862</v>
      </c>
      <c r="O59" s="265">
        <f>'Aux - Emissions'!L97</f>
        <v>7.9981800000000011E-6</v>
      </c>
      <c r="P59" s="265">
        <f>'Aux - Emissions'!M97</f>
        <v>6.4383099999999998E-4</v>
      </c>
      <c r="Q59" s="265">
        <f>'Aux - Emissions'!N97</f>
        <v>4.1650280000000003E-3</v>
      </c>
      <c r="R59" s="265">
        <f>'Aux - Emissions'!O97</f>
        <v>3.201732E-11</v>
      </c>
      <c r="S59" s="265">
        <f>'Aux - Emissions'!P97</f>
        <v>3.1048400000000006E-9</v>
      </c>
      <c r="T59" s="265">
        <f>'Aux - Emissions'!Q97</f>
        <v>1.9006641999999999E-3</v>
      </c>
      <c r="U59" s="265">
        <f>'Aux - Emissions'!R97</f>
        <v>1.5213577466000001</v>
      </c>
      <c r="V59" s="265">
        <f>'Aux - Emissions'!S97</f>
        <v>2.6468720000000003E-7</v>
      </c>
      <c r="W59" s="265">
        <f>'Aux - Emissions'!T97</f>
        <v>3.995964E-9</v>
      </c>
      <c r="X59" s="265">
        <f>'Aux - Emissions'!U97</f>
        <v>1.474256E-8</v>
      </c>
      <c r="Y59" s="265">
        <f>'Aux - Emissions'!V97</f>
        <v>8.7985420000000008E-4</v>
      </c>
      <c r="Z59" s="265">
        <f>'Aux - Emissions'!W97</f>
        <v>3.3414751000000006E-2</v>
      </c>
    </row>
    <row r="60" spans="1:26" x14ac:dyDescent="0.35">
      <c r="A60" s="88">
        <v>59</v>
      </c>
      <c r="B60" s="88" t="s">
        <v>69</v>
      </c>
      <c r="C60" s="88" t="s">
        <v>235</v>
      </c>
      <c r="D60" s="88" t="s">
        <v>808</v>
      </c>
      <c r="E60" s="88" t="s">
        <v>922</v>
      </c>
      <c r="F60" s="88">
        <v>1</v>
      </c>
      <c r="G60" s="88" t="s">
        <v>916</v>
      </c>
      <c r="H60" s="265">
        <f>'Aux - Emissions'!E98</f>
        <v>2.929147E-3</v>
      </c>
      <c r="I60" s="265">
        <f>'Aux - Emissions'!F98</f>
        <v>9.6619173000000003E-2</v>
      </c>
      <c r="J60" s="265">
        <f>'Aux - Emissions'!G98</f>
        <v>3.3204409999999999E-3</v>
      </c>
      <c r="K60" s="265">
        <f>'Aux - Emissions'!H98</f>
        <v>9.3250374999999996E-2</v>
      </c>
      <c r="L60" s="265">
        <f>'Aux - Emissions'!I98</f>
        <v>4.8357299999999999E-5</v>
      </c>
      <c r="M60" s="265">
        <f>'Aux - Emissions'!J98</f>
        <v>3.46008263</v>
      </c>
      <c r="N60" s="265">
        <f>'Aux - Emissions'!K98</f>
        <v>0.95156249100000001</v>
      </c>
      <c r="O60" s="265">
        <f>'Aux - Emissions'!L98</f>
        <v>2.5098900000000001E-5</v>
      </c>
      <c r="P60" s="265">
        <f>'Aux - Emissions'!M98</f>
        <v>2.5837389999999998E-3</v>
      </c>
      <c r="Q60" s="265">
        <f>'Aux - Emissions'!N98</f>
        <v>1.389372E-2</v>
      </c>
      <c r="R60" s="265">
        <f>'Aux - Emissions'!O98</f>
        <v>9.9578200000000002E-11</v>
      </c>
      <c r="S60" s="265">
        <f>'Aux - Emissions'!P98</f>
        <v>1.08848E-8</v>
      </c>
      <c r="T60" s="265">
        <f>'Aux - Emissions'!Q98</f>
        <v>5.5848089999999996E-3</v>
      </c>
      <c r="U60" s="265">
        <f>'Aux - Emissions'!R98</f>
        <v>7.060621373</v>
      </c>
      <c r="V60" s="265">
        <f>'Aux - Emissions'!S98</f>
        <v>6.2175199999999997E-7</v>
      </c>
      <c r="W60" s="265">
        <f>'Aux - Emissions'!T98</f>
        <v>5.5803799999999997E-9</v>
      </c>
      <c r="X60" s="265">
        <f>'Aux - Emissions'!U98</f>
        <v>2.9940799999999999E-8</v>
      </c>
      <c r="Y60" s="265">
        <f>'Aux - Emissions'!V98</f>
        <v>1.6110510000000001E-3</v>
      </c>
      <c r="Z60" s="265">
        <f>'Aux - Emissions'!W98</f>
        <v>0.14742878700000001</v>
      </c>
    </row>
    <row r="61" spans="1:26" ht="29" x14ac:dyDescent="0.35">
      <c r="A61" s="88">
        <v>60</v>
      </c>
      <c r="B61" s="88" t="s">
        <v>69</v>
      </c>
      <c r="C61" s="88" t="s">
        <v>235</v>
      </c>
      <c r="D61" s="88" t="s">
        <v>82</v>
      </c>
      <c r="E61" s="88" t="s">
        <v>923</v>
      </c>
      <c r="F61" s="88">
        <v>1</v>
      </c>
      <c r="G61" s="88" t="s">
        <v>557</v>
      </c>
      <c r="H61" s="265">
        <f>'Aux - Emissions'!E99</f>
        <v>6.5039360209278002E-4</v>
      </c>
      <c r="I61" s="265">
        <f>'Aux - Emissions'!F99</f>
        <v>0.18219807126195001</v>
      </c>
      <c r="J61" s="265">
        <f>'Aux - Emissions'!G99</f>
        <v>3.80893221375684E-3</v>
      </c>
      <c r="K61" s="265">
        <f>'Aux - Emissions'!H99</f>
        <v>0.17794109566114399</v>
      </c>
      <c r="L61" s="265">
        <f>'Aux - Emissions'!I99</f>
        <v>4.4804338704950098E-4</v>
      </c>
      <c r="M61" s="265">
        <f>'Aux - Emissions'!J99</f>
        <v>0.65325751113157204</v>
      </c>
      <c r="N61" s="265">
        <f>'Aux - Emissions'!K99</f>
        <v>8.7606274521721108</v>
      </c>
      <c r="O61" s="265">
        <f>'Aux - Emissions'!L99</f>
        <v>6.6837193946409602E-5</v>
      </c>
      <c r="P61" s="265">
        <f>'Aux - Emissions'!M99</f>
        <v>1.3356680211614301E-4</v>
      </c>
      <c r="Q61" s="265">
        <f>'Aux - Emissions'!N99</f>
        <v>1.26773598209279E-3</v>
      </c>
      <c r="R61" s="265">
        <f>'Aux - Emissions'!O99</f>
        <v>7.6342613717656297E-11</v>
      </c>
      <c r="S61" s="265">
        <f>'Aux - Emissions'!P99</f>
        <v>4.9195629825766001E-9</v>
      </c>
      <c r="T61" s="265">
        <f>'Aux - Emissions'!Q99</f>
        <v>0.36800533721835199</v>
      </c>
      <c r="U61" s="265">
        <f>'Aux - Emissions'!R99</f>
        <v>1.38246726800481</v>
      </c>
      <c r="V61" s="265">
        <f>'Aux - Emissions'!S99</f>
        <v>4.7441431552971002E-6</v>
      </c>
      <c r="W61" s="265">
        <f>'Aux - Emissions'!T99</f>
        <v>5.6888941542180097E-9</v>
      </c>
      <c r="X61" s="265">
        <f>'Aux - Emissions'!U99</f>
        <v>1.2534888084716E-8</v>
      </c>
      <c r="Y61" s="265">
        <f>'Aux - Emissions'!V99</f>
        <v>4.05054071096346E-4</v>
      </c>
      <c r="Z61" s="265">
        <f>'Aux - Emissions'!W99</f>
        <v>0.105242782229804</v>
      </c>
    </row>
    <row r="62" spans="1:26" ht="29" x14ac:dyDescent="0.35">
      <c r="A62" s="88">
        <v>61</v>
      </c>
      <c r="B62" s="88" t="s">
        <v>69</v>
      </c>
      <c r="C62" s="88" t="s">
        <v>235</v>
      </c>
      <c r="D62" s="88" t="s">
        <v>92</v>
      </c>
      <c r="E62" s="88" t="s">
        <v>924</v>
      </c>
      <c r="F62" s="88">
        <v>1</v>
      </c>
      <c r="G62" s="88" t="s">
        <v>557</v>
      </c>
      <c r="H62" s="265">
        <f>'Aux - Emissions'!E89</f>
        <v>5.9003292043571603E-4</v>
      </c>
      <c r="I62" s="265">
        <f>'Aux - Emissions'!F89</f>
        <v>5.18727049626619E-2</v>
      </c>
      <c r="J62" s="265">
        <f>'Aux - Emissions'!G89</f>
        <v>6.6321407021587906E-5</v>
      </c>
      <c r="K62" s="265">
        <f>'Aux - Emissions'!H89</f>
        <v>5.1723773168274E-2</v>
      </c>
      <c r="L62" s="265">
        <f>'Aux - Emissions'!I89</f>
        <v>8.2610387366315494E-5</v>
      </c>
      <c r="M62" s="265">
        <f>'Aux - Emissions'!J89</f>
        <v>0.76306116520403</v>
      </c>
      <c r="N62" s="265">
        <f>'Aux - Emissions'!K89</f>
        <v>0.61152364724192398</v>
      </c>
      <c r="O62" s="265">
        <f>'Aux - Emissions'!L89</f>
        <v>4.8212189078874897E-5</v>
      </c>
      <c r="P62" s="265">
        <f>'Aux - Emissions'!M89</f>
        <v>6.4245351852123994E-5</v>
      </c>
      <c r="Q62" s="265">
        <f>'Aux - Emissions'!N89</f>
        <v>7.1201316082524196E-4</v>
      </c>
      <c r="R62" s="265">
        <f>'Aux - Emissions'!O89</f>
        <v>7.9579867853556603E-11</v>
      </c>
      <c r="S62" s="265">
        <f>'Aux - Emissions'!P89</f>
        <v>5.5862343865905501E-9</v>
      </c>
      <c r="T62" s="265">
        <f>'Aux - Emissions'!Q89</f>
        <v>3.5860747038049499E-3</v>
      </c>
      <c r="U62" s="265">
        <f>'Aux - Emissions'!R89</f>
        <v>1.2941657200477401</v>
      </c>
      <c r="V62" s="265">
        <f>'Aux - Emissions'!S89</f>
        <v>6.1440658107819203E-6</v>
      </c>
      <c r="W62" s="265">
        <f>'Aux - Emissions'!T89</f>
        <v>3.59423968054589E-9</v>
      </c>
      <c r="X62" s="265">
        <f>'Aux - Emissions'!U89</f>
        <v>1.1804682143526399E-8</v>
      </c>
      <c r="Y62" s="265">
        <f>'Aux - Emissions'!V89</f>
        <v>2.42136100768286E-4</v>
      </c>
      <c r="Z62" s="265">
        <f>'Aux - Emissions'!W89</f>
        <v>5.54606113605558E-2</v>
      </c>
    </row>
    <row r="63" spans="1:26" x14ac:dyDescent="0.35">
      <c r="A63" s="88">
        <v>62</v>
      </c>
      <c r="B63" s="88" t="s">
        <v>69</v>
      </c>
      <c r="C63" s="88" t="s">
        <v>235</v>
      </c>
      <c r="D63" s="88" t="s">
        <v>27</v>
      </c>
      <c r="E63" s="88"/>
      <c r="F63" s="88">
        <v>1</v>
      </c>
      <c r="G63" s="88" t="s">
        <v>916</v>
      </c>
      <c r="H63" s="265"/>
      <c r="I63" s="265"/>
      <c r="J63" s="265"/>
      <c r="K63" s="265"/>
      <c r="L63" s="265"/>
      <c r="M63" s="265"/>
      <c r="N63" s="265"/>
      <c r="O63" s="265"/>
      <c r="P63" s="265"/>
      <c r="Q63" s="265"/>
      <c r="R63" s="265"/>
      <c r="S63" s="265"/>
      <c r="T63" s="265"/>
      <c r="U63" s="265"/>
      <c r="V63" s="265"/>
      <c r="W63" s="265"/>
      <c r="X63" s="265"/>
      <c r="Y63" s="265"/>
      <c r="Z63" s="265"/>
    </row>
    <row r="64" spans="1:26" x14ac:dyDescent="0.35">
      <c r="A64" s="88">
        <v>63</v>
      </c>
      <c r="B64" s="88" t="s">
        <v>925</v>
      </c>
      <c r="C64" s="88" t="s">
        <v>235</v>
      </c>
      <c r="D64" s="88" t="s">
        <v>36</v>
      </c>
      <c r="E64" s="28" t="s">
        <v>926</v>
      </c>
      <c r="F64" s="88">
        <v>1</v>
      </c>
      <c r="G64" s="88" t="s">
        <v>916</v>
      </c>
      <c r="H64" s="260">
        <v>4.4247991008127652E-4</v>
      </c>
      <c r="I64" s="260">
        <v>5.0435138890458808E-2</v>
      </c>
      <c r="J64" s="260">
        <v>1.3892015292846389E-5</v>
      </c>
      <c r="K64" s="260">
        <v>5.0374469786805022E-2</v>
      </c>
      <c r="L64" s="260">
        <v>4.6777088360947211E-5</v>
      </c>
      <c r="M64" s="260">
        <v>5.1062219733067633E-2</v>
      </c>
      <c r="N64" s="260">
        <v>0.61863050163635513</v>
      </c>
      <c r="O64" s="260">
        <v>4.5478390919606763E-6</v>
      </c>
      <c r="P64" s="260">
        <v>2.0060445132164979E-4</v>
      </c>
      <c r="Q64" s="260">
        <v>2.1933768656473632E-3</v>
      </c>
      <c r="R64" s="260">
        <v>6.8085978424891664E-12</v>
      </c>
      <c r="S64" s="260">
        <v>1.5037752835196201E-10</v>
      </c>
      <c r="T64" s="260">
        <v>1.6922069863678311E-3</v>
      </c>
      <c r="U64" s="260">
        <v>0.41291344415242343</v>
      </c>
      <c r="V64" s="260">
        <v>6.9487703790453014E-8</v>
      </c>
      <c r="W64" s="260">
        <v>9.3376178111970741E-10</v>
      </c>
      <c r="X64" s="260">
        <v>1.0648835259878979E-9</v>
      </c>
      <c r="Y64" s="260">
        <v>6.1322791130086218E-4</v>
      </c>
      <c r="Z64" s="260">
        <v>4.7828642272427536E-3</v>
      </c>
    </row>
    <row r="65" spans="1:26" x14ac:dyDescent="0.35">
      <c r="A65" s="88">
        <v>64</v>
      </c>
      <c r="B65" s="88" t="s">
        <v>61</v>
      </c>
      <c r="C65" s="88" t="s">
        <v>235</v>
      </c>
      <c r="D65" s="88" t="s">
        <v>36</v>
      </c>
      <c r="E65" s="88" t="s">
        <v>927</v>
      </c>
      <c r="F65" s="88">
        <v>1</v>
      </c>
      <c r="G65" s="88" t="s">
        <v>916</v>
      </c>
      <c r="H65" s="260">
        <v>4.1497265765666301E-4</v>
      </c>
      <c r="I65" s="260">
        <v>4.7443535523107642E-2</v>
      </c>
      <c r="J65" s="260">
        <v>1.249119073724861E-5</v>
      </c>
      <c r="K65" s="260">
        <v>4.7378977249696197E-2</v>
      </c>
      <c r="L65" s="260">
        <v>5.2067082674177408E-5</v>
      </c>
      <c r="M65" s="260">
        <v>5.1315472047880083E-2</v>
      </c>
      <c r="N65" s="260">
        <v>0.57146083475918619</v>
      </c>
      <c r="O65" s="260">
        <v>4.0344083910871329E-6</v>
      </c>
      <c r="P65" s="260">
        <v>1.872877040606665E-4</v>
      </c>
      <c r="Q65" s="260">
        <v>2.048173291525819E-3</v>
      </c>
      <c r="R65" s="260">
        <v>7.1249358592906339E-12</v>
      </c>
      <c r="S65" s="260">
        <v>1.548023875634139E-10</v>
      </c>
      <c r="T65" s="260">
        <v>1.164837482749968E-3</v>
      </c>
      <c r="U65" s="260">
        <v>0.40801318878178361</v>
      </c>
      <c r="V65" s="260">
        <v>7.6669135929075443E-8</v>
      </c>
      <c r="W65" s="260">
        <v>8.6544040639971968E-10</v>
      </c>
      <c r="X65" s="260">
        <v>1.080602768677243E-9</v>
      </c>
      <c r="Y65" s="260">
        <v>5.7839227896606461E-4</v>
      </c>
      <c r="Z65" s="260">
        <v>4.4296259647149758E-3</v>
      </c>
    </row>
    <row r="66" spans="1:26" x14ac:dyDescent="0.35">
      <c r="A66" s="88">
        <v>65</v>
      </c>
      <c r="B66" s="88" t="s">
        <v>63</v>
      </c>
      <c r="C66" s="88" t="s">
        <v>235</v>
      </c>
      <c r="D66" s="88" t="s">
        <v>64</v>
      </c>
      <c r="E66" s="88" t="s">
        <v>928</v>
      </c>
      <c r="F66" s="88">
        <v>1</v>
      </c>
      <c r="G66" s="88" t="s">
        <v>916</v>
      </c>
      <c r="H66" s="260">
        <v>3.006183881543729E-4</v>
      </c>
      <c r="I66" s="260">
        <v>1.0241125355489E-2</v>
      </c>
      <c r="J66" s="260">
        <v>1.5658557430235909E-6</v>
      </c>
      <c r="K66" s="260">
        <v>1.023406107486162E-2</v>
      </c>
      <c r="L66" s="260">
        <v>5.4984248843558832E-6</v>
      </c>
      <c r="M66" s="260">
        <v>8.8507704548385947E-3</v>
      </c>
      <c r="N66" s="260">
        <v>0.12530686966440319</v>
      </c>
      <c r="O66" s="260">
        <v>3.621058960135954E-7</v>
      </c>
      <c r="P66" s="260">
        <v>7.4844675353241447E-5</v>
      </c>
      <c r="Q66" s="260">
        <v>8.3126250197679155E-4</v>
      </c>
      <c r="R66" s="260">
        <v>2.164805367296005E-12</v>
      </c>
      <c r="S66" s="260">
        <v>3.0282188669614578E-11</v>
      </c>
      <c r="T66" s="260">
        <v>5.4142475101258347E-5</v>
      </c>
      <c r="U66" s="260">
        <v>9.0952854862366324E-3</v>
      </c>
      <c r="V66" s="260">
        <v>1.036688638220706E-8</v>
      </c>
      <c r="W66" s="260">
        <v>1.443972749066369E-10</v>
      </c>
      <c r="X66" s="260">
        <v>3.0190207200695542E-10</v>
      </c>
      <c r="Y66" s="260">
        <v>2.2558298016484891E-4</v>
      </c>
      <c r="Z66" s="260">
        <v>3.6087697194947202E-4</v>
      </c>
    </row>
    <row r="67" spans="1:26" x14ac:dyDescent="0.35">
      <c r="A67" s="88">
        <v>66</v>
      </c>
      <c r="B67" s="88" t="s">
        <v>27</v>
      </c>
      <c r="C67" s="88"/>
      <c r="D67" s="88" t="s">
        <v>27</v>
      </c>
      <c r="E67" s="88" t="s">
        <v>27</v>
      </c>
      <c r="F67" s="88">
        <v>0</v>
      </c>
      <c r="G67" s="88"/>
      <c r="H67" s="260"/>
      <c r="I67" s="260"/>
      <c r="J67" s="260"/>
      <c r="K67" s="260"/>
      <c r="L67" s="260"/>
      <c r="M67" s="260"/>
      <c r="N67" s="260"/>
      <c r="O67" s="260"/>
      <c r="P67" s="260"/>
      <c r="Q67" s="260"/>
      <c r="R67" s="260"/>
      <c r="S67" s="260"/>
      <c r="T67" s="260"/>
      <c r="U67" s="260"/>
      <c r="V67" s="260"/>
      <c r="W67" s="260"/>
      <c r="X67" s="260"/>
      <c r="Y67" s="260"/>
      <c r="Z67" s="260"/>
    </row>
    <row r="68" spans="1:26" x14ac:dyDescent="0.35">
      <c r="A68" s="88">
        <v>67</v>
      </c>
      <c r="B68" s="88" t="s">
        <v>74</v>
      </c>
      <c r="C68" s="88" t="s">
        <v>235</v>
      </c>
      <c r="D68" s="88" t="s">
        <v>36</v>
      </c>
      <c r="E68" s="88" t="s">
        <v>929</v>
      </c>
      <c r="F68" s="88">
        <v>1</v>
      </c>
      <c r="G68" s="88" t="s">
        <v>916</v>
      </c>
      <c r="H68" s="260">
        <v>5.730547145389942E-4</v>
      </c>
      <c r="I68" s="260">
        <v>6.0751000742696078E-2</v>
      </c>
      <c r="J68" s="260">
        <v>1.8098464588393491E-5</v>
      </c>
      <c r="K68" s="260">
        <v>6.0698228951911071E-2</v>
      </c>
      <c r="L68" s="260">
        <v>3.4673326196611008E-5</v>
      </c>
      <c r="M68" s="260">
        <v>0.15184293185524719</v>
      </c>
      <c r="N68" s="260">
        <v>0.76219488267101321</v>
      </c>
      <c r="O68" s="260">
        <v>7.3715366511872982E-6</v>
      </c>
      <c r="P68" s="260">
        <v>2.5455566421633022E-4</v>
      </c>
      <c r="Q68" s="260">
        <v>2.7812758627554779E-3</v>
      </c>
      <c r="R68" s="260">
        <v>1.253070889557506E-11</v>
      </c>
      <c r="S68" s="260">
        <v>3.132538386121035E-10</v>
      </c>
      <c r="T68" s="260">
        <v>1.239322953957614E-3</v>
      </c>
      <c r="U68" s="260">
        <v>0.40656858524327988</v>
      </c>
      <c r="V68" s="260">
        <v>1.3607791588061941E-7</v>
      </c>
      <c r="W68" s="260">
        <v>1.0928179222802911E-9</v>
      </c>
      <c r="X68" s="260">
        <v>6.3029844120724664E-9</v>
      </c>
      <c r="Y68" s="260">
        <v>8.0361698171731004E-4</v>
      </c>
      <c r="Z68" s="260">
        <v>6.0648963804413704E-3</v>
      </c>
    </row>
    <row r="69" spans="1:26" x14ac:dyDescent="0.35">
      <c r="A69" s="88">
        <v>68</v>
      </c>
      <c r="B69" s="88" t="s">
        <v>74</v>
      </c>
      <c r="C69" s="88" t="s">
        <v>235</v>
      </c>
      <c r="D69" s="88" t="s">
        <v>82</v>
      </c>
      <c r="E69" s="88" t="s">
        <v>930</v>
      </c>
      <c r="F69" s="88">
        <v>1</v>
      </c>
      <c r="G69" s="88" t="s">
        <v>916</v>
      </c>
      <c r="H69" s="260">
        <v>1.980469630608414E-4</v>
      </c>
      <c r="I69" s="260">
        <v>3.6127614364049328E-2</v>
      </c>
      <c r="J69" s="260">
        <v>4.8997519064208192E-5</v>
      </c>
      <c r="K69" s="260">
        <v>3.5998379388387278E-2</v>
      </c>
      <c r="L69" s="260">
        <v>8.0237456597849398E-5</v>
      </c>
      <c r="M69" s="260">
        <v>0.16753373329659341</v>
      </c>
      <c r="N69" s="260">
        <v>0.60727683902569551</v>
      </c>
      <c r="O69" s="260">
        <v>2.1496643599832082E-5</v>
      </c>
      <c r="P69" s="260">
        <v>4.8489790298236469E-5</v>
      </c>
      <c r="Q69" s="260">
        <v>4.9132483431110784E-4</v>
      </c>
      <c r="R69" s="260">
        <v>1.341224796914435E-11</v>
      </c>
      <c r="S69" s="260">
        <v>3.7043246202367408E-10</v>
      </c>
      <c r="T69" s="260">
        <v>1.1472997697343629E-2</v>
      </c>
      <c r="U69" s="260">
        <v>0.43096515719379108</v>
      </c>
      <c r="V69" s="260">
        <v>1.4566320710847989E-7</v>
      </c>
      <c r="W69" s="260">
        <v>4.4361818056331018E-10</v>
      </c>
      <c r="X69" s="260">
        <v>2.23626849176755E-9</v>
      </c>
      <c r="Y69" s="260">
        <v>1.522750680482583E-4</v>
      </c>
      <c r="Z69" s="260">
        <v>1.490929484817558E-2</v>
      </c>
    </row>
    <row r="70" spans="1:26" x14ac:dyDescent="0.35">
      <c r="A70" s="88">
        <v>69</v>
      </c>
      <c r="B70" s="88" t="s">
        <v>20</v>
      </c>
      <c r="C70" s="88" t="s">
        <v>238</v>
      </c>
      <c r="D70" s="88" t="s">
        <v>793</v>
      </c>
      <c r="E70" s="88" t="s">
        <v>931</v>
      </c>
      <c r="F70" s="88">
        <v>1</v>
      </c>
      <c r="G70" s="88" t="s">
        <v>609</v>
      </c>
      <c r="H70" s="260">
        <v>1.964530186878688E-4</v>
      </c>
      <c r="I70" s="260">
        <v>8.7933999578155647E-2</v>
      </c>
      <c r="J70" s="260">
        <v>5.2154421708092921E-6</v>
      </c>
      <c r="K70" s="260">
        <v>8.7921487402438325E-2</v>
      </c>
      <c r="L70" s="260">
        <v>7.2967335465061719E-6</v>
      </c>
      <c r="M70" s="260">
        <v>0.29937899001074281</v>
      </c>
      <c r="N70" s="260">
        <v>1.1257009405033409</v>
      </c>
      <c r="O70" s="260">
        <v>2.6252727014271871E-6</v>
      </c>
      <c r="P70" s="260">
        <v>3.1812516037649183E-5</v>
      </c>
      <c r="Q70" s="260">
        <v>3.4637110904904859E-4</v>
      </c>
      <c r="R70" s="260">
        <v>8.3278224851793599E-12</v>
      </c>
      <c r="S70" s="260">
        <v>1.4789995882450369E-10</v>
      </c>
      <c r="T70" s="260">
        <v>5.0623528343509997E-3</v>
      </c>
      <c r="U70" s="260">
        <v>0.14575958952231199</v>
      </c>
      <c r="V70" s="260">
        <v>1.334965950418805E-8</v>
      </c>
      <c r="W70" s="260">
        <v>1.7343376759869061E-8</v>
      </c>
      <c r="X70" s="260">
        <v>1.2703833986788701E-9</v>
      </c>
      <c r="Y70" s="260">
        <v>1.1827564828702441E-4</v>
      </c>
      <c r="Z70" s="260">
        <v>1.824554139336284E-3</v>
      </c>
    </row>
    <row r="71" spans="1:26" x14ac:dyDescent="0.35">
      <c r="A71" s="88">
        <v>70</v>
      </c>
      <c r="B71" s="88" t="s">
        <v>20</v>
      </c>
      <c r="C71" s="88" t="s">
        <v>238</v>
      </c>
      <c r="D71" s="267" t="s">
        <v>21</v>
      </c>
      <c r="E71" s="88" t="s">
        <v>932</v>
      </c>
      <c r="F71" s="88">
        <v>1</v>
      </c>
      <c r="G71" s="88" t="s">
        <v>609</v>
      </c>
      <c r="H71" s="260">
        <v>5.914736362751715E-5</v>
      </c>
      <c r="I71" s="260">
        <v>7.0025173267917379E-2</v>
      </c>
      <c r="J71" s="260">
        <v>1.8307817677428272E-5</v>
      </c>
      <c r="K71" s="260">
        <v>7.0004011557274384E-2</v>
      </c>
      <c r="L71" s="260">
        <v>2.8538929655714318E-6</v>
      </c>
      <c r="M71" s="260">
        <v>2.6483010613039659E-2</v>
      </c>
      <c r="N71" s="260">
        <v>1.1841920960983869</v>
      </c>
      <c r="O71" s="260">
        <v>1.049758013913025E-6</v>
      </c>
      <c r="P71" s="260">
        <v>1.6268313472872579E-5</v>
      </c>
      <c r="Q71" s="260">
        <v>1.7937444960909149E-4</v>
      </c>
      <c r="R71" s="260">
        <v>5.654998666707909E-12</v>
      </c>
      <c r="S71" s="260">
        <v>4.8353565260025262E-11</v>
      </c>
      <c r="T71" s="260">
        <v>7.4535566082730071E-4</v>
      </c>
      <c r="U71" s="260">
        <v>1.5912482533223561E-2</v>
      </c>
      <c r="V71" s="260">
        <v>3.8124881238230264E-9</v>
      </c>
      <c r="W71" s="260">
        <v>9.8623990294763353E-9</v>
      </c>
      <c r="X71" s="260">
        <v>2.172732956252585E-10</v>
      </c>
      <c r="Y71" s="260">
        <v>6.0697525915308148E-5</v>
      </c>
      <c r="Z71" s="260">
        <v>6.9894862443664835E-4</v>
      </c>
    </row>
    <row r="72" spans="1:26" x14ac:dyDescent="0.35">
      <c r="A72" s="88">
        <v>71</v>
      </c>
      <c r="B72" s="88" t="s">
        <v>20</v>
      </c>
      <c r="C72" s="88" t="s">
        <v>238</v>
      </c>
      <c r="D72" s="88" t="s">
        <v>933</v>
      </c>
      <c r="E72" s="88" t="s">
        <v>934</v>
      </c>
      <c r="F72" s="88">
        <v>1</v>
      </c>
      <c r="G72" s="88" t="s">
        <v>609</v>
      </c>
      <c r="H72" s="260">
        <v>7.8151357070371829E-4</v>
      </c>
      <c r="I72" s="260">
        <v>9.6163773417334383E-2</v>
      </c>
      <c r="J72" s="260">
        <v>3.5746578679828089E-5</v>
      </c>
      <c r="K72" s="260">
        <v>9.6121841800382066E-2</v>
      </c>
      <c r="L72" s="260">
        <v>6.1850382724779239E-6</v>
      </c>
      <c r="M72" s="260">
        <v>0.37777846609880328</v>
      </c>
      <c r="N72" s="260">
        <v>1.3851122642066129</v>
      </c>
      <c r="O72" s="260">
        <v>2.2368429437813031E-6</v>
      </c>
      <c r="P72" s="260">
        <v>5.8383812862013451E-5</v>
      </c>
      <c r="Q72" s="260">
        <v>6.4130381649039154E-4</v>
      </c>
      <c r="R72" s="260">
        <v>2.9343421621579937E-11</v>
      </c>
      <c r="S72" s="260">
        <v>4.4646411084001358E-10</v>
      </c>
      <c r="T72" s="260">
        <v>6.6165650728677418E-3</v>
      </c>
      <c r="U72" s="260">
        <v>0.16760163243888929</v>
      </c>
      <c r="V72" s="260">
        <v>9.8996553114077904E-9</v>
      </c>
      <c r="W72" s="260">
        <v>2.2062352592227509E-8</v>
      </c>
      <c r="X72" s="260">
        <v>6.3991986883386703E-9</v>
      </c>
      <c r="Y72" s="260">
        <v>2.2094387360422249E-4</v>
      </c>
      <c r="Z72" s="260">
        <v>1.7590732797277389E-3</v>
      </c>
    </row>
    <row r="73" spans="1:26" x14ac:dyDescent="0.35">
      <c r="A73" s="88">
        <v>72</v>
      </c>
      <c r="B73" s="88" t="s">
        <v>20</v>
      </c>
      <c r="C73" s="88" t="s">
        <v>238</v>
      </c>
      <c r="D73" s="88" t="s">
        <v>25</v>
      </c>
      <c r="E73" s="88" t="s">
        <v>905</v>
      </c>
      <c r="F73" s="88">
        <v>1</v>
      </c>
      <c r="G73" s="88" t="s">
        <v>557</v>
      </c>
      <c r="H73" s="260">
        <v>6.4917479808378111E-4</v>
      </c>
      <c r="I73" s="260">
        <v>0.18219807126195031</v>
      </c>
      <c r="J73" s="260">
        <v>3.8089322137568331E-3</v>
      </c>
      <c r="K73" s="260">
        <v>0.17794109566114399</v>
      </c>
      <c r="L73" s="260">
        <v>4.4804338704950098E-4</v>
      </c>
      <c r="M73" s="260">
        <v>0.6253928631247595</v>
      </c>
      <c r="N73" s="260">
        <v>8.7606274521720966</v>
      </c>
      <c r="O73" s="262">
        <v>6.6837193946409128E-5</v>
      </c>
      <c r="P73" s="260">
        <v>1.3350194646841919E-4</v>
      </c>
      <c r="Q73" s="260">
        <v>1.2673002520927801E-3</v>
      </c>
      <c r="R73" s="262">
        <v>7.4488651800677251E-11</v>
      </c>
      <c r="S73" s="262">
        <v>4.118758088693749E-9</v>
      </c>
      <c r="T73" s="260">
        <v>0.36800533721835249</v>
      </c>
      <c r="U73" s="260">
        <v>1.3824672680048169</v>
      </c>
      <c r="V73" s="262">
        <v>4.7441431552970934E-6</v>
      </c>
      <c r="W73" s="262">
        <v>5.6888941542182206E-9</v>
      </c>
      <c r="X73" s="262">
        <v>4.7704281210385562E-9</v>
      </c>
      <c r="Y73" s="260">
        <v>4.0497861688886352E-4</v>
      </c>
      <c r="Z73" s="260">
        <v>0.1052427822298047</v>
      </c>
    </row>
    <row r="74" spans="1:26" x14ac:dyDescent="0.35">
      <c r="A74" s="88">
        <v>73</v>
      </c>
      <c r="B74" s="88" t="s">
        <v>20</v>
      </c>
      <c r="C74" s="88" t="s">
        <v>238</v>
      </c>
      <c r="D74" s="88" t="s">
        <v>935</v>
      </c>
      <c r="E74" s="88" t="s">
        <v>936</v>
      </c>
      <c r="F74" s="88">
        <v>1</v>
      </c>
      <c r="G74" s="88" t="s">
        <v>557</v>
      </c>
      <c r="H74" s="260">
        <v>5.88814108568818E-4</v>
      </c>
      <c r="I74" s="260">
        <v>5.18727049626619E-2</v>
      </c>
      <c r="J74" s="262">
        <v>6.6321407021587906E-5</v>
      </c>
      <c r="K74" s="260">
        <v>5.1723773168274E-2</v>
      </c>
      <c r="L74" s="262">
        <v>8.2610387366315494E-5</v>
      </c>
      <c r="M74" s="260">
        <v>0.73519640383391605</v>
      </c>
      <c r="N74" s="260">
        <v>0.61152364724192398</v>
      </c>
      <c r="O74" s="262">
        <v>4.8212189078874897E-5</v>
      </c>
      <c r="P74" s="262">
        <v>6.4180496659697607E-5</v>
      </c>
      <c r="Q74" s="260">
        <v>7.1157743150184599E-4</v>
      </c>
      <c r="R74" s="262">
        <v>7.7725899378582605E-11</v>
      </c>
      <c r="S74" s="262">
        <v>4.7854270802401399E-9</v>
      </c>
      <c r="T74" s="260">
        <v>3.5860747038049499E-3</v>
      </c>
      <c r="U74" s="260">
        <v>1.2941657200477401</v>
      </c>
      <c r="V74" s="262">
        <v>6.1440658107819203E-6</v>
      </c>
      <c r="W74" s="262">
        <v>3.59423968054589E-9</v>
      </c>
      <c r="X74" s="262">
        <v>4.0402100723667703E-9</v>
      </c>
      <c r="Y74" s="260">
        <v>2.42060646074334E-4</v>
      </c>
      <c r="Z74" s="260">
        <v>5.54606113605558E-2</v>
      </c>
    </row>
    <row r="75" spans="1:26" x14ac:dyDescent="0.35">
      <c r="A75" s="88">
        <v>74</v>
      </c>
      <c r="B75" s="88" t="s">
        <v>20</v>
      </c>
      <c r="C75" s="88" t="s">
        <v>238</v>
      </c>
      <c r="D75" s="88" t="s">
        <v>937</v>
      </c>
      <c r="E75" s="88" t="s">
        <v>938</v>
      </c>
      <c r="F75" s="88">
        <v>1</v>
      </c>
      <c r="G75" s="88" t="s">
        <v>558</v>
      </c>
      <c r="H75" s="260">
        <v>8.2946946145158098E-3</v>
      </c>
      <c r="I75" s="260">
        <v>10.715502971039699</v>
      </c>
      <c r="J75" s="260">
        <v>1.0930825334002801E-3</v>
      </c>
      <c r="K75" s="260">
        <v>10.7136456070682</v>
      </c>
      <c r="L75" s="260">
        <v>7.6428143811536203E-4</v>
      </c>
      <c r="M75" s="260">
        <v>6.6795584604301501</v>
      </c>
      <c r="N75" s="260">
        <v>177.71664262802099</v>
      </c>
      <c r="O75" s="260">
        <v>2.7627252647982701E-4</v>
      </c>
      <c r="P75" s="260">
        <v>2.2650229473809699E-3</v>
      </c>
      <c r="Q75" s="260">
        <v>2.3600045467840901E-2</v>
      </c>
      <c r="R75" s="262">
        <v>1.12199417813448E-9</v>
      </c>
      <c r="S75" s="262">
        <v>1.7899515425741598E-8</v>
      </c>
      <c r="T75" s="260">
        <v>5.9732733254283701E-2</v>
      </c>
      <c r="U75" s="260">
        <v>3.4576122492557002</v>
      </c>
      <c r="V75" s="262">
        <v>1.7148538046896498E-5</v>
      </c>
      <c r="W75" s="262">
        <v>4.9590869103938403E-7</v>
      </c>
      <c r="X75" s="262">
        <v>3.5757937515020799E-8</v>
      </c>
      <c r="Y75" s="260">
        <v>1.5646429419972602E-2</v>
      </c>
      <c r="Z75" s="260">
        <v>1.6526904975044101</v>
      </c>
    </row>
    <row r="76" spans="1:26" x14ac:dyDescent="0.35">
      <c r="A76" s="88">
        <v>75</v>
      </c>
      <c r="B76" s="88" t="s">
        <v>22</v>
      </c>
      <c r="C76" s="88" t="s">
        <v>238</v>
      </c>
      <c r="D76" s="88" t="s">
        <v>793</v>
      </c>
      <c r="E76" s="88" t="s">
        <v>931</v>
      </c>
      <c r="F76" s="88">
        <v>1</v>
      </c>
      <c r="G76" s="88" t="s">
        <v>609</v>
      </c>
      <c r="H76" s="260">
        <v>1.964530186878688E-4</v>
      </c>
      <c r="I76" s="260">
        <v>8.7933999578155647E-2</v>
      </c>
      <c r="J76" s="260">
        <v>5.2154421708092921E-6</v>
      </c>
      <c r="K76" s="260">
        <v>8.7921487402438325E-2</v>
      </c>
      <c r="L76" s="260">
        <v>7.2967335465061719E-6</v>
      </c>
      <c r="M76" s="260">
        <v>0.29937899001074281</v>
      </c>
      <c r="N76" s="260">
        <v>1.1257009405033409</v>
      </c>
      <c r="O76" s="260">
        <v>2.6252727014271871E-6</v>
      </c>
      <c r="P76" s="260">
        <v>3.1812516037649183E-5</v>
      </c>
      <c r="Q76" s="260">
        <v>3.4637110904904859E-4</v>
      </c>
      <c r="R76" s="262">
        <v>8.3278224851793599E-12</v>
      </c>
      <c r="S76" s="262">
        <v>1.4789995882450369E-10</v>
      </c>
      <c r="T76" s="260">
        <v>5.0623528343509997E-3</v>
      </c>
      <c r="U76" s="260">
        <v>0.14575958952231199</v>
      </c>
      <c r="V76" s="262">
        <v>1.334965950418805E-8</v>
      </c>
      <c r="W76" s="262">
        <v>1.7343376759869061E-8</v>
      </c>
      <c r="X76" s="262">
        <v>1.2703833986788701E-9</v>
      </c>
      <c r="Y76" s="260">
        <v>1.1827564828702441E-4</v>
      </c>
      <c r="Z76" s="260">
        <v>1.824554139336284E-3</v>
      </c>
    </row>
    <row r="77" spans="1:26" x14ac:dyDescent="0.35">
      <c r="A77" s="88">
        <v>76</v>
      </c>
      <c r="B77" s="88" t="s">
        <v>22</v>
      </c>
      <c r="C77" s="88" t="s">
        <v>238</v>
      </c>
      <c r="D77" s="88" t="s">
        <v>21</v>
      </c>
      <c r="E77" s="88" t="s">
        <v>932</v>
      </c>
      <c r="F77" s="88">
        <v>1</v>
      </c>
      <c r="G77" s="88" t="s">
        <v>609</v>
      </c>
      <c r="H77" s="260">
        <v>5.914736362751715E-5</v>
      </c>
      <c r="I77" s="260">
        <v>7.0025173267917379E-2</v>
      </c>
      <c r="J77" s="260">
        <v>1.8307817677428272E-5</v>
      </c>
      <c r="K77" s="260">
        <v>7.0004011557274384E-2</v>
      </c>
      <c r="L77" s="260">
        <v>2.8538929655714318E-6</v>
      </c>
      <c r="M77" s="260">
        <v>2.6483010613039659E-2</v>
      </c>
      <c r="N77" s="260">
        <v>1.1841920960983869</v>
      </c>
      <c r="O77" s="260">
        <v>1.049758013913025E-6</v>
      </c>
      <c r="P77" s="260">
        <v>1.6268313472872579E-5</v>
      </c>
      <c r="Q77" s="260">
        <v>1.7937444960909149E-4</v>
      </c>
      <c r="R77" s="262">
        <v>5.654998666707909E-12</v>
      </c>
      <c r="S77" s="262">
        <v>4.8353565260025262E-11</v>
      </c>
      <c r="T77" s="260">
        <v>7.4535566082730071E-4</v>
      </c>
      <c r="U77" s="260">
        <v>1.5912482533223561E-2</v>
      </c>
      <c r="V77" s="262">
        <v>3.8124881238230264E-9</v>
      </c>
      <c r="W77" s="262">
        <v>9.8623990294763353E-9</v>
      </c>
      <c r="X77" s="262">
        <v>2.172732956252585E-10</v>
      </c>
      <c r="Y77" s="260">
        <v>6.0697525915308148E-5</v>
      </c>
      <c r="Z77" s="260">
        <v>6.9894862443664835E-4</v>
      </c>
    </row>
    <row r="78" spans="1:26" x14ac:dyDescent="0.35">
      <c r="A78" s="88">
        <v>77</v>
      </c>
      <c r="B78" s="88" t="s">
        <v>22</v>
      </c>
      <c r="C78" s="88" t="s">
        <v>238</v>
      </c>
      <c r="D78" s="88" t="s">
        <v>933</v>
      </c>
      <c r="E78" s="88" t="s">
        <v>934</v>
      </c>
      <c r="F78" s="88">
        <v>1</v>
      </c>
      <c r="G78" s="88" t="s">
        <v>609</v>
      </c>
      <c r="H78" s="260">
        <v>7.8151357070371829E-4</v>
      </c>
      <c r="I78" s="260">
        <v>9.6163773417334383E-2</v>
      </c>
      <c r="J78" s="260">
        <v>3.5746578679828089E-5</v>
      </c>
      <c r="K78" s="260">
        <v>9.6121841800382066E-2</v>
      </c>
      <c r="L78" s="260">
        <v>6.1850382724779239E-6</v>
      </c>
      <c r="M78" s="260">
        <v>0.37777846609880328</v>
      </c>
      <c r="N78" s="260">
        <v>1.3851122642066129</v>
      </c>
      <c r="O78" s="260">
        <v>2.2368429437813031E-6</v>
      </c>
      <c r="P78" s="260">
        <v>5.8383812862013451E-5</v>
      </c>
      <c r="Q78" s="260">
        <v>6.4130381649039154E-4</v>
      </c>
      <c r="R78" s="262">
        <v>2.9343421621579937E-11</v>
      </c>
      <c r="S78" s="262">
        <v>4.4646411084001358E-10</v>
      </c>
      <c r="T78" s="260">
        <v>6.6165650728677418E-3</v>
      </c>
      <c r="U78" s="260">
        <v>0.16760163243888929</v>
      </c>
      <c r="V78" s="262">
        <v>9.8996553114077904E-9</v>
      </c>
      <c r="W78" s="262">
        <v>2.2062352592227509E-8</v>
      </c>
      <c r="X78" s="262">
        <v>6.3991986883386703E-9</v>
      </c>
      <c r="Y78" s="260">
        <v>2.2094387360422249E-4</v>
      </c>
      <c r="Z78" s="260">
        <v>1.7590732797277389E-3</v>
      </c>
    </row>
    <row r="79" spans="1:26" x14ac:dyDescent="0.35">
      <c r="A79" s="88">
        <v>78</v>
      </c>
      <c r="B79" s="88" t="s">
        <v>22</v>
      </c>
      <c r="C79" s="88" t="s">
        <v>238</v>
      </c>
      <c r="D79" s="88" t="s">
        <v>25</v>
      </c>
      <c r="E79" s="88" t="s">
        <v>939</v>
      </c>
      <c r="F79" s="88">
        <v>1</v>
      </c>
      <c r="G79" s="88" t="s">
        <v>557</v>
      </c>
      <c r="H79" s="260">
        <v>6.4917479808378111E-4</v>
      </c>
      <c r="I79" s="260">
        <v>0.18219807126195031</v>
      </c>
      <c r="J79" s="260">
        <v>3.8089322137568331E-3</v>
      </c>
      <c r="K79" s="260">
        <v>0.17794109566114399</v>
      </c>
      <c r="L79" s="260">
        <v>4.4804338704950098E-4</v>
      </c>
      <c r="M79" s="260">
        <v>0.6253928631247595</v>
      </c>
      <c r="N79" s="260">
        <v>8.7606274521720966</v>
      </c>
      <c r="O79" s="260">
        <v>6.6837193946409128E-5</v>
      </c>
      <c r="P79" s="260">
        <v>1.3350194646841919E-4</v>
      </c>
      <c r="Q79" s="260">
        <v>1.2673002520927801E-3</v>
      </c>
      <c r="R79" s="262">
        <v>7.4488651800677251E-11</v>
      </c>
      <c r="S79" s="262">
        <v>4.118758088693749E-9</v>
      </c>
      <c r="T79" s="260">
        <v>0.36800533721835249</v>
      </c>
      <c r="U79" s="260">
        <v>1.3824672680048169</v>
      </c>
      <c r="V79" s="262">
        <v>4.7441431552970934E-6</v>
      </c>
      <c r="W79" s="262">
        <v>5.6888941542182206E-9</v>
      </c>
      <c r="X79" s="262">
        <v>4.7704281210385562E-9</v>
      </c>
      <c r="Y79" s="260">
        <v>4.0497861688886352E-4</v>
      </c>
      <c r="Z79" s="260">
        <v>0.1052427822298047</v>
      </c>
    </row>
    <row r="80" spans="1:26" x14ac:dyDescent="0.35">
      <c r="A80" s="88">
        <v>79</v>
      </c>
      <c r="B80" s="88" t="s">
        <v>22</v>
      </c>
      <c r="C80" s="88" t="s">
        <v>238</v>
      </c>
      <c r="D80" s="88" t="s">
        <v>935</v>
      </c>
      <c r="E80" s="88" t="s">
        <v>940</v>
      </c>
      <c r="F80" s="88">
        <v>1</v>
      </c>
      <c r="G80" s="88" t="s">
        <v>557</v>
      </c>
      <c r="H80" s="260">
        <v>5.88814108568818E-4</v>
      </c>
      <c r="I80" s="260">
        <v>5.2291772222609799E-2</v>
      </c>
      <c r="J80" s="260">
        <v>1.2600198463873799E-4</v>
      </c>
      <c r="K80" s="260">
        <v>5.2083159850604702E-2</v>
      </c>
      <c r="L80" s="260">
        <v>8.2610387366315494E-5</v>
      </c>
      <c r="M80" s="260">
        <v>0.73519640501793704</v>
      </c>
      <c r="N80" s="260">
        <v>0.61152364724192398</v>
      </c>
      <c r="O80" s="260">
        <v>4.8212189078874897E-5</v>
      </c>
      <c r="P80" s="260">
        <v>6.4180496659697607E-5</v>
      </c>
      <c r="Q80" s="260">
        <v>7.1157743150184599E-4</v>
      </c>
      <c r="R80" s="262">
        <v>7.7725899378582605E-11</v>
      </c>
      <c r="S80" s="262">
        <v>4.7854273290269299E-9</v>
      </c>
      <c r="T80" s="260">
        <v>3.5860747038049499E-3</v>
      </c>
      <c r="U80" s="260">
        <v>1.2941657200477401</v>
      </c>
      <c r="V80" s="262">
        <v>6.1440658107819203E-6</v>
      </c>
      <c r="W80" s="262">
        <v>3.59423968054589E-9</v>
      </c>
      <c r="X80" s="262">
        <v>4.0402100723667703E-9</v>
      </c>
      <c r="Y80" s="260">
        <v>2.42060646074334E-4</v>
      </c>
      <c r="Z80" s="260">
        <v>5.54606113605558E-2</v>
      </c>
    </row>
    <row r="81" spans="1:26" x14ac:dyDescent="0.35">
      <c r="A81" s="88">
        <v>80</v>
      </c>
      <c r="B81" s="88" t="s">
        <v>22</v>
      </c>
      <c r="C81" s="88" t="s">
        <v>238</v>
      </c>
      <c r="D81" s="88" t="s">
        <v>937</v>
      </c>
      <c r="E81" s="88" t="s">
        <v>938</v>
      </c>
      <c r="F81" s="88">
        <v>1</v>
      </c>
      <c r="G81" s="88" t="s">
        <v>558</v>
      </c>
      <c r="H81" s="260">
        <v>8.2946946145158098E-3</v>
      </c>
      <c r="I81" s="260">
        <v>10.715502971039699</v>
      </c>
      <c r="J81" s="260">
        <v>1.0930825334002801E-3</v>
      </c>
      <c r="K81" s="260">
        <v>10.7136456070682</v>
      </c>
      <c r="L81" s="260">
        <v>7.6428143811536203E-4</v>
      </c>
      <c r="M81" s="260">
        <v>6.6795584604301501</v>
      </c>
      <c r="N81" s="260">
        <v>177.71664262802099</v>
      </c>
      <c r="O81" s="260">
        <v>2.7627252647982701E-4</v>
      </c>
      <c r="P81" s="260">
        <v>2.2650229473809699E-3</v>
      </c>
      <c r="Q81" s="260">
        <v>2.3600045467840901E-2</v>
      </c>
      <c r="R81" s="262">
        <v>1.12199417813448E-9</v>
      </c>
      <c r="S81" s="262">
        <v>1.7899515425741598E-8</v>
      </c>
      <c r="T81" s="260">
        <v>5.9732733254283701E-2</v>
      </c>
      <c r="U81" s="260">
        <v>3.4576122492557002</v>
      </c>
      <c r="V81" s="262">
        <v>1.7148538046896498E-5</v>
      </c>
      <c r="W81" s="262">
        <v>4.9590869103938403E-7</v>
      </c>
      <c r="X81" s="262">
        <v>3.5757937515020799E-8</v>
      </c>
      <c r="Y81" s="260">
        <v>1.5646429419972602E-2</v>
      </c>
      <c r="Z81" s="260">
        <v>1.6526904975044101</v>
      </c>
    </row>
    <row r="82" spans="1:26" x14ac:dyDescent="0.35">
      <c r="A82" s="88">
        <v>81</v>
      </c>
      <c r="B82" s="88" t="s">
        <v>22</v>
      </c>
      <c r="C82" s="88" t="s">
        <v>238</v>
      </c>
      <c r="D82" s="88" t="s">
        <v>27</v>
      </c>
      <c r="E82" s="88"/>
      <c r="F82" s="88"/>
      <c r="G82" s="88"/>
      <c r="H82" s="260"/>
      <c r="I82" s="260"/>
      <c r="J82" s="260"/>
      <c r="K82" s="260"/>
      <c r="L82" s="260"/>
      <c r="M82" s="260"/>
      <c r="N82" s="260"/>
      <c r="O82" s="260"/>
      <c r="P82" s="260"/>
      <c r="Q82" s="260"/>
      <c r="R82" s="262"/>
      <c r="S82" s="262"/>
      <c r="T82" s="260"/>
      <c r="U82" s="260"/>
      <c r="V82" s="262"/>
      <c r="W82" s="262"/>
      <c r="X82" s="262"/>
      <c r="Y82" s="260"/>
      <c r="Z82" s="260"/>
    </row>
    <row r="83" spans="1:26" x14ac:dyDescent="0.35">
      <c r="A83" s="88">
        <v>82</v>
      </c>
      <c r="B83" s="88" t="s">
        <v>941</v>
      </c>
      <c r="C83" s="88" t="s">
        <v>238</v>
      </c>
      <c r="D83" s="88" t="s">
        <v>25</v>
      </c>
      <c r="E83" s="88" t="s">
        <v>913</v>
      </c>
      <c r="F83" s="88">
        <v>1</v>
      </c>
      <c r="G83" s="88" t="s">
        <v>557</v>
      </c>
      <c r="H83" s="260">
        <v>6.4917479808378295E-4</v>
      </c>
      <c r="I83" s="260">
        <v>0.17881451433756601</v>
      </c>
      <c r="J83" s="260">
        <v>2.9666216066817402E-4</v>
      </c>
      <c r="K83" s="260">
        <v>0.17806980878984799</v>
      </c>
      <c r="L83" s="260">
        <v>4.4804338704950098E-4</v>
      </c>
      <c r="M83" s="260">
        <v>0.62539286356895896</v>
      </c>
      <c r="N83" s="260">
        <v>8.7606274521721108</v>
      </c>
      <c r="O83" s="262">
        <v>6.6837193946409602E-5</v>
      </c>
      <c r="P83" s="260">
        <v>1.33501946468419E-4</v>
      </c>
      <c r="Q83" s="260">
        <v>1.2673002520927801E-3</v>
      </c>
      <c r="R83" s="262">
        <v>7.4488651800677496E-11</v>
      </c>
      <c r="S83" s="262">
        <v>4.1187581803569199E-9</v>
      </c>
      <c r="T83" s="260">
        <v>0.36800533721835199</v>
      </c>
      <c r="U83" s="260">
        <v>1.38246726800481</v>
      </c>
      <c r="V83" s="262">
        <v>4.7441431552971002E-6</v>
      </c>
      <c r="W83" s="262">
        <v>5.6888941542180701E-9</v>
      </c>
      <c r="X83" s="262">
        <v>4.7704281210385703E-9</v>
      </c>
      <c r="Y83" s="260">
        <v>4.04978616888864E-4</v>
      </c>
      <c r="Z83" s="260">
        <v>0.105242782229804</v>
      </c>
    </row>
    <row r="84" spans="1:26" x14ac:dyDescent="0.35">
      <c r="A84" s="88">
        <v>83</v>
      </c>
      <c r="B84" s="88" t="s">
        <v>941</v>
      </c>
      <c r="C84" s="88" t="s">
        <v>238</v>
      </c>
      <c r="D84" s="88" t="s">
        <v>935</v>
      </c>
      <c r="E84" s="88" t="s">
        <v>914</v>
      </c>
      <c r="F84" s="88">
        <v>1</v>
      </c>
      <c r="G84" s="88" t="s">
        <v>557</v>
      </c>
      <c r="H84" s="260">
        <v>5.88814108568818E-4</v>
      </c>
      <c r="I84" s="260">
        <v>5.18727049626619E-2</v>
      </c>
      <c r="J84" s="260">
        <v>6.6321407021587906E-5</v>
      </c>
      <c r="K84" s="260">
        <v>5.1723773168274E-2</v>
      </c>
      <c r="L84" s="260">
        <v>8.2610387366315494E-5</v>
      </c>
      <c r="M84" s="260">
        <v>0.73519640383391605</v>
      </c>
      <c r="N84" s="260">
        <v>0.61152364724192398</v>
      </c>
      <c r="O84" s="262">
        <v>4.8212189078874897E-5</v>
      </c>
      <c r="P84" s="260">
        <v>6.4180496659697607E-5</v>
      </c>
      <c r="Q84" s="260">
        <v>7.1157743150184599E-4</v>
      </c>
      <c r="R84" s="262">
        <v>7.7725899378582605E-11</v>
      </c>
      <c r="S84" s="262">
        <v>4.7854270802401399E-9</v>
      </c>
      <c r="T84" s="260">
        <v>3.5860747038049499E-3</v>
      </c>
      <c r="U84" s="260">
        <v>1.2941657200477401</v>
      </c>
      <c r="V84" s="262">
        <v>6.1440658107819203E-6</v>
      </c>
      <c r="W84" s="262">
        <v>3.59423968054589E-9</v>
      </c>
      <c r="X84" s="262">
        <v>4.0402100723667703E-9</v>
      </c>
      <c r="Y84" s="260">
        <v>2.42060646074334E-4</v>
      </c>
      <c r="Z84" s="260">
        <v>5.54606113605558E-2</v>
      </c>
    </row>
    <row r="85" spans="1:26" x14ac:dyDescent="0.35">
      <c r="A85" s="88">
        <v>84</v>
      </c>
      <c r="B85" s="88" t="s">
        <v>941</v>
      </c>
      <c r="C85" s="88" t="s">
        <v>238</v>
      </c>
      <c r="D85" s="88" t="s">
        <v>27</v>
      </c>
      <c r="E85" s="88" t="s">
        <v>942</v>
      </c>
      <c r="F85" s="88"/>
      <c r="G85" s="88"/>
      <c r="H85" s="260"/>
      <c r="I85" s="260"/>
      <c r="J85" s="260"/>
      <c r="K85" s="260"/>
      <c r="L85" s="260"/>
      <c r="M85" s="260"/>
      <c r="N85" s="260"/>
      <c r="O85" s="262"/>
      <c r="P85" s="260"/>
      <c r="Q85" s="260"/>
      <c r="R85" s="262"/>
      <c r="S85" s="262"/>
      <c r="T85" s="260"/>
      <c r="U85" s="260"/>
      <c r="V85" s="262"/>
      <c r="W85" s="262"/>
      <c r="X85" s="262"/>
      <c r="Y85" s="260"/>
      <c r="Z85" s="260"/>
    </row>
    <row r="86" spans="1:26" x14ac:dyDescent="0.35">
      <c r="A86" s="88">
        <v>85</v>
      </c>
      <c r="B86" s="88" t="s">
        <v>22</v>
      </c>
      <c r="C86" s="88" t="s">
        <v>238</v>
      </c>
      <c r="D86" s="88" t="s">
        <v>27</v>
      </c>
      <c r="E86" s="88" t="s">
        <v>942</v>
      </c>
      <c r="F86" s="88"/>
      <c r="G86" s="88"/>
      <c r="H86" s="260"/>
      <c r="I86" s="260"/>
      <c r="J86" s="260"/>
      <c r="K86" s="260"/>
      <c r="L86" s="260"/>
      <c r="M86" s="260"/>
      <c r="N86" s="260"/>
      <c r="O86" s="260"/>
      <c r="P86" s="260"/>
      <c r="Q86" s="260"/>
      <c r="R86" s="260"/>
      <c r="S86" s="260"/>
      <c r="T86" s="260"/>
      <c r="U86" s="260"/>
      <c r="V86" s="260"/>
      <c r="W86" s="260"/>
      <c r="X86" s="260"/>
      <c r="Y86" s="260"/>
      <c r="Z86" s="260"/>
    </row>
    <row r="87" spans="1:26" x14ac:dyDescent="0.35">
      <c r="A87" s="88">
        <v>86</v>
      </c>
      <c r="B87" s="88" t="s">
        <v>450</v>
      </c>
      <c r="C87" s="88"/>
      <c r="D87" s="88" t="s">
        <v>27</v>
      </c>
      <c r="E87" s="88" t="s">
        <v>942</v>
      </c>
      <c r="F87" s="88"/>
      <c r="G87" s="88"/>
      <c r="H87" s="260"/>
      <c r="I87" s="260"/>
      <c r="J87" s="260"/>
      <c r="K87" s="260"/>
      <c r="L87" s="260"/>
      <c r="M87" s="260"/>
      <c r="N87" s="260"/>
      <c r="O87" s="260"/>
      <c r="P87" s="260"/>
      <c r="Q87" s="260"/>
      <c r="R87" s="260"/>
      <c r="S87" s="260"/>
      <c r="T87" s="260"/>
      <c r="U87" s="260"/>
      <c r="V87" s="260"/>
      <c r="W87" s="260"/>
      <c r="X87" s="260"/>
      <c r="Y87" s="260"/>
      <c r="Z87" s="260"/>
    </row>
    <row r="88" spans="1:26" x14ac:dyDescent="0.35">
      <c r="A88" s="88">
        <v>87</v>
      </c>
      <c r="B88" s="88" t="s">
        <v>106</v>
      </c>
      <c r="C88" s="88" t="s">
        <v>240</v>
      </c>
      <c r="D88" s="88"/>
      <c r="E88" s="88" t="s">
        <v>942</v>
      </c>
      <c r="F88" s="88"/>
      <c r="G88" s="88"/>
      <c r="H88" s="260"/>
      <c r="I88" s="260"/>
      <c r="J88" s="260"/>
      <c r="K88" s="260"/>
      <c r="L88" s="260"/>
      <c r="M88" s="260"/>
      <c r="N88" s="260"/>
      <c r="O88" s="260"/>
      <c r="P88" s="260">
        <v>0</v>
      </c>
      <c r="Q88" s="260">
        <v>0</v>
      </c>
      <c r="R88" s="260">
        <v>0</v>
      </c>
      <c r="S88" s="260">
        <v>0</v>
      </c>
      <c r="T88" s="260">
        <v>0</v>
      </c>
      <c r="U88" s="260">
        <v>0</v>
      </c>
      <c r="V88" s="260">
        <v>0</v>
      </c>
      <c r="W88" s="260">
        <v>0</v>
      </c>
      <c r="X88" s="260">
        <v>0</v>
      </c>
      <c r="Y88" s="260">
        <v>0</v>
      </c>
      <c r="Z88" s="260">
        <v>0</v>
      </c>
    </row>
    <row r="89" spans="1:26" x14ac:dyDescent="0.35">
      <c r="A89" s="88">
        <v>88</v>
      </c>
      <c r="B89" s="88" t="s">
        <v>685</v>
      </c>
      <c r="C89" s="88" t="s">
        <v>240</v>
      </c>
      <c r="D89" s="88" t="s">
        <v>36</v>
      </c>
      <c r="E89" s="88" t="s">
        <v>943</v>
      </c>
      <c r="F89" s="88">
        <v>1</v>
      </c>
      <c r="G89" s="88" t="s">
        <v>558</v>
      </c>
      <c r="H89" s="265">
        <f>'Aux - Emissions'!E74</f>
        <v>5.3035459840249186E-3</v>
      </c>
      <c r="I89" s="265">
        <f>'Aux - Emissions'!F74</f>
        <v>4.1482980772561993</v>
      </c>
      <c r="J89" s="265">
        <f>'Aux - Emissions'!G74</f>
        <v>8.5734799168365311E-4</v>
      </c>
      <c r="K89" s="265">
        <f>'Aux - Emissions'!H74</f>
        <v>4.1472572806860564</v>
      </c>
      <c r="L89" s="265">
        <f>'Aux - Emissions'!I74</f>
        <v>1.8344857845927959E-4</v>
      </c>
      <c r="M89" s="265">
        <f>'Aux - Emissions'!J74</f>
        <v>1.832845135638107</v>
      </c>
      <c r="N89" s="265">
        <f>'Aux - Emissions'!K74</f>
        <v>55.100487407697372</v>
      </c>
      <c r="O89" s="265">
        <f>'Aux - Emissions'!L74</f>
        <v>4.3853117433037627E-5</v>
      </c>
      <c r="P89" s="265">
        <f>'Aux - Emissions'!M74</f>
        <v>1.1993045380982259E-3</v>
      </c>
      <c r="Q89" s="265">
        <f>'Aux - Emissions'!N74</f>
        <v>1.3037918163784251E-2</v>
      </c>
      <c r="R89" s="265">
        <f>'Aux - Emissions'!O74</f>
        <v>2.5350471757121082E-10</v>
      </c>
      <c r="S89" s="265">
        <f>'Aux - Emissions'!P74</f>
        <v>6.7569353088850776E-9</v>
      </c>
      <c r="T89" s="265">
        <f>'Aux - Emissions'!Q74</f>
        <v>1.6544378113660031E-2</v>
      </c>
      <c r="U89" s="265">
        <f>'Aux - Emissions'!R74</f>
        <v>2.8329600749020512</v>
      </c>
      <c r="V89" s="265">
        <f>'Aux - Emissions'!S74</f>
        <v>6.4685201023209792E-7</v>
      </c>
      <c r="W89" s="265">
        <f>'Aux - Emissions'!T74</f>
        <v>9.3480310770943594E-8</v>
      </c>
      <c r="X89" s="265">
        <f>'Aux - Emissions'!U74</f>
        <v>4.0857666204109152E-8</v>
      </c>
      <c r="Y89" s="265">
        <f>'Aux - Emissions'!V74</f>
        <v>1.021782483189552E-2</v>
      </c>
      <c r="Z89" s="265">
        <f>'Aux - Emissions'!W74</f>
        <v>7.4574338336591883E-2</v>
      </c>
    </row>
    <row r="90" spans="1:26" x14ac:dyDescent="0.35">
      <c r="A90" s="88">
        <v>89</v>
      </c>
      <c r="B90" s="88" t="s">
        <v>685</v>
      </c>
      <c r="C90" s="88" t="s">
        <v>240</v>
      </c>
      <c r="D90" s="88" t="s">
        <v>87</v>
      </c>
      <c r="E90" s="88" t="s">
        <v>908</v>
      </c>
      <c r="F90" s="88">
        <v>1</v>
      </c>
      <c r="G90" s="88" t="s">
        <v>558</v>
      </c>
      <c r="H90" s="265">
        <f>'Aux - Emissions'!E75</f>
        <v>7.9203098977798508E-3</v>
      </c>
      <c r="I90" s="265">
        <f>'Aux - Emissions'!F75</f>
        <v>4.0575303534544211</v>
      </c>
      <c r="J90" s="265">
        <f>'Aux - Emissions'!G75</f>
        <v>6.0635780932299715E-3</v>
      </c>
      <c r="K90" s="265">
        <f>'Aux - Emissions'!H75</f>
        <v>4.0470240451361068</v>
      </c>
      <c r="L90" s="265">
        <f>'Aux - Emissions'!I75</f>
        <v>4.4427302250839972E-3</v>
      </c>
      <c r="M90" s="265">
        <f>'Aux - Emissions'!J75</f>
        <v>4.7040131708537114</v>
      </c>
      <c r="N90" s="265">
        <f>'Aux - Emissions'!K75</f>
        <v>53.416061595492351</v>
      </c>
      <c r="O90" s="265">
        <f>'Aux - Emissions'!L75</f>
        <v>6.5802952593443679E-5</v>
      </c>
      <c r="P90" s="265">
        <f>'Aux - Emissions'!M75</f>
        <v>3.3612963234816414E-3</v>
      </c>
      <c r="Q90" s="265">
        <f>'Aux - Emissions'!N75</f>
        <v>2.5988167685268841E-2</v>
      </c>
      <c r="R90" s="265">
        <f>'Aux - Emissions'!O75</f>
        <v>3.1964676133622929E-10</v>
      </c>
      <c r="S90" s="265">
        <f>'Aux - Emissions'!P75</f>
        <v>1.4403663513192116E-8</v>
      </c>
      <c r="T90" s="265">
        <f>'Aux - Emissions'!Q75</f>
        <v>1.9042496375533659E-2</v>
      </c>
      <c r="U90" s="265">
        <f>'Aux - Emissions'!R75</f>
        <v>11.219626763947172</v>
      </c>
      <c r="V90" s="265">
        <f>'Aux - Emissions'!S75</f>
        <v>1.0437898941982373E-6</v>
      </c>
      <c r="W90" s="265">
        <f>'Aux - Emissions'!T75</f>
        <v>9.3502202012651712E-8</v>
      </c>
      <c r="X90" s="265">
        <f>'Aux - Emissions'!U75</f>
        <v>6.0650031984858996E-8</v>
      </c>
      <c r="Y90" s="265">
        <f>'Aux - Emissions'!V75</f>
        <v>1.1315090003252705E-2</v>
      </c>
      <c r="Z90" s="265">
        <f>'Aux - Emissions'!W75</f>
        <v>0.20821182302675101</v>
      </c>
    </row>
    <row r="91" spans="1:26" x14ac:dyDescent="0.35">
      <c r="A91" s="88">
        <v>90</v>
      </c>
      <c r="B91" s="88" t="s">
        <v>685</v>
      </c>
      <c r="C91" s="88" t="s">
        <v>240</v>
      </c>
      <c r="D91" s="88" t="s">
        <v>806</v>
      </c>
      <c r="E91" s="88" t="s">
        <v>909</v>
      </c>
      <c r="F91" s="88">
        <v>1</v>
      </c>
      <c r="G91" s="88" t="s">
        <v>558</v>
      </c>
      <c r="H91" s="265">
        <f>'Aux - Emissions'!E76</f>
        <v>9.3740676276437042E-3</v>
      </c>
      <c r="I91" s="265">
        <f>'Aux - Emissions'!F76</f>
        <v>4.0071038402312116</v>
      </c>
      <c r="J91" s="265">
        <f>'Aux - Emissions'!G76</f>
        <v>8.9559281496445937E-3</v>
      </c>
      <c r="K91" s="265">
        <f>'Aux - Emissions'!H76</f>
        <v>3.9913389142750249</v>
      </c>
      <c r="L91" s="265">
        <f>'Aux - Emissions'!I76</f>
        <v>6.8089978065421749E-3</v>
      </c>
      <c r="M91" s="265">
        <f>'Aux - Emissions'!J76</f>
        <v>6.2991065237512709</v>
      </c>
      <c r="N91" s="265">
        <f>'Aux - Emissions'!K76</f>
        <v>52.480269477600686</v>
      </c>
      <c r="O91" s="265">
        <f>'Aux - Emissions'!L76</f>
        <v>7.7997305460335959E-5</v>
      </c>
      <c r="P91" s="265">
        <f>'Aux - Emissions'!M76</f>
        <v>4.5624028709168726E-3</v>
      </c>
      <c r="Q91" s="265">
        <f>'Aux - Emissions'!N76</f>
        <v>3.3182750752760282E-2</v>
      </c>
      <c r="R91" s="265">
        <f>'Aux - Emissions'!O76</f>
        <v>3.5639234120568401E-10</v>
      </c>
      <c r="S91" s="265">
        <f>'Aux - Emissions'!P76</f>
        <v>1.8651845848918251E-8</v>
      </c>
      <c r="T91" s="265">
        <f>'Aux - Emissions'!Q76</f>
        <v>2.0430339854352345E-2</v>
      </c>
      <c r="U91" s="265">
        <f>'Aux - Emissions'!R76</f>
        <v>15.878886035638907</v>
      </c>
      <c r="V91" s="265">
        <f>'Aux - Emissions'!S76</f>
        <v>1.2643109408460927E-6</v>
      </c>
      <c r="W91" s="265">
        <f>'Aux - Emissions'!T76</f>
        <v>9.3514363813600682E-8</v>
      </c>
      <c r="X91" s="265">
        <f>'Aux - Emissions'!U76</f>
        <v>7.164579075194226E-8</v>
      </c>
      <c r="Y91" s="265">
        <f>'Aux - Emissions'!V76</f>
        <v>1.1924681765117809E-2</v>
      </c>
      <c r="Z91" s="265">
        <f>'Aux - Emissions'!W76</f>
        <v>0.28245487007683945</v>
      </c>
    </row>
    <row r="92" spans="1:26" x14ac:dyDescent="0.35">
      <c r="A92" s="88">
        <v>91</v>
      </c>
      <c r="B92" s="88" t="s">
        <v>685</v>
      </c>
      <c r="C92" s="88" t="s">
        <v>240</v>
      </c>
      <c r="D92" s="88" t="s">
        <v>807</v>
      </c>
      <c r="E92" s="88" t="s">
        <v>910</v>
      </c>
      <c r="F92" s="88">
        <v>1</v>
      </c>
      <c r="G92" s="88" t="s">
        <v>558</v>
      </c>
      <c r="H92" s="265">
        <f>'Aux - Emissions'!E77</f>
        <v>1.1118576903480327E-2</v>
      </c>
      <c r="I92" s="265">
        <f>'Aux - Emissions'!F77</f>
        <v>3.9465920243633597</v>
      </c>
      <c r="J92" s="265">
        <f>'Aux - Emissions'!G77</f>
        <v>1.2426748217342139E-2</v>
      </c>
      <c r="K92" s="265">
        <f>'Aux - Emissions'!H77</f>
        <v>3.9245167572417254</v>
      </c>
      <c r="L92" s="265">
        <f>'Aux - Emissions'!I77</f>
        <v>9.6485189042919868E-3</v>
      </c>
      <c r="M92" s="265">
        <f>'Aux - Emissions'!J77</f>
        <v>8.2132185472283403</v>
      </c>
      <c r="N92" s="265">
        <f>'Aux - Emissions'!K77</f>
        <v>51.357318936130675</v>
      </c>
      <c r="O92" s="265">
        <f>'Aux - Emissions'!L77</f>
        <v>9.2630528900606646E-5</v>
      </c>
      <c r="P92" s="265">
        <f>'Aux - Emissions'!M77</f>
        <v>6.0037307278391497E-3</v>
      </c>
      <c r="Q92" s="265">
        <f>'Aux - Emissions'!N77</f>
        <v>4.1816250433750007E-2</v>
      </c>
      <c r="R92" s="265">
        <f>'Aux - Emissions'!O77</f>
        <v>4.0048703704902963E-10</v>
      </c>
      <c r="S92" s="265">
        <f>'Aux - Emissions'!P77</f>
        <v>2.3749664651789609E-8</v>
      </c>
      <c r="T92" s="265">
        <f>'Aux - Emissions'!Q77</f>
        <v>2.2095752028934761E-2</v>
      </c>
      <c r="U92" s="265">
        <f>'Aux - Emissions'!R77</f>
        <v>21.469997161668989</v>
      </c>
      <c r="V92" s="265">
        <f>'Aux - Emissions'!S77</f>
        <v>1.528936196823519E-6</v>
      </c>
      <c r="W92" s="265">
        <f>'Aux - Emissions'!T77</f>
        <v>9.3528957974739409E-8</v>
      </c>
      <c r="X92" s="265">
        <f>'Aux - Emissions'!U77</f>
        <v>8.4840701272442151E-8</v>
      </c>
      <c r="Y92" s="265">
        <f>'Aux - Emissions'!V77</f>
        <v>1.2656191879355932E-2</v>
      </c>
      <c r="Z92" s="265">
        <f>'Aux - Emissions'!W77</f>
        <v>0.37154652653694553</v>
      </c>
    </row>
    <row r="93" spans="1:26" x14ac:dyDescent="0.35">
      <c r="A93" s="88">
        <v>92</v>
      </c>
      <c r="B93" s="88" t="s">
        <v>685</v>
      </c>
      <c r="C93" s="88" t="s">
        <v>240</v>
      </c>
      <c r="D93" s="88" t="s">
        <v>79</v>
      </c>
      <c r="E93" s="88" t="s">
        <v>911</v>
      </c>
      <c r="F93" s="88">
        <v>1</v>
      </c>
      <c r="G93" s="88" t="s">
        <v>558</v>
      </c>
      <c r="H93" s="265">
        <f>'Aux - Emissions'!E78</f>
        <v>1.6933607822935733E-2</v>
      </c>
      <c r="I93" s="265">
        <f>'Aux - Emissions'!F78</f>
        <v>3.74488597147052</v>
      </c>
      <c r="J93" s="265">
        <f>'Aux - Emissions'!G78</f>
        <v>2.3996148443000624E-2</v>
      </c>
      <c r="K93" s="265">
        <f>'Aux - Emissions'!H78</f>
        <v>3.7017762337973945</v>
      </c>
      <c r="L93" s="265">
        <f>'Aux - Emissions'!I78</f>
        <v>1.9113589230124694E-2</v>
      </c>
      <c r="M93" s="265">
        <f>'Aux - Emissions'!J78</f>
        <v>14.593591958818575</v>
      </c>
      <c r="N93" s="265">
        <f>'Aux - Emissions'!K78</f>
        <v>47.61415046456397</v>
      </c>
      <c r="O93" s="265">
        <f>'Aux - Emissions'!L78</f>
        <v>1.4140794036817569E-4</v>
      </c>
      <c r="P93" s="265">
        <f>'Aux - Emissions'!M78</f>
        <v>1.0808156917580074E-2</v>
      </c>
      <c r="Q93" s="265">
        <f>'Aux - Emissions'!N78</f>
        <v>7.0594582703715769E-2</v>
      </c>
      <c r="R93" s="265">
        <f>'Aux - Emissions'!O78</f>
        <v>5.4746935652684843E-10</v>
      </c>
      <c r="S93" s="265">
        <f>'Aux - Emissions'!P78</f>
        <v>4.0742393994694141E-8</v>
      </c>
      <c r="T93" s="265">
        <f>'Aux - Emissions'!Q78</f>
        <v>2.764712594420949E-2</v>
      </c>
      <c r="U93" s="265">
        <f>'Aux - Emissions'!R78</f>
        <v>40.107034248435923</v>
      </c>
      <c r="V93" s="265">
        <f>'Aux - Emissions'!S78</f>
        <v>2.4110203834149401E-6</v>
      </c>
      <c r="W93" s="265">
        <f>'Aux - Emissions'!T78</f>
        <v>9.3577605178535238E-8</v>
      </c>
      <c r="X93" s="265">
        <f>'Aux - Emissions'!U78</f>
        <v>1.2882373634077516E-7</v>
      </c>
      <c r="Y93" s="265">
        <f>'Aux - Emissions'!V78</f>
        <v>1.5094558926816345E-2</v>
      </c>
      <c r="Z93" s="265">
        <f>'Aux - Emissions'!W78</f>
        <v>0.66851871473729907</v>
      </c>
    </row>
    <row r="94" spans="1:26" x14ac:dyDescent="0.35">
      <c r="A94" s="88">
        <v>93</v>
      </c>
      <c r="B94" s="88" t="s">
        <v>685</v>
      </c>
      <c r="C94" s="88" t="s">
        <v>240</v>
      </c>
      <c r="D94" s="88" t="s">
        <v>808</v>
      </c>
      <c r="E94" s="88" t="s">
        <v>912</v>
      </c>
      <c r="F94" s="88">
        <v>1</v>
      </c>
      <c r="G94" s="88" t="s">
        <v>558</v>
      </c>
      <c r="H94" s="265">
        <f>'Aux - Emissions'!E79</f>
        <v>6.3453855178578988E-2</v>
      </c>
      <c r="I94" s="265">
        <f>'Aux - Emissions'!F79</f>
        <v>2.1312375483278019</v>
      </c>
      <c r="J94" s="265">
        <f>'Aux - Emissions'!G79</f>
        <v>0.1165513502482685</v>
      </c>
      <c r="K94" s="265">
        <f>'Aux - Emissions'!H79</f>
        <v>1.9198520462427471</v>
      </c>
      <c r="L94" s="265">
        <f>'Aux - Emissions'!I79</f>
        <v>9.483415183678634E-2</v>
      </c>
      <c r="M94" s="265">
        <f>'Aux - Emissions'!J79</f>
        <v>65.636579251540439</v>
      </c>
      <c r="N94" s="265">
        <f>'Aux - Emissions'!K79</f>
        <v>17.668802692030361</v>
      </c>
      <c r="O94" s="265">
        <f>'Aux - Emissions'!L79</f>
        <v>5.3162723210872787E-4</v>
      </c>
      <c r="P94" s="265">
        <f>'Aux - Emissions'!M79</f>
        <v>4.9243566435507459E-2</v>
      </c>
      <c r="Q94" s="265">
        <f>'Aux - Emissions'!N79</f>
        <v>0.30082124086344181</v>
      </c>
      <c r="R94" s="265">
        <f>'Aux - Emissions'!O79</f>
        <v>1.723327912349399E-9</v>
      </c>
      <c r="S94" s="265">
        <f>'Aux - Emissions'!P79</f>
        <v>1.7668422873793039E-7</v>
      </c>
      <c r="T94" s="265">
        <f>'Aux - Emissions'!Q79</f>
        <v>7.2058117266407318E-2</v>
      </c>
      <c r="U94" s="265">
        <f>'Aux - Emissions'!R79</f>
        <v>189.2033309425714</v>
      </c>
      <c r="V94" s="265">
        <f>'Aux - Emissions'!S79</f>
        <v>9.4676938761463082E-6</v>
      </c>
      <c r="W94" s="265">
        <f>'Aux - Emissions'!T79</f>
        <v>9.3966782808901814E-8</v>
      </c>
      <c r="X94" s="265">
        <f>'Aux - Emissions'!U79</f>
        <v>4.8068801688743912E-7</v>
      </c>
      <c r="Y94" s="265">
        <f>'Aux - Emissions'!V79</f>
        <v>3.4601495306499641E-2</v>
      </c>
      <c r="Z94" s="265">
        <f>'Aux - Emissions'!W79</f>
        <v>3.044296220340128</v>
      </c>
    </row>
    <row r="95" spans="1:26" x14ac:dyDescent="0.35">
      <c r="A95" s="88">
        <v>94</v>
      </c>
      <c r="B95" s="88" t="s">
        <v>685</v>
      </c>
      <c r="C95" s="88" t="s">
        <v>240</v>
      </c>
      <c r="D95" s="88" t="s">
        <v>82</v>
      </c>
      <c r="E95" s="88" t="s">
        <v>944</v>
      </c>
      <c r="F95" s="88">
        <v>1</v>
      </c>
      <c r="G95" s="88" t="s">
        <v>557</v>
      </c>
      <c r="H95" s="265">
        <f>'Aux - Emissions'!E80</f>
        <v>6.4917479808378111E-4</v>
      </c>
      <c r="I95" s="265">
        <f>'Aux - Emissions'!F80</f>
        <v>0.18219807126195031</v>
      </c>
      <c r="J95" s="265">
        <f>'Aux - Emissions'!G80</f>
        <v>3.8089322137568331E-3</v>
      </c>
      <c r="K95" s="265">
        <f>'Aux - Emissions'!H80</f>
        <v>0.17794109566114399</v>
      </c>
      <c r="L95" s="265">
        <f>'Aux - Emissions'!I80</f>
        <v>4.4804338704950098E-4</v>
      </c>
      <c r="M95" s="265">
        <f>'Aux - Emissions'!J80</f>
        <v>0.6253928631247595</v>
      </c>
      <c r="N95" s="265">
        <f>'Aux - Emissions'!K80</f>
        <v>8.7606274521720966</v>
      </c>
      <c r="O95" s="265">
        <f>'Aux - Emissions'!L80</f>
        <v>6.6837193946409128E-5</v>
      </c>
      <c r="P95" s="265">
        <f>'Aux - Emissions'!M80</f>
        <v>1.3350194646841919E-4</v>
      </c>
      <c r="Q95" s="265">
        <f>'Aux - Emissions'!N80</f>
        <v>1.2673002520927801E-3</v>
      </c>
      <c r="R95" s="265">
        <f>'Aux - Emissions'!O80</f>
        <v>7.4488651800677251E-11</v>
      </c>
      <c r="S95" s="265">
        <f>'Aux - Emissions'!P80</f>
        <v>4.118758088693749E-9</v>
      </c>
      <c r="T95" s="265">
        <f>'Aux - Emissions'!Q80</f>
        <v>0.36800533721835249</v>
      </c>
      <c r="U95" s="265">
        <f>'Aux - Emissions'!R80</f>
        <v>1.3824672680048169</v>
      </c>
      <c r="V95" s="265">
        <f>'Aux - Emissions'!S80</f>
        <v>4.7441431552970934E-6</v>
      </c>
      <c r="W95" s="265">
        <f>'Aux - Emissions'!T80</f>
        <v>5.6888941542182206E-9</v>
      </c>
      <c r="X95" s="265">
        <f>'Aux - Emissions'!U80</f>
        <v>4.7704281210385562E-9</v>
      </c>
      <c r="Y95" s="265">
        <f>'Aux - Emissions'!V80</f>
        <v>4.0497861688886352E-4</v>
      </c>
      <c r="Z95" s="265">
        <f>'Aux - Emissions'!W80</f>
        <v>0.1052427822298047</v>
      </c>
    </row>
    <row r="96" spans="1:26" x14ac:dyDescent="0.35">
      <c r="A96" s="88">
        <v>95</v>
      </c>
      <c r="B96" s="88" t="s">
        <v>685</v>
      </c>
      <c r="C96" s="88" t="s">
        <v>240</v>
      </c>
      <c r="D96" s="88" t="s">
        <v>92</v>
      </c>
      <c r="E96" s="88" t="s">
        <v>940</v>
      </c>
      <c r="F96" s="88">
        <v>1</v>
      </c>
      <c r="G96" s="88" t="s">
        <v>557</v>
      </c>
      <c r="H96" s="265">
        <f>'Aux - Emissions'!E81</f>
        <v>5.88814108568818E-4</v>
      </c>
      <c r="I96" s="265">
        <f>'Aux - Emissions'!F81</f>
        <v>5.18727049626619E-2</v>
      </c>
      <c r="J96" s="265">
        <f>'Aux - Emissions'!G81</f>
        <v>6.6321407021587906E-5</v>
      </c>
      <c r="K96" s="265">
        <f>'Aux - Emissions'!H81</f>
        <v>5.1723773168274E-2</v>
      </c>
      <c r="L96" s="265">
        <f>'Aux - Emissions'!I81</f>
        <v>8.2610387366315494E-5</v>
      </c>
      <c r="M96" s="265">
        <f>'Aux - Emissions'!J81</f>
        <v>0.73519640383391605</v>
      </c>
      <c r="N96" s="265">
        <f>'Aux - Emissions'!K81</f>
        <v>0.61152364724192398</v>
      </c>
      <c r="O96" s="265">
        <f>'Aux - Emissions'!L81</f>
        <v>4.8212189078874897E-5</v>
      </c>
      <c r="P96" s="265">
        <f>'Aux - Emissions'!M81</f>
        <v>6.4180496659697607E-5</v>
      </c>
      <c r="Q96" s="265">
        <f>'Aux - Emissions'!N81</f>
        <v>7.1157743150184599E-4</v>
      </c>
      <c r="R96" s="265">
        <f>'Aux - Emissions'!O81</f>
        <v>7.7725899378582605E-11</v>
      </c>
      <c r="S96" s="265">
        <f>'Aux - Emissions'!P81</f>
        <v>4.7854270802401399E-9</v>
      </c>
      <c r="T96" s="265">
        <f>'Aux - Emissions'!Q81</f>
        <v>3.5860747038049499E-3</v>
      </c>
      <c r="U96" s="265">
        <f>'Aux - Emissions'!R81</f>
        <v>1.2941657200477401</v>
      </c>
      <c r="V96" s="265">
        <f>'Aux - Emissions'!S81</f>
        <v>6.1440658107819203E-6</v>
      </c>
      <c r="W96" s="265">
        <f>'Aux - Emissions'!T81</f>
        <v>3.59423968054589E-9</v>
      </c>
      <c r="X96" s="265">
        <f>'Aux - Emissions'!U81</f>
        <v>4.0402100723667703E-9</v>
      </c>
      <c r="Y96" s="265">
        <f>'Aux - Emissions'!V81</f>
        <v>2.42060646074334E-4</v>
      </c>
      <c r="Z96" s="265">
        <f>'Aux - Emissions'!W81</f>
        <v>5.54606113605558E-2</v>
      </c>
    </row>
    <row r="97" spans="1:26" x14ac:dyDescent="0.35">
      <c r="A97" s="88">
        <v>96</v>
      </c>
      <c r="B97" s="88" t="s">
        <v>685</v>
      </c>
      <c r="C97" s="88" t="s">
        <v>240</v>
      </c>
      <c r="D97" s="88" t="s">
        <v>27</v>
      </c>
      <c r="E97" s="88"/>
      <c r="F97" s="88"/>
      <c r="G97" s="88"/>
      <c r="H97" s="265"/>
      <c r="I97" s="265"/>
      <c r="J97" s="265"/>
      <c r="K97" s="265"/>
      <c r="L97" s="265"/>
      <c r="M97" s="265"/>
      <c r="N97" s="265"/>
      <c r="O97" s="265"/>
      <c r="P97" s="265"/>
      <c r="Q97" s="265"/>
      <c r="R97" s="265"/>
      <c r="S97" s="265"/>
      <c r="T97" s="265"/>
      <c r="U97" s="265"/>
      <c r="V97" s="265"/>
      <c r="W97" s="265"/>
      <c r="X97" s="265"/>
      <c r="Y97" s="265"/>
      <c r="Z97" s="265"/>
    </row>
    <row r="98" spans="1:26" x14ac:dyDescent="0.35">
      <c r="A98" s="88">
        <v>97</v>
      </c>
      <c r="B98" s="88" t="s">
        <v>727</v>
      </c>
      <c r="C98" s="88" t="s">
        <v>251</v>
      </c>
      <c r="D98" s="88" t="s">
        <v>36</v>
      </c>
      <c r="E98" s="88" t="s">
        <v>943</v>
      </c>
      <c r="F98" s="88">
        <v>1</v>
      </c>
      <c r="G98" s="88" t="s">
        <v>558</v>
      </c>
      <c r="H98" s="265">
        <f>'Aux - Emissions'!E74</f>
        <v>5.3035459840249186E-3</v>
      </c>
      <c r="I98" s="265">
        <f>'Aux - Emissions'!F74</f>
        <v>4.1482980772561993</v>
      </c>
      <c r="J98" s="265">
        <f>'Aux - Emissions'!G74</f>
        <v>8.5734799168365311E-4</v>
      </c>
      <c r="K98" s="265">
        <f>'Aux - Emissions'!H74</f>
        <v>4.1472572806860564</v>
      </c>
      <c r="L98" s="265">
        <f>'Aux - Emissions'!I74</f>
        <v>1.8344857845927959E-4</v>
      </c>
      <c r="M98" s="265">
        <f>'Aux - Emissions'!J74</f>
        <v>1.832845135638107</v>
      </c>
      <c r="N98" s="265">
        <f>'Aux - Emissions'!K74</f>
        <v>55.100487407697372</v>
      </c>
      <c r="O98" s="265">
        <f>'Aux - Emissions'!L74</f>
        <v>4.3853117433037627E-5</v>
      </c>
      <c r="P98" s="265">
        <f>'Aux - Emissions'!M74</f>
        <v>1.1993045380982259E-3</v>
      </c>
      <c r="Q98" s="265">
        <f>'Aux - Emissions'!N74</f>
        <v>1.3037918163784251E-2</v>
      </c>
      <c r="R98" s="265">
        <f>'Aux - Emissions'!O74</f>
        <v>2.5350471757121082E-10</v>
      </c>
      <c r="S98" s="265">
        <f>'Aux - Emissions'!P74</f>
        <v>6.7569353088850776E-9</v>
      </c>
      <c r="T98" s="265">
        <f>'Aux - Emissions'!Q74</f>
        <v>1.6544378113660031E-2</v>
      </c>
      <c r="U98" s="265">
        <f>'Aux - Emissions'!R74</f>
        <v>2.8329600749020512</v>
      </c>
      <c r="V98" s="265">
        <f>'Aux - Emissions'!S74</f>
        <v>6.4685201023209792E-7</v>
      </c>
      <c r="W98" s="265">
        <f>'Aux - Emissions'!T74</f>
        <v>9.3480310770943594E-8</v>
      </c>
      <c r="X98" s="265">
        <f>'Aux - Emissions'!U74</f>
        <v>4.0857666204109152E-8</v>
      </c>
      <c r="Y98" s="265">
        <f>'Aux - Emissions'!V74</f>
        <v>1.021782483189552E-2</v>
      </c>
      <c r="Z98" s="265">
        <f>'Aux - Emissions'!W74</f>
        <v>7.4574338336591883E-2</v>
      </c>
    </row>
    <row r="99" spans="1:26" x14ac:dyDescent="0.35">
      <c r="A99" s="88">
        <v>98</v>
      </c>
      <c r="B99" s="88" t="s">
        <v>727</v>
      </c>
      <c r="C99" s="88" t="s">
        <v>251</v>
      </c>
      <c r="D99" s="88" t="s">
        <v>87</v>
      </c>
      <c r="E99" s="88" t="s">
        <v>908</v>
      </c>
      <c r="F99" s="88">
        <v>1</v>
      </c>
      <c r="G99" s="88" t="s">
        <v>558</v>
      </c>
      <c r="H99" s="265">
        <f>'Aux - Emissions'!E75</f>
        <v>7.9203098977798508E-3</v>
      </c>
      <c r="I99" s="265">
        <f>'Aux - Emissions'!F75</f>
        <v>4.0575303534544211</v>
      </c>
      <c r="J99" s="265">
        <f>'Aux - Emissions'!G75</f>
        <v>6.0635780932299715E-3</v>
      </c>
      <c r="K99" s="265">
        <f>'Aux - Emissions'!H75</f>
        <v>4.0470240451361068</v>
      </c>
      <c r="L99" s="265">
        <f>'Aux - Emissions'!I75</f>
        <v>4.4427302250839972E-3</v>
      </c>
      <c r="M99" s="265">
        <f>'Aux - Emissions'!J75</f>
        <v>4.7040131708537114</v>
      </c>
      <c r="N99" s="265">
        <f>'Aux - Emissions'!K75</f>
        <v>53.416061595492351</v>
      </c>
      <c r="O99" s="265">
        <f>'Aux - Emissions'!L75</f>
        <v>6.5802952593443679E-5</v>
      </c>
      <c r="P99" s="265">
        <f>'Aux - Emissions'!M75</f>
        <v>3.3612963234816414E-3</v>
      </c>
      <c r="Q99" s="265">
        <f>'Aux - Emissions'!N75</f>
        <v>2.5988167685268841E-2</v>
      </c>
      <c r="R99" s="265">
        <f>'Aux - Emissions'!O75</f>
        <v>3.1964676133622929E-10</v>
      </c>
      <c r="S99" s="265">
        <f>'Aux - Emissions'!P75</f>
        <v>1.4403663513192116E-8</v>
      </c>
      <c r="T99" s="265">
        <f>'Aux - Emissions'!Q75</f>
        <v>1.9042496375533659E-2</v>
      </c>
      <c r="U99" s="265">
        <f>'Aux - Emissions'!R75</f>
        <v>11.219626763947172</v>
      </c>
      <c r="V99" s="265">
        <f>'Aux - Emissions'!S75</f>
        <v>1.0437898941982373E-6</v>
      </c>
      <c r="W99" s="265">
        <f>'Aux - Emissions'!T75</f>
        <v>9.3502202012651712E-8</v>
      </c>
      <c r="X99" s="265">
        <f>'Aux - Emissions'!U75</f>
        <v>6.0650031984858996E-8</v>
      </c>
      <c r="Y99" s="265">
        <f>'Aux - Emissions'!V75</f>
        <v>1.1315090003252705E-2</v>
      </c>
      <c r="Z99" s="265">
        <f>'Aux - Emissions'!W75</f>
        <v>0.20821182302675101</v>
      </c>
    </row>
    <row r="100" spans="1:26" x14ac:dyDescent="0.35">
      <c r="A100" s="88">
        <v>99</v>
      </c>
      <c r="B100" s="88" t="s">
        <v>727</v>
      </c>
      <c r="C100" s="88" t="s">
        <v>251</v>
      </c>
      <c r="D100" s="88" t="s">
        <v>806</v>
      </c>
      <c r="E100" s="88" t="s">
        <v>909</v>
      </c>
      <c r="F100" s="88">
        <v>1</v>
      </c>
      <c r="G100" s="88" t="s">
        <v>558</v>
      </c>
      <c r="H100" s="265">
        <f>'Aux - Emissions'!E76</f>
        <v>9.3740676276437042E-3</v>
      </c>
      <c r="I100" s="265">
        <f>'Aux - Emissions'!F76</f>
        <v>4.0071038402312116</v>
      </c>
      <c r="J100" s="265">
        <f>'Aux - Emissions'!G76</f>
        <v>8.9559281496445937E-3</v>
      </c>
      <c r="K100" s="265">
        <f>'Aux - Emissions'!H76</f>
        <v>3.9913389142750249</v>
      </c>
      <c r="L100" s="265">
        <f>'Aux - Emissions'!I76</f>
        <v>6.8089978065421749E-3</v>
      </c>
      <c r="M100" s="265">
        <f>'Aux - Emissions'!J76</f>
        <v>6.2991065237512709</v>
      </c>
      <c r="N100" s="265">
        <f>'Aux - Emissions'!K76</f>
        <v>52.480269477600686</v>
      </c>
      <c r="O100" s="265">
        <f>'Aux - Emissions'!L76</f>
        <v>7.7997305460335959E-5</v>
      </c>
      <c r="P100" s="265">
        <f>'Aux - Emissions'!M76</f>
        <v>4.5624028709168726E-3</v>
      </c>
      <c r="Q100" s="265">
        <f>'Aux - Emissions'!N76</f>
        <v>3.3182750752760282E-2</v>
      </c>
      <c r="R100" s="265">
        <f>'Aux - Emissions'!O76</f>
        <v>3.5639234120568401E-10</v>
      </c>
      <c r="S100" s="265">
        <f>'Aux - Emissions'!P76</f>
        <v>1.8651845848918251E-8</v>
      </c>
      <c r="T100" s="265">
        <f>'Aux - Emissions'!Q76</f>
        <v>2.0430339854352345E-2</v>
      </c>
      <c r="U100" s="265">
        <f>'Aux - Emissions'!R76</f>
        <v>15.878886035638907</v>
      </c>
      <c r="V100" s="265">
        <f>'Aux - Emissions'!S76</f>
        <v>1.2643109408460927E-6</v>
      </c>
      <c r="W100" s="265">
        <f>'Aux - Emissions'!T76</f>
        <v>9.3514363813600682E-8</v>
      </c>
      <c r="X100" s="265">
        <f>'Aux - Emissions'!U76</f>
        <v>7.164579075194226E-8</v>
      </c>
      <c r="Y100" s="265">
        <f>'Aux - Emissions'!V76</f>
        <v>1.1924681765117809E-2</v>
      </c>
      <c r="Z100" s="265">
        <f>'Aux - Emissions'!W76</f>
        <v>0.28245487007683945</v>
      </c>
    </row>
    <row r="101" spans="1:26" x14ac:dyDescent="0.35">
      <c r="A101" s="88">
        <v>100</v>
      </c>
      <c r="B101" s="88" t="s">
        <v>727</v>
      </c>
      <c r="C101" s="88" t="s">
        <v>251</v>
      </c>
      <c r="D101" s="88" t="s">
        <v>807</v>
      </c>
      <c r="E101" s="88" t="s">
        <v>910</v>
      </c>
      <c r="F101" s="88">
        <v>1</v>
      </c>
      <c r="G101" s="88" t="s">
        <v>558</v>
      </c>
      <c r="H101" s="265">
        <f>'Aux - Emissions'!E77</f>
        <v>1.1118576903480327E-2</v>
      </c>
      <c r="I101" s="265">
        <f>'Aux - Emissions'!F77</f>
        <v>3.9465920243633597</v>
      </c>
      <c r="J101" s="265">
        <f>'Aux - Emissions'!G77</f>
        <v>1.2426748217342139E-2</v>
      </c>
      <c r="K101" s="265">
        <f>'Aux - Emissions'!H77</f>
        <v>3.9245167572417254</v>
      </c>
      <c r="L101" s="265">
        <f>'Aux - Emissions'!I77</f>
        <v>9.6485189042919868E-3</v>
      </c>
      <c r="M101" s="265">
        <f>'Aux - Emissions'!J77</f>
        <v>8.2132185472283403</v>
      </c>
      <c r="N101" s="265">
        <f>'Aux - Emissions'!K77</f>
        <v>51.357318936130675</v>
      </c>
      <c r="O101" s="265">
        <f>'Aux - Emissions'!L77</f>
        <v>9.2630528900606646E-5</v>
      </c>
      <c r="P101" s="265">
        <f>'Aux - Emissions'!M77</f>
        <v>6.0037307278391497E-3</v>
      </c>
      <c r="Q101" s="265">
        <f>'Aux - Emissions'!N77</f>
        <v>4.1816250433750007E-2</v>
      </c>
      <c r="R101" s="265">
        <f>'Aux - Emissions'!O77</f>
        <v>4.0048703704902963E-10</v>
      </c>
      <c r="S101" s="265">
        <f>'Aux - Emissions'!P77</f>
        <v>2.3749664651789609E-8</v>
      </c>
      <c r="T101" s="265">
        <f>'Aux - Emissions'!Q77</f>
        <v>2.2095752028934761E-2</v>
      </c>
      <c r="U101" s="265">
        <f>'Aux - Emissions'!R77</f>
        <v>21.469997161668989</v>
      </c>
      <c r="V101" s="265">
        <f>'Aux - Emissions'!S77</f>
        <v>1.528936196823519E-6</v>
      </c>
      <c r="W101" s="265">
        <f>'Aux - Emissions'!T77</f>
        <v>9.3528957974739409E-8</v>
      </c>
      <c r="X101" s="265">
        <f>'Aux - Emissions'!U77</f>
        <v>8.4840701272442151E-8</v>
      </c>
      <c r="Y101" s="265">
        <f>'Aux - Emissions'!V77</f>
        <v>1.2656191879355932E-2</v>
      </c>
      <c r="Z101" s="265">
        <f>'Aux - Emissions'!W77</f>
        <v>0.37154652653694553</v>
      </c>
    </row>
    <row r="102" spans="1:26" x14ac:dyDescent="0.35">
      <c r="A102" s="88">
        <v>101</v>
      </c>
      <c r="B102" s="88" t="s">
        <v>727</v>
      </c>
      <c r="C102" s="88" t="s">
        <v>251</v>
      </c>
      <c r="D102" s="88" t="s">
        <v>79</v>
      </c>
      <c r="E102" s="88" t="s">
        <v>911</v>
      </c>
      <c r="F102" s="88">
        <v>1</v>
      </c>
      <c r="G102" s="88" t="s">
        <v>558</v>
      </c>
      <c r="H102" s="265">
        <f>'Aux - Emissions'!E78</f>
        <v>1.6933607822935733E-2</v>
      </c>
      <c r="I102" s="265">
        <f>'Aux - Emissions'!F78</f>
        <v>3.74488597147052</v>
      </c>
      <c r="J102" s="265">
        <f>'Aux - Emissions'!G78</f>
        <v>2.3996148443000624E-2</v>
      </c>
      <c r="K102" s="265">
        <f>'Aux - Emissions'!H78</f>
        <v>3.7017762337973945</v>
      </c>
      <c r="L102" s="265">
        <f>'Aux - Emissions'!I78</f>
        <v>1.9113589230124694E-2</v>
      </c>
      <c r="M102" s="265">
        <f>'Aux - Emissions'!J78</f>
        <v>14.593591958818575</v>
      </c>
      <c r="N102" s="265">
        <f>'Aux - Emissions'!K78</f>
        <v>47.61415046456397</v>
      </c>
      <c r="O102" s="265">
        <f>'Aux - Emissions'!L78</f>
        <v>1.4140794036817569E-4</v>
      </c>
      <c r="P102" s="265">
        <f>'Aux - Emissions'!M78</f>
        <v>1.0808156917580074E-2</v>
      </c>
      <c r="Q102" s="265">
        <f>'Aux - Emissions'!N78</f>
        <v>7.0594582703715769E-2</v>
      </c>
      <c r="R102" s="265">
        <f>'Aux - Emissions'!O78</f>
        <v>5.4746935652684843E-10</v>
      </c>
      <c r="S102" s="265">
        <f>'Aux - Emissions'!P78</f>
        <v>4.0742393994694141E-8</v>
      </c>
      <c r="T102" s="265">
        <f>'Aux - Emissions'!Q78</f>
        <v>2.764712594420949E-2</v>
      </c>
      <c r="U102" s="265">
        <f>'Aux - Emissions'!R78</f>
        <v>40.107034248435923</v>
      </c>
      <c r="V102" s="265">
        <f>'Aux - Emissions'!S78</f>
        <v>2.4110203834149401E-6</v>
      </c>
      <c r="W102" s="265">
        <f>'Aux - Emissions'!T78</f>
        <v>9.3577605178535238E-8</v>
      </c>
      <c r="X102" s="265">
        <f>'Aux - Emissions'!U78</f>
        <v>1.2882373634077516E-7</v>
      </c>
      <c r="Y102" s="265">
        <f>'Aux - Emissions'!V78</f>
        <v>1.5094558926816345E-2</v>
      </c>
      <c r="Z102" s="265">
        <f>'Aux - Emissions'!W78</f>
        <v>0.66851871473729907</v>
      </c>
    </row>
    <row r="103" spans="1:26" x14ac:dyDescent="0.35">
      <c r="A103" s="88">
        <v>102</v>
      </c>
      <c r="B103" s="88" t="s">
        <v>727</v>
      </c>
      <c r="C103" s="88" t="s">
        <v>251</v>
      </c>
      <c r="D103" s="88" t="s">
        <v>808</v>
      </c>
      <c r="E103" s="88" t="s">
        <v>912</v>
      </c>
      <c r="F103" s="88">
        <v>1</v>
      </c>
      <c r="G103" s="88" t="s">
        <v>558</v>
      </c>
      <c r="H103" s="265">
        <f>'Aux - Emissions'!E79</f>
        <v>6.3453855178578988E-2</v>
      </c>
      <c r="I103" s="265">
        <f>'Aux - Emissions'!F79</f>
        <v>2.1312375483278019</v>
      </c>
      <c r="J103" s="265">
        <f>'Aux - Emissions'!G79</f>
        <v>0.1165513502482685</v>
      </c>
      <c r="K103" s="265">
        <f>'Aux - Emissions'!H79</f>
        <v>1.9198520462427471</v>
      </c>
      <c r="L103" s="265">
        <f>'Aux - Emissions'!I79</f>
        <v>9.483415183678634E-2</v>
      </c>
      <c r="M103" s="265">
        <f>'Aux - Emissions'!J79</f>
        <v>65.636579251540439</v>
      </c>
      <c r="N103" s="265">
        <f>'Aux - Emissions'!K79</f>
        <v>17.668802692030361</v>
      </c>
      <c r="O103" s="265">
        <f>'Aux - Emissions'!L79</f>
        <v>5.3162723210872787E-4</v>
      </c>
      <c r="P103" s="265">
        <f>'Aux - Emissions'!M79</f>
        <v>4.9243566435507459E-2</v>
      </c>
      <c r="Q103" s="265">
        <f>'Aux - Emissions'!N79</f>
        <v>0.30082124086344181</v>
      </c>
      <c r="R103" s="265">
        <f>'Aux - Emissions'!O79</f>
        <v>1.723327912349399E-9</v>
      </c>
      <c r="S103" s="265">
        <f>'Aux - Emissions'!P79</f>
        <v>1.7668422873793039E-7</v>
      </c>
      <c r="T103" s="265">
        <f>'Aux - Emissions'!Q79</f>
        <v>7.2058117266407318E-2</v>
      </c>
      <c r="U103" s="265">
        <f>'Aux - Emissions'!R79</f>
        <v>189.2033309425714</v>
      </c>
      <c r="V103" s="265">
        <f>'Aux - Emissions'!S79</f>
        <v>9.4676938761463082E-6</v>
      </c>
      <c r="W103" s="265">
        <f>'Aux - Emissions'!T79</f>
        <v>9.3966782808901814E-8</v>
      </c>
      <c r="X103" s="265">
        <f>'Aux - Emissions'!U79</f>
        <v>4.8068801688743912E-7</v>
      </c>
      <c r="Y103" s="265">
        <f>'Aux - Emissions'!V79</f>
        <v>3.4601495306499641E-2</v>
      </c>
      <c r="Z103" s="265">
        <f>'Aux - Emissions'!W79</f>
        <v>3.044296220340128</v>
      </c>
    </row>
    <row r="104" spans="1:26" x14ac:dyDescent="0.35">
      <c r="A104" s="88">
        <v>103</v>
      </c>
      <c r="B104" s="88" t="s">
        <v>727</v>
      </c>
      <c r="C104" s="88" t="s">
        <v>251</v>
      </c>
      <c r="D104" s="88" t="s">
        <v>82</v>
      </c>
      <c r="E104" s="88" t="s">
        <v>944</v>
      </c>
      <c r="F104" s="88">
        <v>1</v>
      </c>
      <c r="G104" s="88" t="s">
        <v>557</v>
      </c>
      <c r="H104" s="265">
        <f>'Aux - Emissions'!E80</f>
        <v>6.4917479808378111E-4</v>
      </c>
      <c r="I104" s="265">
        <f>'Aux - Emissions'!F80</f>
        <v>0.18219807126195031</v>
      </c>
      <c r="J104" s="265">
        <f>'Aux - Emissions'!G80</f>
        <v>3.8089322137568331E-3</v>
      </c>
      <c r="K104" s="265">
        <f>'Aux - Emissions'!H80</f>
        <v>0.17794109566114399</v>
      </c>
      <c r="L104" s="265">
        <f>'Aux - Emissions'!I80</f>
        <v>4.4804338704950098E-4</v>
      </c>
      <c r="M104" s="265">
        <f>'Aux - Emissions'!J80</f>
        <v>0.6253928631247595</v>
      </c>
      <c r="N104" s="265">
        <f>'Aux - Emissions'!K80</f>
        <v>8.7606274521720966</v>
      </c>
      <c r="O104" s="265">
        <f>'Aux - Emissions'!L80</f>
        <v>6.6837193946409128E-5</v>
      </c>
      <c r="P104" s="265">
        <f>'Aux - Emissions'!M80</f>
        <v>1.3350194646841919E-4</v>
      </c>
      <c r="Q104" s="265">
        <f>'Aux - Emissions'!N80</f>
        <v>1.2673002520927801E-3</v>
      </c>
      <c r="R104" s="265">
        <f>'Aux - Emissions'!O80</f>
        <v>7.4488651800677251E-11</v>
      </c>
      <c r="S104" s="265">
        <f>'Aux - Emissions'!P80</f>
        <v>4.118758088693749E-9</v>
      </c>
      <c r="T104" s="265">
        <f>'Aux - Emissions'!Q80</f>
        <v>0.36800533721835249</v>
      </c>
      <c r="U104" s="265">
        <f>'Aux - Emissions'!R80</f>
        <v>1.3824672680048169</v>
      </c>
      <c r="V104" s="265">
        <f>'Aux - Emissions'!S80</f>
        <v>4.7441431552970934E-6</v>
      </c>
      <c r="W104" s="265">
        <f>'Aux - Emissions'!T80</f>
        <v>5.6888941542182206E-9</v>
      </c>
      <c r="X104" s="265">
        <f>'Aux - Emissions'!U80</f>
        <v>4.7704281210385562E-9</v>
      </c>
      <c r="Y104" s="265">
        <f>'Aux - Emissions'!V80</f>
        <v>4.0497861688886352E-4</v>
      </c>
      <c r="Z104" s="265">
        <f>'Aux - Emissions'!W80</f>
        <v>0.1052427822298047</v>
      </c>
    </row>
    <row r="105" spans="1:26" x14ac:dyDescent="0.35">
      <c r="A105" s="88">
        <v>104</v>
      </c>
      <c r="B105" s="88" t="s">
        <v>727</v>
      </c>
      <c r="C105" s="88" t="s">
        <v>251</v>
      </c>
      <c r="D105" s="88" t="s">
        <v>92</v>
      </c>
      <c r="E105" s="88" t="s">
        <v>940</v>
      </c>
      <c r="F105" s="88">
        <v>1</v>
      </c>
      <c r="G105" s="88" t="s">
        <v>557</v>
      </c>
      <c r="H105" s="265">
        <f>'Aux - Emissions'!E81</f>
        <v>5.88814108568818E-4</v>
      </c>
      <c r="I105" s="265">
        <f>'Aux - Emissions'!F81</f>
        <v>5.18727049626619E-2</v>
      </c>
      <c r="J105" s="265">
        <f>'Aux - Emissions'!G81</f>
        <v>6.6321407021587906E-5</v>
      </c>
      <c r="K105" s="265">
        <f>'Aux - Emissions'!H81</f>
        <v>5.1723773168274E-2</v>
      </c>
      <c r="L105" s="265">
        <f>'Aux - Emissions'!I81</f>
        <v>8.2610387366315494E-5</v>
      </c>
      <c r="M105" s="265">
        <f>'Aux - Emissions'!J81</f>
        <v>0.73519640383391605</v>
      </c>
      <c r="N105" s="265">
        <f>'Aux - Emissions'!K81</f>
        <v>0.61152364724192398</v>
      </c>
      <c r="O105" s="265">
        <f>'Aux - Emissions'!L81</f>
        <v>4.8212189078874897E-5</v>
      </c>
      <c r="P105" s="265">
        <f>'Aux - Emissions'!M81</f>
        <v>6.4180496659697607E-5</v>
      </c>
      <c r="Q105" s="265">
        <f>'Aux - Emissions'!N81</f>
        <v>7.1157743150184599E-4</v>
      </c>
      <c r="R105" s="265">
        <f>'Aux - Emissions'!O81</f>
        <v>7.7725899378582605E-11</v>
      </c>
      <c r="S105" s="265">
        <f>'Aux - Emissions'!P81</f>
        <v>4.7854270802401399E-9</v>
      </c>
      <c r="T105" s="265">
        <f>'Aux - Emissions'!Q81</f>
        <v>3.5860747038049499E-3</v>
      </c>
      <c r="U105" s="265">
        <f>'Aux - Emissions'!R81</f>
        <v>1.2941657200477401</v>
      </c>
      <c r="V105" s="265">
        <f>'Aux - Emissions'!S81</f>
        <v>6.1440658107819203E-6</v>
      </c>
      <c r="W105" s="265">
        <f>'Aux - Emissions'!T81</f>
        <v>3.59423968054589E-9</v>
      </c>
      <c r="X105" s="265">
        <f>'Aux - Emissions'!U81</f>
        <v>4.0402100723667703E-9</v>
      </c>
      <c r="Y105" s="265">
        <f>'Aux - Emissions'!V81</f>
        <v>2.42060646074334E-4</v>
      </c>
      <c r="Z105" s="265">
        <f>'Aux - Emissions'!W81</f>
        <v>5.54606113605558E-2</v>
      </c>
    </row>
    <row r="106" spans="1:26" x14ac:dyDescent="0.35">
      <c r="A106" s="88">
        <v>105</v>
      </c>
      <c r="B106" s="88" t="s">
        <v>727</v>
      </c>
      <c r="C106" s="88" t="s">
        <v>251</v>
      </c>
      <c r="D106" s="88" t="s">
        <v>27</v>
      </c>
      <c r="E106" s="88"/>
      <c r="F106" s="88"/>
      <c r="G106" s="88"/>
      <c r="H106" s="265"/>
      <c r="I106" s="265"/>
      <c r="J106" s="265"/>
      <c r="K106" s="265"/>
      <c r="L106" s="265"/>
      <c r="M106" s="265"/>
      <c r="N106" s="265"/>
      <c r="O106" s="265"/>
      <c r="P106" s="265"/>
      <c r="Q106" s="265"/>
      <c r="R106" s="265"/>
      <c r="S106" s="265"/>
      <c r="T106" s="265"/>
      <c r="U106" s="265"/>
      <c r="V106" s="265"/>
      <c r="W106" s="265"/>
      <c r="X106" s="265"/>
      <c r="Y106" s="265"/>
      <c r="Z106" s="265"/>
    </row>
    <row r="107" spans="1:26" x14ac:dyDescent="0.35">
      <c r="A107" s="88">
        <v>106</v>
      </c>
      <c r="B107" s="88" t="s">
        <v>455</v>
      </c>
      <c r="C107" s="88" t="s">
        <v>252</v>
      </c>
      <c r="D107" s="88" t="s">
        <v>36</v>
      </c>
      <c r="E107" s="88" t="s">
        <v>943</v>
      </c>
      <c r="F107" s="88">
        <v>1</v>
      </c>
      <c r="G107" s="88" t="s">
        <v>558</v>
      </c>
      <c r="H107" s="265">
        <f>'Aux - Emissions'!E74</f>
        <v>5.3035459840249186E-3</v>
      </c>
      <c r="I107" s="265">
        <f>'Aux - Emissions'!F74</f>
        <v>4.1482980772561993</v>
      </c>
      <c r="J107" s="265">
        <f>'Aux - Emissions'!G74</f>
        <v>8.5734799168365311E-4</v>
      </c>
      <c r="K107" s="265">
        <f>'Aux - Emissions'!H74</f>
        <v>4.1472572806860564</v>
      </c>
      <c r="L107" s="265">
        <f>'Aux - Emissions'!I74</f>
        <v>1.8344857845927959E-4</v>
      </c>
      <c r="M107" s="265">
        <f>'Aux - Emissions'!J74</f>
        <v>1.832845135638107</v>
      </c>
      <c r="N107" s="265">
        <f>'Aux - Emissions'!K74</f>
        <v>55.100487407697372</v>
      </c>
      <c r="O107" s="265">
        <f>'Aux - Emissions'!L74</f>
        <v>4.3853117433037627E-5</v>
      </c>
      <c r="P107" s="265">
        <f>'Aux - Emissions'!M74</f>
        <v>1.1993045380982259E-3</v>
      </c>
      <c r="Q107" s="265">
        <f>'Aux - Emissions'!N74</f>
        <v>1.3037918163784251E-2</v>
      </c>
      <c r="R107" s="265">
        <f>'Aux - Emissions'!O74</f>
        <v>2.5350471757121082E-10</v>
      </c>
      <c r="S107" s="265">
        <f>'Aux - Emissions'!P74</f>
        <v>6.7569353088850776E-9</v>
      </c>
      <c r="T107" s="265">
        <f>'Aux - Emissions'!Q74</f>
        <v>1.6544378113660031E-2</v>
      </c>
      <c r="U107" s="265">
        <f>'Aux - Emissions'!R74</f>
        <v>2.8329600749020512</v>
      </c>
      <c r="V107" s="265">
        <f>'Aux - Emissions'!S74</f>
        <v>6.4685201023209792E-7</v>
      </c>
      <c r="W107" s="265">
        <f>'Aux - Emissions'!T74</f>
        <v>9.3480310770943594E-8</v>
      </c>
      <c r="X107" s="265">
        <f>'Aux - Emissions'!U74</f>
        <v>4.0857666204109152E-8</v>
      </c>
      <c r="Y107" s="265">
        <f>'Aux - Emissions'!V74</f>
        <v>1.021782483189552E-2</v>
      </c>
      <c r="Z107" s="265">
        <f>'Aux - Emissions'!W74</f>
        <v>7.4574338336591883E-2</v>
      </c>
    </row>
    <row r="108" spans="1:26" x14ac:dyDescent="0.35">
      <c r="A108" s="88">
        <v>107</v>
      </c>
      <c r="B108" s="88" t="s">
        <v>455</v>
      </c>
      <c r="C108" s="88" t="s">
        <v>252</v>
      </c>
      <c r="D108" s="88" t="s">
        <v>87</v>
      </c>
      <c r="E108" s="88" t="s">
        <v>908</v>
      </c>
      <c r="F108" s="88">
        <v>1</v>
      </c>
      <c r="G108" s="88" t="s">
        <v>558</v>
      </c>
      <c r="H108" s="265">
        <f>'Aux - Emissions'!E75</f>
        <v>7.9203098977798508E-3</v>
      </c>
      <c r="I108" s="265">
        <f>'Aux - Emissions'!F75</f>
        <v>4.0575303534544211</v>
      </c>
      <c r="J108" s="265">
        <f>'Aux - Emissions'!G75</f>
        <v>6.0635780932299715E-3</v>
      </c>
      <c r="K108" s="265">
        <f>'Aux - Emissions'!H75</f>
        <v>4.0470240451361068</v>
      </c>
      <c r="L108" s="265">
        <f>'Aux - Emissions'!I75</f>
        <v>4.4427302250839972E-3</v>
      </c>
      <c r="M108" s="265">
        <f>'Aux - Emissions'!J75</f>
        <v>4.7040131708537114</v>
      </c>
      <c r="N108" s="265">
        <f>'Aux - Emissions'!K75</f>
        <v>53.416061595492351</v>
      </c>
      <c r="O108" s="265">
        <f>'Aux - Emissions'!L75</f>
        <v>6.5802952593443679E-5</v>
      </c>
      <c r="P108" s="265">
        <f>'Aux - Emissions'!M75</f>
        <v>3.3612963234816414E-3</v>
      </c>
      <c r="Q108" s="265">
        <f>'Aux - Emissions'!N75</f>
        <v>2.5988167685268841E-2</v>
      </c>
      <c r="R108" s="265">
        <f>'Aux - Emissions'!O75</f>
        <v>3.1964676133622929E-10</v>
      </c>
      <c r="S108" s="265">
        <f>'Aux - Emissions'!P75</f>
        <v>1.4403663513192116E-8</v>
      </c>
      <c r="T108" s="265">
        <f>'Aux - Emissions'!Q75</f>
        <v>1.9042496375533659E-2</v>
      </c>
      <c r="U108" s="265">
        <f>'Aux - Emissions'!R75</f>
        <v>11.219626763947172</v>
      </c>
      <c r="V108" s="265">
        <f>'Aux - Emissions'!S75</f>
        <v>1.0437898941982373E-6</v>
      </c>
      <c r="W108" s="265">
        <f>'Aux - Emissions'!T75</f>
        <v>9.3502202012651712E-8</v>
      </c>
      <c r="X108" s="265">
        <f>'Aux - Emissions'!U75</f>
        <v>6.0650031984858996E-8</v>
      </c>
      <c r="Y108" s="265">
        <f>'Aux - Emissions'!V75</f>
        <v>1.1315090003252705E-2</v>
      </c>
      <c r="Z108" s="265">
        <f>'Aux - Emissions'!W75</f>
        <v>0.20821182302675101</v>
      </c>
    </row>
    <row r="109" spans="1:26" x14ac:dyDescent="0.35">
      <c r="A109" s="88">
        <v>108</v>
      </c>
      <c r="B109" s="88" t="s">
        <v>455</v>
      </c>
      <c r="C109" s="88" t="s">
        <v>252</v>
      </c>
      <c r="D109" s="88" t="s">
        <v>806</v>
      </c>
      <c r="E109" s="88" t="s">
        <v>909</v>
      </c>
      <c r="F109" s="88">
        <v>1</v>
      </c>
      <c r="G109" s="88" t="s">
        <v>558</v>
      </c>
      <c r="H109" s="265">
        <f>'Aux - Emissions'!E76</f>
        <v>9.3740676276437042E-3</v>
      </c>
      <c r="I109" s="265">
        <f>'Aux - Emissions'!F76</f>
        <v>4.0071038402312116</v>
      </c>
      <c r="J109" s="265">
        <f>'Aux - Emissions'!G76</f>
        <v>8.9559281496445937E-3</v>
      </c>
      <c r="K109" s="265">
        <f>'Aux - Emissions'!H76</f>
        <v>3.9913389142750249</v>
      </c>
      <c r="L109" s="265">
        <f>'Aux - Emissions'!I76</f>
        <v>6.8089978065421749E-3</v>
      </c>
      <c r="M109" s="265">
        <f>'Aux - Emissions'!J76</f>
        <v>6.2991065237512709</v>
      </c>
      <c r="N109" s="265">
        <f>'Aux - Emissions'!K76</f>
        <v>52.480269477600686</v>
      </c>
      <c r="O109" s="265">
        <f>'Aux - Emissions'!L76</f>
        <v>7.7997305460335959E-5</v>
      </c>
      <c r="P109" s="265">
        <f>'Aux - Emissions'!M76</f>
        <v>4.5624028709168726E-3</v>
      </c>
      <c r="Q109" s="265">
        <f>'Aux - Emissions'!N76</f>
        <v>3.3182750752760282E-2</v>
      </c>
      <c r="R109" s="265">
        <f>'Aux - Emissions'!O76</f>
        <v>3.5639234120568401E-10</v>
      </c>
      <c r="S109" s="265">
        <f>'Aux - Emissions'!P76</f>
        <v>1.8651845848918251E-8</v>
      </c>
      <c r="T109" s="265">
        <f>'Aux - Emissions'!Q76</f>
        <v>2.0430339854352345E-2</v>
      </c>
      <c r="U109" s="265">
        <f>'Aux - Emissions'!R76</f>
        <v>15.878886035638907</v>
      </c>
      <c r="V109" s="265">
        <f>'Aux - Emissions'!S76</f>
        <v>1.2643109408460927E-6</v>
      </c>
      <c r="W109" s="265">
        <f>'Aux - Emissions'!T76</f>
        <v>9.3514363813600682E-8</v>
      </c>
      <c r="X109" s="265">
        <f>'Aux - Emissions'!U76</f>
        <v>7.164579075194226E-8</v>
      </c>
      <c r="Y109" s="265">
        <f>'Aux - Emissions'!V76</f>
        <v>1.1924681765117809E-2</v>
      </c>
      <c r="Z109" s="265">
        <f>'Aux - Emissions'!W76</f>
        <v>0.28245487007683945</v>
      </c>
    </row>
    <row r="110" spans="1:26" x14ac:dyDescent="0.35">
      <c r="A110" s="88">
        <v>109</v>
      </c>
      <c r="B110" s="88" t="s">
        <v>455</v>
      </c>
      <c r="C110" s="88" t="s">
        <v>252</v>
      </c>
      <c r="D110" s="88" t="s">
        <v>807</v>
      </c>
      <c r="E110" s="88" t="s">
        <v>910</v>
      </c>
      <c r="F110" s="88">
        <v>1</v>
      </c>
      <c r="G110" s="88" t="s">
        <v>558</v>
      </c>
      <c r="H110" s="265">
        <f>'Aux - Emissions'!E77</f>
        <v>1.1118576903480327E-2</v>
      </c>
      <c r="I110" s="265">
        <f>'Aux - Emissions'!F77</f>
        <v>3.9465920243633597</v>
      </c>
      <c r="J110" s="265">
        <f>'Aux - Emissions'!G77</f>
        <v>1.2426748217342139E-2</v>
      </c>
      <c r="K110" s="265">
        <f>'Aux - Emissions'!H77</f>
        <v>3.9245167572417254</v>
      </c>
      <c r="L110" s="265">
        <f>'Aux - Emissions'!I77</f>
        <v>9.6485189042919868E-3</v>
      </c>
      <c r="M110" s="265">
        <f>'Aux - Emissions'!J77</f>
        <v>8.2132185472283403</v>
      </c>
      <c r="N110" s="265">
        <f>'Aux - Emissions'!K77</f>
        <v>51.357318936130675</v>
      </c>
      <c r="O110" s="265">
        <f>'Aux - Emissions'!L77</f>
        <v>9.2630528900606646E-5</v>
      </c>
      <c r="P110" s="265">
        <f>'Aux - Emissions'!M77</f>
        <v>6.0037307278391497E-3</v>
      </c>
      <c r="Q110" s="265">
        <f>'Aux - Emissions'!N77</f>
        <v>4.1816250433750007E-2</v>
      </c>
      <c r="R110" s="265">
        <f>'Aux - Emissions'!O77</f>
        <v>4.0048703704902963E-10</v>
      </c>
      <c r="S110" s="265">
        <f>'Aux - Emissions'!P77</f>
        <v>2.3749664651789609E-8</v>
      </c>
      <c r="T110" s="265">
        <f>'Aux - Emissions'!Q77</f>
        <v>2.2095752028934761E-2</v>
      </c>
      <c r="U110" s="265">
        <f>'Aux - Emissions'!R77</f>
        <v>21.469997161668989</v>
      </c>
      <c r="V110" s="265">
        <f>'Aux - Emissions'!S77</f>
        <v>1.528936196823519E-6</v>
      </c>
      <c r="W110" s="265">
        <f>'Aux - Emissions'!T77</f>
        <v>9.3528957974739409E-8</v>
      </c>
      <c r="X110" s="265">
        <f>'Aux - Emissions'!U77</f>
        <v>8.4840701272442151E-8</v>
      </c>
      <c r="Y110" s="265">
        <f>'Aux - Emissions'!V77</f>
        <v>1.2656191879355932E-2</v>
      </c>
      <c r="Z110" s="265">
        <f>'Aux - Emissions'!W77</f>
        <v>0.37154652653694553</v>
      </c>
    </row>
    <row r="111" spans="1:26" x14ac:dyDescent="0.35">
      <c r="A111" s="88">
        <v>110</v>
      </c>
      <c r="B111" s="88" t="s">
        <v>455</v>
      </c>
      <c r="C111" s="88" t="s">
        <v>252</v>
      </c>
      <c r="D111" s="88" t="s">
        <v>79</v>
      </c>
      <c r="E111" s="88" t="s">
        <v>911</v>
      </c>
      <c r="F111" s="88">
        <v>1</v>
      </c>
      <c r="G111" s="88" t="s">
        <v>558</v>
      </c>
      <c r="H111" s="265">
        <f>'Aux - Emissions'!E78</f>
        <v>1.6933607822935733E-2</v>
      </c>
      <c r="I111" s="265">
        <f>'Aux - Emissions'!F78</f>
        <v>3.74488597147052</v>
      </c>
      <c r="J111" s="265">
        <f>'Aux - Emissions'!G78</f>
        <v>2.3996148443000624E-2</v>
      </c>
      <c r="K111" s="265">
        <f>'Aux - Emissions'!H78</f>
        <v>3.7017762337973945</v>
      </c>
      <c r="L111" s="265">
        <f>'Aux - Emissions'!I78</f>
        <v>1.9113589230124694E-2</v>
      </c>
      <c r="M111" s="265">
        <f>'Aux - Emissions'!J78</f>
        <v>14.593591958818575</v>
      </c>
      <c r="N111" s="265">
        <f>'Aux - Emissions'!K78</f>
        <v>47.61415046456397</v>
      </c>
      <c r="O111" s="265">
        <f>'Aux - Emissions'!L78</f>
        <v>1.4140794036817569E-4</v>
      </c>
      <c r="P111" s="265">
        <f>'Aux - Emissions'!M78</f>
        <v>1.0808156917580074E-2</v>
      </c>
      <c r="Q111" s="265">
        <f>'Aux - Emissions'!N78</f>
        <v>7.0594582703715769E-2</v>
      </c>
      <c r="R111" s="265">
        <f>'Aux - Emissions'!O78</f>
        <v>5.4746935652684843E-10</v>
      </c>
      <c r="S111" s="265">
        <f>'Aux - Emissions'!P78</f>
        <v>4.0742393994694141E-8</v>
      </c>
      <c r="T111" s="265">
        <f>'Aux - Emissions'!Q78</f>
        <v>2.764712594420949E-2</v>
      </c>
      <c r="U111" s="265">
        <f>'Aux - Emissions'!R78</f>
        <v>40.107034248435923</v>
      </c>
      <c r="V111" s="265">
        <f>'Aux - Emissions'!S78</f>
        <v>2.4110203834149401E-6</v>
      </c>
      <c r="W111" s="265">
        <f>'Aux - Emissions'!T78</f>
        <v>9.3577605178535238E-8</v>
      </c>
      <c r="X111" s="265">
        <f>'Aux - Emissions'!U78</f>
        <v>1.2882373634077516E-7</v>
      </c>
      <c r="Y111" s="265">
        <f>'Aux - Emissions'!V78</f>
        <v>1.5094558926816345E-2</v>
      </c>
      <c r="Z111" s="265">
        <f>'Aux - Emissions'!W78</f>
        <v>0.66851871473729907</v>
      </c>
    </row>
    <row r="112" spans="1:26" x14ac:dyDescent="0.35">
      <c r="A112" s="88">
        <v>111</v>
      </c>
      <c r="B112" s="88" t="s">
        <v>455</v>
      </c>
      <c r="C112" s="88" t="s">
        <v>252</v>
      </c>
      <c r="D112" s="88" t="s">
        <v>808</v>
      </c>
      <c r="E112" s="88" t="s">
        <v>912</v>
      </c>
      <c r="F112" s="88">
        <v>1</v>
      </c>
      <c r="G112" s="88" t="s">
        <v>558</v>
      </c>
      <c r="H112" s="265">
        <f>'Aux - Emissions'!E79</f>
        <v>6.3453855178578988E-2</v>
      </c>
      <c r="I112" s="265">
        <f>'Aux - Emissions'!F79</f>
        <v>2.1312375483278019</v>
      </c>
      <c r="J112" s="265">
        <f>'Aux - Emissions'!G79</f>
        <v>0.1165513502482685</v>
      </c>
      <c r="K112" s="265">
        <f>'Aux - Emissions'!H79</f>
        <v>1.9198520462427471</v>
      </c>
      <c r="L112" s="265">
        <f>'Aux - Emissions'!I79</f>
        <v>9.483415183678634E-2</v>
      </c>
      <c r="M112" s="265">
        <f>'Aux - Emissions'!J79</f>
        <v>65.636579251540439</v>
      </c>
      <c r="N112" s="265">
        <f>'Aux - Emissions'!K79</f>
        <v>17.668802692030361</v>
      </c>
      <c r="O112" s="265">
        <f>'Aux - Emissions'!L79</f>
        <v>5.3162723210872787E-4</v>
      </c>
      <c r="P112" s="265">
        <f>'Aux - Emissions'!M79</f>
        <v>4.9243566435507459E-2</v>
      </c>
      <c r="Q112" s="265">
        <f>'Aux - Emissions'!N79</f>
        <v>0.30082124086344181</v>
      </c>
      <c r="R112" s="265">
        <f>'Aux - Emissions'!O79</f>
        <v>1.723327912349399E-9</v>
      </c>
      <c r="S112" s="265">
        <f>'Aux - Emissions'!P79</f>
        <v>1.7668422873793039E-7</v>
      </c>
      <c r="T112" s="265">
        <f>'Aux - Emissions'!Q79</f>
        <v>7.2058117266407318E-2</v>
      </c>
      <c r="U112" s="265">
        <f>'Aux - Emissions'!R79</f>
        <v>189.2033309425714</v>
      </c>
      <c r="V112" s="265">
        <f>'Aux - Emissions'!S79</f>
        <v>9.4676938761463082E-6</v>
      </c>
      <c r="W112" s="265">
        <f>'Aux - Emissions'!T79</f>
        <v>9.3966782808901814E-8</v>
      </c>
      <c r="X112" s="265">
        <f>'Aux - Emissions'!U79</f>
        <v>4.8068801688743912E-7</v>
      </c>
      <c r="Y112" s="265">
        <f>'Aux - Emissions'!V79</f>
        <v>3.4601495306499641E-2</v>
      </c>
      <c r="Z112" s="265">
        <f>'Aux - Emissions'!W79</f>
        <v>3.044296220340128</v>
      </c>
    </row>
    <row r="113" spans="1:26" x14ac:dyDescent="0.35">
      <c r="A113" s="88">
        <v>112</v>
      </c>
      <c r="B113" s="88" t="s">
        <v>455</v>
      </c>
      <c r="C113" s="88" t="s">
        <v>252</v>
      </c>
      <c r="D113" s="88" t="s">
        <v>82</v>
      </c>
      <c r="E113" s="88" t="s">
        <v>944</v>
      </c>
      <c r="F113" s="88">
        <v>1</v>
      </c>
      <c r="G113" s="88" t="s">
        <v>557</v>
      </c>
      <c r="H113" s="265">
        <f>'Aux - Emissions'!E80</f>
        <v>6.4917479808378111E-4</v>
      </c>
      <c r="I113" s="265">
        <f>'Aux - Emissions'!F80</f>
        <v>0.18219807126195031</v>
      </c>
      <c r="J113" s="265">
        <f>'Aux - Emissions'!G80</f>
        <v>3.8089322137568331E-3</v>
      </c>
      <c r="K113" s="265">
        <f>'Aux - Emissions'!H80</f>
        <v>0.17794109566114399</v>
      </c>
      <c r="L113" s="265">
        <f>'Aux - Emissions'!I80</f>
        <v>4.4804338704950098E-4</v>
      </c>
      <c r="M113" s="265">
        <f>'Aux - Emissions'!J80</f>
        <v>0.6253928631247595</v>
      </c>
      <c r="N113" s="265">
        <f>'Aux - Emissions'!K80</f>
        <v>8.7606274521720966</v>
      </c>
      <c r="O113" s="265">
        <f>'Aux - Emissions'!L80</f>
        <v>6.6837193946409128E-5</v>
      </c>
      <c r="P113" s="265">
        <f>'Aux - Emissions'!M80</f>
        <v>1.3350194646841919E-4</v>
      </c>
      <c r="Q113" s="265">
        <f>'Aux - Emissions'!N80</f>
        <v>1.2673002520927801E-3</v>
      </c>
      <c r="R113" s="265">
        <f>'Aux - Emissions'!O80</f>
        <v>7.4488651800677251E-11</v>
      </c>
      <c r="S113" s="265">
        <f>'Aux - Emissions'!P80</f>
        <v>4.118758088693749E-9</v>
      </c>
      <c r="T113" s="265">
        <f>'Aux - Emissions'!Q80</f>
        <v>0.36800533721835249</v>
      </c>
      <c r="U113" s="265">
        <f>'Aux - Emissions'!R80</f>
        <v>1.3824672680048169</v>
      </c>
      <c r="V113" s="265">
        <f>'Aux - Emissions'!S80</f>
        <v>4.7441431552970934E-6</v>
      </c>
      <c r="W113" s="265">
        <f>'Aux - Emissions'!T80</f>
        <v>5.6888941542182206E-9</v>
      </c>
      <c r="X113" s="265">
        <f>'Aux - Emissions'!U80</f>
        <v>4.7704281210385562E-9</v>
      </c>
      <c r="Y113" s="265">
        <f>'Aux - Emissions'!V80</f>
        <v>4.0497861688886352E-4</v>
      </c>
      <c r="Z113" s="265">
        <f>'Aux - Emissions'!W80</f>
        <v>0.1052427822298047</v>
      </c>
    </row>
    <row r="114" spans="1:26" x14ac:dyDescent="0.35">
      <c r="A114" s="88">
        <v>113</v>
      </c>
      <c r="B114" s="88" t="s">
        <v>455</v>
      </c>
      <c r="C114" s="88" t="s">
        <v>252</v>
      </c>
      <c r="D114" s="88" t="s">
        <v>92</v>
      </c>
      <c r="E114" s="88" t="s">
        <v>914</v>
      </c>
      <c r="F114" s="88">
        <v>1</v>
      </c>
      <c r="G114" s="88" t="s">
        <v>557</v>
      </c>
      <c r="H114" s="265">
        <f>'Aux - Emissions'!E81</f>
        <v>5.88814108568818E-4</v>
      </c>
      <c r="I114" s="265">
        <f>'Aux - Emissions'!F81</f>
        <v>5.18727049626619E-2</v>
      </c>
      <c r="J114" s="265">
        <f>'Aux - Emissions'!G81</f>
        <v>6.6321407021587906E-5</v>
      </c>
      <c r="K114" s="265">
        <f>'Aux - Emissions'!H81</f>
        <v>5.1723773168274E-2</v>
      </c>
      <c r="L114" s="265">
        <f>'Aux - Emissions'!I81</f>
        <v>8.2610387366315494E-5</v>
      </c>
      <c r="M114" s="265">
        <f>'Aux - Emissions'!J81</f>
        <v>0.73519640383391605</v>
      </c>
      <c r="N114" s="265">
        <f>'Aux - Emissions'!K81</f>
        <v>0.61152364724192398</v>
      </c>
      <c r="O114" s="265">
        <f>'Aux - Emissions'!L81</f>
        <v>4.8212189078874897E-5</v>
      </c>
      <c r="P114" s="265">
        <f>'Aux - Emissions'!M81</f>
        <v>6.4180496659697607E-5</v>
      </c>
      <c r="Q114" s="265">
        <f>'Aux - Emissions'!N81</f>
        <v>7.1157743150184599E-4</v>
      </c>
      <c r="R114" s="265">
        <f>'Aux - Emissions'!O81</f>
        <v>7.7725899378582605E-11</v>
      </c>
      <c r="S114" s="265">
        <f>'Aux - Emissions'!P81</f>
        <v>4.7854270802401399E-9</v>
      </c>
      <c r="T114" s="265">
        <f>'Aux - Emissions'!Q81</f>
        <v>3.5860747038049499E-3</v>
      </c>
      <c r="U114" s="265">
        <f>'Aux - Emissions'!R81</f>
        <v>1.2941657200477401</v>
      </c>
      <c r="V114" s="265">
        <f>'Aux - Emissions'!S81</f>
        <v>6.1440658107819203E-6</v>
      </c>
      <c r="W114" s="265">
        <f>'Aux - Emissions'!T81</f>
        <v>3.59423968054589E-9</v>
      </c>
      <c r="X114" s="265">
        <f>'Aux - Emissions'!U81</f>
        <v>4.0402100723667703E-9</v>
      </c>
      <c r="Y114" s="265">
        <f>'Aux - Emissions'!V81</f>
        <v>2.42060646074334E-4</v>
      </c>
      <c r="Z114" s="265">
        <f>'Aux - Emissions'!W81</f>
        <v>5.54606113605558E-2</v>
      </c>
    </row>
    <row r="115" spans="1:26" x14ac:dyDescent="0.35">
      <c r="A115" s="88">
        <v>114</v>
      </c>
      <c r="B115" s="88" t="s">
        <v>455</v>
      </c>
      <c r="C115" s="88" t="s">
        <v>252</v>
      </c>
      <c r="D115" s="88" t="s">
        <v>27</v>
      </c>
      <c r="E115" s="88"/>
      <c r="F115" s="88"/>
      <c r="G115" s="88"/>
      <c r="H115" s="265"/>
      <c r="I115" s="265"/>
      <c r="J115" s="265"/>
      <c r="K115" s="265"/>
      <c r="L115" s="265"/>
      <c r="M115" s="265"/>
      <c r="N115" s="265"/>
      <c r="O115" s="265"/>
      <c r="P115" s="265"/>
      <c r="Q115" s="265"/>
      <c r="R115" s="265"/>
      <c r="S115" s="265"/>
      <c r="T115" s="265"/>
      <c r="U115" s="265"/>
      <c r="V115" s="265"/>
      <c r="W115" s="265"/>
      <c r="X115" s="265"/>
      <c r="Y115" s="265"/>
      <c r="Z115" s="265"/>
    </row>
    <row r="116" spans="1:26" x14ac:dyDescent="0.35">
      <c r="A116" s="88">
        <v>115</v>
      </c>
      <c r="B116" s="39" t="s">
        <v>459</v>
      </c>
      <c r="C116" s="88" t="s">
        <v>252</v>
      </c>
      <c r="D116" s="88" t="s">
        <v>36</v>
      </c>
      <c r="E116" s="88" t="s">
        <v>943</v>
      </c>
      <c r="F116" s="88"/>
      <c r="G116" s="88"/>
      <c r="H116" s="265">
        <f>'Aux - Emissions'!E74</f>
        <v>5.3035459840249186E-3</v>
      </c>
      <c r="I116" s="265">
        <f>'Aux - Emissions'!F74</f>
        <v>4.1482980772561993</v>
      </c>
      <c r="J116" s="265">
        <f>'Aux - Emissions'!G74</f>
        <v>8.5734799168365311E-4</v>
      </c>
      <c r="K116" s="265">
        <f>'Aux - Emissions'!H74</f>
        <v>4.1472572806860564</v>
      </c>
      <c r="L116" s="265">
        <f>'Aux - Emissions'!I74</f>
        <v>1.8344857845927959E-4</v>
      </c>
      <c r="M116" s="265">
        <f>'Aux - Emissions'!J74</f>
        <v>1.832845135638107</v>
      </c>
      <c r="N116" s="265">
        <f>'Aux - Emissions'!K74</f>
        <v>55.100487407697372</v>
      </c>
      <c r="O116" s="265">
        <f>'Aux - Emissions'!L74</f>
        <v>4.3853117433037627E-5</v>
      </c>
      <c r="P116" s="265">
        <f>'Aux - Emissions'!M74</f>
        <v>1.1993045380982259E-3</v>
      </c>
      <c r="Q116" s="265">
        <f>'Aux - Emissions'!N74</f>
        <v>1.3037918163784251E-2</v>
      </c>
      <c r="R116" s="265">
        <f>'Aux - Emissions'!O74</f>
        <v>2.5350471757121082E-10</v>
      </c>
      <c r="S116" s="265">
        <f>'Aux - Emissions'!P74</f>
        <v>6.7569353088850776E-9</v>
      </c>
      <c r="T116" s="265">
        <f>'Aux - Emissions'!Q74</f>
        <v>1.6544378113660031E-2</v>
      </c>
      <c r="U116" s="265">
        <f>'Aux - Emissions'!R74</f>
        <v>2.8329600749020512</v>
      </c>
      <c r="V116" s="265">
        <f>'Aux - Emissions'!S74</f>
        <v>6.4685201023209792E-7</v>
      </c>
      <c r="W116" s="265">
        <f>'Aux - Emissions'!T74</f>
        <v>9.3480310770943594E-8</v>
      </c>
      <c r="X116" s="265">
        <f>'Aux - Emissions'!U74</f>
        <v>4.0857666204109152E-8</v>
      </c>
      <c r="Y116" s="265">
        <f>'Aux - Emissions'!V74</f>
        <v>1.021782483189552E-2</v>
      </c>
      <c r="Z116" s="265">
        <f>'Aux - Emissions'!W74</f>
        <v>7.4574338336591883E-2</v>
      </c>
    </row>
    <row r="117" spans="1:26" x14ac:dyDescent="0.35">
      <c r="A117" s="88">
        <v>116</v>
      </c>
      <c r="B117" s="39" t="s">
        <v>459</v>
      </c>
      <c r="C117" s="88" t="s">
        <v>252</v>
      </c>
      <c r="D117" s="88" t="s">
        <v>87</v>
      </c>
      <c r="E117" s="88" t="s">
        <v>908</v>
      </c>
      <c r="F117" s="88"/>
      <c r="G117" s="88"/>
      <c r="H117" s="265">
        <f>'Aux - Emissions'!E75</f>
        <v>7.9203098977798508E-3</v>
      </c>
      <c r="I117" s="265">
        <f>'Aux - Emissions'!F75</f>
        <v>4.0575303534544211</v>
      </c>
      <c r="J117" s="265">
        <f>'Aux - Emissions'!G75</f>
        <v>6.0635780932299715E-3</v>
      </c>
      <c r="K117" s="265">
        <f>'Aux - Emissions'!H75</f>
        <v>4.0470240451361068</v>
      </c>
      <c r="L117" s="265">
        <f>'Aux - Emissions'!I75</f>
        <v>4.4427302250839972E-3</v>
      </c>
      <c r="M117" s="265">
        <f>'Aux - Emissions'!J75</f>
        <v>4.7040131708537114</v>
      </c>
      <c r="N117" s="265">
        <f>'Aux - Emissions'!K75</f>
        <v>53.416061595492351</v>
      </c>
      <c r="O117" s="265">
        <f>'Aux - Emissions'!L75</f>
        <v>6.5802952593443679E-5</v>
      </c>
      <c r="P117" s="265">
        <f>'Aux - Emissions'!M75</f>
        <v>3.3612963234816414E-3</v>
      </c>
      <c r="Q117" s="265">
        <f>'Aux - Emissions'!N75</f>
        <v>2.5988167685268841E-2</v>
      </c>
      <c r="R117" s="265">
        <f>'Aux - Emissions'!O75</f>
        <v>3.1964676133622929E-10</v>
      </c>
      <c r="S117" s="265">
        <f>'Aux - Emissions'!P75</f>
        <v>1.4403663513192116E-8</v>
      </c>
      <c r="T117" s="265">
        <f>'Aux - Emissions'!Q75</f>
        <v>1.9042496375533659E-2</v>
      </c>
      <c r="U117" s="265">
        <f>'Aux - Emissions'!R75</f>
        <v>11.219626763947172</v>
      </c>
      <c r="V117" s="265">
        <f>'Aux - Emissions'!S75</f>
        <v>1.0437898941982373E-6</v>
      </c>
      <c r="W117" s="265">
        <f>'Aux - Emissions'!T75</f>
        <v>9.3502202012651712E-8</v>
      </c>
      <c r="X117" s="265">
        <f>'Aux - Emissions'!U75</f>
        <v>6.0650031984858996E-8</v>
      </c>
      <c r="Y117" s="265">
        <f>'Aux - Emissions'!V75</f>
        <v>1.1315090003252705E-2</v>
      </c>
      <c r="Z117" s="265">
        <f>'Aux - Emissions'!W75</f>
        <v>0.20821182302675101</v>
      </c>
    </row>
    <row r="118" spans="1:26" x14ac:dyDescent="0.35">
      <c r="A118" s="88">
        <v>117</v>
      </c>
      <c r="B118" s="39" t="s">
        <v>459</v>
      </c>
      <c r="C118" s="88" t="s">
        <v>252</v>
      </c>
      <c r="D118" s="88" t="s">
        <v>806</v>
      </c>
      <c r="E118" s="88" t="s">
        <v>909</v>
      </c>
      <c r="F118" s="88"/>
      <c r="G118" s="88"/>
      <c r="H118" s="265">
        <f>'Aux - Emissions'!E76</f>
        <v>9.3740676276437042E-3</v>
      </c>
      <c r="I118" s="265">
        <f>'Aux - Emissions'!F76</f>
        <v>4.0071038402312116</v>
      </c>
      <c r="J118" s="265">
        <f>'Aux - Emissions'!G76</f>
        <v>8.9559281496445937E-3</v>
      </c>
      <c r="K118" s="265">
        <f>'Aux - Emissions'!H76</f>
        <v>3.9913389142750249</v>
      </c>
      <c r="L118" s="265">
        <f>'Aux - Emissions'!I76</f>
        <v>6.8089978065421749E-3</v>
      </c>
      <c r="M118" s="265">
        <f>'Aux - Emissions'!J76</f>
        <v>6.2991065237512709</v>
      </c>
      <c r="N118" s="265">
        <f>'Aux - Emissions'!K76</f>
        <v>52.480269477600686</v>
      </c>
      <c r="O118" s="265">
        <f>'Aux - Emissions'!L76</f>
        <v>7.7997305460335959E-5</v>
      </c>
      <c r="P118" s="265">
        <f>'Aux - Emissions'!M76</f>
        <v>4.5624028709168726E-3</v>
      </c>
      <c r="Q118" s="265">
        <f>'Aux - Emissions'!N76</f>
        <v>3.3182750752760282E-2</v>
      </c>
      <c r="R118" s="265">
        <f>'Aux - Emissions'!O76</f>
        <v>3.5639234120568401E-10</v>
      </c>
      <c r="S118" s="265">
        <f>'Aux - Emissions'!P76</f>
        <v>1.8651845848918251E-8</v>
      </c>
      <c r="T118" s="265">
        <f>'Aux - Emissions'!Q76</f>
        <v>2.0430339854352345E-2</v>
      </c>
      <c r="U118" s="265">
        <f>'Aux - Emissions'!R76</f>
        <v>15.878886035638907</v>
      </c>
      <c r="V118" s="265">
        <f>'Aux - Emissions'!S76</f>
        <v>1.2643109408460927E-6</v>
      </c>
      <c r="W118" s="265">
        <f>'Aux - Emissions'!T76</f>
        <v>9.3514363813600682E-8</v>
      </c>
      <c r="X118" s="265">
        <f>'Aux - Emissions'!U76</f>
        <v>7.164579075194226E-8</v>
      </c>
      <c r="Y118" s="265">
        <f>'Aux - Emissions'!V76</f>
        <v>1.1924681765117809E-2</v>
      </c>
      <c r="Z118" s="265">
        <f>'Aux - Emissions'!W76</f>
        <v>0.28245487007683945</v>
      </c>
    </row>
    <row r="119" spans="1:26" x14ac:dyDescent="0.35">
      <c r="A119" s="88">
        <v>118</v>
      </c>
      <c r="B119" s="39" t="s">
        <v>459</v>
      </c>
      <c r="C119" s="88" t="s">
        <v>252</v>
      </c>
      <c r="D119" s="88" t="s">
        <v>807</v>
      </c>
      <c r="E119" s="88" t="s">
        <v>910</v>
      </c>
      <c r="F119" s="88"/>
      <c r="G119" s="88"/>
      <c r="H119" s="265">
        <f>'Aux - Emissions'!E77</f>
        <v>1.1118576903480327E-2</v>
      </c>
      <c r="I119" s="265">
        <f>'Aux - Emissions'!F77</f>
        <v>3.9465920243633597</v>
      </c>
      <c r="J119" s="265">
        <f>'Aux - Emissions'!G77</f>
        <v>1.2426748217342139E-2</v>
      </c>
      <c r="K119" s="265">
        <f>'Aux - Emissions'!H77</f>
        <v>3.9245167572417254</v>
      </c>
      <c r="L119" s="265">
        <f>'Aux - Emissions'!I77</f>
        <v>9.6485189042919868E-3</v>
      </c>
      <c r="M119" s="265">
        <f>'Aux - Emissions'!J77</f>
        <v>8.2132185472283403</v>
      </c>
      <c r="N119" s="265">
        <f>'Aux - Emissions'!K77</f>
        <v>51.357318936130675</v>
      </c>
      <c r="O119" s="265">
        <f>'Aux - Emissions'!L77</f>
        <v>9.2630528900606646E-5</v>
      </c>
      <c r="P119" s="265">
        <f>'Aux - Emissions'!M77</f>
        <v>6.0037307278391497E-3</v>
      </c>
      <c r="Q119" s="265">
        <f>'Aux - Emissions'!N77</f>
        <v>4.1816250433750007E-2</v>
      </c>
      <c r="R119" s="265">
        <f>'Aux - Emissions'!O77</f>
        <v>4.0048703704902963E-10</v>
      </c>
      <c r="S119" s="265">
        <f>'Aux - Emissions'!P77</f>
        <v>2.3749664651789609E-8</v>
      </c>
      <c r="T119" s="265">
        <f>'Aux - Emissions'!Q77</f>
        <v>2.2095752028934761E-2</v>
      </c>
      <c r="U119" s="265">
        <f>'Aux - Emissions'!R77</f>
        <v>21.469997161668989</v>
      </c>
      <c r="V119" s="265">
        <f>'Aux - Emissions'!S77</f>
        <v>1.528936196823519E-6</v>
      </c>
      <c r="W119" s="265">
        <f>'Aux - Emissions'!T77</f>
        <v>9.3528957974739409E-8</v>
      </c>
      <c r="X119" s="265">
        <f>'Aux - Emissions'!U77</f>
        <v>8.4840701272442151E-8</v>
      </c>
      <c r="Y119" s="265">
        <f>'Aux - Emissions'!V77</f>
        <v>1.2656191879355932E-2</v>
      </c>
      <c r="Z119" s="265">
        <f>'Aux - Emissions'!W77</f>
        <v>0.37154652653694553</v>
      </c>
    </row>
    <row r="120" spans="1:26" x14ac:dyDescent="0.35">
      <c r="A120" s="88">
        <v>119</v>
      </c>
      <c r="B120" s="39" t="s">
        <v>459</v>
      </c>
      <c r="C120" s="88" t="s">
        <v>252</v>
      </c>
      <c r="D120" s="88" t="s">
        <v>79</v>
      </c>
      <c r="E120" s="88" t="s">
        <v>911</v>
      </c>
      <c r="F120" s="88"/>
      <c r="G120" s="88"/>
      <c r="H120" s="265">
        <f>'Aux - Emissions'!E78</f>
        <v>1.6933607822935733E-2</v>
      </c>
      <c r="I120" s="265">
        <f>'Aux - Emissions'!F78</f>
        <v>3.74488597147052</v>
      </c>
      <c r="J120" s="265">
        <f>'Aux - Emissions'!G78</f>
        <v>2.3996148443000624E-2</v>
      </c>
      <c r="K120" s="265">
        <f>'Aux - Emissions'!H78</f>
        <v>3.7017762337973945</v>
      </c>
      <c r="L120" s="265">
        <f>'Aux - Emissions'!I78</f>
        <v>1.9113589230124694E-2</v>
      </c>
      <c r="M120" s="265">
        <f>'Aux - Emissions'!J78</f>
        <v>14.593591958818575</v>
      </c>
      <c r="N120" s="265">
        <f>'Aux - Emissions'!K78</f>
        <v>47.61415046456397</v>
      </c>
      <c r="O120" s="265">
        <f>'Aux - Emissions'!L78</f>
        <v>1.4140794036817569E-4</v>
      </c>
      <c r="P120" s="265">
        <f>'Aux - Emissions'!M78</f>
        <v>1.0808156917580074E-2</v>
      </c>
      <c r="Q120" s="265">
        <f>'Aux - Emissions'!N78</f>
        <v>7.0594582703715769E-2</v>
      </c>
      <c r="R120" s="265">
        <f>'Aux - Emissions'!O78</f>
        <v>5.4746935652684843E-10</v>
      </c>
      <c r="S120" s="265">
        <f>'Aux - Emissions'!P78</f>
        <v>4.0742393994694141E-8</v>
      </c>
      <c r="T120" s="265">
        <f>'Aux - Emissions'!Q78</f>
        <v>2.764712594420949E-2</v>
      </c>
      <c r="U120" s="265">
        <f>'Aux - Emissions'!R78</f>
        <v>40.107034248435923</v>
      </c>
      <c r="V120" s="265">
        <f>'Aux - Emissions'!S78</f>
        <v>2.4110203834149401E-6</v>
      </c>
      <c r="W120" s="265">
        <f>'Aux - Emissions'!T78</f>
        <v>9.3577605178535238E-8</v>
      </c>
      <c r="X120" s="265">
        <f>'Aux - Emissions'!U78</f>
        <v>1.2882373634077516E-7</v>
      </c>
      <c r="Y120" s="265">
        <f>'Aux - Emissions'!V78</f>
        <v>1.5094558926816345E-2</v>
      </c>
      <c r="Z120" s="265">
        <f>'Aux - Emissions'!W78</f>
        <v>0.66851871473729907</v>
      </c>
    </row>
    <row r="121" spans="1:26" x14ac:dyDescent="0.35">
      <c r="A121" s="88">
        <v>120</v>
      </c>
      <c r="B121" s="39" t="s">
        <v>459</v>
      </c>
      <c r="C121" s="88" t="s">
        <v>252</v>
      </c>
      <c r="D121" s="88" t="s">
        <v>808</v>
      </c>
      <c r="E121" s="88" t="s">
        <v>912</v>
      </c>
      <c r="F121" s="88"/>
      <c r="G121" s="88"/>
      <c r="H121" s="265">
        <f>'Aux - Emissions'!E79</f>
        <v>6.3453855178578988E-2</v>
      </c>
      <c r="I121" s="265">
        <f>'Aux - Emissions'!F79</f>
        <v>2.1312375483278019</v>
      </c>
      <c r="J121" s="265">
        <f>'Aux - Emissions'!G79</f>
        <v>0.1165513502482685</v>
      </c>
      <c r="K121" s="265">
        <f>'Aux - Emissions'!H79</f>
        <v>1.9198520462427471</v>
      </c>
      <c r="L121" s="265">
        <f>'Aux - Emissions'!I79</f>
        <v>9.483415183678634E-2</v>
      </c>
      <c r="M121" s="265">
        <f>'Aux - Emissions'!J79</f>
        <v>65.636579251540439</v>
      </c>
      <c r="N121" s="265">
        <f>'Aux - Emissions'!K79</f>
        <v>17.668802692030361</v>
      </c>
      <c r="O121" s="265">
        <f>'Aux - Emissions'!L79</f>
        <v>5.3162723210872787E-4</v>
      </c>
      <c r="P121" s="265">
        <f>'Aux - Emissions'!M79</f>
        <v>4.9243566435507459E-2</v>
      </c>
      <c r="Q121" s="265">
        <f>'Aux - Emissions'!N79</f>
        <v>0.30082124086344181</v>
      </c>
      <c r="R121" s="265">
        <f>'Aux - Emissions'!O79</f>
        <v>1.723327912349399E-9</v>
      </c>
      <c r="S121" s="265">
        <f>'Aux - Emissions'!P79</f>
        <v>1.7668422873793039E-7</v>
      </c>
      <c r="T121" s="265">
        <f>'Aux - Emissions'!Q79</f>
        <v>7.2058117266407318E-2</v>
      </c>
      <c r="U121" s="265">
        <f>'Aux - Emissions'!R79</f>
        <v>189.2033309425714</v>
      </c>
      <c r="V121" s="265">
        <f>'Aux - Emissions'!S79</f>
        <v>9.4676938761463082E-6</v>
      </c>
      <c r="W121" s="265">
        <f>'Aux - Emissions'!T79</f>
        <v>9.3966782808901814E-8</v>
      </c>
      <c r="X121" s="265">
        <f>'Aux - Emissions'!U79</f>
        <v>4.8068801688743912E-7</v>
      </c>
      <c r="Y121" s="265">
        <f>'Aux - Emissions'!V79</f>
        <v>3.4601495306499641E-2</v>
      </c>
      <c r="Z121" s="265">
        <f>'Aux - Emissions'!W79</f>
        <v>3.044296220340128</v>
      </c>
    </row>
    <row r="122" spans="1:26" x14ac:dyDescent="0.35">
      <c r="A122" s="88">
        <v>121</v>
      </c>
      <c r="B122" s="39" t="s">
        <v>459</v>
      </c>
      <c r="C122" s="88" t="s">
        <v>252</v>
      </c>
      <c r="D122" s="88" t="s">
        <v>82</v>
      </c>
      <c r="E122" s="88" t="s">
        <v>945</v>
      </c>
      <c r="F122" s="88"/>
      <c r="G122" s="88"/>
      <c r="H122" s="265">
        <f>'Aux - Emissions'!E80</f>
        <v>6.4917479808378111E-4</v>
      </c>
      <c r="I122" s="265">
        <f>'Aux - Emissions'!F80</f>
        <v>0.18219807126195031</v>
      </c>
      <c r="J122" s="265">
        <f>'Aux - Emissions'!G80</f>
        <v>3.8089322137568331E-3</v>
      </c>
      <c r="K122" s="265">
        <f>'Aux - Emissions'!H80</f>
        <v>0.17794109566114399</v>
      </c>
      <c r="L122" s="265">
        <f>'Aux - Emissions'!I80</f>
        <v>4.4804338704950098E-4</v>
      </c>
      <c r="M122" s="265">
        <f>'Aux - Emissions'!J80</f>
        <v>0.6253928631247595</v>
      </c>
      <c r="N122" s="265">
        <f>'Aux - Emissions'!K80</f>
        <v>8.7606274521720966</v>
      </c>
      <c r="O122" s="265">
        <f>'Aux - Emissions'!L80</f>
        <v>6.6837193946409128E-5</v>
      </c>
      <c r="P122" s="265">
        <f>'Aux - Emissions'!M80</f>
        <v>1.3350194646841919E-4</v>
      </c>
      <c r="Q122" s="265">
        <f>'Aux - Emissions'!N80</f>
        <v>1.2673002520927801E-3</v>
      </c>
      <c r="R122" s="265">
        <f>'Aux - Emissions'!O80</f>
        <v>7.4488651800677251E-11</v>
      </c>
      <c r="S122" s="265">
        <f>'Aux - Emissions'!P80</f>
        <v>4.118758088693749E-9</v>
      </c>
      <c r="T122" s="265">
        <f>'Aux - Emissions'!Q80</f>
        <v>0.36800533721835249</v>
      </c>
      <c r="U122" s="265">
        <f>'Aux - Emissions'!R80</f>
        <v>1.3824672680048169</v>
      </c>
      <c r="V122" s="265">
        <f>'Aux - Emissions'!S80</f>
        <v>4.7441431552970934E-6</v>
      </c>
      <c r="W122" s="265">
        <f>'Aux - Emissions'!T80</f>
        <v>5.6888941542182206E-9</v>
      </c>
      <c r="X122" s="265">
        <f>'Aux - Emissions'!U80</f>
        <v>4.7704281210385562E-9</v>
      </c>
      <c r="Y122" s="265">
        <f>'Aux - Emissions'!V80</f>
        <v>4.0497861688886352E-4</v>
      </c>
      <c r="Z122" s="265">
        <f>'Aux - Emissions'!W80</f>
        <v>0.1052427822298047</v>
      </c>
    </row>
    <row r="123" spans="1:26" x14ac:dyDescent="0.35">
      <c r="A123" s="88">
        <v>122</v>
      </c>
      <c r="B123" s="39" t="s">
        <v>459</v>
      </c>
      <c r="C123" s="88" t="s">
        <v>252</v>
      </c>
      <c r="D123" s="88" t="s">
        <v>92</v>
      </c>
      <c r="E123" s="88" t="s">
        <v>940</v>
      </c>
      <c r="F123" s="88">
        <v>1</v>
      </c>
      <c r="G123" s="88" t="s">
        <v>557</v>
      </c>
      <c r="H123" s="265">
        <f>'Aux - Emissions'!E81</f>
        <v>5.88814108568818E-4</v>
      </c>
      <c r="I123" s="265">
        <f>'Aux - Emissions'!F81</f>
        <v>5.18727049626619E-2</v>
      </c>
      <c r="J123" s="265">
        <f>'Aux - Emissions'!G81</f>
        <v>6.6321407021587906E-5</v>
      </c>
      <c r="K123" s="265">
        <f>'Aux - Emissions'!H81</f>
        <v>5.1723773168274E-2</v>
      </c>
      <c r="L123" s="265">
        <f>'Aux - Emissions'!I81</f>
        <v>8.2610387366315494E-5</v>
      </c>
      <c r="M123" s="265">
        <f>'Aux - Emissions'!J81</f>
        <v>0.73519640383391605</v>
      </c>
      <c r="N123" s="265">
        <f>'Aux - Emissions'!K81</f>
        <v>0.61152364724192398</v>
      </c>
      <c r="O123" s="265">
        <f>'Aux - Emissions'!L81</f>
        <v>4.8212189078874897E-5</v>
      </c>
      <c r="P123" s="265">
        <f>'Aux - Emissions'!M81</f>
        <v>6.4180496659697607E-5</v>
      </c>
      <c r="Q123" s="265">
        <f>'Aux - Emissions'!N81</f>
        <v>7.1157743150184599E-4</v>
      </c>
      <c r="R123" s="265">
        <f>'Aux - Emissions'!O81</f>
        <v>7.7725899378582605E-11</v>
      </c>
      <c r="S123" s="265">
        <f>'Aux - Emissions'!P81</f>
        <v>4.7854270802401399E-9</v>
      </c>
      <c r="T123" s="265">
        <f>'Aux - Emissions'!Q81</f>
        <v>3.5860747038049499E-3</v>
      </c>
      <c r="U123" s="265">
        <f>'Aux - Emissions'!R81</f>
        <v>1.2941657200477401</v>
      </c>
      <c r="V123" s="265">
        <f>'Aux - Emissions'!S81</f>
        <v>6.1440658107819203E-6</v>
      </c>
      <c r="W123" s="265">
        <f>'Aux - Emissions'!T81</f>
        <v>3.59423968054589E-9</v>
      </c>
      <c r="X123" s="265">
        <f>'Aux - Emissions'!U81</f>
        <v>4.0402100723667703E-9</v>
      </c>
      <c r="Y123" s="265">
        <f>'Aux - Emissions'!V81</f>
        <v>2.42060646074334E-4</v>
      </c>
      <c r="Z123" s="265">
        <f>'Aux - Emissions'!W81</f>
        <v>5.54606113605558E-2</v>
      </c>
    </row>
    <row r="124" spans="1:26" x14ac:dyDescent="0.35">
      <c r="A124" s="88">
        <v>123</v>
      </c>
      <c r="B124" s="39" t="s">
        <v>459</v>
      </c>
      <c r="C124" s="88" t="s">
        <v>252</v>
      </c>
      <c r="D124" s="88" t="s">
        <v>27</v>
      </c>
      <c r="E124" s="88"/>
      <c r="F124" s="88"/>
      <c r="G124" s="88"/>
      <c r="H124" s="265"/>
      <c r="I124" s="265"/>
      <c r="J124" s="265"/>
      <c r="K124" s="265"/>
      <c r="L124" s="265"/>
      <c r="M124" s="265"/>
      <c r="N124" s="265"/>
      <c r="O124" s="265"/>
      <c r="P124" s="265"/>
      <c r="Q124" s="265"/>
      <c r="R124" s="265"/>
      <c r="S124" s="265"/>
      <c r="T124" s="265"/>
      <c r="U124" s="265"/>
      <c r="V124" s="265"/>
      <c r="W124" s="265"/>
      <c r="X124" s="265"/>
      <c r="Y124" s="265"/>
      <c r="Z124" s="265"/>
    </row>
    <row r="125" spans="1:26" x14ac:dyDescent="0.35">
      <c r="A125" s="88">
        <v>124</v>
      </c>
      <c r="B125" s="88" t="s">
        <v>444</v>
      </c>
      <c r="C125" s="88" t="s">
        <v>252</v>
      </c>
      <c r="D125" s="88" t="s">
        <v>27</v>
      </c>
      <c r="E125" s="88" t="s">
        <v>942</v>
      </c>
      <c r="F125" s="88"/>
      <c r="G125" s="88"/>
      <c r="H125" s="260"/>
      <c r="I125" s="260"/>
      <c r="J125" s="260"/>
      <c r="K125" s="260"/>
      <c r="L125" s="260"/>
      <c r="M125" s="260"/>
      <c r="N125" s="260"/>
      <c r="O125" s="260"/>
      <c r="P125" s="260"/>
      <c r="Q125" s="260"/>
      <c r="R125" s="260"/>
      <c r="S125" s="260"/>
      <c r="T125" s="260"/>
      <c r="U125" s="260"/>
      <c r="V125" s="260"/>
      <c r="W125" s="260"/>
      <c r="X125" s="260"/>
      <c r="Y125" s="260"/>
      <c r="Z125" s="260"/>
    </row>
    <row r="126" spans="1:26" x14ac:dyDescent="0.35">
      <c r="A126" s="88">
        <v>125</v>
      </c>
      <c r="B126" s="88" t="s">
        <v>445</v>
      </c>
      <c r="C126" s="88" t="s">
        <v>252</v>
      </c>
      <c r="D126" s="88" t="s">
        <v>27</v>
      </c>
      <c r="E126" s="88" t="s">
        <v>942</v>
      </c>
      <c r="F126" s="88"/>
      <c r="G126" s="88"/>
      <c r="H126" s="260"/>
      <c r="I126" s="260"/>
      <c r="J126" s="260"/>
      <c r="K126" s="260"/>
      <c r="L126" s="260"/>
      <c r="M126" s="260"/>
      <c r="N126" s="260"/>
      <c r="O126" s="260"/>
      <c r="P126" s="260"/>
      <c r="Q126" s="260"/>
      <c r="R126" s="260"/>
      <c r="S126" s="260"/>
      <c r="T126" s="260"/>
      <c r="U126" s="260"/>
      <c r="V126" s="260"/>
      <c r="W126" s="260"/>
      <c r="X126" s="260"/>
      <c r="Y126" s="260"/>
      <c r="Z126" s="260"/>
    </row>
    <row r="127" spans="1:26" x14ac:dyDescent="0.35">
      <c r="A127" s="88">
        <v>126</v>
      </c>
      <c r="B127" s="88" t="s">
        <v>448</v>
      </c>
      <c r="C127" s="88" t="s">
        <v>252</v>
      </c>
      <c r="D127" s="88" t="s">
        <v>27</v>
      </c>
      <c r="E127" s="88" t="s">
        <v>942</v>
      </c>
      <c r="F127" s="88"/>
      <c r="G127" s="88"/>
      <c r="H127" s="260"/>
      <c r="I127" s="260"/>
      <c r="J127" s="260"/>
      <c r="K127" s="260"/>
      <c r="L127" s="260"/>
      <c r="M127" s="260"/>
      <c r="N127" s="260"/>
      <c r="O127" s="260"/>
      <c r="P127" s="260"/>
      <c r="Q127" s="260"/>
      <c r="R127" s="260"/>
      <c r="S127" s="260"/>
      <c r="T127" s="260"/>
      <c r="U127" s="260"/>
      <c r="V127" s="260"/>
      <c r="W127" s="260"/>
      <c r="X127" s="260"/>
      <c r="Y127" s="260"/>
      <c r="Z127" s="260"/>
    </row>
    <row r="128" spans="1:26" x14ac:dyDescent="0.35">
      <c r="A128" s="88">
        <v>127</v>
      </c>
      <c r="B128" s="88" t="s">
        <v>449</v>
      </c>
      <c r="C128" s="88" t="s">
        <v>252</v>
      </c>
      <c r="D128" s="88" t="s">
        <v>27</v>
      </c>
      <c r="E128" s="88" t="s">
        <v>942</v>
      </c>
      <c r="F128" s="88"/>
      <c r="G128" s="88"/>
      <c r="H128" s="260"/>
      <c r="I128" s="260"/>
      <c r="J128" s="260"/>
      <c r="K128" s="260"/>
      <c r="L128" s="260"/>
      <c r="M128" s="260"/>
      <c r="N128" s="260"/>
      <c r="O128" s="260"/>
      <c r="P128" s="260"/>
      <c r="Q128" s="260"/>
      <c r="R128" s="260"/>
      <c r="S128" s="260"/>
      <c r="T128" s="260"/>
      <c r="U128" s="260"/>
      <c r="V128" s="260"/>
      <c r="W128" s="260"/>
      <c r="X128" s="260"/>
      <c r="Y128" s="260"/>
      <c r="Z128" s="260"/>
    </row>
    <row r="129" spans="1:26" x14ac:dyDescent="0.35">
      <c r="A129" s="88">
        <v>128</v>
      </c>
      <c r="B129" s="88" t="s">
        <v>448</v>
      </c>
      <c r="C129" s="88" t="s">
        <v>252</v>
      </c>
      <c r="D129" s="88" t="s">
        <v>27</v>
      </c>
      <c r="E129" s="88" t="s">
        <v>942</v>
      </c>
      <c r="F129" s="88"/>
      <c r="G129" s="88"/>
      <c r="H129" s="260"/>
      <c r="I129" s="260"/>
      <c r="J129" s="260"/>
      <c r="K129" s="260"/>
      <c r="L129" s="260"/>
      <c r="M129" s="260"/>
      <c r="N129" s="260"/>
      <c r="O129" s="260"/>
      <c r="P129" s="260"/>
      <c r="Q129" s="260"/>
      <c r="R129" s="260"/>
      <c r="S129" s="260"/>
      <c r="T129" s="260"/>
      <c r="U129" s="260"/>
      <c r="V129" s="260"/>
      <c r="W129" s="260"/>
      <c r="X129" s="260"/>
      <c r="Y129" s="260"/>
      <c r="Z129" s="260"/>
    </row>
    <row r="130" spans="1:26" x14ac:dyDescent="0.35">
      <c r="A130" s="88">
        <v>129</v>
      </c>
      <c r="B130" s="88" t="s">
        <v>681</v>
      </c>
      <c r="C130" s="88" t="s">
        <v>240</v>
      </c>
      <c r="D130" s="88" t="s">
        <v>27</v>
      </c>
      <c r="E130" s="88" t="s">
        <v>942</v>
      </c>
      <c r="F130" s="88"/>
      <c r="G130" s="88"/>
      <c r="H130" s="260"/>
      <c r="I130" s="260"/>
      <c r="J130" s="260"/>
      <c r="K130" s="260"/>
      <c r="L130" s="260"/>
      <c r="M130" s="260"/>
      <c r="N130" s="260"/>
      <c r="O130" s="260"/>
      <c r="P130" s="260"/>
      <c r="Q130" s="260"/>
      <c r="R130" s="260"/>
      <c r="S130" s="260"/>
      <c r="T130" s="260"/>
      <c r="U130" s="260"/>
      <c r="V130" s="260"/>
      <c r="W130" s="260"/>
      <c r="X130" s="260"/>
      <c r="Y130" s="260"/>
      <c r="Z130" s="260"/>
    </row>
    <row r="131" spans="1:26" x14ac:dyDescent="0.35">
      <c r="A131" s="242"/>
      <c r="C131" s="242"/>
      <c r="D131" s="242"/>
      <c r="E131" s="242"/>
      <c r="F131" s="242"/>
      <c r="G131" s="242"/>
      <c r="H131" s="242"/>
      <c r="I131" s="242"/>
      <c r="J131" s="242"/>
      <c r="K131" s="242"/>
      <c r="L131" s="242"/>
      <c r="M131" s="242"/>
      <c r="N131" s="242"/>
      <c r="O131" s="242"/>
      <c r="P131" s="242"/>
      <c r="Q131" s="242"/>
      <c r="R131" s="242"/>
      <c r="S131" s="242"/>
      <c r="T131" s="242"/>
      <c r="U131" s="242"/>
      <c r="V131" s="242"/>
      <c r="W131" s="242"/>
      <c r="X131" s="242"/>
      <c r="Y131" s="242"/>
      <c r="Z131" s="242"/>
    </row>
    <row r="132" spans="1:26" x14ac:dyDescent="0.35">
      <c r="A132" s="242"/>
      <c r="C132" s="242"/>
      <c r="D132" s="242"/>
      <c r="E132" s="242"/>
      <c r="F132" s="242"/>
      <c r="G132" s="242"/>
      <c r="H132" s="242"/>
      <c r="I132" s="242"/>
      <c r="J132" s="242"/>
      <c r="K132" s="242"/>
      <c r="L132" s="242"/>
      <c r="M132" s="242"/>
      <c r="N132" s="242"/>
      <c r="O132" s="242"/>
      <c r="P132" s="242"/>
      <c r="Q132" s="242"/>
      <c r="R132" s="242"/>
      <c r="S132" s="242"/>
      <c r="T132" s="242"/>
      <c r="U132" s="242"/>
      <c r="V132" s="242"/>
      <c r="W132" s="242"/>
      <c r="X132" s="242"/>
      <c r="Y132" s="242"/>
      <c r="Z132" s="242"/>
    </row>
    <row r="133" spans="1:26" x14ac:dyDescent="0.35">
      <c r="A133" s="242"/>
      <c r="C133" s="242"/>
      <c r="D133" s="242"/>
      <c r="E133" s="242"/>
      <c r="F133" s="242"/>
      <c r="G133" s="242"/>
      <c r="H133" s="242"/>
      <c r="I133" s="242"/>
      <c r="J133" s="242"/>
      <c r="K133" s="242"/>
      <c r="L133" s="242"/>
      <c r="M133" s="242"/>
      <c r="N133" s="242"/>
      <c r="O133" s="242"/>
      <c r="P133" s="242"/>
      <c r="Q133" s="242"/>
      <c r="R133" s="242"/>
      <c r="S133" s="242"/>
      <c r="T133" s="242"/>
      <c r="U133" s="242"/>
      <c r="V133" s="242"/>
      <c r="W133" s="242"/>
      <c r="X133" s="242"/>
      <c r="Y133" s="242"/>
      <c r="Z133" s="242"/>
    </row>
    <row r="134" spans="1:26" x14ac:dyDescent="0.35">
      <c r="A134" s="242"/>
      <c r="C134" s="242"/>
      <c r="D134" s="242"/>
      <c r="E134" s="242"/>
      <c r="F134" s="242"/>
      <c r="G134" s="242"/>
      <c r="H134" s="242"/>
      <c r="I134" s="242"/>
      <c r="J134" s="242"/>
      <c r="K134" s="242"/>
      <c r="L134" s="242"/>
      <c r="M134" s="242"/>
      <c r="N134" s="242"/>
      <c r="O134" s="242"/>
      <c r="P134" s="242"/>
      <c r="Q134" s="242"/>
      <c r="R134" s="242"/>
      <c r="S134" s="242"/>
      <c r="T134" s="242"/>
      <c r="U134" s="242"/>
      <c r="V134" s="242"/>
      <c r="W134" s="242"/>
      <c r="X134" s="242"/>
      <c r="Y134" s="242"/>
      <c r="Z134" s="242"/>
    </row>
    <row r="135" spans="1:26" x14ac:dyDescent="0.35">
      <c r="A135" s="242"/>
      <c r="C135" s="242"/>
      <c r="D135" s="242"/>
      <c r="E135" s="242"/>
      <c r="F135" s="242"/>
      <c r="G135" s="242"/>
      <c r="H135" s="242"/>
      <c r="I135" s="242"/>
      <c r="J135" s="242"/>
      <c r="K135" s="242"/>
      <c r="L135" s="242"/>
      <c r="M135" s="242"/>
      <c r="N135" s="242"/>
      <c r="O135" s="242"/>
      <c r="P135" s="242"/>
      <c r="Q135" s="242"/>
      <c r="R135" s="242"/>
      <c r="S135" s="242"/>
      <c r="T135" s="242"/>
      <c r="U135" s="242"/>
      <c r="V135" s="242"/>
      <c r="W135" s="242"/>
      <c r="X135" s="242"/>
      <c r="Y135" s="242"/>
      <c r="Z135" s="242"/>
    </row>
    <row r="136" spans="1:26" x14ac:dyDescent="0.35">
      <c r="A136" s="242"/>
      <c r="C136" s="242"/>
      <c r="D136" s="242"/>
      <c r="E136" s="242"/>
      <c r="F136" s="242"/>
      <c r="G136" s="242"/>
      <c r="H136" s="242"/>
      <c r="I136" s="242"/>
      <c r="J136" s="242"/>
      <c r="K136" s="242"/>
      <c r="L136" s="242"/>
      <c r="M136" s="242"/>
      <c r="N136" s="242"/>
      <c r="O136" s="242"/>
      <c r="P136" s="242"/>
      <c r="Q136" s="242"/>
      <c r="R136" s="242"/>
      <c r="S136" s="242"/>
      <c r="T136" s="242"/>
      <c r="U136" s="242"/>
      <c r="V136" s="242"/>
      <c r="W136" s="242"/>
      <c r="X136" s="242"/>
      <c r="Y136" s="242"/>
      <c r="Z136" s="242"/>
    </row>
    <row r="137" spans="1:26" x14ac:dyDescent="0.35">
      <c r="A137" s="242"/>
      <c r="C137" s="242"/>
      <c r="D137" s="242"/>
      <c r="E137" s="242"/>
      <c r="F137" s="242"/>
      <c r="G137" s="242"/>
      <c r="H137" s="242"/>
      <c r="I137" s="242"/>
      <c r="J137" s="242"/>
      <c r="K137" s="242"/>
      <c r="L137" s="242"/>
      <c r="M137" s="242"/>
      <c r="N137" s="242"/>
      <c r="O137" s="242"/>
      <c r="P137" s="242"/>
      <c r="Q137" s="242"/>
      <c r="R137" s="242"/>
      <c r="S137" s="242"/>
      <c r="T137" s="242"/>
      <c r="U137" s="242"/>
      <c r="V137" s="242"/>
      <c r="W137" s="242"/>
      <c r="X137" s="242"/>
      <c r="Y137" s="242"/>
      <c r="Z137" s="242"/>
    </row>
  </sheetData>
  <phoneticPr fontId="5" type="noConversion"/>
  <pageMargins left="0.7" right="0.7" top="0.75" bottom="0.75" header="0.3" footer="0.3"/>
  <legacy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C05B9-813C-4B21-9F23-7FB7C9C0B196}">
  <sheetPr codeName="Sheet16"/>
  <dimension ref="A1:W119"/>
  <sheetViews>
    <sheetView zoomScale="80" zoomScaleNormal="80" workbookViewId="0"/>
  </sheetViews>
  <sheetFormatPr defaultRowHeight="14.5" x14ac:dyDescent="0.35"/>
  <cols>
    <col min="1" max="1" width="50.1796875" customWidth="1"/>
    <col min="2" max="2" width="14.1796875" customWidth="1"/>
    <col min="4" max="4" width="21.81640625" customWidth="1"/>
    <col min="5" max="5" width="19.1796875" bestFit="1" customWidth="1"/>
    <col min="6" max="6" width="21.81640625" customWidth="1"/>
    <col min="7" max="7" width="24.1796875" customWidth="1"/>
    <col min="8" max="8" width="35.453125" customWidth="1"/>
    <col min="9" max="9" width="19.1796875" customWidth="1"/>
    <col min="10" max="10" width="23.54296875" customWidth="1"/>
    <col min="11" max="11" width="20.54296875" customWidth="1"/>
    <col min="12" max="12" width="23.81640625" customWidth="1"/>
    <col min="13" max="13" width="21.1796875" bestFit="1" customWidth="1"/>
    <col min="14" max="14" width="23.453125" customWidth="1"/>
    <col min="15" max="15" width="25.81640625" customWidth="1"/>
    <col min="16" max="16" width="24.1796875" customWidth="1"/>
    <col min="17" max="17" width="22.81640625" customWidth="1"/>
    <col min="18" max="18" width="24.1796875" customWidth="1"/>
    <col min="19" max="20" width="25.453125" customWidth="1"/>
    <col min="21" max="21" width="28.1796875" customWidth="1"/>
    <col min="22" max="22" width="26.81640625" customWidth="1"/>
    <col min="23" max="23" width="25.81640625" customWidth="1"/>
  </cols>
  <sheetData>
    <row r="1" spans="1:8" ht="18.5" x14ac:dyDescent="0.45">
      <c r="A1" s="72" t="s">
        <v>729</v>
      </c>
    </row>
    <row r="3" spans="1:8" ht="18.5" x14ac:dyDescent="0.45">
      <c r="A3" s="72" t="s">
        <v>730</v>
      </c>
    </row>
    <row r="5" spans="1:8" ht="18.5" x14ac:dyDescent="0.45">
      <c r="A5" s="72" t="s">
        <v>731</v>
      </c>
    </row>
    <row r="7" spans="1:8" ht="18.5" x14ac:dyDescent="0.45">
      <c r="A7" s="72" t="s">
        <v>732</v>
      </c>
    </row>
    <row r="8" spans="1:8" ht="18.5" x14ac:dyDescent="0.45">
      <c r="A8" s="72"/>
    </row>
    <row r="9" spans="1:8" ht="18.5" x14ac:dyDescent="0.45">
      <c r="A9" s="72" t="s">
        <v>733</v>
      </c>
    </row>
    <row r="10" spans="1:8" ht="18.5" x14ac:dyDescent="0.45">
      <c r="A10" s="72"/>
    </row>
    <row r="11" spans="1:8" ht="18.5" x14ac:dyDescent="0.45">
      <c r="A11" s="72" t="s">
        <v>734</v>
      </c>
    </row>
    <row r="12" spans="1:8" ht="18.5" x14ac:dyDescent="0.45">
      <c r="A12" s="72"/>
    </row>
    <row r="13" spans="1:8" ht="18.5" x14ac:dyDescent="0.45">
      <c r="A13" s="72" t="s">
        <v>735</v>
      </c>
    </row>
    <row r="14" spans="1:8" ht="18.5" x14ac:dyDescent="0.45">
      <c r="A14" s="72"/>
    </row>
    <row r="16" spans="1:8" ht="16" x14ac:dyDescent="0.4">
      <c r="A16" s="81" t="s">
        <v>736</v>
      </c>
      <c r="H16" s="81" t="s">
        <v>737</v>
      </c>
    </row>
    <row r="17" spans="1:12" ht="18.5" x14ac:dyDescent="0.45">
      <c r="A17" s="72"/>
      <c r="H17" s="72"/>
    </row>
    <row r="18" spans="1:12" ht="16" x14ac:dyDescent="0.4">
      <c r="A18" s="307" t="s">
        <v>738</v>
      </c>
      <c r="B18" s="62" t="s">
        <v>486</v>
      </c>
      <c r="C18" s="62" t="s">
        <v>154</v>
      </c>
      <c r="H18" s="307" t="s">
        <v>738</v>
      </c>
      <c r="I18" s="62" t="s">
        <v>486</v>
      </c>
      <c r="J18" s="62" t="s">
        <v>154</v>
      </c>
    </row>
    <row r="19" spans="1:12" x14ac:dyDescent="0.35">
      <c r="A19" s="1" t="s">
        <v>739</v>
      </c>
      <c r="B19" s="96">
        <v>4.5863800000000003E-2</v>
      </c>
      <c r="C19" s="1" t="s">
        <v>740</v>
      </c>
      <c r="H19" s="1" t="s">
        <v>741</v>
      </c>
      <c r="I19" s="96">
        <v>-2.2165834196891199E-5</v>
      </c>
      <c r="J19" s="1" t="s">
        <v>740</v>
      </c>
    </row>
    <row r="20" spans="1:12" x14ac:dyDescent="0.35">
      <c r="A20" s="1" t="s">
        <v>742</v>
      </c>
      <c r="B20" s="96">
        <v>3.1800000000000002E-7</v>
      </c>
      <c r="C20" s="1" t="s">
        <v>743</v>
      </c>
      <c r="H20" s="1" t="s">
        <v>744</v>
      </c>
      <c r="I20" s="96">
        <v>3.6646053999999997E-2</v>
      </c>
      <c r="J20" s="1" t="s">
        <v>740</v>
      </c>
    </row>
    <row r="21" spans="1:12" x14ac:dyDescent="0.35">
      <c r="A21" s="1" t="s">
        <v>745</v>
      </c>
      <c r="B21" s="96">
        <v>3.1800000000000002E-7</v>
      </c>
      <c r="C21" s="1" t="s">
        <v>743</v>
      </c>
      <c r="H21" s="1" t="s">
        <v>746</v>
      </c>
      <c r="I21" s="96">
        <v>3.2000000000000001E-7</v>
      </c>
      <c r="J21" s="1" t="s">
        <v>743</v>
      </c>
    </row>
    <row r="22" spans="1:12" x14ac:dyDescent="0.35">
      <c r="A22" s="1" t="s">
        <v>747</v>
      </c>
      <c r="B22" s="96">
        <v>1.99E-3</v>
      </c>
      <c r="C22" s="1" t="s">
        <v>748</v>
      </c>
      <c r="H22" s="1" t="s">
        <v>749</v>
      </c>
      <c r="I22" s="96">
        <v>3.2000000000000001E-7</v>
      </c>
      <c r="J22" s="1" t="s">
        <v>743</v>
      </c>
    </row>
    <row r="23" spans="1:12" x14ac:dyDescent="0.35">
      <c r="A23" s="1" t="s">
        <v>750</v>
      </c>
      <c r="B23" s="96">
        <v>3.1800000000000002E-7</v>
      </c>
      <c r="C23" s="1" t="s">
        <v>748</v>
      </c>
      <c r="H23" s="1" t="s">
        <v>751</v>
      </c>
      <c r="I23" s="96">
        <v>1.0499999999999999E-3</v>
      </c>
      <c r="J23" s="1" t="s">
        <v>748</v>
      </c>
    </row>
    <row r="24" spans="1:12" x14ac:dyDescent="0.35">
      <c r="H24" s="1" t="s">
        <v>752</v>
      </c>
      <c r="I24" s="96">
        <v>2.2318502041788099E-4</v>
      </c>
      <c r="J24" s="1" t="s">
        <v>748</v>
      </c>
    </row>
    <row r="25" spans="1:12" x14ac:dyDescent="0.35">
      <c r="H25" s="1" t="s">
        <v>753</v>
      </c>
      <c r="I25" s="96">
        <v>-1.9084974093264199E-5</v>
      </c>
      <c r="J25" s="1" t="s">
        <v>740</v>
      </c>
    </row>
    <row r="26" spans="1:12" x14ac:dyDescent="0.35">
      <c r="H26" s="1" t="s">
        <v>754</v>
      </c>
      <c r="I26" s="96">
        <v>-2.1961352331606199E-4</v>
      </c>
      <c r="J26" s="1" t="s">
        <v>740</v>
      </c>
    </row>
    <row r="29" spans="1:12" ht="16" x14ac:dyDescent="0.4">
      <c r="A29" s="307" t="s">
        <v>755</v>
      </c>
      <c r="B29" s="62" t="s">
        <v>486</v>
      </c>
      <c r="C29" s="62" t="s">
        <v>154</v>
      </c>
      <c r="D29" s="62" t="s">
        <v>756</v>
      </c>
      <c r="E29" s="62" t="s">
        <v>757</v>
      </c>
      <c r="H29" s="307" t="s">
        <v>755</v>
      </c>
      <c r="I29" s="62" t="s">
        <v>486</v>
      </c>
      <c r="J29" s="62" t="s">
        <v>154</v>
      </c>
      <c r="K29" s="62" t="s">
        <v>756</v>
      </c>
      <c r="L29" s="62" t="s">
        <v>757</v>
      </c>
    </row>
    <row r="30" spans="1:12" x14ac:dyDescent="0.35">
      <c r="A30" s="1" t="s">
        <v>758</v>
      </c>
      <c r="B30" s="96">
        <v>3.9387999999999998E-7</v>
      </c>
      <c r="C30" s="1" t="s">
        <v>740</v>
      </c>
      <c r="D30" s="1" t="s">
        <v>759</v>
      </c>
      <c r="E30" s="154">
        <f>B30/$B$19</f>
        <v>8.5880367522970181E-6</v>
      </c>
      <c r="H30" s="1" t="s">
        <v>760</v>
      </c>
      <c r="I30" s="96">
        <v>1.50635E-7</v>
      </c>
      <c r="J30" s="1" t="s">
        <v>740</v>
      </c>
      <c r="K30" s="1" t="s">
        <v>759</v>
      </c>
      <c r="L30" s="154">
        <f>I30/$I$20</f>
        <v>4.1105380677548529E-6</v>
      </c>
    </row>
    <row r="31" spans="1:12" x14ac:dyDescent="0.35">
      <c r="A31" s="1" t="s">
        <v>761</v>
      </c>
      <c r="B31" s="96">
        <v>8.6000000000000002E-7</v>
      </c>
      <c r="C31" s="1" t="s">
        <v>740</v>
      </c>
      <c r="D31" s="1" t="s">
        <v>759</v>
      </c>
      <c r="E31" s="154">
        <f t="shared" ref="E31:E62" si="0">B31/$B$19</f>
        <v>1.8751171948246766E-5</v>
      </c>
      <c r="H31" s="1" t="s">
        <v>762</v>
      </c>
      <c r="I31" s="96">
        <v>5.8342299999999997E-8</v>
      </c>
      <c r="J31" s="1" t="s">
        <v>740</v>
      </c>
      <c r="K31" s="1" t="s">
        <v>759</v>
      </c>
      <c r="L31" s="154">
        <f t="shared" ref="L31:L63" si="1">I31/$I$20</f>
        <v>1.5920486282097385E-6</v>
      </c>
    </row>
    <row r="32" spans="1:12" x14ac:dyDescent="0.35">
      <c r="A32" s="1" t="s">
        <v>763</v>
      </c>
      <c r="B32" s="96">
        <v>2.002424E-7</v>
      </c>
      <c r="C32" s="1" t="s">
        <v>740</v>
      </c>
      <c r="D32" s="1" t="s">
        <v>759</v>
      </c>
      <c r="E32" s="154">
        <f t="shared" si="0"/>
        <v>4.3660228764297767E-6</v>
      </c>
      <c r="H32" s="1" t="s">
        <v>761</v>
      </c>
      <c r="I32" s="96">
        <v>5.1845699999999997E-7</v>
      </c>
      <c r="J32" s="1" t="s">
        <v>740</v>
      </c>
      <c r="K32" s="1" t="s">
        <v>759</v>
      </c>
      <c r="L32" s="154">
        <f t="shared" si="1"/>
        <v>1.4147689680313194E-5</v>
      </c>
    </row>
    <row r="33" spans="1:12" x14ac:dyDescent="0.35">
      <c r="A33" s="1" t="s">
        <v>764</v>
      </c>
      <c r="B33" s="96">
        <v>7.2411999999999998E-10</v>
      </c>
      <c r="C33" s="1" t="s">
        <v>740</v>
      </c>
      <c r="D33" s="1" t="s">
        <v>759</v>
      </c>
      <c r="E33" s="154">
        <f t="shared" si="0"/>
        <v>1.5788486780423773E-8</v>
      </c>
      <c r="H33" s="1" t="s">
        <v>765</v>
      </c>
      <c r="I33" s="96">
        <v>3.6646099999999997E-12</v>
      </c>
      <c r="J33" s="1" t="s">
        <v>740</v>
      </c>
      <c r="K33" s="1" t="s">
        <v>759</v>
      </c>
      <c r="L33" s="154">
        <f t="shared" si="1"/>
        <v>1.0000012552511111E-10</v>
      </c>
    </row>
    <row r="34" spans="1:12" x14ac:dyDescent="0.35">
      <c r="A34" s="1" t="s">
        <v>766</v>
      </c>
      <c r="B34" s="96">
        <v>6.8270240000000001E-3</v>
      </c>
      <c r="C34" s="1" t="s">
        <v>740</v>
      </c>
      <c r="D34" s="1" t="s">
        <v>759</v>
      </c>
      <c r="E34" s="154">
        <f t="shared" si="0"/>
        <v>0.14885430339396211</v>
      </c>
      <c r="H34" s="1" t="s">
        <v>767</v>
      </c>
      <c r="I34" s="96">
        <v>4.5157599999999998E-8</v>
      </c>
      <c r="J34" s="1" t="s">
        <v>740</v>
      </c>
      <c r="K34" s="1" t="s">
        <v>759</v>
      </c>
      <c r="L34" s="154">
        <f t="shared" si="1"/>
        <v>1.2322636429013613E-6</v>
      </c>
    </row>
    <row r="35" spans="1:12" x14ac:dyDescent="0.35">
      <c r="A35" s="1" t="s">
        <v>768</v>
      </c>
      <c r="B35" s="96">
        <v>0.12288712</v>
      </c>
      <c r="C35" s="1" t="s">
        <v>740</v>
      </c>
      <c r="D35" s="1" t="s">
        <v>759</v>
      </c>
      <c r="E35" s="154">
        <f t="shared" si="0"/>
        <v>2.6793924620288765</v>
      </c>
      <c r="H35" s="1" t="s">
        <v>763</v>
      </c>
      <c r="I35" s="96">
        <v>2.3073199999999998E-9</v>
      </c>
      <c r="J35" s="1" t="s">
        <v>740</v>
      </c>
      <c r="K35" s="1" t="s">
        <v>759</v>
      </c>
      <c r="L35" s="154">
        <f t="shared" si="1"/>
        <v>6.2962304208796939E-8</v>
      </c>
    </row>
    <row r="36" spans="1:12" x14ac:dyDescent="0.35">
      <c r="A36" s="1" t="s">
        <v>769</v>
      </c>
      <c r="B36" s="96">
        <v>8.5886480000000007E-6</v>
      </c>
      <c r="C36" s="1" t="s">
        <v>740</v>
      </c>
      <c r="D36" s="1" t="s">
        <v>759</v>
      </c>
      <c r="E36" s="154">
        <f t="shared" si="0"/>
        <v>1.8726420401275079E-4</v>
      </c>
      <c r="H36" s="1" t="s">
        <v>770</v>
      </c>
      <c r="I36" s="96">
        <v>4.9442599999999996E-9</v>
      </c>
      <c r="J36" s="1" t="s">
        <v>740</v>
      </c>
      <c r="K36" s="1" t="s">
        <v>759</v>
      </c>
      <c r="L36" s="154">
        <f t="shared" si="1"/>
        <v>1.3491930127047239E-7</v>
      </c>
    </row>
    <row r="37" spans="1:12" x14ac:dyDescent="0.35">
      <c r="A37" s="1" t="s">
        <v>771</v>
      </c>
      <c r="B37" s="96">
        <v>1.5459531999999999E-4</v>
      </c>
      <c r="C37" s="1" t="s">
        <v>740</v>
      </c>
      <c r="D37" s="1" t="s">
        <v>759</v>
      </c>
      <c r="E37" s="154">
        <f t="shared" si="0"/>
        <v>3.3707481717607343E-3</v>
      </c>
      <c r="H37" s="1" t="s">
        <v>764</v>
      </c>
      <c r="I37" s="96">
        <v>3.18821E-10</v>
      </c>
      <c r="J37" s="1" t="s">
        <v>740</v>
      </c>
      <c r="K37" s="1" t="s">
        <v>759</v>
      </c>
      <c r="L37" s="154">
        <f t="shared" si="1"/>
        <v>8.7000090105199322E-9</v>
      </c>
    </row>
    <row r="38" spans="1:12" x14ac:dyDescent="0.35">
      <c r="A38" s="1" t="s">
        <v>772</v>
      </c>
      <c r="B38" s="96">
        <v>6.5188000000000003E-9</v>
      </c>
      <c r="C38" s="1" t="s">
        <v>740</v>
      </c>
      <c r="D38" s="1" t="s">
        <v>759</v>
      </c>
      <c r="E38" s="154">
        <f t="shared" si="0"/>
        <v>1.4213388336771047E-7</v>
      </c>
      <c r="H38" s="1" t="s">
        <v>766</v>
      </c>
      <c r="I38" s="96">
        <v>0.114797235</v>
      </c>
      <c r="J38" s="1" t="s">
        <v>740</v>
      </c>
      <c r="K38" s="1" t="s">
        <v>759</v>
      </c>
      <c r="L38" s="154">
        <f t="shared" si="1"/>
        <v>3.1325947126531006</v>
      </c>
    </row>
    <row r="39" spans="1:12" x14ac:dyDescent="0.35">
      <c r="A39" s="1" t="s">
        <v>773</v>
      </c>
      <c r="B39" s="96">
        <v>1.0853200000000001E-8</v>
      </c>
      <c r="C39" s="1" t="s">
        <v>740</v>
      </c>
      <c r="D39" s="1" t="s">
        <v>759</v>
      </c>
      <c r="E39" s="154">
        <f t="shared" si="0"/>
        <v>2.3663978998687418E-7</v>
      </c>
      <c r="H39" s="1" t="s">
        <v>769</v>
      </c>
      <c r="I39" s="96">
        <v>1.12649E-4</v>
      </c>
      <c r="J39" s="1" t="s">
        <v>740</v>
      </c>
      <c r="K39" s="1" t="s">
        <v>759</v>
      </c>
      <c r="L39" s="154">
        <f t="shared" si="1"/>
        <v>3.0739735306835494E-3</v>
      </c>
    </row>
    <row r="40" spans="1:12" x14ac:dyDescent="0.35">
      <c r="A40" s="1" t="s">
        <v>774</v>
      </c>
      <c r="B40" s="96">
        <v>1.2106220000000001E-6</v>
      </c>
      <c r="C40" s="1" t="s">
        <v>740</v>
      </c>
      <c r="D40" s="1" t="s">
        <v>759</v>
      </c>
      <c r="E40" s="154">
        <f t="shared" si="0"/>
        <v>2.6396024751546972E-5</v>
      </c>
      <c r="H40" s="1" t="s">
        <v>772</v>
      </c>
      <c r="I40" s="96">
        <v>1.09938E-9</v>
      </c>
      <c r="J40" s="1" t="s">
        <v>740</v>
      </c>
      <c r="K40" s="1" t="s">
        <v>759</v>
      </c>
      <c r="L40" s="154">
        <f t="shared" si="1"/>
        <v>2.9999955793330436E-8</v>
      </c>
    </row>
    <row r="41" spans="1:12" x14ac:dyDescent="0.35">
      <c r="A41" s="1" t="s">
        <v>775</v>
      </c>
      <c r="B41" s="96">
        <v>3.6119999999999999E-9</v>
      </c>
      <c r="C41" s="1" t="s">
        <v>740</v>
      </c>
      <c r="D41" s="1" t="s">
        <v>759</v>
      </c>
      <c r="E41" s="154">
        <f t="shared" si="0"/>
        <v>7.8754922182636411E-8</v>
      </c>
      <c r="H41" s="1" t="s">
        <v>776</v>
      </c>
      <c r="I41" s="96">
        <v>2.1987599999999998E-12</v>
      </c>
      <c r="J41" s="1" t="s">
        <v>740</v>
      </c>
      <c r="K41" s="1" t="s">
        <v>759</v>
      </c>
      <c r="L41" s="154">
        <f t="shared" si="1"/>
        <v>5.9999911586660873E-11</v>
      </c>
    </row>
    <row r="42" spans="1:12" x14ac:dyDescent="0.35">
      <c r="A42" s="1" t="s">
        <v>777</v>
      </c>
      <c r="B42" s="96">
        <v>3.64554E-8</v>
      </c>
      <c r="C42" s="1" t="s">
        <v>740</v>
      </c>
      <c r="D42" s="1" t="s">
        <v>759</v>
      </c>
      <c r="E42" s="154">
        <f t="shared" si="0"/>
        <v>7.9486217888618029E-7</v>
      </c>
      <c r="H42" s="1" t="s">
        <v>773</v>
      </c>
      <c r="I42" s="96">
        <v>7.7689600000000004E-10</v>
      </c>
      <c r="J42" s="1" t="s">
        <v>740</v>
      </c>
      <c r="K42" s="1" t="s">
        <v>759</v>
      </c>
      <c r="L42" s="154">
        <f t="shared" si="1"/>
        <v>2.1199990591074283E-8</v>
      </c>
    </row>
    <row r="43" spans="1:12" x14ac:dyDescent="0.35">
      <c r="A43" s="1" t="s">
        <v>778</v>
      </c>
      <c r="B43" s="96">
        <v>6.5619719999999997E-7</v>
      </c>
      <c r="C43" s="1" t="s">
        <v>740</v>
      </c>
      <c r="D43" s="1" t="s">
        <v>759</v>
      </c>
      <c r="E43" s="154">
        <f t="shared" si="0"/>
        <v>1.4307519219951244E-5</v>
      </c>
      <c r="H43" s="1" t="s">
        <v>774</v>
      </c>
      <c r="I43" s="96">
        <v>6.1386900000000003E-6</v>
      </c>
      <c r="J43" s="1" t="s">
        <v>740</v>
      </c>
      <c r="K43" s="1" t="s">
        <v>759</v>
      </c>
      <c r="L43" s="154">
        <f t="shared" si="1"/>
        <v>1.6751298789222983E-4</v>
      </c>
    </row>
    <row r="44" spans="1:12" x14ac:dyDescent="0.35">
      <c r="A44" s="1" t="s">
        <v>779</v>
      </c>
      <c r="B44" s="96">
        <v>2.7980959999999999E-5</v>
      </c>
      <c r="C44" s="1" t="s">
        <v>740</v>
      </c>
      <c r="D44" s="1" t="s">
        <v>759</v>
      </c>
      <c r="E44" s="154">
        <f t="shared" si="0"/>
        <v>6.1008813050815675E-4</v>
      </c>
      <c r="H44" s="1" t="s">
        <v>780</v>
      </c>
      <c r="I44" s="96">
        <v>9.8885199999999997E-10</v>
      </c>
      <c r="J44" s="1" t="s">
        <v>740</v>
      </c>
      <c r="K44" s="1" t="s">
        <v>759</v>
      </c>
      <c r="L44" s="154">
        <f t="shared" si="1"/>
        <v>2.6983860254094479E-8</v>
      </c>
    </row>
    <row r="45" spans="1:12" x14ac:dyDescent="0.35">
      <c r="A45" s="1" t="s">
        <v>781</v>
      </c>
      <c r="B45" s="96">
        <v>5.7964000000000004E-9</v>
      </c>
      <c r="C45" s="1" t="s">
        <v>740</v>
      </c>
      <c r="D45" s="1" t="s">
        <v>759</v>
      </c>
      <c r="E45" s="154">
        <f t="shared" si="0"/>
        <v>1.2638289893118321E-7</v>
      </c>
      <c r="H45" s="1" t="s">
        <v>782</v>
      </c>
      <c r="I45" s="96">
        <v>2.76879E-7</v>
      </c>
      <c r="J45" s="1" t="s">
        <v>740</v>
      </c>
      <c r="K45" s="1" t="s">
        <v>759</v>
      </c>
      <c r="L45" s="154">
        <f t="shared" si="1"/>
        <v>7.5554928778962128E-6</v>
      </c>
    </row>
    <row r="46" spans="1:12" x14ac:dyDescent="0.35">
      <c r="A46" s="1" t="s">
        <v>783</v>
      </c>
      <c r="B46" s="96">
        <v>1.2026928000000001E-3</v>
      </c>
      <c r="C46" s="1" t="s">
        <v>740</v>
      </c>
      <c r="D46" s="1" t="s">
        <v>759</v>
      </c>
      <c r="E46" s="154">
        <f t="shared" si="0"/>
        <v>2.6223138946184135E-2</v>
      </c>
      <c r="H46" s="1" t="s">
        <v>784</v>
      </c>
      <c r="I46" s="96">
        <v>9.8885199999999993E-9</v>
      </c>
      <c r="J46" s="1" t="s">
        <v>740</v>
      </c>
      <c r="K46" s="1" t="s">
        <v>759</v>
      </c>
      <c r="L46" s="154">
        <f t="shared" si="1"/>
        <v>2.6983860254094478E-7</v>
      </c>
    </row>
    <row r="47" spans="1:12" x14ac:dyDescent="0.35">
      <c r="A47" s="1" t="s">
        <v>785</v>
      </c>
      <c r="B47" s="96">
        <v>2.3039399999999998E-5</v>
      </c>
      <c r="C47" s="1" t="s">
        <v>740</v>
      </c>
      <c r="D47" s="1" t="s">
        <v>759</v>
      </c>
      <c r="E47" s="154">
        <f t="shared" si="0"/>
        <v>5.0234389649353082E-4</v>
      </c>
      <c r="H47" s="1" t="s">
        <v>775</v>
      </c>
      <c r="I47" s="96">
        <v>1.9092600000000001E-9</v>
      </c>
      <c r="J47" s="1" t="s">
        <v>740</v>
      </c>
      <c r="K47" s="1" t="s">
        <v>759</v>
      </c>
      <c r="L47" s="154">
        <f t="shared" si="1"/>
        <v>5.2100016007180479E-8</v>
      </c>
    </row>
    <row r="48" spans="1:12" x14ac:dyDescent="0.35">
      <c r="A48" s="1" t="s">
        <v>786</v>
      </c>
      <c r="B48" s="96">
        <v>7.3607400000000003E-5</v>
      </c>
      <c r="C48" s="1" t="s">
        <v>740</v>
      </c>
      <c r="D48" s="1" t="s">
        <v>759</v>
      </c>
      <c r="E48" s="154">
        <f t="shared" si="0"/>
        <v>1.6049128070504406E-3</v>
      </c>
      <c r="H48" s="1" t="s">
        <v>787</v>
      </c>
      <c r="I48" s="96">
        <v>1.9422400000000001E-10</v>
      </c>
      <c r="J48" s="1" t="s">
        <v>740</v>
      </c>
      <c r="K48" s="1" t="s">
        <v>759</v>
      </c>
      <c r="L48" s="154">
        <f t="shared" si="1"/>
        <v>5.2999976477685707E-9</v>
      </c>
    </row>
    <row r="49" spans="1:12" x14ac:dyDescent="0.35">
      <c r="A49" s="1" t="s">
        <v>788</v>
      </c>
      <c r="B49" s="96">
        <v>1.3669184000000001E-5</v>
      </c>
      <c r="C49" s="1" t="s">
        <v>740</v>
      </c>
      <c r="D49" s="1" t="s">
        <v>759</v>
      </c>
      <c r="E49" s="154">
        <f t="shared" si="0"/>
        <v>2.9803862741421339E-4</v>
      </c>
      <c r="H49" s="1" t="s">
        <v>777</v>
      </c>
      <c r="I49" s="96">
        <v>8.1053500000000005E-8</v>
      </c>
      <c r="J49" s="1" t="s">
        <v>740</v>
      </c>
      <c r="K49" s="1" t="s">
        <v>759</v>
      </c>
      <c r="L49" s="154">
        <f t="shared" si="1"/>
        <v>2.2117933898149035E-6</v>
      </c>
    </row>
    <row r="50" spans="1:12" x14ac:dyDescent="0.35">
      <c r="A50" s="1" t="s">
        <v>789</v>
      </c>
      <c r="B50" s="96">
        <v>5.8136000000000001E-7</v>
      </c>
      <c r="C50" s="1" t="s">
        <v>740</v>
      </c>
      <c r="D50" s="1" t="s">
        <v>759</v>
      </c>
      <c r="E50" s="154">
        <f t="shared" si="0"/>
        <v>1.2675792237014812E-5</v>
      </c>
      <c r="H50" s="1" t="s">
        <v>779</v>
      </c>
      <c r="I50" s="96">
        <v>2.6774800000000001E-6</v>
      </c>
      <c r="J50" s="1" t="s">
        <v>740</v>
      </c>
      <c r="K50" s="1" t="s">
        <v>759</v>
      </c>
      <c r="L50" s="154">
        <f t="shared" si="1"/>
        <v>7.3063255323479036E-5</v>
      </c>
    </row>
    <row r="51" spans="1:12" x14ac:dyDescent="0.35">
      <c r="A51" s="1" t="s">
        <v>764</v>
      </c>
      <c r="B51" s="96">
        <v>1.7888000000000001E-9</v>
      </c>
      <c r="C51" s="1" t="s">
        <v>740</v>
      </c>
      <c r="D51" s="1" t="s">
        <v>790</v>
      </c>
      <c r="E51" s="154">
        <f t="shared" si="0"/>
        <v>3.9002437652353268E-8</v>
      </c>
      <c r="H51" s="1" t="s">
        <v>781</v>
      </c>
      <c r="I51" s="96">
        <v>3.22485E-10</v>
      </c>
      <c r="J51" s="1" t="s">
        <v>740</v>
      </c>
      <c r="K51" s="1" t="s">
        <v>759</v>
      </c>
      <c r="L51" s="154">
        <f t="shared" si="1"/>
        <v>8.7999924903237887E-9</v>
      </c>
    </row>
    <row r="52" spans="1:12" x14ac:dyDescent="0.35">
      <c r="A52" s="1" t="s">
        <v>772</v>
      </c>
      <c r="B52" s="96">
        <v>1.6099200000000002E-8</v>
      </c>
      <c r="C52" s="1" t="s">
        <v>740</v>
      </c>
      <c r="D52" s="1" t="s">
        <v>790</v>
      </c>
      <c r="E52" s="154">
        <f t="shared" si="0"/>
        <v>3.5102193887117944E-7</v>
      </c>
      <c r="H52" s="1" t="s">
        <v>783</v>
      </c>
      <c r="I52" s="96">
        <v>5.2243200000000002E-5</v>
      </c>
      <c r="J52" s="1" t="s">
        <v>740</v>
      </c>
      <c r="K52" s="1" t="s">
        <v>759</v>
      </c>
      <c r="L52" s="154">
        <f t="shared" si="1"/>
        <v>1.425615974915062E-3</v>
      </c>
    </row>
    <row r="53" spans="1:12" x14ac:dyDescent="0.35">
      <c r="A53" s="1" t="s">
        <v>773</v>
      </c>
      <c r="B53" s="96">
        <v>2.6832000000000002E-8</v>
      </c>
      <c r="C53" s="1" t="s">
        <v>740</v>
      </c>
      <c r="D53" s="1" t="s">
        <v>790</v>
      </c>
      <c r="E53" s="154">
        <f t="shared" si="0"/>
        <v>5.8503656478529905E-7</v>
      </c>
      <c r="H53" s="1" t="s">
        <v>791</v>
      </c>
      <c r="I53" s="96">
        <v>2.8657199999999999E-9</v>
      </c>
      <c r="J53" s="1" t="s">
        <v>740</v>
      </c>
      <c r="K53" s="1" t="s">
        <v>759</v>
      </c>
      <c r="L53" s="154">
        <f t="shared" si="1"/>
        <v>7.8199961174537375E-8</v>
      </c>
    </row>
    <row r="54" spans="1:12" x14ac:dyDescent="0.35">
      <c r="A54" s="1" t="s">
        <v>775</v>
      </c>
      <c r="B54" s="96">
        <v>8.9440000000000005E-9</v>
      </c>
      <c r="C54" s="1" t="s">
        <v>740</v>
      </c>
      <c r="D54" s="1" t="s">
        <v>790</v>
      </c>
      <c r="E54" s="154">
        <f t="shared" si="0"/>
        <v>1.9501218826176637E-7</v>
      </c>
      <c r="H54" s="1" t="s">
        <v>785</v>
      </c>
      <c r="I54" s="96">
        <v>4.9409999999999996E-7</v>
      </c>
      <c r="J54" s="1" t="s">
        <v>740</v>
      </c>
      <c r="K54" s="1" t="s">
        <v>759</v>
      </c>
      <c r="L54" s="154">
        <f t="shared" si="1"/>
        <v>1.348303421699919E-5</v>
      </c>
    </row>
    <row r="55" spans="1:12" x14ac:dyDescent="0.35">
      <c r="A55" s="1" t="s">
        <v>781</v>
      </c>
      <c r="B55" s="96">
        <v>1.4310400000000001E-8</v>
      </c>
      <c r="C55" s="1" t="s">
        <v>740</v>
      </c>
      <c r="D55" s="1" t="s">
        <v>790</v>
      </c>
      <c r="E55" s="154">
        <f t="shared" si="0"/>
        <v>3.1201950121882614E-7</v>
      </c>
      <c r="H55" s="1" t="s">
        <v>792</v>
      </c>
      <c r="I55" s="96">
        <v>1.9776999999999999E-9</v>
      </c>
      <c r="J55" s="1" t="s">
        <v>740</v>
      </c>
      <c r="K55" s="1" t="s">
        <v>759</v>
      </c>
      <c r="L55" s="154">
        <f t="shared" si="1"/>
        <v>5.3967611355918429E-8</v>
      </c>
    </row>
    <row r="56" spans="1:12" x14ac:dyDescent="0.35">
      <c r="A56" s="1" t="s">
        <v>789</v>
      </c>
      <c r="B56" s="96">
        <v>1.4361999999999999E-6</v>
      </c>
      <c r="C56" s="1" t="s">
        <v>740</v>
      </c>
      <c r="D56" s="1" t="s">
        <v>790</v>
      </c>
      <c r="E56" s="154">
        <f t="shared" si="0"/>
        <v>3.1314457153572097E-5</v>
      </c>
      <c r="H56" s="1" t="s">
        <v>793</v>
      </c>
      <c r="I56" s="96">
        <v>3.2961699999999998E-9</v>
      </c>
      <c r="J56" s="1" t="s">
        <v>740</v>
      </c>
      <c r="K56" s="1" t="s">
        <v>759</v>
      </c>
      <c r="L56" s="154">
        <f t="shared" si="1"/>
        <v>8.9946109886756161E-8</v>
      </c>
    </row>
    <row r="57" spans="1:12" x14ac:dyDescent="0.35">
      <c r="A57" s="1" t="s">
        <v>764</v>
      </c>
      <c r="B57" s="96">
        <v>1.7888000000000001E-9</v>
      </c>
      <c r="C57" s="1" t="s">
        <v>740</v>
      </c>
      <c r="D57" s="1" t="s">
        <v>794</v>
      </c>
      <c r="E57" s="154">
        <f t="shared" si="0"/>
        <v>3.9002437652353268E-8</v>
      </c>
      <c r="H57" s="1" t="s">
        <v>795</v>
      </c>
      <c r="I57" s="96">
        <v>3.6646099999999997E-12</v>
      </c>
      <c r="J57" s="1" t="s">
        <v>740</v>
      </c>
      <c r="K57" s="1" t="s">
        <v>759</v>
      </c>
      <c r="L57" s="154">
        <f t="shared" si="1"/>
        <v>1.0000012552511111E-10</v>
      </c>
    </row>
    <row r="58" spans="1:12" x14ac:dyDescent="0.35">
      <c r="A58" s="1" t="s">
        <v>772</v>
      </c>
      <c r="B58" s="96">
        <v>1.6099200000000002E-8</v>
      </c>
      <c r="C58" s="1" t="s">
        <v>740</v>
      </c>
      <c r="D58" s="1" t="s">
        <v>794</v>
      </c>
      <c r="E58" s="154">
        <f t="shared" si="0"/>
        <v>3.5102193887117944E-7</v>
      </c>
      <c r="H58" s="1" t="s">
        <v>796</v>
      </c>
      <c r="I58" s="96">
        <v>1.8458600000000002E-8</v>
      </c>
      <c r="J58" s="1" t="s">
        <v>740</v>
      </c>
      <c r="K58" s="1" t="s">
        <v>759</v>
      </c>
      <c r="L58" s="154">
        <f t="shared" si="1"/>
        <v>5.0369952519308086E-7</v>
      </c>
    </row>
    <row r="59" spans="1:12" x14ac:dyDescent="0.35">
      <c r="A59" s="1" t="s">
        <v>773</v>
      </c>
      <c r="B59" s="96">
        <v>2.6832000000000002E-8</v>
      </c>
      <c r="C59" s="1" t="s">
        <v>740</v>
      </c>
      <c r="D59" s="1" t="s">
        <v>794</v>
      </c>
      <c r="E59" s="154">
        <f t="shared" si="0"/>
        <v>5.8503656478529905E-7</v>
      </c>
      <c r="H59" s="1" t="s">
        <v>797</v>
      </c>
      <c r="I59" s="96">
        <v>5.6666799999999998E-7</v>
      </c>
      <c r="J59" s="1" t="s">
        <v>740</v>
      </c>
      <c r="K59" s="1" t="s">
        <v>759</v>
      </c>
      <c r="L59" s="154">
        <f t="shared" si="1"/>
        <v>1.5463274708922277E-5</v>
      </c>
    </row>
    <row r="60" spans="1:12" x14ac:dyDescent="0.35">
      <c r="A60" s="1" t="s">
        <v>775</v>
      </c>
      <c r="B60" s="96">
        <v>8.9440000000000005E-9</v>
      </c>
      <c r="C60" s="1" t="s">
        <v>740</v>
      </c>
      <c r="D60" s="1" t="s">
        <v>794</v>
      </c>
      <c r="E60" s="154">
        <f t="shared" si="0"/>
        <v>1.9501218826176637E-7</v>
      </c>
      <c r="H60" s="1" t="s">
        <v>798</v>
      </c>
      <c r="I60" s="96">
        <v>3.2961700000000002E-10</v>
      </c>
      <c r="J60" s="1" t="s">
        <v>740</v>
      </c>
      <c r="K60" s="1" t="s">
        <v>759</v>
      </c>
      <c r="L60" s="154">
        <f t="shared" si="1"/>
        <v>8.9946109886756167E-9</v>
      </c>
    </row>
    <row r="61" spans="1:12" x14ac:dyDescent="0.35">
      <c r="A61" s="1" t="s">
        <v>781</v>
      </c>
      <c r="B61" s="96">
        <v>1.4310400000000001E-8</v>
      </c>
      <c r="C61" s="1" t="s">
        <v>740</v>
      </c>
      <c r="D61" s="1" t="s">
        <v>794</v>
      </c>
      <c r="E61" s="154">
        <f t="shared" si="0"/>
        <v>3.1201950121882614E-7</v>
      </c>
      <c r="H61" s="1" t="s">
        <v>789</v>
      </c>
      <c r="I61" s="96">
        <v>6.36908E-8</v>
      </c>
      <c r="J61" s="1" t="s">
        <v>740</v>
      </c>
      <c r="K61" s="1" t="s">
        <v>759</v>
      </c>
      <c r="L61" s="154">
        <f t="shared" si="1"/>
        <v>1.7379988579397935E-6</v>
      </c>
    </row>
    <row r="62" spans="1:12" x14ac:dyDescent="0.35">
      <c r="A62" s="1" t="s">
        <v>789</v>
      </c>
      <c r="B62" s="96">
        <v>1.4361999999999999E-6</v>
      </c>
      <c r="C62" s="1" t="s">
        <v>740</v>
      </c>
      <c r="D62" s="1" t="s">
        <v>794</v>
      </c>
      <c r="E62" s="154">
        <f t="shared" si="0"/>
        <v>3.1314457153572097E-5</v>
      </c>
      <c r="H62" s="1" t="s">
        <v>799</v>
      </c>
      <c r="I62" s="96">
        <v>3.2302500000000001E-8</v>
      </c>
      <c r="J62" s="1" t="s">
        <v>740</v>
      </c>
      <c r="K62" s="1" t="s">
        <v>759</v>
      </c>
      <c r="L62" s="154">
        <f t="shared" si="1"/>
        <v>8.8147280468450995E-7</v>
      </c>
    </row>
    <row r="63" spans="1:12" x14ac:dyDescent="0.35">
      <c r="H63" s="1" t="s">
        <v>800</v>
      </c>
      <c r="I63" s="96">
        <v>1.3184700000000001E-8</v>
      </c>
      <c r="J63" s="1" t="s">
        <v>740</v>
      </c>
      <c r="K63" s="1" t="s">
        <v>759</v>
      </c>
      <c r="L63" s="154">
        <f t="shared" si="1"/>
        <v>3.5978498530837731E-7</v>
      </c>
    </row>
    <row r="64" spans="1:12" x14ac:dyDescent="0.35">
      <c r="A64" s="11"/>
    </row>
    <row r="66" spans="1:23" ht="72.5" x14ac:dyDescent="0.35">
      <c r="A66" s="104" t="s">
        <v>451</v>
      </c>
      <c r="B66" s="102" t="s">
        <v>801</v>
      </c>
      <c r="C66" s="302" t="s">
        <v>486</v>
      </c>
      <c r="D66" s="302" t="s">
        <v>154</v>
      </c>
      <c r="E66" s="302" t="s">
        <v>279</v>
      </c>
      <c r="F66" s="302" t="s">
        <v>280</v>
      </c>
      <c r="G66" s="302" t="s">
        <v>281</v>
      </c>
      <c r="H66" s="302" t="s">
        <v>282</v>
      </c>
      <c r="I66" s="302" t="s">
        <v>283</v>
      </c>
      <c r="J66" s="302" t="s">
        <v>284</v>
      </c>
      <c r="K66" s="302" t="s">
        <v>285</v>
      </c>
      <c r="L66" s="302" t="s">
        <v>286</v>
      </c>
      <c r="M66" s="302" t="s">
        <v>287</v>
      </c>
      <c r="N66" s="302" t="s">
        <v>288</v>
      </c>
      <c r="O66" s="302" t="s">
        <v>289</v>
      </c>
      <c r="P66" s="302" t="s">
        <v>290</v>
      </c>
      <c r="Q66" s="302" t="s">
        <v>291</v>
      </c>
      <c r="R66" s="302" t="s">
        <v>292</v>
      </c>
      <c r="S66" s="302" t="s">
        <v>293</v>
      </c>
      <c r="T66" s="302" t="s">
        <v>294</v>
      </c>
      <c r="U66" s="302" t="s">
        <v>295</v>
      </c>
      <c r="V66" s="302" t="s">
        <v>296</v>
      </c>
      <c r="W66" s="302" t="s">
        <v>297</v>
      </c>
    </row>
    <row r="67" spans="1:23" x14ac:dyDescent="0.35">
      <c r="A67" s="1" t="s">
        <v>802</v>
      </c>
      <c r="B67" s="7"/>
      <c r="C67" s="1">
        <v>1</v>
      </c>
      <c r="D67" s="141" t="s">
        <v>558</v>
      </c>
      <c r="E67" s="96">
        <v>6.3453855178578988E-2</v>
      </c>
      <c r="F67" s="96">
        <v>2.1312375483278019</v>
      </c>
      <c r="G67" s="96">
        <v>0.1165513502482685</v>
      </c>
      <c r="H67" s="96">
        <v>1.9198520462427471</v>
      </c>
      <c r="I67" s="96">
        <v>9.483415183678634E-2</v>
      </c>
      <c r="J67" s="96">
        <v>65.636579251540439</v>
      </c>
      <c r="K67" s="96">
        <v>17.668802692030361</v>
      </c>
      <c r="L67" s="96">
        <v>5.3162723210872787E-4</v>
      </c>
      <c r="M67" s="96">
        <v>4.9243566435507459E-2</v>
      </c>
      <c r="N67" s="96">
        <v>0.30082124086344181</v>
      </c>
      <c r="O67" s="161">
        <v>1.723327912349399E-9</v>
      </c>
      <c r="P67" s="161">
        <v>1.7668422873793039E-7</v>
      </c>
      <c r="Q67" s="96">
        <v>7.2058117266407318E-2</v>
      </c>
      <c r="R67" s="96">
        <v>189.2033309425714</v>
      </c>
      <c r="S67" s="161">
        <v>9.4676938761463082E-6</v>
      </c>
      <c r="T67" s="161">
        <v>9.3966782808901814E-8</v>
      </c>
      <c r="U67" s="161">
        <v>4.8068801688743912E-7</v>
      </c>
      <c r="V67" s="96">
        <v>3.4601495306499641E-2</v>
      </c>
      <c r="W67" s="96">
        <v>3.044296220340128</v>
      </c>
    </row>
    <row r="68" spans="1:23" x14ac:dyDescent="0.35">
      <c r="A68" s="1" t="s">
        <v>803</v>
      </c>
      <c r="B68" s="7"/>
      <c r="C68" s="1">
        <v>1</v>
      </c>
      <c r="D68" s="141" t="s">
        <v>558</v>
      </c>
      <c r="E68" s="96">
        <v>5.3035459840249186E-3</v>
      </c>
      <c r="F68" s="96">
        <v>4.1482980772561993</v>
      </c>
      <c r="G68" s="96">
        <v>8.5734799168365311E-4</v>
      </c>
      <c r="H68" s="96">
        <v>4.1472572806860564</v>
      </c>
      <c r="I68" s="96">
        <v>1.8344857845927959E-4</v>
      </c>
      <c r="J68" s="96">
        <v>1.832845135638107</v>
      </c>
      <c r="K68" s="96">
        <v>55.100487407697372</v>
      </c>
      <c r="L68" s="161">
        <v>4.3853117433037627E-5</v>
      </c>
      <c r="M68" s="96">
        <v>1.1993045380982259E-3</v>
      </c>
      <c r="N68" s="96">
        <v>1.3037918163784251E-2</v>
      </c>
      <c r="O68" s="161">
        <v>2.5350471757121082E-10</v>
      </c>
      <c r="P68" s="161">
        <v>6.7569353088850776E-9</v>
      </c>
      <c r="Q68" s="96">
        <v>1.6544378113660031E-2</v>
      </c>
      <c r="R68" s="96">
        <v>2.8329600749020512</v>
      </c>
      <c r="S68" s="161">
        <v>6.4685201023209792E-7</v>
      </c>
      <c r="T68" s="161">
        <v>9.3480310770943594E-8</v>
      </c>
      <c r="U68" s="161">
        <v>4.0857666204109152E-8</v>
      </c>
      <c r="V68" s="96">
        <v>1.021782483189552E-2</v>
      </c>
      <c r="W68" s="96">
        <v>7.4574338336591883E-2</v>
      </c>
    </row>
    <row r="69" spans="1:23" x14ac:dyDescent="0.35">
      <c r="A69" s="1" t="s">
        <v>804</v>
      </c>
      <c r="B69" s="1"/>
      <c r="C69" s="1">
        <v>1</v>
      </c>
      <c r="D69" s="1" t="s">
        <v>557</v>
      </c>
      <c r="E69" s="96">
        <v>6.4917479808378111E-4</v>
      </c>
      <c r="F69" s="96">
        <v>0.18219807126195031</v>
      </c>
      <c r="G69" s="96">
        <v>3.8089322137568331E-3</v>
      </c>
      <c r="H69" s="96">
        <v>0.17794109566114399</v>
      </c>
      <c r="I69" s="96">
        <v>4.4804338704950098E-4</v>
      </c>
      <c r="J69" s="96">
        <v>0.6253928631247595</v>
      </c>
      <c r="K69" s="96">
        <v>8.7606274521720966</v>
      </c>
      <c r="L69" s="96">
        <v>6.6837193946409128E-5</v>
      </c>
      <c r="M69" s="96">
        <v>1.3350194646841919E-4</v>
      </c>
      <c r="N69" s="96">
        <v>1.2673002520927801E-3</v>
      </c>
      <c r="O69" s="96">
        <v>7.4488651800677251E-11</v>
      </c>
      <c r="P69" s="96">
        <v>4.118758088693749E-9</v>
      </c>
      <c r="Q69" s="96">
        <v>0.36800533721835249</v>
      </c>
      <c r="R69" s="96">
        <v>1.3824672680048169</v>
      </c>
      <c r="S69" s="96">
        <v>4.7441431552970934E-6</v>
      </c>
      <c r="T69" s="96">
        <v>5.6888941542182206E-9</v>
      </c>
      <c r="U69" s="96">
        <v>4.7704281210385562E-9</v>
      </c>
      <c r="V69" s="96">
        <v>4.0497861688886352E-4</v>
      </c>
      <c r="W69" s="96">
        <v>0.1052427822298047</v>
      </c>
    </row>
    <row r="70" spans="1:23" x14ac:dyDescent="0.35">
      <c r="A70" s="1" t="s">
        <v>805</v>
      </c>
      <c r="B70" s="1"/>
      <c r="C70" s="1">
        <v>1</v>
      </c>
      <c r="D70" s="1" t="s">
        <v>557</v>
      </c>
      <c r="E70" s="96">
        <v>5.88814108568818E-4</v>
      </c>
      <c r="F70" s="96">
        <v>5.18727049626619E-2</v>
      </c>
      <c r="G70" s="96">
        <v>6.6321407021587906E-5</v>
      </c>
      <c r="H70" s="96">
        <v>5.1723773168274E-2</v>
      </c>
      <c r="I70" s="96">
        <v>8.2610387366315494E-5</v>
      </c>
      <c r="J70" s="96">
        <v>0.73519640383391605</v>
      </c>
      <c r="K70" s="96">
        <v>0.61152364724192398</v>
      </c>
      <c r="L70" s="96">
        <v>4.8212189078874897E-5</v>
      </c>
      <c r="M70" s="96">
        <v>6.4180496659697607E-5</v>
      </c>
      <c r="N70" s="96">
        <v>7.1157743150184599E-4</v>
      </c>
      <c r="O70" s="96">
        <v>7.7725899378582605E-11</v>
      </c>
      <c r="P70" s="96">
        <v>4.7854270802401399E-9</v>
      </c>
      <c r="Q70" s="96">
        <v>3.5860747038049499E-3</v>
      </c>
      <c r="R70" s="96">
        <v>1.2941657200477401</v>
      </c>
      <c r="S70" s="96">
        <v>6.1440658107819203E-6</v>
      </c>
      <c r="T70" s="96">
        <v>3.59423968054589E-9</v>
      </c>
      <c r="U70" s="96">
        <v>4.0402100723667703E-9</v>
      </c>
      <c r="V70" s="96">
        <v>2.42060646074334E-4</v>
      </c>
      <c r="W70" s="96">
        <v>5.54606113605558E-2</v>
      </c>
    </row>
    <row r="73" spans="1:23" ht="72.5" x14ac:dyDescent="0.35">
      <c r="A73" s="104" t="s">
        <v>451</v>
      </c>
      <c r="B73" s="102" t="s">
        <v>801</v>
      </c>
      <c r="C73" s="302" t="s">
        <v>486</v>
      </c>
      <c r="D73" s="302" t="s">
        <v>154</v>
      </c>
      <c r="E73" s="302" t="s">
        <v>279</v>
      </c>
      <c r="F73" s="302" t="s">
        <v>280</v>
      </c>
      <c r="G73" s="302" t="s">
        <v>281</v>
      </c>
      <c r="H73" s="302" t="s">
        <v>282</v>
      </c>
      <c r="I73" s="302" t="s">
        <v>283</v>
      </c>
      <c r="J73" s="302" t="s">
        <v>284</v>
      </c>
      <c r="K73" s="302" t="s">
        <v>285</v>
      </c>
      <c r="L73" s="302" t="s">
        <v>286</v>
      </c>
      <c r="M73" s="302" t="s">
        <v>287</v>
      </c>
      <c r="N73" s="302" t="s">
        <v>288</v>
      </c>
      <c r="O73" s="302" t="s">
        <v>289</v>
      </c>
      <c r="P73" s="302" t="s">
        <v>290</v>
      </c>
      <c r="Q73" s="302" t="s">
        <v>291</v>
      </c>
      <c r="R73" s="302" t="s">
        <v>292</v>
      </c>
      <c r="S73" s="302" t="s">
        <v>293</v>
      </c>
      <c r="T73" s="302" t="s">
        <v>294</v>
      </c>
      <c r="U73" s="302" t="s">
        <v>295</v>
      </c>
      <c r="V73" s="302" t="s">
        <v>296</v>
      </c>
      <c r="W73" s="302" t="s">
        <v>297</v>
      </c>
    </row>
    <row r="74" spans="1:23" x14ac:dyDescent="0.35">
      <c r="A74" s="6" t="s">
        <v>36</v>
      </c>
      <c r="B74" s="73"/>
      <c r="C74" s="125">
        <v>1</v>
      </c>
      <c r="D74" s="125" t="s">
        <v>558</v>
      </c>
      <c r="E74" s="203">
        <f>E68</f>
        <v>5.3035459840249186E-3</v>
      </c>
      <c r="F74" s="203">
        <f t="shared" ref="F74:W74" si="2">F68</f>
        <v>4.1482980772561993</v>
      </c>
      <c r="G74" s="203">
        <f t="shared" si="2"/>
        <v>8.5734799168365311E-4</v>
      </c>
      <c r="H74" s="203">
        <f t="shared" si="2"/>
        <v>4.1472572806860564</v>
      </c>
      <c r="I74" s="203">
        <f t="shared" si="2"/>
        <v>1.8344857845927959E-4</v>
      </c>
      <c r="J74" s="203">
        <f t="shared" si="2"/>
        <v>1.832845135638107</v>
      </c>
      <c r="K74" s="203">
        <f t="shared" si="2"/>
        <v>55.100487407697372</v>
      </c>
      <c r="L74" s="203">
        <f t="shared" si="2"/>
        <v>4.3853117433037627E-5</v>
      </c>
      <c r="M74" s="203">
        <f t="shared" si="2"/>
        <v>1.1993045380982259E-3</v>
      </c>
      <c r="N74" s="203">
        <f t="shared" si="2"/>
        <v>1.3037918163784251E-2</v>
      </c>
      <c r="O74" s="203">
        <f t="shared" si="2"/>
        <v>2.5350471757121082E-10</v>
      </c>
      <c r="P74" s="203">
        <f t="shared" si="2"/>
        <v>6.7569353088850776E-9</v>
      </c>
      <c r="Q74" s="203">
        <f t="shared" si="2"/>
        <v>1.6544378113660031E-2</v>
      </c>
      <c r="R74" s="203">
        <f t="shared" si="2"/>
        <v>2.8329600749020512</v>
      </c>
      <c r="S74" s="203">
        <f t="shared" si="2"/>
        <v>6.4685201023209792E-7</v>
      </c>
      <c r="T74" s="203">
        <f t="shared" si="2"/>
        <v>9.3480310770943594E-8</v>
      </c>
      <c r="U74" s="203">
        <f t="shared" si="2"/>
        <v>4.0857666204109152E-8</v>
      </c>
      <c r="V74" s="203">
        <f t="shared" si="2"/>
        <v>1.021782483189552E-2</v>
      </c>
      <c r="W74" s="203">
        <f t="shared" si="2"/>
        <v>7.4574338336591883E-2</v>
      </c>
    </row>
    <row r="75" spans="1:23" x14ac:dyDescent="0.35">
      <c r="A75" s="1" t="s">
        <v>87</v>
      </c>
      <c r="B75" s="1"/>
      <c r="C75" s="1">
        <v>1</v>
      </c>
      <c r="D75" s="1" t="s">
        <v>558</v>
      </c>
      <c r="E75" s="158">
        <f>(0.045*E67)+((0.955*E68))</f>
        <v>7.9203098977798508E-3</v>
      </c>
      <c r="F75" s="158">
        <f t="shared" ref="F75:W75" si="3">(0.045*F67)+((0.955*F68))</f>
        <v>4.0575303534544211</v>
      </c>
      <c r="G75" s="158">
        <f t="shared" si="3"/>
        <v>6.0635780932299715E-3</v>
      </c>
      <c r="H75" s="158">
        <f t="shared" si="3"/>
        <v>4.0470240451361068</v>
      </c>
      <c r="I75" s="158">
        <f t="shared" si="3"/>
        <v>4.4427302250839972E-3</v>
      </c>
      <c r="J75" s="158">
        <f t="shared" si="3"/>
        <v>4.7040131708537114</v>
      </c>
      <c r="K75" s="158">
        <f t="shared" si="3"/>
        <v>53.416061595492351</v>
      </c>
      <c r="L75" s="158">
        <f t="shared" si="3"/>
        <v>6.5802952593443679E-5</v>
      </c>
      <c r="M75" s="158">
        <f t="shared" si="3"/>
        <v>3.3612963234816414E-3</v>
      </c>
      <c r="N75" s="158">
        <f t="shared" si="3"/>
        <v>2.5988167685268841E-2</v>
      </c>
      <c r="O75" s="158">
        <f t="shared" si="3"/>
        <v>3.1964676133622929E-10</v>
      </c>
      <c r="P75" s="158">
        <f t="shared" si="3"/>
        <v>1.4403663513192116E-8</v>
      </c>
      <c r="Q75" s="158">
        <f t="shared" si="3"/>
        <v>1.9042496375533659E-2</v>
      </c>
      <c r="R75" s="158">
        <f t="shared" si="3"/>
        <v>11.219626763947172</v>
      </c>
      <c r="S75" s="158">
        <f t="shared" si="3"/>
        <v>1.0437898941982373E-6</v>
      </c>
      <c r="T75" s="158">
        <f t="shared" si="3"/>
        <v>9.3502202012651712E-8</v>
      </c>
      <c r="U75" s="158">
        <f t="shared" si="3"/>
        <v>6.0650031984858996E-8</v>
      </c>
      <c r="V75" s="158">
        <f t="shared" si="3"/>
        <v>1.1315090003252705E-2</v>
      </c>
      <c r="W75" s="158">
        <f t="shared" si="3"/>
        <v>0.20821182302675101</v>
      </c>
    </row>
    <row r="76" spans="1:23" x14ac:dyDescent="0.35">
      <c r="A76" s="1" t="s">
        <v>806</v>
      </c>
      <c r="B76" s="1"/>
      <c r="C76" s="1">
        <v>1</v>
      </c>
      <c r="D76" s="1" t="s">
        <v>558</v>
      </c>
      <c r="E76" s="158">
        <f>(0.07*E67)+(0.93*E68)</f>
        <v>9.3740676276437042E-3</v>
      </c>
      <c r="F76" s="158">
        <f t="shared" ref="F76:W76" si="4">(0.07*F67)+(0.93*F68)</f>
        <v>4.0071038402312116</v>
      </c>
      <c r="G76" s="158">
        <f t="shared" si="4"/>
        <v>8.9559281496445937E-3</v>
      </c>
      <c r="H76" s="158">
        <f t="shared" si="4"/>
        <v>3.9913389142750249</v>
      </c>
      <c r="I76" s="158">
        <f t="shared" si="4"/>
        <v>6.8089978065421749E-3</v>
      </c>
      <c r="J76" s="158">
        <f t="shared" si="4"/>
        <v>6.2991065237512709</v>
      </c>
      <c r="K76" s="158">
        <f t="shared" si="4"/>
        <v>52.480269477600686</v>
      </c>
      <c r="L76" s="158">
        <f t="shared" si="4"/>
        <v>7.7997305460335959E-5</v>
      </c>
      <c r="M76" s="158">
        <f t="shared" si="4"/>
        <v>4.5624028709168726E-3</v>
      </c>
      <c r="N76" s="158">
        <f t="shared" si="4"/>
        <v>3.3182750752760282E-2</v>
      </c>
      <c r="O76" s="158">
        <f t="shared" si="4"/>
        <v>3.5639234120568401E-10</v>
      </c>
      <c r="P76" s="158">
        <f t="shared" si="4"/>
        <v>1.8651845848918251E-8</v>
      </c>
      <c r="Q76" s="158">
        <f t="shared" si="4"/>
        <v>2.0430339854352345E-2</v>
      </c>
      <c r="R76" s="158">
        <f t="shared" si="4"/>
        <v>15.878886035638907</v>
      </c>
      <c r="S76" s="158">
        <f t="shared" si="4"/>
        <v>1.2643109408460927E-6</v>
      </c>
      <c r="T76" s="158">
        <f t="shared" si="4"/>
        <v>9.3514363813600682E-8</v>
      </c>
      <c r="U76" s="158">
        <f t="shared" si="4"/>
        <v>7.164579075194226E-8</v>
      </c>
      <c r="V76" s="158">
        <f t="shared" si="4"/>
        <v>1.1924681765117809E-2</v>
      </c>
      <c r="W76" s="158">
        <f t="shared" si="4"/>
        <v>0.28245487007683945</v>
      </c>
    </row>
    <row r="77" spans="1:23" x14ac:dyDescent="0.35">
      <c r="A77" s="1" t="s">
        <v>807</v>
      </c>
      <c r="B77" s="1"/>
      <c r="C77" s="1">
        <v>1</v>
      </c>
      <c r="D77" s="1" t="s">
        <v>558</v>
      </c>
      <c r="E77" s="158">
        <f>(0.1*E67)+(0.9*E68)</f>
        <v>1.1118576903480327E-2</v>
      </c>
      <c r="F77" s="158">
        <f t="shared" ref="F77:W77" si="5">(0.1*F67)+(0.9*F68)</f>
        <v>3.9465920243633597</v>
      </c>
      <c r="G77" s="158">
        <f t="shared" si="5"/>
        <v>1.2426748217342139E-2</v>
      </c>
      <c r="H77" s="158">
        <f t="shared" si="5"/>
        <v>3.9245167572417254</v>
      </c>
      <c r="I77" s="158">
        <f t="shared" si="5"/>
        <v>9.6485189042919868E-3</v>
      </c>
      <c r="J77" s="158">
        <f t="shared" si="5"/>
        <v>8.2132185472283403</v>
      </c>
      <c r="K77" s="158">
        <f t="shared" si="5"/>
        <v>51.357318936130675</v>
      </c>
      <c r="L77" s="158">
        <f t="shared" si="5"/>
        <v>9.2630528900606646E-5</v>
      </c>
      <c r="M77" s="158">
        <f t="shared" si="5"/>
        <v>6.0037307278391497E-3</v>
      </c>
      <c r="N77" s="158">
        <f t="shared" si="5"/>
        <v>4.1816250433750007E-2</v>
      </c>
      <c r="O77" s="158">
        <f t="shared" si="5"/>
        <v>4.0048703704902963E-10</v>
      </c>
      <c r="P77" s="158">
        <f t="shared" si="5"/>
        <v>2.3749664651789609E-8</v>
      </c>
      <c r="Q77" s="158">
        <f t="shared" si="5"/>
        <v>2.2095752028934761E-2</v>
      </c>
      <c r="R77" s="158">
        <f t="shared" si="5"/>
        <v>21.469997161668989</v>
      </c>
      <c r="S77" s="158">
        <f t="shared" si="5"/>
        <v>1.528936196823519E-6</v>
      </c>
      <c r="T77" s="158">
        <f t="shared" si="5"/>
        <v>9.3528957974739409E-8</v>
      </c>
      <c r="U77" s="158">
        <f t="shared" si="5"/>
        <v>8.4840701272442151E-8</v>
      </c>
      <c r="V77" s="158">
        <f t="shared" si="5"/>
        <v>1.2656191879355932E-2</v>
      </c>
      <c r="W77" s="158">
        <f t="shared" si="5"/>
        <v>0.37154652653694553</v>
      </c>
    </row>
    <row r="78" spans="1:23" x14ac:dyDescent="0.35">
      <c r="A78" s="1" t="s">
        <v>79</v>
      </c>
      <c r="B78" s="1"/>
      <c r="C78" s="1">
        <v>1</v>
      </c>
      <c r="D78" s="1" t="s">
        <v>558</v>
      </c>
      <c r="E78" s="158">
        <f>(0.2*E67)+(0.8*E68)</f>
        <v>1.6933607822935733E-2</v>
      </c>
      <c r="F78" s="158">
        <f t="shared" ref="F78:W78" si="6">(0.2*F67)+(0.8*F68)</f>
        <v>3.74488597147052</v>
      </c>
      <c r="G78" s="158">
        <f t="shared" si="6"/>
        <v>2.3996148443000624E-2</v>
      </c>
      <c r="H78" s="158">
        <f t="shared" si="6"/>
        <v>3.7017762337973945</v>
      </c>
      <c r="I78" s="158">
        <f t="shared" si="6"/>
        <v>1.9113589230124694E-2</v>
      </c>
      <c r="J78" s="158">
        <f t="shared" si="6"/>
        <v>14.593591958818575</v>
      </c>
      <c r="K78" s="158">
        <f t="shared" si="6"/>
        <v>47.61415046456397</v>
      </c>
      <c r="L78" s="158">
        <f t="shared" si="6"/>
        <v>1.4140794036817569E-4</v>
      </c>
      <c r="M78" s="158">
        <f t="shared" si="6"/>
        <v>1.0808156917580074E-2</v>
      </c>
      <c r="N78" s="158">
        <f t="shared" si="6"/>
        <v>7.0594582703715769E-2</v>
      </c>
      <c r="O78" s="158">
        <f t="shared" si="6"/>
        <v>5.4746935652684843E-10</v>
      </c>
      <c r="P78" s="158">
        <f t="shared" si="6"/>
        <v>4.0742393994694141E-8</v>
      </c>
      <c r="Q78" s="158">
        <f t="shared" si="6"/>
        <v>2.764712594420949E-2</v>
      </c>
      <c r="R78" s="158">
        <f t="shared" si="6"/>
        <v>40.107034248435923</v>
      </c>
      <c r="S78" s="158">
        <f t="shared" si="6"/>
        <v>2.4110203834149401E-6</v>
      </c>
      <c r="T78" s="158">
        <f t="shared" si="6"/>
        <v>9.3577605178535238E-8</v>
      </c>
      <c r="U78" s="158">
        <f t="shared" si="6"/>
        <v>1.2882373634077516E-7</v>
      </c>
      <c r="V78" s="158">
        <f t="shared" si="6"/>
        <v>1.5094558926816345E-2</v>
      </c>
      <c r="W78" s="158">
        <f t="shared" si="6"/>
        <v>0.66851871473729907</v>
      </c>
    </row>
    <row r="79" spans="1:23" x14ac:dyDescent="0.35">
      <c r="A79" s="1" t="s">
        <v>808</v>
      </c>
      <c r="B79" s="1"/>
      <c r="C79" s="1">
        <v>1</v>
      </c>
      <c r="D79" s="1" t="s">
        <v>558</v>
      </c>
      <c r="E79" s="158">
        <f>E67</f>
        <v>6.3453855178578988E-2</v>
      </c>
      <c r="F79" s="158">
        <f t="shared" ref="F79:W79" si="7">F67</f>
        <v>2.1312375483278019</v>
      </c>
      <c r="G79" s="158">
        <f t="shared" si="7"/>
        <v>0.1165513502482685</v>
      </c>
      <c r="H79" s="158">
        <f t="shared" si="7"/>
        <v>1.9198520462427471</v>
      </c>
      <c r="I79" s="158">
        <f t="shared" si="7"/>
        <v>9.483415183678634E-2</v>
      </c>
      <c r="J79" s="158">
        <f t="shared" si="7"/>
        <v>65.636579251540439</v>
      </c>
      <c r="K79" s="158">
        <f t="shared" si="7"/>
        <v>17.668802692030361</v>
      </c>
      <c r="L79" s="158">
        <f t="shared" si="7"/>
        <v>5.3162723210872787E-4</v>
      </c>
      <c r="M79" s="158">
        <f t="shared" si="7"/>
        <v>4.9243566435507459E-2</v>
      </c>
      <c r="N79" s="158">
        <f t="shared" si="7"/>
        <v>0.30082124086344181</v>
      </c>
      <c r="O79" s="158">
        <f t="shared" si="7"/>
        <v>1.723327912349399E-9</v>
      </c>
      <c r="P79" s="158">
        <f t="shared" si="7"/>
        <v>1.7668422873793039E-7</v>
      </c>
      <c r="Q79" s="158">
        <f t="shared" si="7"/>
        <v>7.2058117266407318E-2</v>
      </c>
      <c r="R79" s="158">
        <f t="shared" si="7"/>
        <v>189.2033309425714</v>
      </c>
      <c r="S79" s="158">
        <f t="shared" si="7"/>
        <v>9.4676938761463082E-6</v>
      </c>
      <c r="T79" s="158">
        <f t="shared" si="7"/>
        <v>9.3966782808901814E-8</v>
      </c>
      <c r="U79" s="158">
        <f t="shared" si="7"/>
        <v>4.8068801688743912E-7</v>
      </c>
      <c r="V79" s="158">
        <f t="shared" si="7"/>
        <v>3.4601495306499641E-2</v>
      </c>
      <c r="W79" s="158">
        <f t="shared" si="7"/>
        <v>3.044296220340128</v>
      </c>
    </row>
    <row r="80" spans="1:23" x14ac:dyDescent="0.35">
      <c r="A80" s="1" t="s">
        <v>82</v>
      </c>
      <c r="B80" s="1"/>
      <c r="C80" s="1">
        <v>1</v>
      </c>
      <c r="D80" s="1" t="s">
        <v>557</v>
      </c>
      <c r="E80" s="154">
        <f>E69</f>
        <v>6.4917479808378111E-4</v>
      </c>
      <c r="F80" s="154">
        <f t="shared" ref="F80:W80" si="8">F69</f>
        <v>0.18219807126195031</v>
      </c>
      <c r="G80" s="154">
        <f t="shared" si="8"/>
        <v>3.8089322137568331E-3</v>
      </c>
      <c r="H80" s="154">
        <f t="shared" si="8"/>
        <v>0.17794109566114399</v>
      </c>
      <c r="I80" s="154">
        <f t="shared" si="8"/>
        <v>4.4804338704950098E-4</v>
      </c>
      <c r="J80" s="154">
        <f t="shared" si="8"/>
        <v>0.6253928631247595</v>
      </c>
      <c r="K80" s="154">
        <f t="shared" si="8"/>
        <v>8.7606274521720966</v>
      </c>
      <c r="L80" s="154">
        <f t="shared" si="8"/>
        <v>6.6837193946409128E-5</v>
      </c>
      <c r="M80" s="154">
        <f t="shared" si="8"/>
        <v>1.3350194646841919E-4</v>
      </c>
      <c r="N80" s="154">
        <f t="shared" si="8"/>
        <v>1.2673002520927801E-3</v>
      </c>
      <c r="O80" s="154">
        <f t="shared" si="8"/>
        <v>7.4488651800677251E-11</v>
      </c>
      <c r="P80" s="154">
        <f t="shared" si="8"/>
        <v>4.118758088693749E-9</v>
      </c>
      <c r="Q80" s="154">
        <f t="shared" si="8"/>
        <v>0.36800533721835249</v>
      </c>
      <c r="R80" s="154">
        <f t="shared" si="8"/>
        <v>1.3824672680048169</v>
      </c>
      <c r="S80" s="154">
        <f t="shared" si="8"/>
        <v>4.7441431552970934E-6</v>
      </c>
      <c r="T80" s="154">
        <f t="shared" si="8"/>
        <v>5.6888941542182206E-9</v>
      </c>
      <c r="U80" s="154">
        <f t="shared" si="8"/>
        <v>4.7704281210385562E-9</v>
      </c>
      <c r="V80" s="154">
        <f t="shared" si="8"/>
        <v>4.0497861688886352E-4</v>
      </c>
      <c r="W80" s="154">
        <f t="shared" si="8"/>
        <v>0.1052427822298047</v>
      </c>
    </row>
    <row r="81" spans="1:23" x14ac:dyDescent="0.35">
      <c r="A81" s="1" t="s">
        <v>92</v>
      </c>
      <c r="B81" s="1"/>
      <c r="C81" s="1">
        <v>1</v>
      </c>
      <c r="D81" s="1" t="s">
        <v>557</v>
      </c>
      <c r="E81" s="154">
        <f>E70</f>
        <v>5.88814108568818E-4</v>
      </c>
      <c r="F81" s="154">
        <f t="shared" ref="F81:W81" si="9">F70</f>
        <v>5.18727049626619E-2</v>
      </c>
      <c r="G81" s="154">
        <f t="shared" si="9"/>
        <v>6.6321407021587906E-5</v>
      </c>
      <c r="H81" s="154">
        <f t="shared" si="9"/>
        <v>5.1723773168274E-2</v>
      </c>
      <c r="I81" s="154">
        <f t="shared" si="9"/>
        <v>8.2610387366315494E-5</v>
      </c>
      <c r="J81" s="154">
        <f t="shared" si="9"/>
        <v>0.73519640383391605</v>
      </c>
      <c r="K81" s="154">
        <f t="shared" si="9"/>
        <v>0.61152364724192398</v>
      </c>
      <c r="L81" s="154">
        <f t="shared" si="9"/>
        <v>4.8212189078874897E-5</v>
      </c>
      <c r="M81" s="154">
        <f t="shared" si="9"/>
        <v>6.4180496659697607E-5</v>
      </c>
      <c r="N81" s="154">
        <f t="shared" si="9"/>
        <v>7.1157743150184599E-4</v>
      </c>
      <c r="O81" s="154">
        <f t="shared" si="9"/>
        <v>7.7725899378582605E-11</v>
      </c>
      <c r="P81" s="154">
        <f t="shared" si="9"/>
        <v>4.7854270802401399E-9</v>
      </c>
      <c r="Q81" s="154">
        <f t="shared" si="9"/>
        <v>3.5860747038049499E-3</v>
      </c>
      <c r="R81" s="154">
        <f t="shared" si="9"/>
        <v>1.2941657200477401</v>
      </c>
      <c r="S81" s="154">
        <f t="shared" si="9"/>
        <v>6.1440658107819203E-6</v>
      </c>
      <c r="T81" s="154">
        <f t="shared" si="9"/>
        <v>3.59423968054589E-9</v>
      </c>
      <c r="U81" s="154">
        <f t="shared" si="9"/>
        <v>4.0402100723667703E-9</v>
      </c>
      <c r="V81" s="154">
        <f t="shared" si="9"/>
        <v>2.42060646074334E-4</v>
      </c>
      <c r="W81" s="154">
        <f t="shared" si="9"/>
        <v>5.54606113605558E-2</v>
      </c>
    </row>
    <row r="83" spans="1:23" x14ac:dyDescent="0.35">
      <c r="A83" s="32" t="s">
        <v>809</v>
      </c>
    </row>
    <row r="85" spans="1:23" ht="72.5" x14ac:dyDescent="0.35">
      <c r="A85" s="104" t="s">
        <v>451</v>
      </c>
      <c r="B85" s="102" t="s">
        <v>801</v>
      </c>
      <c r="C85" s="302" t="s">
        <v>486</v>
      </c>
      <c r="D85" s="302" t="s">
        <v>154</v>
      </c>
      <c r="E85" s="302" t="s">
        <v>279</v>
      </c>
      <c r="F85" s="302" t="s">
        <v>280</v>
      </c>
      <c r="G85" s="302" t="s">
        <v>281</v>
      </c>
      <c r="H85" s="302" t="s">
        <v>282</v>
      </c>
      <c r="I85" s="302" t="s">
        <v>283</v>
      </c>
      <c r="J85" s="302" t="s">
        <v>284</v>
      </c>
      <c r="K85" s="302" t="s">
        <v>285</v>
      </c>
      <c r="L85" s="302" t="s">
        <v>286</v>
      </c>
      <c r="M85" s="302" t="s">
        <v>287</v>
      </c>
      <c r="N85" s="302" t="s">
        <v>288</v>
      </c>
      <c r="O85" s="302" t="s">
        <v>289</v>
      </c>
      <c r="P85" s="302" t="s">
        <v>290</v>
      </c>
      <c r="Q85" s="302" t="s">
        <v>291</v>
      </c>
      <c r="R85" s="302" t="s">
        <v>292</v>
      </c>
      <c r="S85" s="302" t="s">
        <v>293</v>
      </c>
      <c r="T85" s="302" t="s">
        <v>294</v>
      </c>
      <c r="U85" s="302" t="s">
        <v>295</v>
      </c>
      <c r="V85" s="302" t="s">
        <v>296</v>
      </c>
      <c r="W85" s="302" t="s">
        <v>297</v>
      </c>
    </row>
    <row r="86" spans="1:23" ht="43.5" x14ac:dyDescent="0.35">
      <c r="A86" s="53" t="s">
        <v>810</v>
      </c>
      <c r="B86" s="1"/>
      <c r="C86" s="1">
        <v>1</v>
      </c>
      <c r="D86" s="1" t="s">
        <v>811</v>
      </c>
      <c r="E86" s="96">
        <v>2.929147E-3</v>
      </c>
      <c r="F86" s="96">
        <v>9.6619173000000003E-2</v>
      </c>
      <c r="G86" s="96">
        <v>3.3204409999999999E-3</v>
      </c>
      <c r="H86" s="96">
        <v>9.3250374999999996E-2</v>
      </c>
      <c r="I86" s="161">
        <v>4.8357299999999999E-5</v>
      </c>
      <c r="J86" s="96">
        <v>3.46008263</v>
      </c>
      <c r="K86" s="96">
        <v>0.95156249100000001</v>
      </c>
      <c r="L86" s="161">
        <v>2.5098900000000001E-5</v>
      </c>
      <c r="M86" s="96">
        <v>2.5837389999999998E-3</v>
      </c>
      <c r="N86" s="96">
        <v>1.389372E-2</v>
      </c>
      <c r="O86" s="161">
        <v>9.9578200000000002E-11</v>
      </c>
      <c r="P86" s="161">
        <v>1.08848E-8</v>
      </c>
      <c r="Q86" s="96">
        <v>5.5848089999999996E-3</v>
      </c>
      <c r="R86" s="96">
        <v>7.060621373</v>
      </c>
      <c r="S86" s="161">
        <v>6.2175199999999997E-7</v>
      </c>
      <c r="T86" s="161">
        <v>5.5803799999999997E-9</v>
      </c>
      <c r="U86" s="161">
        <v>2.9940799999999999E-8</v>
      </c>
      <c r="V86" s="96">
        <v>1.6110510000000001E-3</v>
      </c>
      <c r="W86" s="96">
        <v>0.14742878700000001</v>
      </c>
    </row>
    <row r="87" spans="1:23" ht="29" x14ac:dyDescent="0.35">
      <c r="A87" s="53" t="s">
        <v>812</v>
      </c>
      <c r="B87" s="1"/>
      <c r="C87" s="1">
        <v>1</v>
      </c>
      <c r="D87" s="1" t="s">
        <v>811</v>
      </c>
      <c r="E87" s="96">
        <v>4.4273700000000001E-4</v>
      </c>
      <c r="F87" s="96">
        <v>0.16183594900000001</v>
      </c>
      <c r="G87" s="161">
        <v>7.4798799999999999E-5</v>
      </c>
      <c r="H87" s="96">
        <v>0.161748425</v>
      </c>
      <c r="I87" s="161">
        <v>1.2724900000000001E-5</v>
      </c>
      <c r="J87" s="96">
        <v>0.137536828</v>
      </c>
      <c r="K87" s="96">
        <v>2.1759396099999999</v>
      </c>
      <c r="L87" s="161">
        <v>3.7230000000000002E-6</v>
      </c>
      <c r="M87" s="96">
        <v>1.5885399999999999E-4</v>
      </c>
      <c r="N87" s="96">
        <v>1.7328549999999999E-3</v>
      </c>
      <c r="O87" s="161">
        <v>1.51271E-11</v>
      </c>
      <c r="P87" s="161">
        <v>1.1598500000000001E-9</v>
      </c>
      <c r="Q87" s="96">
        <v>9.7962799999999997E-4</v>
      </c>
      <c r="R87" s="96">
        <v>0.13654184</v>
      </c>
      <c r="S87" s="161">
        <v>1.7542099999999999E-7</v>
      </c>
      <c r="T87" s="161">
        <v>3.59986E-9</v>
      </c>
      <c r="U87" s="161">
        <v>1.0943000000000001E-8</v>
      </c>
      <c r="V87" s="96">
        <v>6.9705500000000003E-4</v>
      </c>
      <c r="W87" s="96">
        <v>4.9112419999999997E-3</v>
      </c>
    </row>
    <row r="88" spans="1:23" x14ac:dyDescent="0.35">
      <c r="A88" s="1" t="s">
        <v>813</v>
      </c>
      <c r="B88" s="1"/>
      <c r="C88" s="1">
        <v>1</v>
      </c>
      <c r="D88" s="1" t="s">
        <v>814</v>
      </c>
      <c r="E88" s="96">
        <v>6.5039360209278002E-4</v>
      </c>
      <c r="F88" s="96">
        <v>0.18219807126195001</v>
      </c>
      <c r="G88" s="96">
        <v>3.80893221375684E-3</v>
      </c>
      <c r="H88" s="96">
        <v>0.17794109566114399</v>
      </c>
      <c r="I88" s="96">
        <v>4.4804338704950098E-4</v>
      </c>
      <c r="J88" s="96">
        <v>0.65325751113157204</v>
      </c>
      <c r="K88" s="96">
        <v>8.7606274521721108</v>
      </c>
      <c r="L88" s="161">
        <v>6.6837193946409602E-5</v>
      </c>
      <c r="M88" s="96">
        <v>1.3356680211614301E-4</v>
      </c>
      <c r="N88" s="96">
        <v>1.26773598209279E-3</v>
      </c>
      <c r="O88" s="161">
        <v>7.6342613717656297E-11</v>
      </c>
      <c r="P88" s="161">
        <v>4.9195629825766001E-9</v>
      </c>
      <c r="Q88" s="96">
        <v>0.36800533721835199</v>
      </c>
      <c r="R88" s="96">
        <v>1.38246726800481</v>
      </c>
      <c r="S88" s="161">
        <v>4.7441431552971002E-6</v>
      </c>
      <c r="T88" s="161">
        <v>5.6888941542180097E-9</v>
      </c>
      <c r="U88" s="161">
        <v>1.2534888084716E-8</v>
      </c>
      <c r="V88" s="96">
        <v>4.05054071096346E-4</v>
      </c>
      <c r="W88" s="96">
        <v>0.105242782229804</v>
      </c>
    </row>
    <row r="89" spans="1:23" x14ac:dyDescent="0.35">
      <c r="A89" s="1" t="s">
        <v>815</v>
      </c>
      <c r="B89" s="1"/>
      <c r="C89" s="1">
        <v>1</v>
      </c>
      <c r="D89" s="1" t="s">
        <v>814</v>
      </c>
      <c r="E89" s="96">
        <v>5.9003292043571603E-4</v>
      </c>
      <c r="F89" s="96">
        <v>5.18727049626619E-2</v>
      </c>
      <c r="G89" s="161">
        <v>6.6321407021587906E-5</v>
      </c>
      <c r="H89" s="96">
        <v>5.1723773168274E-2</v>
      </c>
      <c r="I89" s="161">
        <v>8.2610387366315494E-5</v>
      </c>
      <c r="J89" s="96">
        <v>0.76306116520403</v>
      </c>
      <c r="K89" s="96">
        <v>0.61152364724192398</v>
      </c>
      <c r="L89" s="161">
        <v>4.8212189078874897E-5</v>
      </c>
      <c r="M89" s="161">
        <v>6.4245351852123994E-5</v>
      </c>
      <c r="N89" s="96">
        <v>7.1201316082524196E-4</v>
      </c>
      <c r="O89" s="161">
        <v>7.9579867853556603E-11</v>
      </c>
      <c r="P89" s="161">
        <v>5.5862343865905501E-9</v>
      </c>
      <c r="Q89" s="96">
        <v>3.5860747038049499E-3</v>
      </c>
      <c r="R89" s="96">
        <v>1.2941657200477401</v>
      </c>
      <c r="S89" s="161">
        <v>6.1440658107819203E-6</v>
      </c>
      <c r="T89" s="161">
        <v>3.59423968054589E-9</v>
      </c>
      <c r="U89" s="161">
        <v>1.1804682143526399E-8</v>
      </c>
      <c r="V89" s="96">
        <v>2.42136100768286E-4</v>
      </c>
      <c r="W89" s="96">
        <v>5.54606113605558E-2</v>
      </c>
    </row>
    <row r="90" spans="1:23" x14ac:dyDescent="0.35">
      <c r="G90" s="87"/>
      <c r="I90" s="87"/>
      <c r="L90" s="87"/>
      <c r="M90" s="87"/>
      <c r="O90" s="87"/>
      <c r="P90" s="87"/>
      <c r="S90" s="87"/>
      <c r="T90" s="87"/>
      <c r="U90" s="87"/>
    </row>
    <row r="92" spans="1:23" ht="72.5" x14ac:dyDescent="0.35">
      <c r="A92" s="104" t="s">
        <v>451</v>
      </c>
      <c r="B92" s="102" t="s">
        <v>801</v>
      </c>
      <c r="C92" s="302" t="s">
        <v>486</v>
      </c>
      <c r="D92" s="302" t="s">
        <v>154</v>
      </c>
      <c r="E92" s="302" t="s">
        <v>279</v>
      </c>
      <c r="F92" s="302" t="s">
        <v>280</v>
      </c>
      <c r="G92" s="302" t="s">
        <v>281</v>
      </c>
      <c r="H92" s="302" t="s">
        <v>282</v>
      </c>
      <c r="I92" s="302" t="s">
        <v>283</v>
      </c>
      <c r="J92" s="302" t="s">
        <v>284</v>
      </c>
      <c r="K92" s="302" t="s">
        <v>285</v>
      </c>
      <c r="L92" s="302" t="s">
        <v>286</v>
      </c>
      <c r="M92" s="302" t="s">
        <v>287</v>
      </c>
      <c r="N92" s="302" t="s">
        <v>288</v>
      </c>
      <c r="O92" s="302" t="s">
        <v>289</v>
      </c>
      <c r="P92" s="302" t="s">
        <v>290</v>
      </c>
      <c r="Q92" s="302" t="s">
        <v>291</v>
      </c>
      <c r="R92" s="302" t="s">
        <v>292</v>
      </c>
      <c r="S92" s="302" t="s">
        <v>293</v>
      </c>
      <c r="T92" s="302" t="s">
        <v>294</v>
      </c>
      <c r="U92" s="302" t="s">
        <v>295</v>
      </c>
      <c r="V92" s="302" t="s">
        <v>296</v>
      </c>
      <c r="W92" s="302" t="s">
        <v>297</v>
      </c>
    </row>
    <row r="93" spans="1:23" x14ac:dyDescent="0.35">
      <c r="A93" s="6" t="s">
        <v>36</v>
      </c>
      <c r="B93" s="1"/>
      <c r="C93" s="1">
        <v>1</v>
      </c>
      <c r="D93" s="1" t="s">
        <v>811</v>
      </c>
      <c r="E93" s="154">
        <f>E87</f>
        <v>4.4273700000000001E-4</v>
      </c>
      <c r="F93" s="154">
        <f t="shared" ref="F93:W93" si="10">F87</f>
        <v>0.16183594900000001</v>
      </c>
      <c r="G93" s="154">
        <f t="shared" si="10"/>
        <v>7.4798799999999999E-5</v>
      </c>
      <c r="H93" s="154">
        <f t="shared" si="10"/>
        <v>0.161748425</v>
      </c>
      <c r="I93" s="154">
        <f t="shared" si="10"/>
        <v>1.2724900000000001E-5</v>
      </c>
      <c r="J93" s="154">
        <f t="shared" si="10"/>
        <v>0.137536828</v>
      </c>
      <c r="K93" s="154">
        <f t="shared" si="10"/>
        <v>2.1759396099999999</v>
      </c>
      <c r="L93" s="154">
        <f t="shared" si="10"/>
        <v>3.7230000000000002E-6</v>
      </c>
      <c r="M93" s="154">
        <f t="shared" si="10"/>
        <v>1.5885399999999999E-4</v>
      </c>
      <c r="N93" s="154">
        <f t="shared" si="10"/>
        <v>1.7328549999999999E-3</v>
      </c>
      <c r="O93" s="154">
        <f t="shared" si="10"/>
        <v>1.51271E-11</v>
      </c>
      <c r="P93" s="154">
        <f t="shared" si="10"/>
        <v>1.1598500000000001E-9</v>
      </c>
      <c r="Q93" s="154">
        <f t="shared" si="10"/>
        <v>9.7962799999999997E-4</v>
      </c>
      <c r="R93" s="154">
        <f t="shared" si="10"/>
        <v>0.13654184</v>
      </c>
      <c r="S93" s="154">
        <f t="shared" si="10"/>
        <v>1.7542099999999999E-7</v>
      </c>
      <c r="T93" s="154">
        <f t="shared" si="10"/>
        <v>3.59986E-9</v>
      </c>
      <c r="U93" s="154">
        <f t="shared" si="10"/>
        <v>1.0943000000000001E-8</v>
      </c>
      <c r="V93" s="154">
        <f t="shared" si="10"/>
        <v>6.9705500000000003E-4</v>
      </c>
      <c r="W93" s="154">
        <f t="shared" si="10"/>
        <v>4.9112419999999997E-3</v>
      </c>
    </row>
    <row r="94" spans="1:23" x14ac:dyDescent="0.35">
      <c r="A94" s="1" t="s">
        <v>87</v>
      </c>
      <c r="B94" s="1"/>
      <c r="C94" s="1">
        <v>1</v>
      </c>
      <c r="D94" s="1" t="s">
        <v>811</v>
      </c>
      <c r="E94" s="154">
        <f>(0.045*E86)+(0.955*E87)</f>
        <v>5.5462544999999993E-4</v>
      </c>
      <c r="F94" s="154">
        <f>(0.045*F86)+(0.955*F87)</f>
        <v>0.15890119408</v>
      </c>
      <c r="G94" s="154">
        <f t="shared" ref="G94:W94" si="11">(0.045*G86)+(0.955*G87)</f>
        <v>2.2085269899999998E-4</v>
      </c>
      <c r="H94" s="154">
        <f t="shared" si="11"/>
        <v>0.15866601275</v>
      </c>
      <c r="I94" s="154">
        <f t="shared" si="11"/>
        <v>1.4328357999999998E-5</v>
      </c>
      <c r="J94" s="154">
        <f t="shared" si="11"/>
        <v>0.28705138909</v>
      </c>
      <c r="K94" s="154">
        <f t="shared" si="11"/>
        <v>2.1208426396449997</v>
      </c>
      <c r="L94" s="154">
        <f t="shared" si="11"/>
        <v>4.6849155000000006E-6</v>
      </c>
      <c r="M94" s="154">
        <f t="shared" si="11"/>
        <v>2.6797382499999997E-4</v>
      </c>
      <c r="N94" s="154">
        <f t="shared" si="11"/>
        <v>2.2800939249999997E-3</v>
      </c>
      <c r="O94" s="154">
        <f t="shared" si="11"/>
        <v>1.8927399499999998E-11</v>
      </c>
      <c r="P94" s="154">
        <f t="shared" si="11"/>
        <v>1.5974727500000001E-9</v>
      </c>
      <c r="Q94" s="154">
        <f t="shared" si="11"/>
        <v>1.1868611449999998E-3</v>
      </c>
      <c r="R94" s="154">
        <f t="shared" si="11"/>
        <v>0.44812541898500002</v>
      </c>
      <c r="S94" s="154">
        <f t="shared" si="11"/>
        <v>1.9550589499999997E-7</v>
      </c>
      <c r="T94" s="154">
        <f t="shared" si="11"/>
        <v>3.6889833999999997E-9</v>
      </c>
      <c r="U94" s="154">
        <f t="shared" si="11"/>
        <v>1.1797901000000001E-8</v>
      </c>
      <c r="V94" s="154">
        <f t="shared" si="11"/>
        <v>7.3818482E-4</v>
      </c>
      <c r="W94" s="154">
        <f t="shared" si="11"/>
        <v>1.1324531524999999E-2</v>
      </c>
    </row>
    <row r="95" spans="1:23" x14ac:dyDescent="0.35">
      <c r="A95" s="1" t="s">
        <v>806</v>
      </c>
      <c r="B95" s="1"/>
      <c r="C95" s="1">
        <v>1</v>
      </c>
      <c r="D95" s="1" t="s">
        <v>811</v>
      </c>
      <c r="E95" s="154">
        <f>(0.07*E86)+(0.93*E87)</f>
        <v>6.1678570000000003E-4</v>
      </c>
      <c r="F95" s="154">
        <f t="shared" ref="F95:W95" si="12">(0.07*F86)+(0.93*F87)</f>
        <v>0.15727077468</v>
      </c>
      <c r="G95" s="154">
        <f t="shared" si="12"/>
        <v>3.0199375399999999E-4</v>
      </c>
      <c r="H95" s="154">
        <f t="shared" si="12"/>
        <v>0.15695356150000001</v>
      </c>
      <c r="I95" s="154">
        <f t="shared" si="12"/>
        <v>1.5219168000000002E-5</v>
      </c>
      <c r="J95" s="154">
        <f t="shared" si="12"/>
        <v>0.37011503414000002</v>
      </c>
      <c r="K95" s="154">
        <f t="shared" si="12"/>
        <v>2.0902332116700002</v>
      </c>
      <c r="L95" s="154">
        <f t="shared" si="12"/>
        <v>5.2193130000000007E-6</v>
      </c>
      <c r="M95" s="154">
        <f t="shared" si="12"/>
        <v>3.2859594999999999E-4</v>
      </c>
      <c r="N95" s="154">
        <f t="shared" si="12"/>
        <v>2.5841155500000001E-3</v>
      </c>
      <c r="O95" s="154">
        <f t="shared" si="12"/>
        <v>2.1038677000000001E-11</v>
      </c>
      <c r="P95" s="154">
        <f t="shared" si="12"/>
        <v>1.8405965000000004E-9</v>
      </c>
      <c r="Q95" s="154">
        <f t="shared" si="12"/>
        <v>1.3019906700000002E-3</v>
      </c>
      <c r="R95" s="154">
        <f t="shared" si="12"/>
        <v>0.62122740731000003</v>
      </c>
      <c r="S95" s="154">
        <f t="shared" si="12"/>
        <v>2.0666417000000001E-7</v>
      </c>
      <c r="T95" s="154">
        <f t="shared" si="12"/>
        <v>3.7384964000000004E-9</v>
      </c>
      <c r="U95" s="154">
        <f t="shared" si="12"/>
        <v>1.2272846000000001E-8</v>
      </c>
      <c r="V95" s="154">
        <f t="shared" si="12"/>
        <v>7.6103472000000011E-4</v>
      </c>
      <c r="W95" s="154">
        <f t="shared" si="12"/>
        <v>1.488747015E-2</v>
      </c>
    </row>
    <row r="96" spans="1:23" x14ac:dyDescent="0.35">
      <c r="A96" s="1" t="s">
        <v>807</v>
      </c>
      <c r="B96" s="1"/>
      <c r="C96" s="1">
        <v>1</v>
      </c>
      <c r="D96" s="1" t="s">
        <v>811</v>
      </c>
      <c r="E96" s="154">
        <f>(0.1*E86)+(0.9*E87)</f>
        <v>6.9137800000000009E-4</v>
      </c>
      <c r="F96" s="154">
        <f t="shared" ref="F96:W96" si="13">(0.1*F86)+(0.9*F87)</f>
        <v>0.15531427140000001</v>
      </c>
      <c r="G96" s="154">
        <f t="shared" si="13"/>
        <v>3.9936302000000005E-4</v>
      </c>
      <c r="H96" s="154">
        <f t="shared" si="13"/>
        <v>0.15489861999999999</v>
      </c>
      <c r="I96" s="154">
        <f t="shared" si="13"/>
        <v>1.628814E-5</v>
      </c>
      <c r="J96" s="154">
        <f t="shared" si="13"/>
        <v>0.46979140820000004</v>
      </c>
      <c r="K96" s="154">
        <f t="shared" si="13"/>
        <v>2.0535018980999999</v>
      </c>
      <c r="L96" s="154">
        <f t="shared" si="13"/>
        <v>5.8605900000000004E-6</v>
      </c>
      <c r="M96" s="154">
        <f t="shared" si="13"/>
        <v>4.0134250000000002E-4</v>
      </c>
      <c r="N96" s="154">
        <f t="shared" si="13"/>
        <v>2.9489414999999998E-3</v>
      </c>
      <c r="O96" s="154">
        <f t="shared" si="13"/>
        <v>2.3572209999999999E-11</v>
      </c>
      <c r="P96" s="154">
        <f t="shared" si="13"/>
        <v>2.1323450000000005E-9</v>
      </c>
      <c r="Q96" s="154">
        <f t="shared" si="13"/>
        <v>1.4401460999999998E-3</v>
      </c>
      <c r="R96" s="154">
        <f t="shared" si="13"/>
        <v>0.82894979329999996</v>
      </c>
      <c r="S96" s="154">
        <f t="shared" si="13"/>
        <v>2.2005409999999999E-7</v>
      </c>
      <c r="T96" s="154">
        <f t="shared" si="13"/>
        <v>3.7979119999999996E-9</v>
      </c>
      <c r="U96" s="154">
        <f t="shared" si="13"/>
        <v>1.2842780000000001E-8</v>
      </c>
      <c r="V96" s="154">
        <f t="shared" si="13"/>
        <v>7.8845460000000005E-4</v>
      </c>
      <c r="W96" s="154">
        <f t="shared" si="13"/>
        <v>1.9162996500000001E-2</v>
      </c>
    </row>
    <row r="97" spans="1:23" x14ac:dyDescent="0.35">
      <c r="A97" s="1" t="s">
        <v>79</v>
      </c>
      <c r="B97" s="1"/>
      <c r="C97" s="1">
        <v>1</v>
      </c>
      <c r="D97" s="1" t="s">
        <v>811</v>
      </c>
      <c r="E97" s="154">
        <f>(0.2*E86)+(0.8*E87)</f>
        <v>9.4001900000000005E-4</v>
      </c>
      <c r="F97" s="154">
        <f t="shared" ref="F97:W97" si="14">(0.2*F86)+(0.8*F87)</f>
        <v>0.14879259380000001</v>
      </c>
      <c r="G97" s="154">
        <f t="shared" si="14"/>
        <v>7.2392723999999999E-4</v>
      </c>
      <c r="H97" s="154">
        <f t="shared" si="14"/>
        <v>0.148048815</v>
      </c>
      <c r="I97" s="154">
        <f t="shared" si="14"/>
        <v>1.9851380000000003E-5</v>
      </c>
      <c r="J97" s="154">
        <f t="shared" si="14"/>
        <v>0.80204598840000008</v>
      </c>
      <c r="K97" s="154">
        <f t="shared" si="14"/>
        <v>1.9310641862</v>
      </c>
      <c r="L97" s="154">
        <f t="shared" si="14"/>
        <v>7.9981800000000011E-6</v>
      </c>
      <c r="M97" s="154">
        <f t="shared" si="14"/>
        <v>6.4383099999999998E-4</v>
      </c>
      <c r="N97" s="154">
        <f t="shared" si="14"/>
        <v>4.1650280000000003E-3</v>
      </c>
      <c r="O97" s="154">
        <f t="shared" si="14"/>
        <v>3.201732E-11</v>
      </c>
      <c r="P97" s="154">
        <f t="shared" si="14"/>
        <v>3.1048400000000006E-9</v>
      </c>
      <c r="Q97" s="154">
        <f t="shared" si="14"/>
        <v>1.9006641999999999E-3</v>
      </c>
      <c r="R97" s="154">
        <f t="shared" si="14"/>
        <v>1.5213577466000001</v>
      </c>
      <c r="S97" s="154">
        <f t="shared" si="14"/>
        <v>2.6468720000000003E-7</v>
      </c>
      <c r="T97" s="154">
        <f t="shared" si="14"/>
        <v>3.995964E-9</v>
      </c>
      <c r="U97" s="154">
        <f t="shared" si="14"/>
        <v>1.474256E-8</v>
      </c>
      <c r="V97" s="154">
        <f t="shared" si="14"/>
        <v>8.7985420000000008E-4</v>
      </c>
      <c r="W97" s="154">
        <f t="shared" si="14"/>
        <v>3.3414751000000006E-2</v>
      </c>
    </row>
    <row r="98" spans="1:23" x14ac:dyDescent="0.35">
      <c r="A98" s="1" t="s">
        <v>808</v>
      </c>
      <c r="B98" s="1"/>
      <c r="C98" s="1">
        <v>1</v>
      </c>
      <c r="D98" s="1" t="s">
        <v>811</v>
      </c>
      <c r="E98" s="154">
        <f t="shared" ref="E98:W98" si="15">E86</f>
        <v>2.929147E-3</v>
      </c>
      <c r="F98" s="154">
        <f t="shared" si="15"/>
        <v>9.6619173000000003E-2</v>
      </c>
      <c r="G98" s="154">
        <f t="shared" si="15"/>
        <v>3.3204409999999999E-3</v>
      </c>
      <c r="H98" s="154">
        <f t="shared" si="15"/>
        <v>9.3250374999999996E-2</v>
      </c>
      <c r="I98" s="154">
        <f t="shared" si="15"/>
        <v>4.8357299999999999E-5</v>
      </c>
      <c r="J98" s="154">
        <f t="shared" si="15"/>
        <v>3.46008263</v>
      </c>
      <c r="K98" s="154">
        <f t="shared" si="15"/>
        <v>0.95156249100000001</v>
      </c>
      <c r="L98" s="154">
        <f t="shared" si="15"/>
        <v>2.5098900000000001E-5</v>
      </c>
      <c r="M98" s="154">
        <f t="shared" si="15"/>
        <v>2.5837389999999998E-3</v>
      </c>
      <c r="N98" s="154">
        <f t="shared" si="15"/>
        <v>1.389372E-2</v>
      </c>
      <c r="O98" s="154">
        <f t="shared" si="15"/>
        <v>9.9578200000000002E-11</v>
      </c>
      <c r="P98" s="154">
        <f t="shared" si="15"/>
        <v>1.08848E-8</v>
      </c>
      <c r="Q98" s="154">
        <f t="shared" si="15"/>
        <v>5.5848089999999996E-3</v>
      </c>
      <c r="R98" s="154">
        <f t="shared" si="15"/>
        <v>7.060621373</v>
      </c>
      <c r="S98" s="154">
        <f t="shared" si="15"/>
        <v>6.2175199999999997E-7</v>
      </c>
      <c r="T98" s="154">
        <f t="shared" si="15"/>
        <v>5.5803799999999997E-9</v>
      </c>
      <c r="U98" s="154">
        <f t="shared" si="15"/>
        <v>2.9940799999999999E-8</v>
      </c>
      <c r="V98" s="154">
        <f t="shared" si="15"/>
        <v>1.6110510000000001E-3</v>
      </c>
      <c r="W98" s="154">
        <f t="shared" si="15"/>
        <v>0.14742878700000001</v>
      </c>
    </row>
    <row r="99" spans="1:23" x14ac:dyDescent="0.35">
      <c r="A99" s="1" t="s">
        <v>816</v>
      </c>
      <c r="B99" s="1"/>
      <c r="C99" s="1">
        <v>1</v>
      </c>
      <c r="D99" s="1" t="s">
        <v>814</v>
      </c>
      <c r="E99" s="154">
        <f>E88</f>
        <v>6.5039360209278002E-4</v>
      </c>
      <c r="F99" s="154">
        <f t="shared" ref="F99:W99" si="16">F88</f>
        <v>0.18219807126195001</v>
      </c>
      <c r="G99" s="154">
        <f t="shared" si="16"/>
        <v>3.80893221375684E-3</v>
      </c>
      <c r="H99" s="154">
        <f t="shared" si="16"/>
        <v>0.17794109566114399</v>
      </c>
      <c r="I99" s="154">
        <f t="shared" si="16"/>
        <v>4.4804338704950098E-4</v>
      </c>
      <c r="J99" s="154">
        <f t="shared" si="16"/>
        <v>0.65325751113157204</v>
      </c>
      <c r="K99" s="154">
        <f t="shared" si="16"/>
        <v>8.7606274521721108</v>
      </c>
      <c r="L99" s="154">
        <f t="shared" si="16"/>
        <v>6.6837193946409602E-5</v>
      </c>
      <c r="M99" s="154">
        <f t="shared" si="16"/>
        <v>1.3356680211614301E-4</v>
      </c>
      <c r="N99" s="154">
        <f t="shared" si="16"/>
        <v>1.26773598209279E-3</v>
      </c>
      <c r="O99" s="154">
        <f t="shared" si="16"/>
        <v>7.6342613717656297E-11</v>
      </c>
      <c r="P99" s="154">
        <f t="shared" si="16"/>
        <v>4.9195629825766001E-9</v>
      </c>
      <c r="Q99" s="154">
        <f t="shared" si="16"/>
        <v>0.36800533721835199</v>
      </c>
      <c r="R99" s="154">
        <f t="shared" si="16"/>
        <v>1.38246726800481</v>
      </c>
      <c r="S99" s="154">
        <f t="shared" si="16"/>
        <v>4.7441431552971002E-6</v>
      </c>
      <c r="T99" s="154">
        <f t="shared" si="16"/>
        <v>5.6888941542180097E-9</v>
      </c>
      <c r="U99" s="154">
        <f t="shared" si="16"/>
        <v>1.2534888084716E-8</v>
      </c>
      <c r="V99" s="154">
        <f t="shared" si="16"/>
        <v>4.05054071096346E-4</v>
      </c>
      <c r="W99" s="154">
        <f t="shared" si="16"/>
        <v>0.105242782229804</v>
      </c>
    </row>
    <row r="100" spans="1:23" x14ac:dyDescent="0.35">
      <c r="A100" s="1" t="s">
        <v>817</v>
      </c>
      <c r="B100" s="1"/>
      <c r="C100" s="1">
        <v>1</v>
      </c>
      <c r="D100" s="1" t="s">
        <v>814</v>
      </c>
      <c r="E100" s="154">
        <f>E89</f>
        <v>5.9003292043571603E-4</v>
      </c>
      <c r="F100" s="154">
        <f>F89</f>
        <v>5.18727049626619E-2</v>
      </c>
      <c r="G100" s="154">
        <f t="shared" ref="G100:W100" si="17">G89</f>
        <v>6.6321407021587906E-5</v>
      </c>
      <c r="H100" s="154">
        <f t="shared" si="17"/>
        <v>5.1723773168274E-2</v>
      </c>
      <c r="I100" s="154">
        <f t="shared" si="17"/>
        <v>8.2610387366315494E-5</v>
      </c>
      <c r="J100" s="154">
        <f t="shared" si="17"/>
        <v>0.76306116520403</v>
      </c>
      <c r="K100" s="154">
        <f t="shared" si="17"/>
        <v>0.61152364724192398</v>
      </c>
      <c r="L100" s="154">
        <f t="shared" si="17"/>
        <v>4.8212189078874897E-5</v>
      </c>
      <c r="M100" s="154">
        <f t="shared" si="17"/>
        <v>6.4245351852123994E-5</v>
      </c>
      <c r="N100" s="154">
        <f t="shared" si="17"/>
        <v>7.1201316082524196E-4</v>
      </c>
      <c r="O100" s="154">
        <f t="shared" si="17"/>
        <v>7.9579867853556603E-11</v>
      </c>
      <c r="P100" s="154">
        <f t="shared" si="17"/>
        <v>5.5862343865905501E-9</v>
      </c>
      <c r="Q100" s="154">
        <f t="shared" si="17"/>
        <v>3.5860747038049499E-3</v>
      </c>
      <c r="R100" s="154">
        <f t="shared" si="17"/>
        <v>1.2941657200477401</v>
      </c>
      <c r="S100" s="154">
        <f t="shared" si="17"/>
        <v>6.1440658107819203E-6</v>
      </c>
      <c r="T100" s="154">
        <f t="shared" si="17"/>
        <v>3.59423968054589E-9</v>
      </c>
      <c r="U100" s="154">
        <f t="shared" si="17"/>
        <v>1.1804682143526399E-8</v>
      </c>
      <c r="V100" s="154">
        <f t="shared" si="17"/>
        <v>2.42136100768286E-4</v>
      </c>
      <c r="W100" s="154">
        <f t="shared" si="17"/>
        <v>5.54606113605558E-2</v>
      </c>
    </row>
    <row r="103" spans="1:23" x14ac:dyDescent="0.35">
      <c r="A103" s="32" t="s">
        <v>818</v>
      </c>
    </row>
    <row r="105" spans="1:23" ht="72.5" x14ac:dyDescent="0.35">
      <c r="A105" s="104" t="s">
        <v>451</v>
      </c>
      <c r="B105" s="102" t="s">
        <v>801</v>
      </c>
      <c r="C105" s="302" t="s">
        <v>486</v>
      </c>
      <c r="D105" s="302" t="s">
        <v>154</v>
      </c>
      <c r="E105" s="302" t="s">
        <v>279</v>
      </c>
      <c r="F105" s="302" t="s">
        <v>280</v>
      </c>
      <c r="G105" s="302" t="s">
        <v>281</v>
      </c>
      <c r="H105" s="302" t="s">
        <v>282</v>
      </c>
      <c r="I105" s="302" t="s">
        <v>283</v>
      </c>
      <c r="J105" s="302" t="s">
        <v>284</v>
      </c>
      <c r="K105" s="302" t="s">
        <v>285</v>
      </c>
      <c r="L105" s="302" t="s">
        <v>286</v>
      </c>
      <c r="M105" s="302" t="s">
        <v>287</v>
      </c>
      <c r="N105" s="302" t="s">
        <v>288</v>
      </c>
      <c r="O105" s="302" t="s">
        <v>289</v>
      </c>
      <c r="P105" s="302" t="s">
        <v>290</v>
      </c>
      <c r="Q105" s="302" t="s">
        <v>291</v>
      </c>
      <c r="R105" s="302" t="s">
        <v>292</v>
      </c>
      <c r="S105" s="302" t="s">
        <v>293</v>
      </c>
      <c r="T105" s="302" t="s">
        <v>294</v>
      </c>
      <c r="U105" s="302" t="s">
        <v>295</v>
      </c>
      <c r="V105" s="302" t="s">
        <v>296</v>
      </c>
      <c r="W105" s="302" t="s">
        <v>297</v>
      </c>
    </row>
    <row r="106" spans="1:23" ht="43.5" x14ac:dyDescent="0.35">
      <c r="A106" s="53" t="s">
        <v>810</v>
      </c>
      <c r="B106" s="1"/>
      <c r="C106" s="1">
        <v>1</v>
      </c>
      <c r="D106" s="1" t="s">
        <v>811</v>
      </c>
      <c r="E106" s="96">
        <v>2.9291467956718419E-3</v>
      </c>
      <c r="F106" s="96">
        <v>9.3353284275823886E-2</v>
      </c>
      <c r="G106" s="96">
        <v>5.0042110458974283E-5</v>
      </c>
      <c r="H106" s="96">
        <v>9.3254884866150661E-2</v>
      </c>
      <c r="I106" s="96">
        <v>4.8357299214245792E-5</v>
      </c>
      <c r="J106" s="96">
        <v>3.4600826298435878</v>
      </c>
      <c r="K106" s="96">
        <v>0.95156249089813472</v>
      </c>
      <c r="L106" s="96">
        <v>2.5098874161267962E-5</v>
      </c>
      <c r="M106" s="96">
        <v>2.583738945146752E-3</v>
      </c>
      <c r="N106" s="96">
        <v>1.389371990108439E-2</v>
      </c>
      <c r="O106" s="96">
        <v>9.9578208652753444E-11</v>
      </c>
      <c r="P106" s="96">
        <v>1.088478034095096E-8</v>
      </c>
      <c r="Q106" s="96">
        <v>5.5848089449657221E-3</v>
      </c>
      <c r="R106" s="96">
        <v>7.0606213733048477</v>
      </c>
      <c r="S106" s="96">
        <v>6.2175185646571012E-7</v>
      </c>
      <c r="T106" s="96">
        <v>5.5803750451459981E-9</v>
      </c>
      <c r="U106" s="96">
        <v>2.9940789106359213E-8</v>
      </c>
      <c r="V106" s="96">
        <v>1.6110512783738299E-3</v>
      </c>
      <c r="W106" s="96">
        <v>0.14742878694267569</v>
      </c>
    </row>
    <row r="107" spans="1:23" ht="43.5" x14ac:dyDescent="0.35">
      <c r="A107" s="53" t="s">
        <v>819</v>
      </c>
      <c r="B107" s="1"/>
      <c r="C107" s="1">
        <v>1</v>
      </c>
      <c r="D107" s="1" t="s">
        <v>811</v>
      </c>
      <c r="E107" s="96">
        <v>2.36722E-4</v>
      </c>
      <c r="F107" s="96">
        <v>0.15874485899999999</v>
      </c>
      <c r="G107" s="161">
        <v>7.41903E-5</v>
      </c>
      <c r="H107" s="96">
        <v>0.158658042</v>
      </c>
      <c r="I107" s="161">
        <v>1.26265E-5</v>
      </c>
      <c r="J107" s="96">
        <v>0.13634394899999999</v>
      </c>
      <c r="K107" s="96">
        <v>2.1365407599999999</v>
      </c>
      <c r="L107" s="161">
        <v>3.7026899999999999E-6</v>
      </c>
      <c r="M107" s="161">
        <v>5.1597200000000001E-5</v>
      </c>
      <c r="N107" s="96">
        <v>5.5849299999999997E-4</v>
      </c>
      <c r="O107" s="161">
        <v>1.4069699999999999E-11</v>
      </c>
      <c r="P107" s="161">
        <v>1.1447800000000001E-9</v>
      </c>
      <c r="Q107" s="96">
        <v>9.6880600000000001E-4</v>
      </c>
      <c r="R107" s="96">
        <v>0.134766514</v>
      </c>
      <c r="S107" s="161">
        <v>1.7513699999999999E-7</v>
      </c>
      <c r="T107" s="161">
        <v>3.5298200000000001E-9</v>
      </c>
      <c r="U107" s="161">
        <v>9.8395699999999993E-9</v>
      </c>
      <c r="V107" s="96">
        <v>4.1271599999999998E-4</v>
      </c>
      <c r="W107" s="96">
        <v>4.8661889999999999E-3</v>
      </c>
    </row>
    <row r="108" spans="1:23" x14ac:dyDescent="0.35">
      <c r="A108" s="1" t="s">
        <v>813</v>
      </c>
      <c r="B108" s="1"/>
      <c r="C108" s="1">
        <v>1</v>
      </c>
      <c r="D108" s="1" t="s">
        <v>814</v>
      </c>
      <c r="E108" s="96">
        <v>6.5039360209277839E-4</v>
      </c>
      <c r="F108" s="96">
        <v>0.17881451433756601</v>
      </c>
      <c r="G108" s="96">
        <v>2.9666216066817451E-4</v>
      </c>
      <c r="H108" s="96">
        <v>0.17806980878984829</v>
      </c>
      <c r="I108" s="96">
        <v>4.4804338704950119E-4</v>
      </c>
      <c r="J108" s="96">
        <v>0.65325751157576939</v>
      </c>
      <c r="K108" s="96">
        <v>8.7606274521721037</v>
      </c>
      <c r="L108" s="96">
        <v>6.6837193946409426E-5</v>
      </c>
      <c r="M108" s="96">
        <v>1.3356680211614301E-4</v>
      </c>
      <c r="N108" s="96">
        <v>1.267735982092793E-3</v>
      </c>
      <c r="O108" s="96">
        <v>7.6342613717656336E-11</v>
      </c>
      <c r="P108" s="96">
        <v>4.9195630742397743E-9</v>
      </c>
      <c r="Q108" s="96">
        <v>0.3680053372183526</v>
      </c>
      <c r="R108" s="96">
        <v>1.3824672680048149</v>
      </c>
      <c r="S108" s="96">
        <v>4.7441431552970951E-6</v>
      </c>
      <c r="T108" s="96">
        <v>5.6888941542182206E-9</v>
      </c>
      <c r="U108" s="96">
        <v>1.253488808471608E-8</v>
      </c>
      <c r="V108" s="96">
        <v>4.0505407109634508E-4</v>
      </c>
      <c r="W108" s="96">
        <v>0.1052427822298047</v>
      </c>
    </row>
    <row r="109" spans="1:23" x14ac:dyDescent="0.35">
      <c r="A109" s="1" t="s">
        <v>815</v>
      </c>
      <c r="B109" s="1"/>
      <c r="C109" s="1">
        <v>1</v>
      </c>
      <c r="D109" s="1" t="s">
        <v>814</v>
      </c>
      <c r="E109" s="96">
        <v>5.88814108568818E-4</v>
      </c>
      <c r="F109" s="96">
        <v>5.18727049626619E-2</v>
      </c>
      <c r="G109" s="96">
        <v>6.6321407021587906E-5</v>
      </c>
      <c r="H109" s="96">
        <v>5.1723773168274E-2</v>
      </c>
      <c r="I109" s="96">
        <v>8.2610387366315494E-5</v>
      </c>
      <c r="J109" s="96">
        <v>0.73519640383391605</v>
      </c>
      <c r="K109" s="96">
        <v>0.61152364724192398</v>
      </c>
      <c r="L109" s="96">
        <v>4.8212189078874897E-5</v>
      </c>
      <c r="M109" s="96">
        <v>6.4180496659697607E-5</v>
      </c>
      <c r="N109" s="96">
        <v>7.1157743150184599E-4</v>
      </c>
      <c r="O109" s="96">
        <v>7.7725899378582605E-11</v>
      </c>
      <c r="P109" s="96">
        <v>4.7854270802401399E-9</v>
      </c>
      <c r="Q109" s="96">
        <v>3.5860747038049499E-3</v>
      </c>
      <c r="R109" s="96">
        <v>1.2941657200477401</v>
      </c>
      <c r="S109" s="96">
        <v>6.1440658107819203E-6</v>
      </c>
      <c r="T109" s="96">
        <v>3.59423968054589E-9</v>
      </c>
      <c r="U109" s="96">
        <v>4.0402100723667703E-9</v>
      </c>
      <c r="V109" s="96">
        <v>2.42060646074334E-4</v>
      </c>
      <c r="W109" s="96">
        <v>5.54606113605558E-2</v>
      </c>
    </row>
    <row r="112" spans="1:23" ht="72.5" x14ac:dyDescent="0.35">
      <c r="A112" s="104" t="s">
        <v>451</v>
      </c>
      <c r="B112" s="102" t="s">
        <v>801</v>
      </c>
      <c r="C112" s="302" t="s">
        <v>486</v>
      </c>
      <c r="D112" s="302" t="s">
        <v>154</v>
      </c>
      <c r="E112" s="302" t="s">
        <v>279</v>
      </c>
      <c r="F112" s="302" t="s">
        <v>280</v>
      </c>
      <c r="G112" s="302" t="s">
        <v>281</v>
      </c>
      <c r="H112" s="302" t="s">
        <v>282</v>
      </c>
      <c r="I112" s="302" t="s">
        <v>283</v>
      </c>
      <c r="J112" s="302" t="s">
        <v>284</v>
      </c>
      <c r="K112" s="302" t="s">
        <v>285</v>
      </c>
      <c r="L112" s="302" t="s">
        <v>286</v>
      </c>
      <c r="M112" s="302" t="s">
        <v>287</v>
      </c>
      <c r="N112" s="302" t="s">
        <v>288</v>
      </c>
      <c r="O112" s="302" t="s">
        <v>289</v>
      </c>
      <c r="P112" s="302" t="s">
        <v>290</v>
      </c>
      <c r="Q112" s="302" t="s">
        <v>291</v>
      </c>
      <c r="R112" s="302" t="s">
        <v>292</v>
      </c>
      <c r="S112" s="302" t="s">
        <v>293</v>
      </c>
      <c r="T112" s="302" t="s">
        <v>294</v>
      </c>
      <c r="U112" s="302" t="s">
        <v>295</v>
      </c>
      <c r="V112" s="302" t="s">
        <v>296</v>
      </c>
      <c r="W112" s="302" t="s">
        <v>297</v>
      </c>
    </row>
    <row r="113" spans="1:23" x14ac:dyDescent="0.35">
      <c r="A113" s="6" t="s">
        <v>36</v>
      </c>
      <c r="B113" s="1"/>
      <c r="C113" s="1">
        <v>1</v>
      </c>
      <c r="D113" s="1" t="s">
        <v>811</v>
      </c>
      <c r="E113" s="154">
        <f>E107</f>
        <v>2.36722E-4</v>
      </c>
      <c r="F113" s="154">
        <f t="shared" ref="F113:W113" si="18">F107</f>
        <v>0.15874485899999999</v>
      </c>
      <c r="G113" s="154">
        <f t="shared" si="18"/>
        <v>7.41903E-5</v>
      </c>
      <c r="H113" s="154">
        <f t="shared" si="18"/>
        <v>0.158658042</v>
      </c>
      <c r="I113" s="154">
        <f t="shared" si="18"/>
        <v>1.26265E-5</v>
      </c>
      <c r="J113" s="154">
        <f t="shared" si="18"/>
        <v>0.13634394899999999</v>
      </c>
      <c r="K113" s="154">
        <f t="shared" si="18"/>
        <v>2.1365407599999999</v>
      </c>
      <c r="L113" s="154">
        <f t="shared" si="18"/>
        <v>3.7026899999999999E-6</v>
      </c>
      <c r="M113" s="154">
        <f t="shared" si="18"/>
        <v>5.1597200000000001E-5</v>
      </c>
      <c r="N113" s="154">
        <f t="shared" si="18"/>
        <v>5.5849299999999997E-4</v>
      </c>
      <c r="O113" s="154">
        <f t="shared" si="18"/>
        <v>1.4069699999999999E-11</v>
      </c>
      <c r="P113" s="154">
        <f t="shared" si="18"/>
        <v>1.1447800000000001E-9</v>
      </c>
      <c r="Q113" s="154">
        <f t="shared" si="18"/>
        <v>9.6880600000000001E-4</v>
      </c>
      <c r="R113" s="154">
        <f t="shared" si="18"/>
        <v>0.134766514</v>
      </c>
      <c r="S113" s="154">
        <f t="shared" si="18"/>
        <v>1.7513699999999999E-7</v>
      </c>
      <c r="T113" s="154">
        <f t="shared" si="18"/>
        <v>3.5298200000000001E-9</v>
      </c>
      <c r="U113" s="154">
        <f t="shared" si="18"/>
        <v>9.8395699999999993E-9</v>
      </c>
      <c r="V113" s="154">
        <f t="shared" si="18"/>
        <v>4.1271599999999998E-4</v>
      </c>
      <c r="W113" s="154">
        <f t="shared" si="18"/>
        <v>4.8661889999999999E-3</v>
      </c>
    </row>
    <row r="114" spans="1:23" x14ac:dyDescent="0.35">
      <c r="A114" s="1" t="s">
        <v>87</v>
      </c>
      <c r="B114" s="1"/>
      <c r="C114" s="1">
        <v>1</v>
      </c>
      <c r="D114" s="1" t="s">
        <v>811</v>
      </c>
      <c r="E114" s="154">
        <f>(0.045*E106)+(0.955*E107)</f>
        <v>3.5788111580523286E-4</v>
      </c>
      <c r="F114" s="154">
        <f>(0.045*F106)+(0.955*F107)</f>
        <v>0.15580223813741204</v>
      </c>
      <c r="G114" s="154">
        <f t="shared" ref="G114:W114" si="19">(0.045*G106)+(0.955*G107)</f>
        <v>7.3103631470653837E-5</v>
      </c>
      <c r="H114" s="154">
        <f t="shared" si="19"/>
        <v>0.15571489992897677</v>
      </c>
      <c r="I114" s="154">
        <f t="shared" si="19"/>
        <v>1.4234385964641061E-5</v>
      </c>
      <c r="J114" s="154">
        <f t="shared" si="19"/>
        <v>0.28591218963796144</v>
      </c>
      <c r="K114" s="154">
        <f t="shared" si="19"/>
        <v>2.0832167378904161</v>
      </c>
      <c r="L114" s="154">
        <f t="shared" si="19"/>
        <v>4.665518287257058E-6</v>
      </c>
      <c r="M114" s="154">
        <f t="shared" si="19"/>
        <v>1.6554357853160385E-4</v>
      </c>
      <c r="N114" s="154">
        <f t="shared" si="19"/>
        <v>1.1585782105487975E-3</v>
      </c>
      <c r="O114" s="154">
        <f t="shared" si="19"/>
        <v>1.7917582889373904E-11</v>
      </c>
      <c r="P114" s="154">
        <f t="shared" si="19"/>
        <v>1.5830800153427932E-9</v>
      </c>
      <c r="Q114" s="154">
        <f t="shared" si="19"/>
        <v>1.1765261325234575E-3</v>
      </c>
      <c r="R114" s="154">
        <f t="shared" si="19"/>
        <v>0.44642998266871814</v>
      </c>
      <c r="S114" s="154">
        <f t="shared" si="19"/>
        <v>1.9523466854095693E-7</v>
      </c>
      <c r="T114" s="154">
        <f t="shared" si="19"/>
        <v>3.6220949770315698E-9</v>
      </c>
      <c r="U114" s="154">
        <f t="shared" si="19"/>
        <v>1.0744124859786165E-8</v>
      </c>
      <c r="V114" s="154">
        <f t="shared" si="19"/>
        <v>4.6664108752682233E-4</v>
      </c>
      <c r="W114" s="154">
        <f t="shared" si="19"/>
        <v>1.1281505907420407E-2</v>
      </c>
    </row>
    <row r="115" spans="1:23" x14ac:dyDescent="0.35">
      <c r="A115" s="1" t="s">
        <v>806</v>
      </c>
      <c r="B115" s="1"/>
      <c r="C115" s="1">
        <v>1</v>
      </c>
      <c r="D115" s="1" t="s">
        <v>811</v>
      </c>
      <c r="E115" s="154">
        <f>(0.07*E106)+(0.93*E107)</f>
        <v>4.2519173569702896E-4</v>
      </c>
      <c r="F115" s="154">
        <f t="shared" ref="F115:W115" si="20">(0.07*F106)+(0.93*F107)</f>
        <v>0.15416744876930766</v>
      </c>
      <c r="G115" s="154">
        <f t="shared" si="20"/>
        <v>7.249992673212821E-5</v>
      </c>
      <c r="H115" s="154">
        <f t="shared" si="20"/>
        <v>0.15407982100063056</v>
      </c>
      <c r="I115" s="154">
        <f t="shared" si="20"/>
        <v>1.5127655944997208E-5</v>
      </c>
      <c r="J115" s="154">
        <f t="shared" si="20"/>
        <v>0.36900565665905116</v>
      </c>
      <c r="K115" s="154">
        <f t="shared" si="20"/>
        <v>2.0535922811628695</v>
      </c>
      <c r="L115" s="154">
        <f t="shared" si="20"/>
        <v>5.2004228912887573E-6</v>
      </c>
      <c r="M115" s="154">
        <f t="shared" si="20"/>
        <v>2.2884712216027266E-4</v>
      </c>
      <c r="N115" s="154">
        <f t="shared" si="20"/>
        <v>1.4919588830759074E-3</v>
      </c>
      <c r="O115" s="154">
        <f t="shared" si="20"/>
        <v>2.0055295605692739E-11</v>
      </c>
      <c r="P115" s="154">
        <f t="shared" si="20"/>
        <v>1.8265800238665673E-9</v>
      </c>
      <c r="Q115" s="154">
        <f t="shared" si="20"/>
        <v>1.2919262061476006E-3</v>
      </c>
      <c r="R115" s="154">
        <f t="shared" si="20"/>
        <v>0.61957635415133938</v>
      </c>
      <c r="S115" s="154">
        <f t="shared" si="20"/>
        <v>2.064000399525997E-7</v>
      </c>
      <c r="T115" s="154">
        <f t="shared" si="20"/>
        <v>3.6733588531602202E-9</v>
      </c>
      <c r="U115" s="154">
        <f t="shared" si="20"/>
        <v>1.1246655337445145E-8</v>
      </c>
      <c r="V115" s="154">
        <f t="shared" si="20"/>
        <v>4.9659946948616817E-4</v>
      </c>
      <c r="W115" s="154">
        <f t="shared" si="20"/>
        <v>1.4845570855987299E-2</v>
      </c>
    </row>
    <row r="116" spans="1:23" x14ac:dyDescent="0.35">
      <c r="A116" s="1" t="s">
        <v>807</v>
      </c>
      <c r="B116" s="1"/>
      <c r="C116" s="1">
        <v>1</v>
      </c>
      <c r="D116" s="1" t="s">
        <v>811</v>
      </c>
      <c r="E116" s="154">
        <f>(0.1*E106)+(0.9*E107)</f>
        <v>5.0596447956718427E-4</v>
      </c>
      <c r="F116" s="154">
        <f t="shared" ref="F116:W116" si="21">(0.1*F106)+(0.9*F107)</f>
        <v>0.15220570152758239</v>
      </c>
      <c r="G116" s="154">
        <f t="shared" si="21"/>
        <v>7.1775481045897435E-5</v>
      </c>
      <c r="H116" s="154">
        <f t="shared" si="21"/>
        <v>0.15211772628661507</v>
      </c>
      <c r="I116" s="154">
        <f t="shared" si="21"/>
        <v>1.6199579921424581E-5</v>
      </c>
      <c r="J116" s="154">
        <f t="shared" si="21"/>
        <v>0.46871781708435883</v>
      </c>
      <c r="K116" s="154">
        <f t="shared" si="21"/>
        <v>2.0180429330898138</v>
      </c>
      <c r="L116" s="154">
        <f t="shared" si="21"/>
        <v>5.8423084161267957E-6</v>
      </c>
      <c r="M116" s="154">
        <f t="shared" si="21"/>
        <v>3.0481137451467523E-4</v>
      </c>
      <c r="N116" s="154">
        <f t="shared" si="21"/>
        <v>1.8920156901084391E-3</v>
      </c>
      <c r="O116" s="154">
        <f t="shared" si="21"/>
        <v>2.2620550865275346E-11</v>
      </c>
      <c r="P116" s="154">
        <f t="shared" si="21"/>
        <v>2.1187800340950961E-9</v>
      </c>
      <c r="Q116" s="154">
        <f t="shared" si="21"/>
        <v>1.4304062944965723E-3</v>
      </c>
      <c r="R116" s="154">
        <f t="shared" si="21"/>
        <v>0.8273519999304848</v>
      </c>
      <c r="S116" s="154">
        <f t="shared" si="21"/>
        <v>2.1979848564657101E-7</v>
      </c>
      <c r="T116" s="154">
        <f t="shared" si="21"/>
        <v>3.7348755045145996E-9</v>
      </c>
      <c r="U116" s="154">
        <f t="shared" si="21"/>
        <v>1.1849691910635921E-8</v>
      </c>
      <c r="V116" s="154">
        <f t="shared" si="21"/>
        <v>5.3254952783738296E-4</v>
      </c>
      <c r="W116" s="154">
        <f t="shared" si="21"/>
        <v>1.9122448794267569E-2</v>
      </c>
    </row>
    <row r="117" spans="1:23" x14ac:dyDescent="0.35">
      <c r="A117" s="1" t="s">
        <v>79</v>
      </c>
      <c r="B117" s="1"/>
      <c r="C117" s="1">
        <v>1</v>
      </c>
      <c r="D117" s="1" t="s">
        <v>811</v>
      </c>
      <c r="E117" s="154">
        <f>(0.2*E106)+(0.8*E107)</f>
        <v>7.7520695913436846E-4</v>
      </c>
      <c r="F117" s="154">
        <f t="shared" ref="F117:W117" si="22">(0.2*F106)+(0.8*F107)</f>
        <v>0.14566654405516477</v>
      </c>
      <c r="G117" s="154">
        <f t="shared" si="22"/>
        <v>6.9360662091794855E-5</v>
      </c>
      <c r="H117" s="154">
        <f t="shared" si="22"/>
        <v>0.14557741057323012</v>
      </c>
      <c r="I117" s="154">
        <f t="shared" si="22"/>
        <v>1.9772659842849159E-5</v>
      </c>
      <c r="J117" s="154">
        <f t="shared" si="22"/>
        <v>0.80109168516871765</v>
      </c>
      <c r="K117" s="154">
        <f t="shared" si="22"/>
        <v>1.8995451061796269</v>
      </c>
      <c r="L117" s="154">
        <f t="shared" si="22"/>
        <v>7.9819268322535929E-6</v>
      </c>
      <c r="M117" s="154">
        <f t="shared" si="22"/>
        <v>5.5802554902935049E-4</v>
      </c>
      <c r="N117" s="154">
        <f t="shared" si="22"/>
        <v>3.2255383802168784E-3</v>
      </c>
      <c r="O117" s="154">
        <f t="shared" si="22"/>
        <v>3.1171401730550687E-11</v>
      </c>
      <c r="P117" s="154">
        <f t="shared" si="22"/>
        <v>3.0927800681901924E-9</v>
      </c>
      <c r="Q117" s="154">
        <f t="shared" si="22"/>
        <v>1.8920065889931445E-3</v>
      </c>
      <c r="R117" s="154">
        <f t="shared" si="22"/>
        <v>1.5199374858609698</v>
      </c>
      <c r="S117" s="154">
        <f t="shared" si="22"/>
        <v>2.6445997129314204E-7</v>
      </c>
      <c r="T117" s="154">
        <f t="shared" si="22"/>
        <v>3.9399310090291995E-9</v>
      </c>
      <c r="U117" s="154">
        <f t="shared" si="22"/>
        <v>1.3859813821271843E-8</v>
      </c>
      <c r="V117" s="154">
        <f t="shared" si="22"/>
        <v>6.5238305567476599E-4</v>
      </c>
      <c r="W117" s="154">
        <f t="shared" si="22"/>
        <v>3.3378708588535137E-2</v>
      </c>
    </row>
    <row r="118" spans="1:23" x14ac:dyDescent="0.35">
      <c r="A118" s="1" t="s">
        <v>808</v>
      </c>
      <c r="B118" s="1"/>
      <c r="C118" s="1">
        <v>1</v>
      </c>
      <c r="D118" s="1" t="s">
        <v>811</v>
      </c>
      <c r="E118" s="154">
        <f t="shared" ref="E118:W118" si="23">E106</f>
        <v>2.9291467956718419E-3</v>
      </c>
      <c r="F118" s="154">
        <f t="shared" si="23"/>
        <v>9.3353284275823886E-2</v>
      </c>
      <c r="G118" s="154">
        <f t="shared" si="23"/>
        <v>5.0042110458974283E-5</v>
      </c>
      <c r="H118" s="154">
        <f t="shared" si="23"/>
        <v>9.3254884866150661E-2</v>
      </c>
      <c r="I118" s="154">
        <f t="shared" si="23"/>
        <v>4.8357299214245792E-5</v>
      </c>
      <c r="J118" s="154">
        <f t="shared" si="23"/>
        <v>3.4600826298435878</v>
      </c>
      <c r="K118" s="154">
        <f t="shared" si="23"/>
        <v>0.95156249089813472</v>
      </c>
      <c r="L118" s="154">
        <f t="shared" si="23"/>
        <v>2.5098874161267962E-5</v>
      </c>
      <c r="M118" s="154">
        <f t="shared" si="23"/>
        <v>2.583738945146752E-3</v>
      </c>
      <c r="N118" s="154">
        <f t="shared" si="23"/>
        <v>1.389371990108439E-2</v>
      </c>
      <c r="O118" s="154">
        <f t="shared" si="23"/>
        <v>9.9578208652753444E-11</v>
      </c>
      <c r="P118" s="154">
        <f t="shared" si="23"/>
        <v>1.088478034095096E-8</v>
      </c>
      <c r="Q118" s="154">
        <f t="shared" si="23"/>
        <v>5.5848089449657221E-3</v>
      </c>
      <c r="R118" s="154">
        <f t="shared" si="23"/>
        <v>7.0606213733048477</v>
      </c>
      <c r="S118" s="154">
        <f t="shared" si="23"/>
        <v>6.2175185646571012E-7</v>
      </c>
      <c r="T118" s="154">
        <f t="shared" si="23"/>
        <v>5.5803750451459981E-9</v>
      </c>
      <c r="U118" s="154">
        <f t="shared" si="23"/>
        <v>2.9940789106359213E-8</v>
      </c>
      <c r="V118" s="154">
        <f t="shared" si="23"/>
        <v>1.6110512783738299E-3</v>
      </c>
      <c r="W118" s="154">
        <f t="shared" si="23"/>
        <v>0.14742878694267569</v>
      </c>
    </row>
    <row r="119" spans="1:23" x14ac:dyDescent="0.35">
      <c r="A119" s="1" t="s">
        <v>816</v>
      </c>
      <c r="B119" s="1"/>
      <c r="C119" s="1">
        <v>1</v>
      </c>
      <c r="D119" s="1" t="s">
        <v>814</v>
      </c>
      <c r="E119" s="154">
        <f>E108</f>
        <v>6.5039360209277839E-4</v>
      </c>
      <c r="F119" s="154">
        <f t="shared" ref="F119:W119" si="24">F108</f>
        <v>0.17881451433756601</v>
      </c>
      <c r="G119" s="154">
        <f t="shared" si="24"/>
        <v>2.9666216066817451E-4</v>
      </c>
      <c r="H119" s="154">
        <f t="shared" si="24"/>
        <v>0.17806980878984829</v>
      </c>
      <c r="I119" s="154">
        <f t="shared" si="24"/>
        <v>4.4804338704950119E-4</v>
      </c>
      <c r="J119" s="154">
        <f t="shared" si="24"/>
        <v>0.65325751157576939</v>
      </c>
      <c r="K119" s="154">
        <f t="shared" si="24"/>
        <v>8.7606274521721037</v>
      </c>
      <c r="L119" s="154">
        <f t="shared" si="24"/>
        <v>6.6837193946409426E-5</v>
      </c>
      <c r="M119" s="154">
        <f t="shared" si="24"/>
        <v>1.3356680211614301E-4</v>
      </c>
      <c r="N119" s="154">
        <f t="shared" si="24"/>
        <v>1.267735982092793E-3</v>
      </c>
      <c r="O119" s="154">
        <f t="shared" si="24"/>
        <v>7.6342613717656336E-11</v>
      </c>
      <c r="P119" s="154">
        <f t="shared" si="24"/>
        <v>4.9195630742397743E-9</v>
      </c>
      <c r="Q119" s="154">
        <f t="shared" si="24"/>
        <v>0.3680053372183526</v>
      </c>
      <c r="R119" s="154">
        <f t="shared" si="24"/>
        <v>1.3824672680048149</v>
      </c>
      <c r="S119" s="154">
        <f t="shared" si="24"/>
        <v>4.7441431552970951E-6</v>
      </c>
      <c r="T119" s="154">
        <f t="shared" si="24"/>
        <v>5.6888941542182206E-9</v>
      </c>
      <c r="U119" s="154">
        <f t="shared" si="24"/>
        <v>1.253488808471608E-8</v>
      </c>
      <c r="V119" s="154">
        <f t="shared" si="24"/>
        <v>4.0505407109634508E-4</v>
      </c>
      <c r="W119" s="154">
        <f t="shared" si="24"/>
        <v>0.1052427822298047</v>
      </c>
    </row>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67F33-8E99-47F5-B6A7-40F2F7E9460A}">
  <sheetPr codeName="Sheet17"/>
  <dimension ref="A1:J178"/>
  <sheetViews>
    <sheetView showGridLines="0" zoomScale="90" zoomScaleNormal="90" workbookViewId="0">
      <selection activeCell="B12" sqref="B12"/>
    </sheetView>
  </sheetViews>
  <sheetFormatPr defaultRowHeight="14.5" x14ac:dyDescent="0.35"/>
  <cols>
    <col min="1" max="1" width="67.81640625" bestFit="1" customWidth="1"/>
    <col min="2" max="2" width="54.1796875" customWidth="1"/>
    <col min="3" max="3" width="58.81640625" customWidth="1"/>
    <col min="4" max="4" width="61.81640625" customWidth="1"/>
    <col min="5" max="5" width="57.81640625" customWidth="1"/>
    <col min="6" max="6" width="60.81640625" customWidth="1"/>
    <col min="7" max="7" width="60" customWidth="1"/>
    <col min="8" max="9" width="59.1796875" customWidth="1"/>
    <col min="10" max="10" width="12.81640625" customWidth="1"/>
    <col min="12" max="12" width="21.81640625" customWidth="1"/>
    <col min="13" max="13" width="21.54296875" customWidth="1"/>
    <col min="14" max="14" width="19.1796875" customWidth="1"/>
    <col min="15" max="15" width="18.453125" customWidth="1"/>
    <col min="16" max="16" width="19.81640625" customWidth="1"/>
    <col min="17" max="17" width="18.453125" customWidth="1"/>
    <col min="18" max="18" width="26.81640625" customWidth="1"/>
    <col min="19" max="19" width="18.453125" customWidth="1"/>
    <col min="20" max="20" width="20.1796875" customWidth="1"/>
    <col min="21" max="21" width="18.1796875" customWidth="1"/>
  </cols>
  <sheetData>
    <row r="1" spans="1:10" ht="16" x14ac:dyDescent="0.4">
      <c r="A1" s="134" t="s">
        <v>946</v>
      </c>
    </row>
    <row r="3" spans="1:10" ht="23.5" x14ac:dyDescent="0.55000000000000004">
      <c r="A3" s="132" t="s">
        <v>947</v>
      </c>
    </row>
    <row r="4" spans="1:10" x14ac:dyDescent="0.35">
      <c r="A4" s="133" t="s">
        <v>948</v>
      </c>
      <c r="B4" s="133" t="s">
        <v>27</v>
      </c>
      <c r="C4" s="133" t="s">
        <v>69</v>
      </c>
      <c r="D4" s="133" t="s">
        <v>925</v>
      </c>
      <c r="E4" s="133" t="s">
        <v>61</v>
      </c>
      <c r="F4" s="133" t="s">
        <v>63</v>
      </c>
      <c r="G4" s="133" t="s">
        <v>74</v>
      </c>
      <c r="I4" s="3"/>
      <c r="J4" s="3"/>
    </row>
    <row r="5" spans="1:10" x14ac:dyDescent="0.35">
      <c r="A5" s="98" t="s">
        <v>27</v>
      </c>
      <c r="B5" s="98" t="s">
        <v>27</v>
      </c>
      <c r="C5" s="98" t="s">
        <v>70</v>
      </c>
      <c r="D5" s="98" t="s">
        <v>36</v>
      </c>
      <c r="E5" s="98" t="s">
        <v>36</v>
      </c>
      <c r="F5" s="98" t="s">
        <v>975</v>
      </c>
      <c r="G5" s="98" t="s">
        <v>36</v>
      </c>
    </row>
    <row r="6" spans="1:10" x14ac:dyDescent="0.35">
      <c r="A6" s="98" t="s">
        <v>69</v>
      </c>
      <c r="C6" s="98" t="s">
        <v>489</v>
      </c>
      <c r="G6" s="98" t="s">
        <v>82</v>
      </c>
    </row>
    <row r="7" spans="1:10" x14ac:dyDescent="0.35">
      <c r="A7" s="98" t="s">
        <v>925</v>
      </c>
      <c r="C7" s="98" t="s">
        <v>87</v>
      </c>
    </row>
    <row r="8" spans="1:10" x14ac:dyDescent="0.35">
      <c r="A8" s="98" t="s">
        <v>61</v>
      </c>
      <c r="C8" s="98" t="s">
        <v>806</v>
      </c>
    </row>
    <row r="9" spans="1:10" x14ac:dyDescent="0.35">
      <c r="A9" s="98" t="s">
        <v>63</v>
      </c>
      <c r="C9" s="98" t="s">
        <v>807</v>
      </c>
    </row>
    <row r="10" spans="1:10" x14ac:dyDescent="0.35">
      <c r="A10" s="98" t="s">
        <v>74</v>
      </c>
      <c r="C10" s="98" t="s">
        <v>79</v>
      </c>
    </row>
    <row r="11" spans="1:10" x14ac:dyDescent="0.35">
      <c r="C11" s="98" t="s">
        <v>808</v>
      </c>
    </row>
    <row r="12" spans="1:10" x14ac:dyDescent="0.35">
      <c r="C12" s="98" t="s">
        <v>82</v>
      </c>
    </row>
    <row r="13" spans="1:10" x14ac:dyDescent="0.35">
      <c r="C13" s="98" t="s">
        <v>92</v>
      </c>
    </row>
    <row r="15" spans="1:10" ht="23.5" x14ac:dyDescent="0.55000000000000004">
      <c r="A15" s="132" t="s">
        <v>949</v>
      </c>
      <c r="I15" s="3"/>
    </row>
    <row r="16" spans="1:10" x14ac:dyDescent="0.35">
      <c r="A16" s="133" t="s">
        <v>950</v>
      </c>
      <c r="B16" s="133" t="s">
        <v>450</v>
      </c>
      <c r="C16" s="133" t="s">
        <v>35</v>
      </c>
      <c r="D16" s="3"/>
    </row>
    <row r="17" spans="1:3" x14ac:dyDescent="0.35">
      <c r="A17" s="98" t="s">
        <v>450</v>
      </c>
      <c r="B17" s="98" t="s">
        <v>27</v>
      </c>
      <c r="C17" s="98" t="s">
        <v>36</v>
      </c>
    </row>
    <row r="18" spans="1:3" x14ac:dyDescent="0.35">
      <c r="A18" s="98" t="s">
        <v>35</v>
      </c>
      <c r="C18" s="98" t="s">
        <v>87</v>
      </c>
    </row>
    <row r="19" spans="1:3" x14ac:dyDescent="0.35">
      <c r="C19" s="98" t="s">
        <v>806</v>
      </c>
    </row>
    <row r="20" spans="1:3" x14ac:dyDescent="0.35">
      <c r="C20" s="98" t="s">
        <v>807</v>
      </c>
    </row>
    <row r="21" spans="1:3" x14ac:dyDescent="0.35">
      <c r="C21" s="98" t="s">
        <v>79</v>
      </c>
    </row>
    <row r="22" spans="1:3" x14ac:dyDescent="0.35">
      <c r="C22" s="98" t="s">
        <v>808</v>
      </c>
    </row>
    <row r="23" spans="1:3" x14ac:dyDescent="0.35">
      <c r="C23" s="98" t="s">
        <v>82</v>
      </c>
    </row>
    <row r="24" spans="1:3" x14ac:dyDescent="0.35">
      <c r="C24" s="98" t="s">
        <v>92</v>
      </c>
    </row>
    <row r="27" spans="1:3" x14ac:dyDescent="0.35">
      <c r="A27" s="133" t="s">
        <v>951</v>
      </c>
      <c r="B27" s="133" t="s">
        <v>450</v>
      </c>
      <c r="C27" s="133" t="s">
        <v>359</v>
      </c>
    </row>
    <row r="28" spans="1:3" x14ac:dyDescent="0.35">
      <c r="A28" s="98" t="s">
        <v>450</v>
      </c>
      <c r="B28" s="98" t="s">
        <v>27</v>
      </c>
      <c r="C28" s="98" t="s">
        <v>36</v>
      </c>
    </row>
    <row r="29" spans="1:3" x14ac:dyDescent="0.35">
      <c r="A29" s="98" t="s">
        <v>359</v>
      </c>
      <c r="C29" s="98" t="s">
        <v>87</v>
      </c>
    </row>
    <row r="30" spans="1:3" x14ac:dyDescent="0.35">
      <c r="C30" s="98" t="s">
        <v>806</v>
      </c>
    </row>
    <row r="31" spans="1:3" x14ac:dyDescent="0.35">
      <c r="C31" s="98" t="s">
        <v>807</v>
      </c>
    </row>
    <row r="32" spans="1:3" x14ac:dyDescent="0.35">
      <c r="C32" s="98" t="s">
        <v>79</v>
      </c>
    </row>
    <row r="33" spans="1:4" x14ac:dyDescent="0.35">
      <c r="C33" s="98" t="s">
        <v>808</v>
      </c>
    </row>
    <row r="34" spans="1:4" x14ac:dyDescent="0.35">
      <c r="C34" s="98" t="s">
        <v>82</v>
      </c>
    </row>
    <row r="35" spans="1:4" x14ac:dyDescent="0.35">
      <c r="C35" s="98" t="s">
        <v>92</v>
      </c>
    </row>
    <row r="37" spans="1:4" x14ac:dyDescent="0.35">
      <c r="A37" s="133" t="s">
        <v>952</v>
      </c>
      <c r="B37" s="133" t="s">
        <v>450</v>
      </c>
      <c r="C37" s="133" t="s">
        <v>368</v>
      </c>
    </row>
    <row r="38" spans="1:4" x14ac:dyDescent="0.35">
      <c r="A38" s="98" t="s">
        <v>450</v>
      </c>
      <c r="B38" s="98" t="s">
        <v>27</v>
      </c>
      <c r="C38" s="98" t="s">
        <v>36</v>
      </c>
    </row>
    <row r="39" spans="1:4" x14ac:dyDescent="0.35">
      <c r="A39" s="98" t="s">
        <v>368</v>
      </c>
      <c r="C39" s="98" t="s">
        <v>87</v>
      </c>
    </row>
    <row r="40" spans="1:4" x14ac:dyDescent="0.35">
      <c r="C40" s="98" t="s">
        <v>806</v>
      </c>
    </row>
    <row r="41" spans="1:4" x14ac:dyDescent="0.35">
      <c r="C41" s="98" t="s">
        <v>807</v>
      </c>
    </row>
    <row r="42" spans="1:4" x14ac:dyDescent="0.35">
      <c r="C42" s="98" t="s">
        <v>79</v>
      </c>
    </row>
    <row r="43" spans="1:4" x14ac:dyDescent="0.35">
      <c r="C43" s="98" t="s">
        <v>808</v>
      </c>
    </row>
    <row r="44" spans="1:4" x14ac:dyDescent="0.35">
      <c r="C44" s="98" t="s">
        <v>82</v>
      </c>
    </row>
    <row r="45" spans="1:4" x14ac:dyDescent="0.35">
      <c r="C45" s="98" t="s">
        <v>92</v>
      </c>
    </row>
    <row r="46" spans="1:4" ht="23.5" x14ac:dyDescent="0.55000000000000004">
      <c r="A46" s="132" t="s">
        <v>953</v>
      </c>
    </row>
    <row r="47" spans="1:4" x14ac:dyDescent="0.35">
      <c r="A47" s="133" t="s">
        <v>954</v>
      </c>
      <c r="B47" s="133" t="s">
        <v>444</v>
      </c>
      <c r="C47" s="133" t="s">
        <v>357</v>
      </c>
      <c r="D47" s="3"/>
    </row>
    <row r="48" spans="1:4" x14ac:dyDescent="0.35">
      <c r="A48" s="98" t="s">
        <v>444</v>
      </c>
      <c r="B48" s="98" t="s">
        <v>27</v>
      </c>
      <c r="C48" s="98" t="s">
        <v>36</v>
      </c>
    </row>
    <row r="49" spans="1:3" x14ac:dyDescent="0.35">
      <c r="A49" s="98" t="s">
        <v>357</v>
      </c>
      <c r="C49" s="98" t="s">
        <v>87</v>
      </c>
    </row>
    <row r="50" spans="1:3" x14ac:dyDescent="0.35">
      <c r="C50" s="98" t="s">
        <v>806</v>
      </c>
    </row>
    <row r="51" spans="1:3" x14ac:dyDescent="0.35">
      <c r="C51" s="98" t="s">
        <v>807</v>
      </c>
    </row>
    <row r="52" spans="1:3" x14ac:dyDescent="0.35">
      <c r="C52" s="98" t="s">
        <v>79</v>
      </c>
    </row>
    <row r="53" spans="1:3" x14ac:dyDescent="0.35">
      <c r="C53" s="98" t="s">
        <v>808</v>
      </c>
    </row>
    <row r="54" spans="1:3" x14ac:dyDescent="0.35">
      <c r="C54" s="98" t="s">
        <v>82</v>
      </c>
    </row>
    <row r="55" spans="1:3" x14ac:dyDescent="0.35">
      <c r="C55" s="98" t="s">
        <v>92</v>
      </c>
    </row>
    <row r="57" spans="1:3" x14ac:dyDescent="0.35">
      <c r="A57" s="133" t="s">
        <v>955</v>
      </c>
      <c r="B57" s="133" t="s">
        <v>445</v>
      </c>
      <c r="C57" s="133" t="s">
        <v>367</v>
      </c>
    </row>
    <row r="58" spans="1:3" x14ac:dyDescent="0.35">
      <c r="A58" s="98" t="s">
        <v>445</v>
      </c>
      <c r="B58" s="98" t="s">
        <v>27</v>
      </c>
      <c r="C58" s="98" t="s">
        <v>36</v>
      </c>
    </row>
    <row r="59" spans="1:3" x14ac:dyDescent="0.35">
      <c r="A59" s="98" t="s">
        <v>367</v>
      </c>
      <c r="C59" s="98" t="s">
        <v>87</v>
      </c>
    </row>
    <row r="60" spans="1:3" x14ac:dyDescent="0.35">
      <c r="C60" s="98" t="s">
        <v>806</v>
      </c>
    </row>
    <row r="61" spans="1:3" x14ac:dyDescent="0.35">
      <c r="C61" s="98" t="s">
        <v>807</v>
      </c>
    </row>
    <row r="62" spans="1:3" x14ac:dyDescent="0.35">
      <c r="C62" s="98" t="s">
        <v>79</v>
      </c>
    </row>
    <row r="63" spans="1:3" x14ac:dyDescent="0.35">
      <c r="C63" s="98" t="s">
        <v>808</v>
      </c>
    </row>
    <row r="64" spans="1:3" x14ac:dyDescent="0.35">
      <c r="C64" s="98" t="s">
        <v>82</v>
      </c>
    </row>
    <row r="65" spans="1:4" x14ac:dyDescent="0.35">
      <c r="C65" s="98" t="s">
        <v>92</v>
      </c>
    </row>
    <row r="66" spans="1:4" ht="23.5" x14ac:dyDescent="0.55000000000000004">
      <c r="A66" s="132" t="s">
        <v>956</v>
      </c>
    </row>
    <row r="67" spans="1:4" x14ac:dyDescent="0.35">
      <c r="A67" s="133" t="s">
        <v>957</v>
      </c>
      <c r="B67" s="133" t="s">
        <v>446</v>
      </c>
      <c r="C67" s="133" t="s">
        <v>361</v>
      </c>
      <c r="D67" s="3"/>
    </row>
    <row r="68" spans="1:4" x14ac:dyDescent="0.35">
      <c r="A68" s="98" t="s">
        <v>446</v>
      </c>
      <c r="B68" s="98" t="s">
        <v>27</v>
      </c>
      <c r="C68" s="98" t="s">
        <v>36</v>
      </c>
    </row>
    <row r="69" spans="1:4" x14ac:dyDescent="0.35">
      <c r="A69" s="98" t="s">
        <v>361</v>
      </c>
      <c r="C69" s="98" t="s">
        <v>87</v>
      </c>
    </row>
    <row r="70" spans="1:4" x14ac:dyDescent="0.35">
      <c r="C70" s="98" t="s">
        <v>806</v>
      </c>
    </row>
    <row r="71" spans="1:4" x14ac:dyDescent="0.35">
      <c r="C71" s="98" t="s">
        <v>807</v>
      </c>
    </row>
    <row r="72" spans="1:4" x14ac:dyDescent="0.35">
      <c r="C72" s="98" t="s">
        <v>79</v>
      </c>
    </row>
    <row r="73" spans="1:4" x14ac:dyDescent="0.35">
      <c r="C73" s="98" t="s">
        <v>808</v>
      </c>
    </row>
    <row r="74" spans="1:4" x14ac:dyDescent="0.35">
      <c r="C74" s="98" t="s">
        <v>82</v>
      </c>
    </row>
    <row r="75" spans="1:4" x14ac:dyDescent="0.35">
      <c r="C75" s="98" t="s">
        <v>92</v>
      </c>
    </row>
    <row r="79" spans="1:4" x14ac:dyDescent="0.35">
      <c r="A79" s="133" t="s">
        <v>958</v>
      </c>
      <c r="B79" s="133" t="s">
        <v>447</v>
      </c>
      <c r="C79" s="133" t="s">
        <v>369</v>
      </c>
      <c r="D79" s="3"/>
    </row>
    <row r="80" spans="1:4" x14ac:dyDescent="0.35">
      <c r="A80" s="98" t="s">
        <v>447</v>
      </c>
      <c r="B80" s="98" t="s">
        <v>27</v>
      </c>
      <c r="C80" s="98" t="s">
        <v>36</v>
      </c>
    </row>
    <row r="81" spans="1:4" x14ac:dyDescent="0.35">
      <c r="A81" s="98" t="s">
        <v>369</v>
      </c>
      <c r="C81" s="98" t="s">
        <v>87</v>
      </c>
    </row>
    <row r="82" spans="1:4" x14ac:dyDescent="0.35">
      <c r="C82" s="98" t="s">
        <v>806</v>
      </c>
    </row>
    <row r="83" spans="1:4" x14ac:dyDescent="0.35">
      <c r="C83" s="98" t="s">
        <v>807</v>
      </c>
    </row>
    <row r="84" spans="1:4" x14ac:dyDescent="0.35">
      <c r="C84" s="98" t="s">
        <v>79</v>
      </c>
    </row>
    <row r="85" spans="1:4" x14ac:dyDescent="0.35">
      <c r="C85" s="98" t="s">
        <v>808</v>
      </c>
    </row>
    <row r="86" spans="1:4" x14ac:dyDescent="0.35">
      <c r="C86" s="98" t="s">
        <v>82</v>
      </c>
    </row>
    <row r="87" spans="1:4" x14ac:dyDescent="0.35">
      <c r="C87" s="98" t="s">
        <v>92</v>
      </c>
    </row>
    <row r="89" spans="1:4" ht="23.5" x14ac:dyDescent="0.55000000000000004">
      <c r="A89" s="132" t="s">
        <v>959</v>
      </c>
    </row>
    <row r="90" spans="1:4" x14ac:dyDescent="0.35">
      <c r="A90" s="133" t="s">
        <v>960</v>
      </c>
      <c r="B90" s="133" t="s">
        <v>448</v>
      </c>
      <c r="C90" s="133" t="s">
        <v>363</v>
      </c>
      <c r="D90" s="3"/>
    </row>
    <row r="91" spans="1:4" x14ac:dyDescent="0.35">
      <c r="A91" s="98" t="s">
        <v>448</v>
      </c>
      <c r="B91" s="98" t="s">
        <v>27</v>
      </c>
      <c r="C91" s="98" t="s">
        <v>36</v>
      </c>
    </row>
    <row r="92" spans="1:4" x14ac:dyDescent="0.35">
      <c r="A92" s="98" t="s">
        <v>363</v>
      </c>
      <c r="C92" s="98" t="s">
        <v>87</v>
      </c>
    </row>
    <row r="93" spans="1:4" x14ac:dyDescent="0.35">
      <c r="C93" s="98" t="s">
        <v>806</v>
      </c>
    </row>
    <row r="94" spans="1:4" x14ac:dyDescent="0.35">
      <c r="C94" s="98" t="s">
        <v>807</v>
      </c>
    </row>
    <row r="95" spans="1:4" x14ac:dyDescent="0.35">
      <c r="C95" s="98" t="s">
        <v>79</v>
      </c>
    </row>
    <row r="96" spans="1:4" x14ac:dyDescent="0.35">
      <c r="C96" s="98" t="s">
        <v>808</v>
      </c>
    </row>
    <row r="97" spans="1:8" x14ac:dyDescent="0.35">
      <c r="C97" s="98" t="s">
        <v>82</v>
      </c>
    </row>
    <row r="98" spans="1:8" x14ac:dyDescent="0.35">
      <c r="C98" s="98" t="s">
        <v>92</v>
      </c>
    </row>
    <row r="100" spans="1:8" x14ac:dyDescent="0.35">
      <c r="A100" s="133" t="s">
        <v>961</v>
      </c>
      <c r="B100" s="133" t="s">
        <v>449</v>
      </c>
      <c r="C100" s="133" t="s">
        <v>370</v>
      </c>
      <c r="D100" s="3"/>
    </row>
    <row r="101" spans="1:8" x14ac:dyDescent="0.35">
      <c r="A101" s="98" t="s">
        <v>449</v>
      </c>
      <c r="B101" s="98" t="s">
        <v>27</v>
      </c>
      <c r="C101" s="98" t="s">
        <v>36</v>
      </c>
    </row>
    <row r="102" spans="1:8" x14ac:dyDescent="0.35">
      <c r="A102" s="98" t="s">
        <v>370</v>
      </c>
      <c r="C102" s="98" t="s">
        <v>87</v>
      </c>
    </row>
    <row r="103" spans="1:8" x14ac:dyDescent="0.35">
      <c r="C103" s="98" t="s">
        <v>806</v>
      </c>
    </row>
    <row r="104" spans="1:8" x14ac:dyDescent="0.35">
      <c r="C104" s="98" t="s">
        <v>807</v>
      </c>
    </row>
    <row r="105" spans="1:8" x14ac:dyDescent="0.35">
      <c r="C105" s="98" t="s">
        <v>79</v>
      </c>
    </row>
    <row r="106" spans="1:8" x14ac:dyDescent="0.35">
      <c r="C106" s="98" t="s">
        <v>808</v>
      </c>
    </row>
    <row r="107" spans="1:8" x14ac:dyDescent="0.35">
      <c r="C107" s="98" t="s">
        <v>82</v>
      </c>
    </row>
    <row r="108" spans="1:8" x14ac:dyDescent="0.35">
      <c r="C108" s="98" t="s">
        <v>92</v>
      </c>
    </row>
    <row r="110" spans="1:8" ht="23.5" x14ac:dyDescent="0.55000000000000004">
      <c r="A110" s="132" t="s">
        <v>962</v>
      </c>
    </row>
    <row r="111" spans="1:8" x14ac:dyDescent="0.35">
      <c r="A111" s="133" t="s">
        <v>963</v>
      </c>
      <c r="B111" s="133" t="s">
        <v>106</v>
      </c>
      <c r="C111" s="133" t="s">
        <v>677</v>
      </c>
      <c r="D111" s="133" t="s">
        <v>104</v>
      </c>
      <c r="E111" s="133" t="s">
        <v>678</v>
      </c>
      <c r="F111" s="3"/>
      <c r="G111" s="3"/>
      <c r="H111" s="3"/>
    </row>
    <row r="112" spans="1:8" x14ac:dyDescent="0.35">
      <c r="A112" s="98" t="s">
        <v>106</v>
      </c>
      <c r="B112" s="98" t="s">
        <v>27</v>
      </c>
      <c r="C112" s="98" t="s">
        <v>36</v>
      </c>
      <c r="D112" s="98" t="s">
        <v>36</v>
      </c>
      <c r="E112" s="98" t="s">
        <v>36</v>
      </c>
    </row>
    <row r="113" spans="1:8" x14ac:dyDescent="0.35">
      <c r="A113" s="98" t="s">
        <v>677</v>
      </c>
      <c r="C113" s="98" t="s">
        <v>87</v>
      </c>
      <c r="D113" s="98" t="s">
        <v>87</v>
      </c>
      <c r="E113" s="98" t="s">
        <v>87</v>
      </c>
    </row>
    <row r="114" spans="1:8" x14ac:dyDescent="0.35">
      <c r="A114" s="98" t="s">
        <v>104</v>
      </c>
      <c r="C114" s="98" t="s">
        <v>806</v>
      </c>
      <c r="D114" s="98" t="s">
        <v>806</v>
      </c>
      <c r="E114" s="98" t="s">
        <v>806</v>
      </c>
    </row>
    <row r="115" spans="1:8" x14ac:dyDescent="0.35">
      <c r="A115" s="98" t="s">
        <v>678</v>
      </c>
      <c r="C115" s="98" t="s">
        <v>807</v>
      </c>
      <c r="D115" s="98" t="s">
        <v>807</v>
      </c>
      <c r="E115" s="98" t="s">
        <v>807</v>
      </c>
    </row>
    <row r="116" spans="1:8" x14ac:dyDescent="0.35">
      <c r="C116" s="98" t="s">
        <v>79</v>
      </c>
      <c r="D116" s="98" t="s">
        <v>79</v>
      </c>
      <c r="E116" s="98" t="s">
        <v>79</v>
      </c>
    </row>
    <row r="117" spans="1:8" x14ac:dyDescent="0.35">
      <c r="C117" s="98" t="s">
        <v>808</v>
      </c>
      <c r="D117" s="98" t="s">
        <v>808</v>
      </c>
      <c r="E117" s="98" t="s">
        <v>808</v>
      </c>
    </row>
    <row r="118" spans="1:8" x14ac:dyDescent="0.35">
      <c r="C118" s="98" t="s">
        <v>82</v>
      </c>
      <c r="D118" s="98" t="s">
        <v>82</v>
      </c>
      <c r="E118" s="98" t="s">
        <v>82</v>
      </c>
    </row>
    <row r="119" spans="1:8" x14ac:dyDescent="0.35">
      <c r="C119" s="98" t="s">
        <v>92</v>
      </c>
      <c r="D119" s="98" t="s">
        <v>92</v>
      </c>
      <c r="E119" s="98" t="s">
        <v>92</v>
      </c>
    </row>
    <row r="121" spans="1:8" ht="23.5" x14ac:dyDescent="0.55000000000000004">
      <c r="A121" s="132" t="s">
        <v>964</v>
      </c>
    </row>
    <row r="122" spans="1:8" x14ac:dyDescent="0.35">
      <c r="A122" s="133" t="s">
        <v>965</v>
      </c>
      <c r="B122" s="133" t="s">
        <v>682</v>
      </c>
      <c r="F122" s="3"/>
      <c r="G122" s="3"/>
      <c r="H122" s="3"/>
    </row>
    <row r="123" spans="1:8" x14ac:dyDescent="0.35">
      <c r="A123" s="98" t="s">
        <v>682</v>
      </c>
      <c r="B123" s="98" t="s">
        <v>27</v>
      </c>
      <c r="C123" s="133" t="s">
        <v>679</v>
      </c>
      <c r="D123" s="133" t="s">
        <v>111</v>
      </c>
      <c r="E123" s="133" t="s">
        <v>680</v>
      </c>
    </row>
    <row r="124" spans="1:8" x14ac:dyDescent="0.35">
      <c r="A124" s="98" t="s">
        <v>679</v>
      </c>
      <c r="C124" s="98" t="s">
        <v>36</v>
      </c>
      <c r="D124" s="98" t="s">
        <v>36</v>
      </c>
      <c r="E124" s="98" t="s">
        <v>36</v>
      </c>
    </row>
    <row r="125" spans="1:8" x14ac:dyDescent="0.35">
      <c r="A125" s="98" t="s">
        <v>111</v>
      </c>
      <c r="C125" s="98" t="s">
        <v>87</v>
      </c>
      <c r="D125" s="98" t="s">
        <v>87</v>
      </c>
      <c r="E125" s="98" t="s">
        <v>87</v>
      </c>
    </row>
    <row r="126" spans="1:8" x14ac:dyDescent="0.35">
      <c r="A126" s="98" t="s">
        <v>680</v>
      </c>
      <c r="C126" s="98" t="s">
        <v>806</v>
      </c>
      <c r="D126" s="98" t="s">
        <v>806</v>
      </c>
      <c r="E126" s="98" t="s">
        <v>806</v>
      </c>
    </row>
    <row r="127" spans="1:8" x14ac:dyDescent="0.35">
      <c r="C127" s="98" t="s">
        <v>807</v>
      </c>
      <c r="D127" s="98" t="s">
        <v>807</v>
      </c>
      <c r="E127" s="98" t="s">
        <v>807</v>
      </c>
    </row>
    <row r="128" spans="1:8" x14ac:dyDescent="0.35">
      <c r="C128" s="98" t="s">
        <v>79</v>
      </c>
      <c r="D128" s="98" t="s">
        <v>79</v>
      </c>
      <c r="E128" s="98" t="s">
        <v>79</v>
      </c>
    </row>
    <row r="129" spans="1:8" x14ac:dyDescent="0.35">
      <c r="C129" s="98" t="s">
        <v>808</v>
      </c>
      <c r="D129" s="98" t="s">
        <v>808</v>
      </c>
      <c r="E129" s="98" t="s">
        <v>808</v>
      </c>
    </row>
    <row r="130" spans="1:8" x14ac:dyDescent="0.35">
      <c r="C130" s="98" t="s">
        <v>82</v>
      </c>
      <c r="D130" s="98" t="s">
        <v>82</v>
      </c>
      <c r="E130" s="98" t="s">
        <v>82</v>
      </c>
    </row>
    <row r="131" spans="1:8" x14ac:dyDescent="0.35">
      <c r="C131" s="98" t="s">
        <v>92</v>
      </c>
      <c r="D131" s="98" t="s">
        <v>92</v>
      </c>
      <c r="E131" s="98" t="s">
        <v>92</v>
      </c>
    </row>
    <row r="132" spans="1:8" ht="23.5" x14ac:dyDescent="0.55000000000000004">
      <c r="A132" s="132" t="s">
        <v>966</v>
      </c>
    </row>
    <row r="133" spans="1:8" x14ac:dyDescent="0.35">
      <c r="A133" s="133" t="s">
        <v>967</v>
      </c>
      <c r="B133" s="133" t="s">
        <v>119</v>
      </c>
      <c r="F133" s="3"/>
      <c r="G133" s="3"/>
      <c r="H133" s="3"/>
    </row>
    <row r="134" spans="1:8" x14ac:dyDescent="0.35">
      <c r="A134" s="98" t="s">
        <v>119</v>
      </c>
      <c r="B134" s="98" t="s">
        <v>27</v>
      </c>
      <c r="C134" s="133" t="s">
        <v>722</v>
      </c>
      <c r="D134" s="133" t="s">
        <v>117</v>
      </c>
      <c r="E134" s="133" t="s">
        <v>723</v>
      </c>
    </row>
    <row r="135" spans="1:8" x14ac:dyDescent="0.35">
      <c r="A135" s="98" t="s">
        <v>722</v>
      </c>
      <c r="C135" s="98" t="s">
        <v>36</v>
      </c>
      <c r="D135" s="98" t="s">
        <v>36</v>
      </c>
      <c r="E135" s="98" t="s">
        <v>36</v>
      </c>
    </row>
    <row r="136" spans="1:8" x14ac:dyDescent="0.35">
      <c r="A136" s="98" t="s">
        <v>117</v>
      </c>
      <c r="C136" s="98" t="s">
        <v>87</v>
      </c>
      <c r="D136" s="98" t="s">
        <v>87</v>
      </c>
      <c r="E136" s="98" t="s">
        <v>87</v>
      </c>
    </row>
    <row r="137" spans="1:8" x14ac:dyDescent="0.35">
      <c r="A137" s="98" t="s">
        <v>723</v>
      </c>
      <c r="C137" s="98" t="s">
        <v>806</v>
      </c>
      <c r="D137" s="98" t="s">
        <v>806</v>
      </c>
      <c r="E137" s="98" t="s">
        <v>806</v>
      </c>
    </row>
    <row r="138" spans="1:8" x14ac:dyDescent="0.35">
      <c r="C138" s="98" t="s">
        <v>807</v>
      </c>
      <c r="D138" s="98" t="s">
        <v>807</v>
      </c>
      <c r="E138" s="98" t="s">
        <v>807</v>
      </c>
    </row>
    <row r="139" spans="1:8" x14ac:dyDescent="0.35">
      <c r="C139" s="98" t="s">
        <v>79</v>
      </c>
      <c r="D139" s="98" t="s">
        <v>79</v>
      </c>
      <c r="E139" s="98" t="s">
        <v>79</v>
      </c>
    </row>
    <row r="140" spans="1:8" x14ac:dyDescent="0.35">
      <c r="C140" s="98" t="s">
        <v>808</v>
      </c>
      <c r="D140" s="98" t="s">
        <v>808</v>
      </c>
      <c r="E140" s="98" t="s">
        <v>808</v>
      </c>
    </row>
    <row r="141" spans="1:8" x14ac:dyDescent="0.35">
      <c r="C141" s="98" t="s">
        <v>82</v>
      </c>
      <c r="D141" s="98" t="s">
        <v>82</v>
      </c>
      <c r="E141" s="98" t="s">
        <v>82</v>
      </c>
    </row>
    <row r="142" spans="1:8" x14ac:dyDescent="0.35">
      <c r="C142" s="98" t="s">
        <v>92</v>
      </c>
      <c r="D142" s="98" t="s">
        <v>92</v>
      </c>
      <c r="E142" s="98" t="s">
        <v>92</v>
      </c>
    </row>
    <row r="143" spans="1:8" ht="23.5" x14ac:dyDescent="0.55000000000000004">
      <c r="A143" s="132" t="s">
        <v>968</v>
      </c>
    </row>
    <row r="144" spans="1:8" x14ac:dyDescent="0.35">
      <c r="A144" s="133" t="s">
        <v>969</v>
      </c>
      <c r="B144" s="133" t="s">
        <v>681</v>
      </c>
    </row>
    <row r="145" spans="1:4" x14ac:dyDescent="0.35">
      <c r="A145" s="98" t="s">
        <v>681</v>
      </c>
      <c r="B145" s="98" t="s">
        <v>27</v>
      </c>
      <c r="C145" s="133" t="s">
        <v>108</v>
      </c>
      <c r="D145" s="3"/>
    </row>
    <row r="146" spans="1:4" x14ac:dyDescent="0.35">
      <c r="A146" s="98" t="s">
        <v>108</v>
      </c>
      <c r="C146" s="98" t="s">
        <v>36</v>
      </c>
    </row>
    <row r="147" spans="1:4" x14ac:dyDescent="0.35">
      <c r="C147" s="98" t="s">
        <v>87</v>
      </c>
    </row>
    <row r="148" spans="1:4" x14ac:dyDescent="0.35">
      <c r="C148" s="98" t="s">
        <v>806</v>
      </c>
    </row>
    <row r="149" spans="1:4" x14ac:dyDescent="0.35">
      <c r="C149" s="98" t="s">
        <v>807</v>
      </c>
    </row>
    <row r="150" spans="1:4" x14ac:dyDescent="0.35">
      <c r="C150" s="98" t="s">
        <v>79</v>
      </c>
    </row>
    <row r="151" spans="1:4" x14ac:dyDescent="0.35">
      <c r="C151" s="98" t="s">
        <v>808</v>
      </c>
    </row>
    <row r="152" spans="1:4" x14ac:dyDescent="0.35">
      <c r="C152" s="98" t="s">
        <v>82</v>
      </c>
    </row>
    <row r="153" spans="1:4" x14ac:dyDescent="0.35">
      <c r="C153" s="98" t="s">
        <v>92</v>
      </c>
    </row>
    <row r="154" spans="1:4" x14ac:dyDescent="0.35">
      <c r="A154" t="s">
        <v>970</v>
      </c>
    </row>
    <row r="155" spans="1:4" x14ac:dyDescent="0.35">
      <c r="A155" s="133" t="s">
        <v>971</v>
      </c>
      <c r="B155" s="133" t="s">
        <v>972</v>
      </c>
    </row>
    <row r="156" spans="1:4" x14ac:dyDescent="0.35">
      <c r="A156" s="98" t="s">
        <v>972</v>
      </c>
      <c r="B156" s="98" t="s">
        <v>27</v>
      </c>
      <c r="C156" s="133" t="s">
        <v>121</v>
      </c>
      <c r="D156" s="3"/>
    </row>
    <row r="157" spans="1:4" x14ac:dyDescent="0.35">
      <c r="A157" s="98" t="s">
        <v>121</v>
      </c>
      <c r="C157" s="98" t="s">
        <v>36</v>
      </c>
    </row>
    <row r="158" spans="1:4" x14ac:dyDescent="0.35">
      <c r="C158" s="98" t="s">
        <v>87</v>
      </c>
    </row>
    <row r="159" spans="1:4" x14ac:dyDescent="0.35">
      <c r="C159" s="98" t="s">
        <v>806</v>
      </c>
    </row>
    <row r="160" spans="1:4" x14ac:dyDescent="0.35">
      <c r="C160" s="98" t="s">
        <v>807</v>
      </c>
    </row>
    <row r="161" spans="1:3" x14ac:dyDescent="0.35">
      <c r="C161" s="98" t="s">
        <v>79</v>
      </c>
    </row>
    <row r="162" spans="1:3" x14ac:dyDescent="0.35">
      <c r="C162" s="98" t="s">
        <v>808</v>
      </c>
    </row>
    <row r="163" spans="1:3" x14ac:dyDescent="0.35">
      <c r="C163" s="98" t="s">
        <v>82</v>
      </c>
    </row>
    <row r="164" spans="1:3" x14ac:dyDescent="0.35">
      <c r="C164" s="98" t="s">
        <v>92</v>
      </c>
    </row>
    <row r="167" spans="1:3" ht="23.5" x14ac:dyDescent="0.55000000000000004">
      <c r="A167" s="132" t="s">
        <v>941</v>
      </c>
    </row>
    <row r="168" spans="1:3" x14ac:dyDescent="0.35">
      <c r="A168" s="133" t="s">
        <v>973</v>
      </c>
      <c r="B168" s="133" t="s">
        <v>24</v>
      </c>
    </row>
    <row r="169" spans="1:3" x14ac:dyDescent="0.35">
      <c r="A169" s="98" t="s">
        <v>24</v>
      </c>
      <c r="B169" s="98" t="s">
        <v>25</v>
      </c>
      <c r="C169" s="133" t="s">
        <v>27</v>
      </c>
    </row>
    <row r="170" spans="1:3" x14ac:dyDescent="0.35">
      <c r="A170" s="98" t="s">
        <v>27</v>
      </c>
      <c r="B170" s="98" t="s">
        <v>935</v>
      </c>
      <c r="C170" s="98" t="s">
        <v>27</v>
      </c>
    </row>
    <row r="174" spans="1:3" ht="23.5" x14ac:dyDescent="0.55000000000000004">
      <c r="A174" s="132" t="s">
        <v>1031</v>
      </c>
    </row>
    <row r="175" spans="1:3" x14ac:dyDescent="0.35">
      <c r="A175" s="349" t="s">
        <v>28</v>
      </c>
    </row>
    <row r="176" spans="1:3" x14ac:dyDescent="0.35">
      <c r="A176" s="2" t="s">
        <v>543</v>
      </c>
    </row>
    <row r="177" spans="1:1" x14ac:dyDescent="0.35">
      <c r="A177" s="2" t="s">
        <v>545</v>
      </c>
    </row>
    <row r="178" spans="1:1" x14ac:dyDescent="0.35">
      <c r="A178" s="61" t="s">
        <v>546</v>
      </c>
    </row>
  </sheetData>
  <phoneticPr fontId="5"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Filetype xmlns="049423d5-a9ee-40f0-b7f4-5d865a34ede2">Working file</Filetype>
    <TaxCatchAll xmlns="7ef83a42-8f15-4401-ad91-10066a657aa4" xsi:nil="true"/>
    <lcf76f155ced4ddcb4097134ff3c332f xmlns="049423d5-a9ee-40f0-b7f4-5d865a34ede2">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9822B1808C0A745ACC2944D811835C1" ma:contentTypeVersion="15" ma:contentTypeDescription="Een nieuw document maken." ma:contentTypeScope="" ma:versionID="a0bdc790ad276035e6fc9b8b4cd86eca">
  <xsd:schema xmlns:xsd="http://www.w3.org/2001/XMLSchema" xmlns:xs="http://www.w3.org/2001/XMLSchema" xmlns:p="http://schemas.microsoft.com/office/2006/metadata/properties" xmlns:ns2="049423d5-a9ee-40f0-b7f4-5d865a34ede2" xmlns:ns3="7ef83a42-8f15-4401-ad91-10066a657aa4" targetNamespace="http://schemas.microsoft.com/office/2006/metadata/properties" ma:root="true" ma:fieldsID="33fe8e4ca89c593d9fdfc9be6a4c0646" ns2:_="" ns3:_="">
    <xsd:import namespace="049423d5-a9ee-40f0-b7f4-5d865a34ede2"/>
    <xsd:import namespace="7ef83a42-8f15-4401-ad91-10066a657aa4"/>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Filetype"/>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49423d5-a9ee-40f0-b7f4-5d865a34ede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Filetype" ma:index="13" ma:displayName="File type" ma:description="Indicate the type of file: proposal, report, presentation, test results, etc" ma:format="Dropdown" ma:internalName="Filetype">
      <xsd:simpleType>
        <xsd:restriction base="dms:Choice">
          <xsd:enumeration value="Proposal"/>
          <xsd:enumeration value="Report"/>
          <xsd:enumeration value="Working file"/>
          <xsd:enumeration value="Presentation"/>
          <xsd:enumeration value="Test result"/>
          <xsd:enumeration value="Template"/>
          <xsd:enumeration value="Publication"/>
        </xsd:restriction>
      </xsd:simpleType>
    </xsd:element>
    <xsd:element name="MediaServiceSearchProperties" ma:index="14" nillable="true" ma:displayName="MediaServiceSearchProperties" ma:hidden="true" ma:internalName="MediaServiceSearchProperties" ma:readOnly="true">
      <xsd:simpleType>
        <xsd:restriction base="dms:Note"/>
      </xsd:simpleType>
    </xsd:element>
    <xsd:element name="lcf76f155ced4ddcb4097134ff3c332f" ma:index="16" nillable="true" ma:taxonomy="true" ma:internalName="lcf76f155ced4ddcb4097134ff3c332f" ma:taxonomyFieldName="MediaServiceImageTags" ma:displayName="Afbeeldingtags" ma:readOnly="false" ma:fieldId="{5cf76f15-5ced-4ddc-b409-7134ff3c332f}" ma:taxonomyMulti="true" ma:sspId="f9fc2d29-e47d-4962-b2bb-d877dae46607" ma:termSetId="09814cd3-568e-fe90-9814-8d621ff8fb84" ma:anchorId="fba54fb3-c3e1-fe81-a776-ca4b69148c4d" ma:open="true" ma:isKeyword="false">
      <xsd:complexType>
        <xsd:sequence>
          <xsd:element ref="pc:Terms" minOccurs="0" maxOccurs="1"/>
        </xsd:sequence>
      </xsd:complex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f83a42-8f15-4401-ad91-10066a657aa4" elementFormDefault="qualified">
    <xsd:import namespace="http://schemas.microsoft.com/office/2006/documentManagement/types"/>
    <xsd:import namespace="http://schemas.microsoft.com/office/infopath/2007/PartnerControls"/>
    <xsd:element name="SharedWithUsers" ma:index="10"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Gedeeld met details" ma:internalName="SharedWithDetails" ma:readOnly="true">
      <xsd:simpleType>
        <xsd:restriction base="dms:Note">
          <xsd:maxLength value="255"/>
        </xsd:restriction>
      </xsd:simpleType>
    </xsd:element>
    <xsd:element name="TaxCatchAll" ma:index="17" nillable="true" ma:displayName="Taxonomy Catch All Column" ma:hidden="true" ma:list="{a2697211-42bb-4718-b307-22e33f6e9d16}" ma:internalName="TaxCatchAll" ma:showField="CatchAllData" ma:web="7ef83a42-8f15-4401-ad91-10066a657aa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8027E63-F462-4029-94CB-583B80336FCE}">
  <ds:schemaRefs>
    <ds:schemaRef ds:uri="http://schemas.microsoft.com/sharepoint/v3/contenttype/forms"/>
  </ds:schemaRefs>
</ds:datastoreItem>
</file>

<file path=customXml/itemProps2.xml><?xml version="1.0" encoding="utf-8"?>
<ds:datastoreItem xmlns:ds="http://schemas.openxmlformats.org/officeDocument/2006/customXml" ds:itemID="{8ABF6D21-1044-4E3F-9DAE-B59D46593B6A}">
  <ds:schemaRefs>
    <ds:schemaRef ds:uri="049423d5-a9ee-40f0-b7f4-5d865a34ede2"/>
    <ds:schemaRef ds:uri="http://purl.org/dc/elements/1.1/"/>
    <ds:schemaRef ds:uri="http://www.w3.org/XML/1998/namespace"/>
    <ds:schemaRef ds:uri="http://schemas.microsoft.com/office/2006/documentManagement/types"/>
    <ds:schemaRef ds:uri="7ef83a42-8f15-4401-ad91-10066a657aa4"/>
    <ds:schemaRef ds:uri="http://purl.org/dc/dcmitype/"/>
    <ds:schemaRef ds:uri="http://purl.org/dc/terms/"/>
    <ds:schemaRef ds:uri="http://schemas.openxmlformats.org/package/2006/metadata/core-properties"/>
    <ds:schemaRef ds:uri="http://schemas.microsoft.com/office/infopath/2007/PartnerControls"/>
    <ds:schemaRef ds:uri="http://schemas.microsoft.com/office/2006/metadata/properties"/>
  </ds:schemaRefs>
</ds:datastoreItem>
</file>

<file path=customXml/itemProps3.xml><?xml version="1.0" encoding="utf-8"?>
<ds:datastoreItem xmlns:ds="http://schemas.openxmlformats.org/officeDocument/2006/customXml" ds:itemID="{CEC13AF0-5F8D-435F-93EF-2D6872CAD43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49423d5-a9ee-40f0-b7f4-5d865a34ede2"/>
    <ds:schemaRef ds:uri="7ef83a42-8f15-4401-ad91-10066a657aa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55</vt:i4>
      </vt:variant>
    </vt:vector>
  </HeadingPairs>
  <TitlesOfParts>
    <vt:vector size="73" baseType="lpstr">
      <vt:lpstr>ReadMe</vt:lpstr>
      <vt:lpstr>Input</vt:lpstr>
      <vt:lpstr>Result Dashboard</vt:lpstr>
      <vt:lpstr>Aux - Check</vt:lpstr>
      <vt:lpstr>Results</vt:lpstr>
      <vt:lpstr>DDN_Results_TP</vt:lpstr>
      <vt:lpstr>A1 - Raw Material Supply</vt:lpstr>
      <vt:lpstr>C3' - Secondary Raw Material </vt:lpstr>
      <vt:lpstr>A2 - Transport</vt:lpstr>
      <vt:lpstr>C2'- Transport Secondary</vt:lpstr>
      <vt:lpstr>A3 - Production </vt:lpstr>
      <vt:lpstr>A4 - Transport</vt:lpstr>
      <vt:lpstr>A5 - Construction</vt:lpstr>
      <vt:lpstr>C1 - Deconstruction</vt:lpstr>
      <vt:lpstr>D- Benefits &amp; Burdens</vt:lpstr>
      <vt:lpstr>LCI</vt:lpstr>
      <vt:lpstr>Aux - Emissions</vt:lpstr>
      <vt:lpstr>Aux - Lists</vt:lpstr>
      <vt:lpstr>Barge</vt:lpstr>
      <vt:lpstr>Barge_tanker</vt:lpstr>
      <vt:lpstr>Crusher_types_RAP</vt:lpstr>
      <vt:lpstr>Crusher_types_RCA</vt:lpstr>
      <vt:lpstr>Electric_component</vt:lpstr>
      <vt:lpstr>Excavator_Hitachi_ZX1357_160kW</vt:lpstr>
      <vt:lpstr>Excavator_types</vt:lpstr>
      <vt:lpstr>Milling_large_scale_project_Wirtgen_W250Fi_753kW</vt:lpstr>
      <vt:lpstr>Milling_medium_scale_project_Wirtgen_W210XPi_571kW</vt:lpstr>
      <vt:lpstr>Milling_small_scale_project_Wirtgen_W35Ri_45kW</vt:lpstr>
      <vt:lpstr>Milling_types</vt:lpstr>
      <vt:lpstr>Mobile_jaw_crusher_400tph_RAP</vt:lpstr>
      <vt:lpstr>Mobile_jaw_crusher_400tph_RCA</vt:lpstr>
      <vt:lpstr>Mobile_screener_500tph_RAP</vt:lpstr>
      <vt:lpstr>Mobile_screener_500tph_RCA</vt:lpstr>
      <vt:lpstr>No</vt:lpstr>
      <vt:lpstr>No_crusher_RAP</vt:lpstr>
      <vt:lpstr>No_crusher_RCA</vt:lpstr>
      <vt:lpstr>No_excavator</vt:lpstr>
      <vt:lpstr>No_milling_machine</vt:lpstr>
      <vt:lpstr>No_paver</vt:lpstr>
      <vt:lpstr>No_roller</vt:lpstr>
      <vt:lpstr>No_screener_RAP</vt:lpstr>
      <vt:lpstr>No_screener_RCA</vt:lpstr>
      <vt:lpstr>No_stacker_RAP</vt:lpstr>
      <vt:lpstr>No_stacker_RCA</vt:lpstr>
      <vt:lpstr>No_sweeper_truck</vt:lpstr>
      <vt:lpstr>No_wheel_loader</vt:lpstr>
      <vt:lpstr>Paver_large_scale_project_354kW</vt:lpstr>
      <vt:lpstr>Paver_medium_scale_project_129kW</vt:lpstr>
      <vt:lpstr>Paver_small_scale_project_25kW</vt:lpstr>
      <vt:lpstr>Paver_types</vt:lpstr>
      <vt:lpstr>Roller_large_scale_project_100kW</vt:lpstr>
      <vt:lpstr>Roller_medium_scale_project_55kW</vt:lpstr>
      <vt:lpstr>Roller_small_scale_project_30kW</vt:lpstr>
      <vt:lpstr>Roller_types</vt:lpstr>
      <vt:lpstr>Screener_types_RAP</vt:lpstr>
      <vt:lpstr>Screener_types_RCA</vt:lpstr>
      <vt:lpstr>Ship</vt:lpstr>
      <vt:lpstr>Stacker_types_RAP</vt:lpstr>
      <vt:lpstr>Stacker_types_RCA</vt:lpstr>
      <vt:lpstr>Sweeper_truck_volvo_186kW</vt:lpstr>
      <vt:lpstr>Tracked_stacker_500tph_RAP</vt:lpstr>
      <vt:lpstr>Tracked_stacker_500tph_RCA</vt:lpstr>
      <vt:lpstr>Train</vt:lpstr>
      <vt:lpstr>Transport_mode</vt:lpstr>
      <vt:lpstr>Truck</vt:lpstr>
      <vt:lpstr>Types_sweeper_truck</vt:lpstr>
      <vt:lpstr>Wheel_loader_338tph_Komatsu_WA500</vt:lpstr>
      <vt:lpstr>Wheel_loader_338tph_Komatsu_WA500_RAP</vt:lpstr>
      <vt:lpstr>Wheel_loader_338tph_Komatsu_WA500_RCA</vt:lpstr>
      <vt:lpstr>Wheel_loader_types</vt:lpstr>
      <vt:lpstr>Wheel_loader_types_RAP</vt:lpstr>
      <vt:lpstr>Wheel_loader_types_RCA</vt:lpstr>
      <vt:lpstr>Yes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Shaffie Juma</dc:creator>
  <cp:keywords/>
  <dc:description/>
  <cp:lastModifiedBy>Shaffie Juma</cp:lastModifiedBy>
  <cp:revision/>
  <cp:lastPrinted>2025-06-04T12:15:52Z</cp:lastPrinted>
  <dcterms:created xsi:type="dcterms:W3CDTF">2024-07-08T07:29:36Z</dcterms:created>
  <dcterms:modified xsi:type="dcterms:W3CDTF">2026-04-28T13:01:38Z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0x01010009822B1808C0A745ACC2944D811835C1</vt:lpwstr>
  </property>
  <property fmtid="{D5CDD505-2E9C-101B-9397-08002B2CF9AE}" pid="3" name="MediaServiceImageTags">
    <vt:lpwstr/>
  </property>
</Properties>
</file>