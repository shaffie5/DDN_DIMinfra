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83B70AC6-31F1-4207-8DC9-3B9B0C77A4A4}" xr6:coauthVersionLast="47" xr6:coauthVersionMax="47" xr10:uidLastSave="{00000000-0000-0000-0000-000000000000}"/>
  <bookViews>
    <workbookView xWindow="380" yWindow="380" windowWidth="17280" windowHeight="1069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43" l="1"/>
  <c r="F63" i="1"/>
  <c r="B2" i="43" s="1"/>
  <c r="C6" i="43" s="1"/>
  <c r="B3" i="43"/>
  <c r="B6" i="43" s="1"/>
  <c r="B54" i="18"/>
  <c r="D74" i="1"/>
  <c r="D75" i="1"/>
  <c r="D76" i="1"/>
  <c r="D73" i="1"/>
  <c r="D70" i="1"/>
  <c r="D68" i="1"/>
  <c r="D69" i="1"/>
  <c r="B29" i="43" l="1"/>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S76" i="20" s="1"/>
  <c r="T76" i="20" s="1"/>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<sst xmlns="http://schemas.openxmlformats.org/spreadsheetml/2006/main" count="4829" uniqueCount="1051">
  <si>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</si>
  <si>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</si>
  <si>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</si>
  <si>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</si>
  <si>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</si>
  <si>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</si>
  <si>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</si>
  <si>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</si>
  <si>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</si>
  <si>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</si>
  <si>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</si>
  <si>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</si>
  <si>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</si>
  <si>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</si>
  <si>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</si>
  <si>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</si>
  <si>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</si>
  <si>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</si>
  <si>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</si>
  <si>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</si>
  <si>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</si>
  <si>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</si>
  <si>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</si>
  <si>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</si>
  <si>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</si>
  <si>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</si>
  <si>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</si>
  <si>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</si>
  <si>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</si>
  <si>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</si>
  <si>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</si>
  <si>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</si>
  <si>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</si>
  <si>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</si>
  <si>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</si>
  <si>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</si>
  <si>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</si>
  <si>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</si>
  <si>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</si>
  <si>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</si>
  <si>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</si>
  <si>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</si>
  <si>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</si>
  <si>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</si>
  <si>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</si>
  <si>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</si>
  <si>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</si>
  <si>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</si>
  <si>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</si>
  <si>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</si>
  <si>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</si>
  <si>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</si>
  <si>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</si>
  <si>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</si>
  <si>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</si>
  <si>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</si>
  <si>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</si>
  <si>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</si>
  <si>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</si>
  <si>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</si>
  <si>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</si>
  <si>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</si>
  <si>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</si>
  <si>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</si>
  <si>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</si>
  <si>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</si>
  <si>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</si>
  <si>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</si>
  <si>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</si>
  <si>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</si>
  <si>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</si>
  <si>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</si>
  <si>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</si>
  <si>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</si>
  <si>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</si>
  <si>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</si>
  <si>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</si>
  <si>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</si>
  <si>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</si>
  <si>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</si>
  <si>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</si>
  <si>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</si>
  <si>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</si>
  <si>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</si>
  <si>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</si>
  <si>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</si>
  <si>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</si>
  <si>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</si>
  <si>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</si>
  <si>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</si>
  <si>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</si>
  <si>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</si>
  <si>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</si>
  <si>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</si>
  <si>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</si>
  <si>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</si>
  <si>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</si>
  <si>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</si>
  <si>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</si>
  <si>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</si>
  <si>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</si>
  <si>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</si>
  <si>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</si>
  <si>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</si>
  <si>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</si>
  <si>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</si>
  <si>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</si>
  <si>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</si>
  <si>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</si>
  <si>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</si>
  <si>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</si>
  <si>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</si>
  <si>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</si>
  <si>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</si>
  <si>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</si>
  <si>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</si>
  <si>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</si>
  <si>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</si>
  <si>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</si>
  <si>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</si>
  <si>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</si>
  <si>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</si>
  <si>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</si>
  <si>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</si>
  <si>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</si>
  <si>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</si>
  <si>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</si>
  <si>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</si>
  <si>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</si>
  <si>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</si>
  <si>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</si>
  <si>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</si>
  <si>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</si>
  <si>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</si>
  <si>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</si>
  <si>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</si>
  <si>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</si>
  <si>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</si>
  <si>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</si>
  <si>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</si>
  <si>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</si>
  <si>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</si>
  <si>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</si>
  <si>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</si>
  <si>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</si>
  <si>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</si>
  <si>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</si>
  <si>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</si>
  <si>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</si>
  <si>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</si>
  <si>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</si>
  <si>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</si>
  <si>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</si>
  <si>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</si>
  <si>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</si>
  <si>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</si>
  <si>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</si>
  <si>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</si>
  <si>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</si>
  <si>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</si>
  <si>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</si>
  <si>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</si>
  <si>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</si>
  <si>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</si>
  <si>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</si>
  <si>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</si>
  <si>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</si>
  <si>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</si>
  <si>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</si>
  <si>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</si>
  <si>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</si>
  <si>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</si>
  <si>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</si>
  <si>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</si>
  <si>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</si>
  <si>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</si>
  <si>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</si>
  <si>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</si>
  <si>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</si>
  <si>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</si>
  <si>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</si>
  <si>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</si>
  <si>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</si>
  <si>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</si>
  <si>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</si>
  <si>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</si>
  <si>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</si>
  <si>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</si>
  <si>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</si>
  <si>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</si>
  <si>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</si>
  <si>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</si>
  <si>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</si>
  <si>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</si>
  <si>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</si>
  <si>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</si>
  <si>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</si>
  <si>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</si>
  <si>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</si>
  <si>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</si>
  <si>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</si>
  <si>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</si>
  <si>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</si>
  <si>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</si>
  <si>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</si>
  <si>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</si>
  <si>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</si>
  <si>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</si>
  <si>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</si>
  <si>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</si>
  <si>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</si>
  <si>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</si>
  <si>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</si>
  <si>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</si>
  <si>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</si>
  <si>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</si>
  <si>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</si>
  <si>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</si>
  <si>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</si>
  <si>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</si>
  <si>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</si>
  <si>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</si>
  <si>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</si>
  <si>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</si>
  <si>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</si>
  <si>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</si>
  <si>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</si>
  <si>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</si>
  <si>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</si>
  <si>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</si>
  <si>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</si>
  <si>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</si>
  <si>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</si>
  <si>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</si>
  <si>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</si>
  <si>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</si>
  <si>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</si>
  <si>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</si>
  <si>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</si>
  <si>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</si>
  <si>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</si>
  <si>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</si>
  <si>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</si>
  <si>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</si>
  <si>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</si>
  <si>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</si>
  <si>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</si>
  <si>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</si>
  <si>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</si>
  <si>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</si>
  <si>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</si>
  <si>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</si>
  <si>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</si>
  <si>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</si>
  <si>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</si>
  <si>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</si>
  <si>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</si>
  <si>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</si>
  <si>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</si>
  <si>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</si>
  <si>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</si>
  <si>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</si>
  <si>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</si>
  <si>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</si>
  <si>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</si>
  <si>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</si>
  <si>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</si>
  <si>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</si>
  <si>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</si>
  <si>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</si>
  <si>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</si>
  <si>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</si>
  <si>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</si>
  <si>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</si>
  <si>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</si>
  <si>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</si>
  <si>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</si>
  <si>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</si>
  <si>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</si>
  <si>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</si>
  <si>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</si>
  <si>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</si>
  <si>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</si>
  <si>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</si>
  <si>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</si>
  <si>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</si>
  <si>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</si>
  <si>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</si>
  <si>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</si>
  <si>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</si>
  <si>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</si>
  <si>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</si>
  <si>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</si>
  <si>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</si>
  <si>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</si>
  <si>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</si>
  <si>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</si>
  <si>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</si>
  <si>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</si>
  <si>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</si>
  <si>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</si>
  <si>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</si>
  <si>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</si>
  <si>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</si>
  <si>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</si>
  <si>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</si>
  <si>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</si>
  <si>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</si>
  <si>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</si>
  <si>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</si>
  <si>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</si>
  <si>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</si>
  <si>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</si>
  <si>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</si>
  <si>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</si>
  <si>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</si>
  <si>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</si>
  <si>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</si>
  <si>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</si>
  <si>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</si>
  <si>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</si>
  <si>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</si>
  <si>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</si>
  <si>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</si>
  <si>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</si>
  <si>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</si>
  <si>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</si>
  <si>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</si>
  <si>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</si>
  <si>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</si>
  <si>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</si>
  <si>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</si>
  <si>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</si>
  <si>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</si>
  <si>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</si>
  <si>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</si>
  <si>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</si>
  <si>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</si>
  <si>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</si>
  <si>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</si>
  <si>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</si>
  <si>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</si>
  <si>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</si>
  <si>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</si>
  <si>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</si>
  <si>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</si>
  <si>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</si>
  <si>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</si>
  <si>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</si>
  <si>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</si>
  <si>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</si>
  <si>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</si>
  <si>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</si>
  <si>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</si>
  <si>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</si>
  <si>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</si>
  <si>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</si>
  <si>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</si>
  <si>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</si>
  <si>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</si>
  <si>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</si>
  <si>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</si>
  <si>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</si>
  <si>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</si>
  <si>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</si>
  <si>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</si>
  <si>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</si>
  <si>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</si>
  <si>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</si>
  <si>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</si>
  <si>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</si>
  <si>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</si>
  <si>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</si>
  <si>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</si>
  <si>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</si>
  <si>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</si>
  <si>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</si>
  <si>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</si>
  <si>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</si>
  <si>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</si>
  <si>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</si>
  <si>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</si>
  <si>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</si>
  <si>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</si>
  <si>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</si>
  <si>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</si>
  <si>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</si>
  <si>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</si>
  <si>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</si>
  <si>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</si>
  <si>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</si>
  <si>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</si>
  <si>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</si>
  <si>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</si>
  <si>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</si>
  <si>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</si>
  <si>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</si>
  <si>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</si>
  <si>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</si>
  <si>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</si>
  <si>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</si>
  <si>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</si>
  <si>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</si>
  <si>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</si>
  <si>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</si>
  <si>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</si>
  <si>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</si>
  <si>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</si>
  <si>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</si>
  <si>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</si>
  <si>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</si>
  <si>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</si>
  <si>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</si>
  <si>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</si>
  <si>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</si>
  <si>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</si>
  <si>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</si>
  <si>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</si>
  <si>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</si>
  <si>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</si>
  <si>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</si>
  <si>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</si>
  <si>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</si>
  <si>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</si>
  <si>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</si>
  <si>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</si>
  <si>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</si>
  <si>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</si>
  <si>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</si>
  <si>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</si>
  <si>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</si>
  <si>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</si>
  <si>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</si>
  <si>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</si>
  <si>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</si>
  <si>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</si>
  <si>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</si>
  <si>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</si>
  <si>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</si>
  <si>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</si>
  <si>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</si>
  <si>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</si>
  <si>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</si>
  <si>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</si>
  <si>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</si>
  <si>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</si>
  <si>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</si>
  <si>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</si>
  <si>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</si>
  <si>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</si>
  <si>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</si>
  <si>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</si>
  <si>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</si>
  <si>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</si>
  <si>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</si>
  <si>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</si>
  <si>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</si>
  <si>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</si>
  <si>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</si>
  <si>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</si>
  <si>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</si>
  <si>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</si>
  <si>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</si>
  <si>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</si>
  <si>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</si>
  <si>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</si>
  <si>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</si>
  <si>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</si>
  <si>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</si>
  <si>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</si>
  <si>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</si>
  <si>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</si>
  <si>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</si>
  <si>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</si>
  <si>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</si>
  <si>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</si>
  <si>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</si>
  <si>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</si>
  <si>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</si>
  <si>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</si>
  <si>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</si>
  <si>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</si>
  <si>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</si>
  <si>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</si>
  <si>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</si>
  <si>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</si>
  <si>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</si>
  <si>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</si>
  <si>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</si>
  <si>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</si>
  <si>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</si>
  <si>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</si>
  <si>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</si>
  <si>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</si>
  <si>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</si>
  <si>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</si>
  <si>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</si>
  <si>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</si>
  <si>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</si>
  <si>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</si>
  <si>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</si>
  <si>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</si>
  <si>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</si>
  <si>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</si>
  <si>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</si>
  <si>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</si>
  <si>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</si>
  <si>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</si>
  <si>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</si>
  <si>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</si>
  <si>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</si>
  <si>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</si>
  <si>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</si>
  <si>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</si>
  <si>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</si>
  <si>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</si>
  <si>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</si>
  <si>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</si>
  <si>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</si>
  <si>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</si>
  <si>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</si>
  <si>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</si>
  <si>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</si>
  <si>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</si>
  <si>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</si>
  <si>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</si>
  <si>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</si>
  <si>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</si>
  <si>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</si>
  <si>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</si>
  <si>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</si>
  <si>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</si>
  <si>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</si>
  <si>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</si>
  <si>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</si>
  <si>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</si>
  <si>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</si>
  <si>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</si>
  <si>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</si>
  <si>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</si>
  <si>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</si>
  <si>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</si>
  <si>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</si>
  <si>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</si>
  <si>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</si>
  <si>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</si>
  <si>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</si>
  <si>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</si>
  <si>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</si>
  <si>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</si>
  <si>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</si>
  <si>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</si>
  <si>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</si>
  <si>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</si>
  <si>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</si>
  <si>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</si>
  <si>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</si>
  <si>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</si>
  <si>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</si>
  <si>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</si>
  <si>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</si>
  <si>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</si>
  <si>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</si>
  <si>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</si>
  <si>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</si>
  <si>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</si>
  <si>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</si>
  <si>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</si>
  <si>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</si>
  <si>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</si>
  <si>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</si>
  <si>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</si>
  <si>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</si>
  <si>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</si>
  <si>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</si>
  <si>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</si>
  <si>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</si>
  <si>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</si>
  <si>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</si>
  <si>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</si>
  <si>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</si>
  <si>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</si>
  <si>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</si>
  <si>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</si>
  <si>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</si>
  <si>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</si>
  <si>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</si>
  <si>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</si>
  <si>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</si>
  <si>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</si>
  <si>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</si>
  <si>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</si>
  <si>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</si>
  <si>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</si>
  <si>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</si>
  <si>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</si>
  <si>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</si>
  <si>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</si>
  <si>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</si>
  <si>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</si>
  <si>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</si>
  <si>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</si>
  <si>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</si>
  <si>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</si>
  <si>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</si>
  <si>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</si>
  <si>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</si>
  <si>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</si>
  <si>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</si>
  <si>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</si>
  <si>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</si>
  <si>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</si>
  <si>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</si>
  <si>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</si>
  <si>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</si>
  <si>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</si>
  <si>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</si>
  <si>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</si>
  <si>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</si>
  <si>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</si>
  <si>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</si>
  <si>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</si>
  <si>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</si>
  <si>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</si>
  <si>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</si>
  <si>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</si>
  <si>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</si>
  <si>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</si>
  <si>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</si>
  <si>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</si>
  <si>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</si>
  <si>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</si>
  <si>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</si>
  <si>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</si>
  <si>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</si>
  <si>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</si>
  <si>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</si>
  <si>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</si>
  <si>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</si>
  <si>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</si>
  <si>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</si>
  <si>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</si>
  <si>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</si>
  <si>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</si>
  <si>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</si>
  <si>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</si>
  <si>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</si>
  <si>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</si>
  <si>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</si>
  <si>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</si>
  <si>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</si>
  <si>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</si>
  <si>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</si>
  <si>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</si>
  <si>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</si>
  <si>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</si>
  <si>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</si>
  <si>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</si>
  <si>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</si>
  <si>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</si>
  <si>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</si>
  <si>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</si>
  <si>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</si>
  <si>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</si>
  <si>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</si>
  <si>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</si>
  <si>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</si>
  <si>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</si>
  <si>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</si>
  <si>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</si>
  <si>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</si>
  <si>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</si>
  <si>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</si>
  <si>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</si>
  <si>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</si>
  <si>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</si>
  <si>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</si>
  <si>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</si>
  <si>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</si>
  <si>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</si>
  <si>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</si>
  <si>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</si>
  <si>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</si>
  <si>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</si>
  <si>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</si>
  <si>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</si>
  <si>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</si>
  <si>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</si>
  <si>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</si>
  <si>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</si>
  <si>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</si>
  <si>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</si>
  <si>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</si>
  <si>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</si>
  <si>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</si>
  <si>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</si>
  <si>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</si>
  <si>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</si>
  <si>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</si>
  <si>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</si>
  <si>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</si>
  <si>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</si>
  <si>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</si>
  <si>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</si>
  <si>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</si>
  <si>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</si>
  <si>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</si>
  <si>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</si>
  <si>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</si>
  <si>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</si>
  <si>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</si>
  <si>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</si>
  <si>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</si>
  <si>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</si>
  <si>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</si>
  <si>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</si>
  <si>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</si>
  <si>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</si>
  <si>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</si>
  <si>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</si>
  <si>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</si>
  <si>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</si>
  <si>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</si>
  <si>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</si>
  <si>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</si>
  <si>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</si>
  <si>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</si>
  <si>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</si>
  <si>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</si>
  <si>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</si>
  <si>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</si>
  <si>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</si>
  <si>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</si>
  <si>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</si>
  <si>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</si>
  <si>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</si>
  <si>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</si>
  <si>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</si>
  <si>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</si>
  <si>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</si>
  <si>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</si>
  <si>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</si>
  <si>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</si>
  <si>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</si>
  <si>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</si>
  <si>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</si>
  <si>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</si>
  <si>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</si>
  <si>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</si>
  <si>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</si>
  <si>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</si>
  <si>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</si>
  <si>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</si>
  <si>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</si>
  <si>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</si>
  <si>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</si>
  <si>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</si>
  <si>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</si>
  <si>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</si>
  <si>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</si>
  <si>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</si>
  <si>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</si>
  <si>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</si>
  <si>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</si>
  <si>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</si>
  <si>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</si>
  <si>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</si>
  <si>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</si>
  <si>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</si>
  <si>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</si>
  <si>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</si>
  <si>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</si>
  <si>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</si>
  <si>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</si>
  <si>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</si>
  <si>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</si>
  <si>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</si>
  <si>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</si>
  <si>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</si>
  <si>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</si>
  <si>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</si>
  <si>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</si>
  <si>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</si>
  <si>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</si>
  <si>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</si>
  <si>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</si>
  <si>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</si>
  <si>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</si>
  <si>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</si>
  <si>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</si>
  <si>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</si>
  <si>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</si>
  <si>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</si>
  <si>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</si>
  <si>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</si>
  <si>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</si>
  <si>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</si>
  <si>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</si>
  <si>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</si>
  <si>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</si>
  <si>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</si>
  <si>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</si>
  <si>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</si>
  <si>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</si>
  <si>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</si>
  <si>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</si>
  <si>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</si>
  <si>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</si>
  <si>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</si>
  <si>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</si>
  <si>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</si>
  <si>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</si>
  <si>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</si>
  <si>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</si>
  <si>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</si>
  <si>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</si>
  <si>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</si>
  <si>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</si>
  <si>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</si>
  <si>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</si>
  <si>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</si>
  <si>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</si>
  <si>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</si>
  <si>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</si>
  <si>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</si>
  <si>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</si>
  <si>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</si>
  <si>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</si>
  <si>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</si>
  <si>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</si>
  <si>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</si>
  <si>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</si>
  <si>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</si>
  <si>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</si>
  <si>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</si>
  <si>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</si>
  <si>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</si>
  <si>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</si>
  <si>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</si>
  <si>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</si>
  <si>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</si>
  <si>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</si>
  <si>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</si>
  <si>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</si>
  <si>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</si>
  <si>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</si>
  <si>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</si>
  <si>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</si>
  <si>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</si>
  <si>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</si>
  <si>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</si>
  <si>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</si>
  <si>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</si>
  <si>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</si>
  <si>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</si>
  <si>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</si>
  <si>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</si>
  <si>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</si>
  <si>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</si>
  <si>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</si>
  <si>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</si>
  <si>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</si>
  <si>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</si>
  <si>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</si>
  <si>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</si>
  <si>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</si>
  <si>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</si>
  <si>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</si>
  <si>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</si>
  <si>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</si>
  <si>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</si>
  <si>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</si>
  <si>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</si>
  <si>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</si>
  <si>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</si>
  <si>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</si>
  <si>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</si>
  <si>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</si>
  <si>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</si>
  <si>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</si>
  <si>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</si>
  <si>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</si>
  <si>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</si>
  <si>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</si>
  <si>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</si>
  <si>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</si>
  <si>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</si>
  <si>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</si>
  <si>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</si>
  <si>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</si>
  <si>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</si>
  <si>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</si>
  <si>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</si>
  <si>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</si>
  <si>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</si>
  <si>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</si>
  <si>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</si>
  <si>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</si>
  <si>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</si>
  <si>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</si>
  <si>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</si>
  <si>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</si>
  <si>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</si>
  <si>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</si>
  <si>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</si>
  <si>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</si>
  <si>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</si>
  <si>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</si>
  <si>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</si>
  <si>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</si>
  <si>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</si>
  <si>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</si>
  <si>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</si>
  <si>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</si>
  <si>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</si>
  <si>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</si>
  <si>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</si>
  <si>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</si>
  <si>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</si>
  <si>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</si>
  <si>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</si>
  <si>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</si>
  <si>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</si>
  <si>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</si>
  <si>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</si>
  <si>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</si>
  <si>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</si>
  <si>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</si>
  <si>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</si>
  <si>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</si>
  <si>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</si>
  <si>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</si>
  <si>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</si>
  <si>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</si>
  <si>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</si>
  <si>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</si>
  <si>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</si>
  <si>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</si>
  <si>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</si>
  <si>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</si>
  <si>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</si>
  <si>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</si>
  <si>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</si>
  <si>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</si>
  <si>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</si>
  <si>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</si>
  <si>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</si>
  <si>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</si>
  <si>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</si>
  <si>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</si>
  <si>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</si>
  <si>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</si>
  <si>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</si>
  <si>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</si>
  <si>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</si>
  <si>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</si>
  <si>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</si>
  <si>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</si>
  <si>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</si>
  <si>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</si>
  <si>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</si>
  <si>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</si>
  <si>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</si>
  <si>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</si>
  <si>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</si>
  <si>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</si>
  <si>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</si>
  <si>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</si>
  <si>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</si>
  <si>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</si>
  <si>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</si>
  <si>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</si>
  <si>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</si>
  <si>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</si>
  <si>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</si>
  <si>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</si>
  <si>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</si>
  <si>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</si>
  <si>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</si>
  <si>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</si>
  <si>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</si>
  <si>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</si>
  <si>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</si>
  <si>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</si>
  <si>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</si>
  <si>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</si>
  <si>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</si>
  <si>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</si>
  <si>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</si>
  <si>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</si>
  <si>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</si>
  <si>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</si>
  <si>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</si>
  <si>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</si>
  <si>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</si>
  <si>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</si>
  <si>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</si>
  <si>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</si>
  <si>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</si>
  <si>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</si>
  <si>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</si>
  <si>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</si>
  <si>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</si>
  <si>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</si>
  <si>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</si>
  <si>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</si>
  <si>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</si>
  <si>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</si>
  <si>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</si>
  <si>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</si>
  <si>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</si>
  <si>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</si>
  <si>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</si>
  <si>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</si>
  <si>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</si>
  <si>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</si>
  <si>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</si>
  <si>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</si>
  <si>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</si>
  <si>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</si>
  <si>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</si>
  <si>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</si>
  <si>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</si>
  <si>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</si>
  <si>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</si>
  <si>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</si>
  <si>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</si>
  <si>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</si>
  <si>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</si>
  <si>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</si>
  <si>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</si>
  <si>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</si>
  <si>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</si>
  <si>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</si>
  <si>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</si>
  <si>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</si>
  <si>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</si>
  <si>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</si>
  <si>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</si>
  <si>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</si>
  <si>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</si>
  <si>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</si>
  <si>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</si>
  <si>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</si>
  <si>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</si>
  <si>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</si>
  <si>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</si>
  <si>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</si>
  <si>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</si>
  <si>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Robijnstraat 1,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</si>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</sst>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0.59237848786518987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0.39490329871096752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-2.209188824445341</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0.16735367683443927</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1.3456699492162527</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0.30349875520556424</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1.9266971774105253</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2.9797063199941885E-2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7.3310013178764691E-2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0.11677127359979893</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1.9348920622153779E-2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3.7941728318587831E-2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3.5995763790954372E-2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4.3958501591281895E-2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3.2650172365385472E-7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3.8930205937304121E-3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0.33211785387367321</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0.21949556841446011</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3.9880350521222116E-2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8.320844336828058</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6.7149075356999992</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-9.412075784621468</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2.257590932111079</c:v>
                </c:pt>
                <c:pt idx="1">
                  <c:v>6.6916594003343519</c:v>
                </c:pt>
                <c:pt idx="2">
                  <c:v>11.7448</c:v>
                </c:pt>
                <c:pt idx="3">
                  <c:v>0.9203231930566127</c:v>
                </c:pt>
                <c:pt idx="4">
                  <c:v>0.12166438176342087</c:v>
                </c:pt>
                <c:pt idx="5">
                  <c:v>5.9634003872689585E-2</c:v>
                </c:pt>
                <c:pt idx="6">
                  <c:v>0.16679033795373477</c:v>
                </c:pt>
                <c:pt idx="7">
                  <c:v>6.7149075356999992</c:v>
                </c:pt>
                <c:pt idx="8">
                  <c:v>0</c:v>
                </c:pt>
                <c:pt idx="9">
                  <c:v>0</c:v>
                </c:pt>
                <c:pt idx="10">
                  <c:v>0.65423526228811013</c:v>
                </c:pt>
                <c:pt idx="11">
                  <c:v>0.64922773956440383</c:v>
                </c:pt>
                <c:pt idx="12">
                  <c:v>21.775703721673015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2.5186986337852799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0.59237848786518987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0.39490329871096752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1.1815438200205093</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-2.209188824445341</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0.17553204450894869</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1.48108690062396</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0.30512885104330945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2.0077033413432197</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3.1458775628313944E-2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7.5768823653316275E-2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0.12045210651145642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1.9860190630893667E-2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4.0038293241685521E-2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3.6322075202576465E-2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4.4354434492619325E-2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3.3139093833324957E-7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4.0300740183737555E-3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0.36476730002294822</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0.23511058117428682</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4.0871045033584567E-2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2.257590932111079</c:v>
                </c:pt>
                <c:pt idx="1">
                  <c:v>6.691659400334351</c:v>
                </c:pt>
                <c:pt idx="2">
                  <c:v>11.7448</c:v>
                </c:pt>
                <c:pt idx="3">
                  <c:v>0.9203231930566127</c:v>
                </c:pt>
                <c:pt idx="4">
                  <c:v>0.12166438176342087</c:v>
                </c:pt>
                <c:pt idx="5">
                  <c:v>5.9634003872689578E-2</c:v>
                </c:pt>
                <c:pt idx="6">
                  <c:v>0.16679033795373477</c:v>
                </c:pt>
                <c:pt idx="7">
                  <c:v>6.7149075356999992</c:v>
                </c:pt>
                <c:pt idx="8">
                  <c:v>0</c:v>
                </c:pt>
                <c:pt idx="9">
                  <c:v>0</c:v>
                </c:pt>
                <c:pt idx="10">
                  <c:v>0.65423526228811013</c:v>
                </c:pt>
                <c:pt idx="11">
                  <c:v>0.64922773956440383</c:v>
                </c:pt>
                <c:pt idx="12">
                  <c:v>21.775703721673015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14.778290576162606</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8.320844336828058</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6.7149075356999992</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21.775703721673015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-9.412075784621468</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0.48359013768677367</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0.11373666967011643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7.582143335250581E-2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0.22685641344393781</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-0.4241642542935054</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2.8374317906232212</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1.5976021126709872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1.2892622468543999</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4.180935114561219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-1.807118550647322</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3.3702152545718157E-2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0.28436868491980027</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5.858473940031541E-2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0.38547904153789825</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6.0400849206362767E-3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1.4547614141436727E-2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2.3126804450199632E-2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3.8131566011315836E-3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7.687352302403621E-3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6.9738384388946797E-3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8.5160514225829098E-3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6.3627060159983914E-8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7.7377421152776088E-4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7.0035321604406064E-2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4.5141231585463078E-2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7.8472406464482388E-3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0.43345745896532717</c:v>
                </c:pt>
                <c:pt idx="1">
                  <c:v>1.2847986048641955</c:v>
                </c:pt>
                <c:pt idx="2">
                  <c:v>2.2550015999999999</c:v>
                </c:pt>
                <c:pt idx="3">
                  <c:v>0.17670205306686965</c:v>
                </c:pt>
                <c:pt idx="4">
                  <c:v>2.3359561298576807E-2</c:v>
                </c:pt>
                <c:pt idx="5">
                  <c:v>1.14497287435564E-2</c:v>
                </c:pt>
                <c:pt idx="6">
                  <c:v>3.2023744887117074E-2</c:v>
                </c:pt>
                <c:pt idx="7">
                  <c:v>1.2892622468543999</c:v>
                </c:pt>
                <c:pt idx="8">
                  <c:v>0</c:v>
                </c:pt>
                <c:pt idx="9">
                  <c:v>0</c:v>
                </c:pt>
                <c:pt idx="10">
                  <c:v>0.12561317035931716</c:v>
                </c:pt>
                <c:pt idx="11">
                  <c:v>0.12465172599636554</c:v>
                </c:pt>
                <c:pt idx="12">
                  <c:v>4.180935114561219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261.62</v>
      </c>
      <c r="M39" s="232" t="s">
        <v>27</v>
      </c>
      <c r="N39" s="232" t="s">
        <v>27</v>
      </c>
      <c r="O39" s="232">
        <v>0</v>
      </c>
      <c r="P39" s="232" t="s">
        <v>27</v>
      </c>
      <c r="Q39" s="232" t="s">
        <v>27</v>
      </c>
      <c r="R39" s="232">
        <v>0</v>
      </c>
      <c r="U39" s="339">
        <f>+IF(B39&gt;0,IF(K39="No",1,IF(SUM(L39,O39,R39)&gt;0,0,2)),0)</f>
        <v>0</v>
      </c>
    </row>
    <row r="40" spans="1:24" x14ac:dyDescent="0.35">
      <c r="A40" s="1" t="s">
        <v>62</v>
      </c>
      <c r="B40" s="238">
        <v>6.0999999999999999E-2</v>
      </c>
      <c r="C40" s="1"/>
      <c r="D40" s="9"/>
      <c r="E40" s="9"/>
      <c r="F40" s="9"/>
      <c r="G40" s="232" t="s">
        <v>27</v>
      </c>
      <c r="H40" s="1" t="s">
        <v>1044</v>
      </c>
      <c r="I40" s="154" t="str">
        <f t="shared" ref="I40:I57" si="0">IF($B40=0%,"Do not fill Transport", "Fill Transport")</f>
        <v>Fill Transport</v>
      </c>
      <c r="J40" s="232" t="s">
        <v>69</v>
      </c>
      <c r="K40" s="232" t="s">
        <v>489</v>
      </c>
      <c r="L40" s="240">
        <v>114.54</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69</v>
      </c>
      <c r="K41" s="232" t="s">
        <v>489</v>
      </c>
      <c r="L41" s="240">
        <v>50.37</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27</v>
      </c>
      <c r="H42" s="1" t="s">
        <v>1047</v>
      </c>
      <c r="I42" s="154" t="str">
        <f t="shared" si="0"/>
        <v>Fill Transport</v>
      </c>
      <c r="J42" s="232" t="s">
        <v>925</v>
      </c>
      <c r="K42" s="232" t="s">
        <v>36</v>
      </c>
      <c r="L42" s="240">
        <v>201.75</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69</v>
      </c>
      <c r="K46" s="232" t="s">
        <v>489</v>
      </c>
      <c r="L46" s="240">
        <v>48.38</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925</v>
      </c>
      <c r="K49" s="232" t="s">
        <v>36</v>
      </c>
      <c r="L49" s="240">
        <v>214.98</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141</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1239.32</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0.40734258772759618</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f>IF(ABS('Aux - Check'!$B$11)&gt;10^-10,"Error",Results!$M$47)</f>
        <v>4.6957299428730739</v>
      </c>
      <c r="F6" s="280" t="s">
        <v>128</v>
      </c>
      <c r="G6" s="29"/>
    </row>
    <row r="7" spans="1:11" ht="16.5" x14ac:dyDescent="0.45">
      <c r="A7" s="9" t="s">
        <v>11</v>
      </c>
      <c r="B7" s="272" t="str">
        <f>+Input!B8</f>
        <v>AC 20 onderlaag 50/70</v>
      </c>
      <c r="C7" s="29"/>
      <c r="D7" s="125" t="s">
        <v>129</v>
      </c>
      <c r="E7" s="281">
        <f>IF(ABS('Aux - Check'!$B$11)&gt;10^-10,"Error",Results!$L$53)</f>
        <v>51.75653650831741</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f>IF(E6="Error","Error",Results!$N$111)</f>
        <v>0.95663715235592284</v>
      </c>
      <c r="F58" s="283" t="s">
        <v>138</v>
      </c>
    </row>
    <row r="59" spans="1:7" ht="17.5" x14ac:dyDescent="0.45">
      <c r="A59" s="9" t="s">
        <v>11</v>
      </c>
      <c r="B59" s="268" t="str">
        <f>Input!$B$8</f>
        <v>AC 20 onderlaag 50/70</v>
      </c>
      <c r="C59" s="15"/>
      <c r="D59" s="125" t="s">
        <v>129</v>
      </c>
      <c r="E59" s="282">
        <f>IF(E7="Error","Error",Results!$M$118)</f>
        <v>10.937257112300012</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f>IF(E6="Error","Error",Results!$N$47)</f>
        <v>4.9824851685204328</v>
      </c>
      <c r="F110" s="285" t="s">
        <v>128</v>
      </c>
    </row>
    <row r="111" spans="1:6" ht="16.5" x14ac:dyDescent="0.45">
      <c r="A111" s="9" t="s">
        <v>11</v>
      </c>
      <c r="B111" s="268" t="str">
        <f>Input!$B$8</f>
        <v>AC 20 onderlaag 50/70</v>
      </c>
      <c r="C111" s="15"/>
      <c r="D111" s="125" t="s">
        <v>129</v>
      </c>
      <c r="E111" s="286">
        <f>IF(E7="Error","Error",Results!$M$53)</f>
        <v>56.96488079322922</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6.5369931689929217E-13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6.5369931689929217E-13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7.9386688750677434E-2</v>
      </c>
      <c r="D4" s="1">
        <f>'C3'' - Secondary Raw Material '!F320</f>
        <v>2.132393117742819E-4</v>
      </c>
      <c r="E4" s="1">
        <f>'A2 - Transport'!Z118</f>
        <v>3.899856614656623E-2</v>
      </c>
      <c r="F4" s="1">
        <f>'C2''- Transport Secondary'!H58</f>
        <v>1.00133406E-2</v>
      </c>
      <c r="G4" s="1">
        <f>'A3 - Production '!D206</f>
        <v>2.1466623771543732E-2</v>
      </c>
      <c r="H4" s="1">
        <f>'A4 - Transport'!B17</f>
        <v>4.7342506223999993E-3</v>
      </c>
      <c r="I4" s="1">
        <f>'A5 - Construction'!E139</f>
        <v>1.4781911191886577E-3</v>
      </c>
      <c r="J4" s="1">
        <f>'C1 - Deconstruction'!B87</f>
        <v>1.1217073342617407E-3</v>
      </c>
      <c r="K4" s="1">
        <f>'D- Benefits &amp; Burdens'!N161</f>
        <v>-5.6553941510601398E-2</v>
      </c>
      <c r="L4" s="1">
        <f>+SUM(C4:G4)</f>
        <v>0.15007845858056168</v>
      </c>
      <c r="M4" s="1">
        <f t="shared" ref="M4:M22" si="0">SUM(C4:J4)</f>
        <v>0.15741260765641205</v>
      </c>
      <c r="Q4" s="67"/>
    </row>
    <row r="5" spans="1:17" x14ac:dyDescent="0.35">
      <c r="A5" s="39" t="s">
        <v>164</v>
      </c>
      <c r="B5" s="39" t="s">
        <v>165</v>
      </c>
      <c r="C5" s="1">
        <f>'A1 - Raw Material Supply'!Z115</f>
        <v>14.778290576162609</v>
      </c>
      <c r="D5" s="1">
        <f>'C3'' - Secondary Raw Material '!F321</f>
        <v>0.16679033795373477</v>
      </c>
      <c r="E5" s="1">
        <f>'A2 - Transport'!Z119</f>
        <v>8.320844336828058</v>
      </c>
      <c r="F5" s="1">
        <f>'C2''- Transport Secondary'!H59</f>
        <v>6.7149075356999992</v>
      </c>
      <c r="G5" s="1">
        <f>'A3 - Production '!D207</f>
        <v>21.775703721673015</v>
      </c>
      <c r="H5" s="1">
        <f>'A4 - Transport'!B18</f>
        <v>3.1747701841127993</v>
      </c>
      <c r="I5" s="1">
        <f>'A5 - Construction'!E140</f>
        <v>1.1562033017188762</v>
      </c>
      <c r="J5" s="1">
        <f>'C1 - Deconstruction'!B88</f>
        <v>0.87737079908012983</v>
      </c>
      <c r="K5" s="1">
        <f>'D- Benefits &amp; Burdens'!N162</f>
        <v>-9.412075784621468</v>
      </c>
      <c r="L5" s="1">
        <f t="shared" ref="L5:L22" si="1">+SUM(C5:G5)</f>
        <v>51.756536508317417</v>
      </c>
      <c r="M5" s="1">
        <f t="shared" si="0"/>
        <v>56.964880793229227</v>
      </c>
      <c r="Q5" s="67"/>
    </row>
    <row r="6" spans="1:17" x14ac:dyDescent="0.35">
      <c r="A6" s="39" t="s">
        <v>166</v>
      </c>
      <c r="B6" s="39" t="s">
        <v>165</v>
      </c>
      <c r="C6" s="1">
        <f>'A1 - Raw Material Supply'!Z116</f>
        <v>0.15960892697974377</v>
      </c>
      <c r="D6" s="1">
        <f>'C3'' - Secondary Raw Material '!F322</f>
        <v>3.4471332246079752E-5</v>
      </c>
      <c r="E6" s="1">
        <f>'A2 - Transport'!Z120</f>
        <v>3.1880229153947795E-3</v>
      </c>
      <c r="F6" s="1">
        <f>'C2''- Transport Secondary'!H60</f>
        <v>3.1382496899999999E-3</v>
      </c>
      <c r="G6" s="1">
        <f>'A3 - Production '!D208</f>
        <v>7.2132251090895796E-3</v>
      </c>
      <c r="H6" s="1">
        <f>'A4 - Transport'!B19</f>
        <v>1.4837466477599999E-3</v>
      </c>
      <c r="I6" s="1">
        <f>'A5 - Construction'!E141</f>
        <v>2.3895789556239896E-4</v>
      </c>
      <c r="J6" s="1">
        <f>'C1 - Deconstruction'!B89</f>
        <v>1.8133028980664895E-4</v>
      </c>
      <c r="K6" s="1">
        <f>'D- Benefits &amp; Burdens'!N163</f>
        <v>-6.3499313059640239E-2</v>
      </c>
      <c r="L6" s="1">
        <f t="shared" si="1"/>
        <v>0.17318289602647421</v>
      </c>
      <c r="M6" s="1">
        <f t="shared" si="0"/>
        <v>0.17508693085960325</v>
      </c>
      <c r="Q6" s="67"/>
    </row>
    <row r="7" spans="1:17" x14ac:dyDescent="0.35">
      <c r="A7" s="39" t="s">
        <v>167</v>
      </c>
      <c r="B7" s="39" t="s">
        <v>165</v>
      </c>
      <c r="C7" s="1">
        <f>'A1 - Raw Material Supply'!Z117</f>
        <v>14.619651449477002</v>
      </c>
      <c r="D7" s="1">
        <f>'C3'' - Secondary Raw Material '!F323</f>
        <v>0.16674849071700243</v>
      </c>
      <c r="E7" s="1">
        <f>'A2 - Transport'!Z121</f>
        <v>8.3138982434632123</v>
      </c>
      <c r="F7" s="1">
        <f>'C2''- Transport Secondary'!H61</f>
        <v>6.7112351765999998</v>
      </c>
      <c r="G7" s="1">
        <f>'A3 - Production '!D209</f>
        <v>21.764914133006144</v>
      </c>
      <c r="H7" s="1">
        <f>'A4 - Transport'!B20</f>
        <v>3.1730339135663996</v>
      </c>
      <c r="I7" s="1">
        <f>'A5 - Construction'!E142</f>
        <v>1.1559132134927155</v>
      </c>
      <c r="J7" s="1">
        <f>'C1 - Deconstruction'!B90</f>
        <v>0.87715066916144513</v>
      </c>
      <c r="K7" s="1">
        <f>'D- Benefits &amp; Burdens'!N164</f>
        <v>-9.3493429409666469</v>
      </c>
      <c r="L7" s="1">
        <f t="shared" si="1"/>
        <v>51.576447493263359</v>
      </c>
      <c r="M7" s="1">
        <f t="shared" si="0"/>
        <v>56.78254528948392</v>
      </c>
      <c r="Q7" s="67"/>
    </row>
    <row r="8" spans="1:17" x14ac:dyDescent="0.35">
      <c r="A8" s="39" t="s">
        <v>168</v>
      </c>
      <c r="B8" s="39" t="s">
        <v>165</v>
      </c>
      <c r="C8" s="1">
        <f>'A1 - Raw Material Supply'!Z118</f>
        <v>7.1185997058632669E-3</v>
      </c>
      <c r="D8" s="1">
        <f>'C3'' - Secondary Raw Material '!F324</f>
        <v>7.375904486254632E-6</v>
      </c>
      <c r="E8" s="1">
        <f>'A2 - Transport'!Z122</f>
        <v>3.7580645666377482E-3</v>
      </c>
      <c r="F8" s="1">
        <f>'C2''- Transport Secondary'!H62</f>
        <v>5.3410095000000002E-4</v>
      </c>
      <c r="G8" s="1">
        <f>'A3 - Production '!D210</f>
        <v>3.5763635577832518E-3</v>
      </c>
      <c r="H8" s="1">
        <f>'A4 - Transport'!B21</f>
        <v>2.5251989879999996E-4</v>
      </c>
      <c r="I8" s="1">
        <f>'A5 - Construction'!E143</f>
        <v>5.1130330598264246E-5</v>
      </c>
      <c r="J8" s="1">
        <f>'C1 - Deconstruction'!B91</f>
        <v>3.8799628878016996E-5</v>
      </c>
      <c r="K8" s="1">
        <f>'D- Benefits &amp; Burdens'!N165</f>
        <v>-7.7600857351696169E-3</v>
      </c>
      <c r="L8" s="1">
        <f t="shared" si="1"/>
        <v>1.499450468477052E-2</v>
      </c>
      <c r="M8" s="1">
        <f t="shared" si="0"/>
        <v>1.53369545430468E-2</v>
      </c>
      <c r="Q8" s="67"/>
    </row>
    <row r="9" spans="1:17" x14ac:dyDescent="0.35">
      <c r="A9" s="39" t="s">
        <v>169</v>
      </c>
      <c r="B9" s="39" t="s">
        <v>170</v>
      </c>
      <c r="C9" s="1">
        <f>'A1 - Raw Material Supply'!Z119</f>
        <v>649.7772856153839</v>
      </c>
      <c r="D9" s="1">
        <f>'C3'' - Secondary Raw Material '!F325</f>
        <v>7.3693079401887573E-2</v>
      </c>
      <c r="E9" s="1">
        <f>'A2 - Transport'!Z123</f>
        <v>7.7073430263358231</v>
      </c>
      <c r="F9" s="1">
        <f>'C2''- Transport Secondary'!H63</f>
        <v>5.7673490426999994</v>
      </c>
      <c r="G9" s="1">
        <f>'A3 - Production '!D211</f>
        <v>11.642915031886288</v>
      </c>
      <c r="H9" s="1">
        <f>'A4 - Transport'!B22</f>
        <v>2.7267699048407996</v>
      </c>
      <c r="I9" s="1">
        <f>'A5 - Construction'!E144</f>
        <v>0.51084602839481119</v>
      </c>
      <c r="J9" s="1">
        <f>'C1 - Deconstruction'!B92</f>
        <v>0.38764928924986203</v>
      </c>
      <c r="K9" s="1">
        <f>'D- Benefits &amp; Burdens'!N166</f>
        <v>-672.59312138331507</v>
      </c>
      <c r="L9" s="1">
        <f t="shared" si="1"/>
        <v>674.9685857957079</v>
      </c>
      <c r="M9" s="1">
        <f t="shared" si="0"/>
        <v>678.59385101819339</v>
      </c>
      <c r="Q9" s="67"/>
    </row>
    <row r="10" spans="1:17" ht="29" x14ac:dyDescent="0.35">
      <c r="A10" s="39" t="s">
        <v>171</v>
      </c>
      <c r="B10" s="39" t="s">
        <v>172</v>
      </c>
      <c r="C10" s="1">
        <f>'A1 - Raw Material Supply'!Z120</f>
        <v>1055.5721086188687</v>
      </c>
      <c r="D10" s="1">
        <f>'C3'' - Secondary Raw Material '!F326</f>
        <v>2.2154215403498743</v>
      </c>
      <c r="E10" s="1">
        <f>'A2 - Transport'!Z124</f>
        <v>107.63330550924748</v>
      </c>
      <c r="F10" s="1">
        <f>'C2''- Transport Secondary'!H64</f>
        <v>90.375674147999987</v>
      </c>
      <c r="G10" s="1">
        <f>'A3 - Production '!D212</f>
        <v>402.94940451047637</v>
      </c>
      <c r="H10" s="1">
        <f>'A4 - Transport'!B23</f>
        <v>42.729105967391988</v>
      </c>
      <c r="I10" s="1">
        <f>'A5 - Construction'!E145</f>
        <v>15.357470529031247</v>
      </c>
      <c r="J10" s="1">
        <f>'C1 - Deconstruction'!B93</f>
        <v>11.65382953834693</v>
      </c>
      <c r="K10" s="1">
        <f>'D- Benefits &amp; Burdens'!N167</f>
        <v>-1033.3369535512177</v>
      </c>
      <c r="L10" s="1">
        <f t="shared" si="1"/>
        <v>1658.7459143269423</v>
      </c>
      <c r="M10" s="1">
        <f t="shared" si="0"/>
        <v>1728.4863203617122</v>
      </c>
      <c r="Q10" s="67"/>
    </row>
    <row r="11" spans="1:17" ht="29" x14ac:dyDescent="0.35">
      <c r="A11" s="39" t="s">
        <v>173</v>
      </c>
      <c r="B11" s="39" t="s">
        <v>174</v>
      </c>
      <c r="C11" s="1">
        <f>'A1 - Raw Material Supply'!Z121</f>
        <v>3.9932693024604944E-4</v>
      </c>
      <c r="D11" s="1">
        <f>'C3'' - Secondary Raw Material '!F327</f>
        <v>1.7631993026448645E-6</v>
      </c>
      <c r="E11" s="1">
        <f>'A2 - Transport'!Z125</f>
        <v>4.3817538905771379E-4</v>
      </c>
      <c r="F11" s="1">
        <f>'C2''- Transport Secondary'!H65</f>
        <v>1.5662378699999999E-4</v>
      </c>
      <c r="G11" s="1">
        <f>'A3 - Production '!D213</f>
        <v>7.1744182839025058E-4</v>
      </c>
      <c r="H11" s="1">
        <f>'A4 - Transport'!B24</f>
        <v>7.4050837847999975E-5</v>
      </c>
      <c r="I11" s="1">
        <f>'A5 - Construction'!E146</f>
        <v>1.2222631600350229E-5</v>
      </c>
      <c r="J11" s="1">
        <f>'C1 - Deconstruction'!B94</f>
        <v>9.2749951830432911E-6</v>
      </c>
      <c r="K11" s="1">
        <f>'D- Benefits &amp; Burdens'!N168</f>
        <v>-5.6015685840166498E-4</v>
      </c>
      <c r="L11" s="1">
        <f t="shared" si="1"/>
        <v>1.7133311339966586E-3</v>
      </c>
      <c r="M11" s="1">
        <f t="shared" si="0"/>
        <v>1.8088795986280521E-3</v>
      </c>
      <c r="Q11" s="67"/>
    </row>
    <row r="12" spans="1:17" ht="29" x14ac:dyDescent="0.35">
      <c r="A12" s="39" t="s">
        <v>175</v>
      </c>
      <c r="B12" s="39" t="s">
        <v>176</v>
      </c>
      <c r="C12" s="1">
        <f>'A1 - Raw Material Supply'!Z122</f>
        <v>2.4398711628829516E-2</v>
      </c>
      <c r="D12" s="1">
        <f>'C3'' - Secondary Raw Material '!F328</f>
        <v>4.8220355792551409E-5</v>
      </c>
      <c r="E12" s="1">
        <f>'A2 - Transport'!Z126</f>
        <v>1.6041474281220068E-2</v>
      </c>
      <c r="F12" s="1">
        <f>'C2''- Transport Secondary'!H66</f>
        <v>2.1825615599999999E-3</v>
      </c>
      <c r="G12" s="1">
        <f>'A3 - Production '!D214</f>
        <v>5.6244800453035251E-3</v>
      </c>
      <c r="H12" s="1">
        <f>'A4 - Transport'!B25</f>
        <v>1.0319027222399997E-3</v>
      </c>
      <c r="I12" s="1">
        <f>'A5 - Construction'!E147</f>
        <v>3.3426717195615875E-4</v>
      </c>
      <c r="J12" s="1">
        <f>'C1 - Deconstruction'!B95</f>
        <v>2.5365457383613185E-4</v>
      </c>
      <c r="K12" s="1">
        <f>'D- Benefits &amp; Burdens'!N169</f>
        <v>-1.6316981058426203E-2</v>
      </c>
      <c r="L12" s="1">
        <f t="shared" si="1"/>
        <v>4.8295447871145654E-2</v>
      </c>
      <c r="M12" s="1">
        <f t="shared" si="0"/>
        <v>4.9915272339177939E-2</v>
      </c>
      <c r="Q12" s="67"/>
    </row>
    <row r="13" spans="1:17" x14ac:dyDescent="0.35">
      <c r="A13" s="39" t="s">
        <v>177</v>
      </c>
      <c r="B13" s="39" t="s">
        <v>178</v>
      </c>
      <c r="C13" s="1">
        <f>'A1 - Raw Material Supply'!Z123</f>
        <v>0.29696272858061312</v>
      </c>
      <c r="D13" s="1">
        <f>'C3'' - Secondary Raw Material '!F329</f>
        <v>5.2421468666230769E-4</v>
      </c>
      <c r="E13" s="1">
        <f>'A2 - Transport'!Z127</f>
        <v>0.17522834724630384</v>
      </c>
      <c r="F13" s="1">
        <f>'C2''- Transport Secondary'!H67</f>
        <v>2.3624253899999999E-2</v>
      </c>
      <c r="G13" s="1">
        <f>'A3 - Production '!D215</f>
        <v>6.0763297288965457E-2</v>
      </c>
      <c r="H13" s="1">
        <f>'A4 - Transport'!B26</f>
        <v>1.1169413205599998E-2</v>
      </c>
      <c r="I13" s="1">
        <f>'A5 - Construction'!E148</f>
        <v>3.6338960575558604E-3</v>
      </c>
      <c r="J13" s="1">
        <f>'C1 - Deconstruction'!B96</f>
        <v>2.7575377816790978E-3</v>
      </c>
      <c r="K13" s="1">
        <f>'D- Benefits &amp; Burdens'!N170</f>
        <v>-0.19624592131590154</v>
      </c>
      <c r="L13" s="1">
        <f t="shared" si="1"/>
        <v>0.55710284170254476</v>
      </c>
      <c r="M13" s="1">
        <f t="shared" si="0"/>
        <v>0.57466368874737961</v>
      </c>
      <c r="Q13" s="67"/>
    </row>
    <row r="14" spans="1:17" x14ac:dyDescent="0.35">
      <c r="A14" s="39" t="s">
        <v>179</v>
      </c>
      <c r="B14" s="39" t="s">
        <v>180</v>
      </c>
      <c r="C14" s="1">
        <f>'A1 - Raw Material Supply'!Z124</f>
        <v>1.1716584664359557E-8</v>
      </c>
      <c r="D14" s="1">
        <f>'C3'' - Secondary Raw Material '!F330</f>
        <v>1.0192646894973112E-11</v>
      </c>
      <c r="E14" s="1">
        <f>'A2 - Transport'!Z128</f>
        <v>9.0679065084135366E-10</v>
      </c>
      <c r="F14" s="1">
        <f>'C2''- Transport Secondary'!H68</f>
        <v>5.9514830999999998E-10</v>
      </c>
      <c r="G14" s="1">
        <f>'A3 - Production '!D216</f>
        <v>2.1232442215378681E-9</v>
      </c>
      <c r="H14" s="1">
        <f>'A4 - Transport'!B27</f>
        <v>2.8138274423999994E-10</v>
      </c>
      <c r="I14" s="1">
        <f>'A5 - Construction'!E149</f>
        <v>7.0656203097876641E-11</v>
      </c>
      <c r="J14" s="1">
        <f>'C1 - Deconstruction'!B97</f>
        <v>5.3616599502692708E-11</v>
      </c>
      <c r="K14" s="1">
        <f>'D- Benefits &amp; Burdens'!N171</f>
        <v>-1.1531068850465352E-8</v>
      </c>
      <c r="L14" s="1">
        <f t="shared" si="1"/>
        <v>1.5351960493633753E-8</v>
      </c>
      <c r="M14" s="1">
        <f t="shared" si="0"/>
        <v>1.5757616040474326E-8</v>
      </c>
      <c r="Q14" s="67"/>
    </row>
    <row r="15" spans="1:17" x14ac:dyDescent="0.35">
      <c r="A15" s="39" t="s">
        <v>181</v>
      </c>
      <c r="B15" s="39" t="s">
        <v>180</v>
      </c>
      <c r="C15" s="1">
        <f>'A1 - Raw Material Supply'!Z125</f>
        <v>3.4153242088380752E-7</v>
      </c>
      <c r="D15" s="1">
        <f>'C3'' - Secondary Raw Material '!F331</f>
        <v>2.7167563726420761E-10</v>
      </c>
      <c r="E15" s="1">
        <f>'A2 - Transport'!Z129</f>
        <v>4.4559999112992024E-8</v>
      </c>
      <c r="F15" s="1">
        <f>'C2''- Transport Secondary'!H69</f>
        <v>4.8424194E-8</v>
      </c>
      <c r="G15" s="1">
        <f>'A3 - Production '!D217</f>
        <v>3.9483314348284196E-8</v>
      </c>
      <c r="H15" s="1">
        <f>'A4 - Transport'!B28</f>
        <v>2.2894684175999996E-8</v>
      </c>
      <c r="I15" s="1">
        <f>'A5 - Construction'!E150</f>
        <v>1.8832761696818848E-9</v>
      </c>
      <c r="J15" s="1">
        <f>'C1 - Deconstruction'!B98</f>
        <v>1.4291011930392459E-9</v>
      </c>
      <c r="K15" s="1">
        <f>'D- Benefits &amp; Burdens'!N172</f>
        <v>-3.1046065066097111E-7</v>
      </c>
      <c r="L15" s="1">
        <f t="shared" si="1"/>
        <v>4.7427160398234801E-7</v>
      </c>
      <c r="M15" s="1">
        <f t="shared" si="0"/>
        <v>5.0047866552106917E-7</v>
      </c>
      <c r="Q15" s="67"/>
    </row>
    <row r="16" spans="1:17" ht="29" x14ac:dyDescent="0.35">
      <c r="A16" s="39" t="s">
        <v>182</v>
      </c>
      <c r="B16" s="39" t="s">
        <v>183</v>
      </c>
      <c r="C16" s="1">
        <f>'A1 - Raw Material Supply'!Z126</f>
        <v>0.37485117363209597</v>
      </c>
      <c r="D16" s="1">
        <f>'C3'' - Secondary Raw Material '!F332</f>
        <v>6.6519868279014841E-4</v>
      </c>
      <c r="E16" s="1">
        <f>'A2 - Transport'!Z130</f>
        <v>0.15101255526022028</v>
      </c>
      <c r="F16" s="1">
        <f>'C2''- Transport Secondary'!H70</f>
        <v>4.0980493800000004E-2</v>
      </c>
      <c r="G16" s="1">
        <f>'A3 - Production '!D218</f>
        <v>2.4644690855675568</v>
      </c>
      <c r="H16" s="1">
        <f>'A4 - Transport'!B29</f>
        <v>1.9375344955199998E-2</v>
      </c>
      <c r="I16" s="1">
        <f>'A5 - Construction'!E151</f>
        <v>4.6112078359980043E-3</v>
      </c>
      <c r="J16" s="1">
        <f>'C1 - Deconstruction'!B99</f>
        <v>3.4991589262714472E-3</v>
      </c>
      <c r="K16" s="1">
        <f>'D- Benefits &amp; Burdens'!N173</f>
        <v>-0.48548139513461902</v>
      </c>
      <c r="L16" s="1">
        <f t="shared" si="1"/>
        <v>3.0319785069426635</v>
      </c>
      <c r="M16" s="1">
        <f t="shared" si="0"/>
        <v>3.0594642186601329</v>
      </c>
      <c r="Q16" s="67"/>
    </row>
    <row r="17" spans="1:17" x14ac:dyDescent="0.35">
      <c r="A17" s="39" t="s">
        <v>184</v>
      </c>
      <c r="B17" s="39" t="s">
        <v>185</v>
      </c>
      <c r="C17" s="1">
        <f>'A1 - Raw Material Supply'!Z127</f>
        <v>400.58210845243951</v>
      </c>
      <c r="D17" s="1">
        <f>'C3'' - Secondary Raw Material '!F333</f>
        <v>0.11390463257521803</v>
      </c>
      <c r="E17" s="1">
        <f>'A2 - Transport'!Z131</f>
        <v>33.859023541755491</v>
      </c>
      <c r="F17" s="1">
        <f>'C2''- Transport Secondary'!H71</f>
        <v>5.7006235421999998</v>
      </c>
      <c r="G17" s="1">
        <f>'A3 - Production '!D219</f>
        <v>13.170193776368329</v>
      </c>
      <c r="H17" s="1">
        <f>'A4 - Transport'!B30</f>
        <v>2.6952224667887998</v>
      </c>
      <c r="I17" s="1">
        <f>'A5 - Construction'!E152</f>
        <v>0.78959557178350104</v>
      </c>
      <c r="J17" s="1">
        <f>'C1 - Deconstruction'!B100</f>
        <v>0.59917498655808599</v>
      </c>
      <c r="K17" s="1">
        <f>'D- Benefits &amp; Burdens'!N174</f>
        <v>-490.32170522028747</v>
      </c>
      <c r="L17" s="1">
        <f t="shared" si="1"/>
        <v>453.42585394533853</v>
      </c>
      <c r="M17" s="1">
        <f t="shared" si="0"/>
        <v>457.50984697046886</v>
      </c>
      <c r="Q17" s="67"/>
    </row>
    <row r="18" spans="1:17" ht="29" x14ac:dyDescent="0.35">
      <c r="A18" s="39" t="s">
        <v>186</v>
      </c>
      <c r="B18" s="39" t="s">
        <v>187</v>
      </c>
      <c r="C18" s="1">
        <f>'A1 - Raw Material Supply'!Z128</f>
        <v>2.0738912536104792E-4</v>
      </c>
      <c r="D18" s="1">
        <f>'C3'' - Secondary Raw Material '!F334</f>
        <v>2.6007934671855809E-8</v>
      </c>
      <c r="E18" s="1">
        <f>'A2 - Transport'!Z132</f>
        <v>1.0182412371009728E-5</v>
      </c>
      <c r="F18" s="1">
        <f>'C2''- Transport Secondary'!H72</f>
        <v>7.4082950999999986E-6</v>
      </c>
      <c r="G18" s="1">
        <f>'A3 - Production '!D220</f>
        <v>3.0073630837844529E-5</v>
      </c>
      <c r="H18" s="1">
        <f>'A4 - Transport'!B31</f>
        <v>3.5025998903999994E-6</v>
      </c>
      <c r="I18" s="1">
        <f>'A5 - Construction'!E153</f>
        <v>1.8028898020957092E-7</v>
      </c>
      <c r="J18" s="1">
        <f>'C1 - Deconstruction'!B101</f>
        <v>1.3681009766764487E-7</v>
      </c>
      <c r="K18" s="1">
        <f>'D- Benefits &amp; Burdens'!N175</f>
        <v>-2.5638290638199042E-6</v>
      </c>
      <c r="L18" s="1">
        <f t="shared" si="1"/>
        <v>2.5507947160457404E-4</v>
      </c>
      <c r="M18" s="1">
        <f t="shared" si="0"/>
        <v>2.5889917057285124E-4</v>
      </c>
      <c r="Q18" s="67"/>
    </row>
    <row r="19" spans="1:17" x14ac:dyDescent="0.35">
      <c r="A19" s="39" t="s">
        <v>188</v>
      </c>
      <c r="B19" s="39" t="s">
        <v>189</v>
      </c>
      <c r="C19" s="1">
        <f>'A1 - Raw Material Supply'!Z129</f>
        <v>4.3953764770222923E-8</v>
      </c>
      <c r="D19" s="1">
        <f>'C3'' - Secondary Raw Material '!F335</f>
        <v>3.7585564815097762E-9</v>
      </c>
      <c r="E19" s="1">
        <f>'A2 - Transport'!Z133</f>
        <v>1.7143087460218017E-7</v>
      </c>
      <c r="F19" s="1">
        <f>'C2''- Transport Secondary'!H73</f>
        <v>1.4931138599999998E-7</v>
      </c>
      <c r="G19" s="1">
        <f>'A3 - Production '!D221</f>
        <v>2.9384535611563901E-6</v>
      </c>
      <c r="H19" s="1">
        <f>'A4 - Transport'!B32</f>
        <v>7.0593576143999996E-8</v>
      </c>
      <c r="I19" s="1">
        <f>'A5 - Construction'!E154</f>
        <v>2.6054599246773572E-8</v>
      </c>
      <c r="J19" s="1">
        <f>'C1 - Deconstruction'!B102</f>
        <v>1.9771215431464347E-8</v>
      </c>
      <c r="K19" s="1">
        <f>'D- Benefits &amp; Burdens'!N176</f>
        <v>8.7340616031301889E-8</v>
      </c>
      <c r="L19" s="1">
        <f t="shared" si="1"/>
        <v>3.3069081430103029E-6</v>
      </c>
      <c r="M19" s="1">
        <f t="shared" si="0"/>
        <v>3.4233275338325408E-6</v>
      </c>
      <c r="Q19" s="67"/>
    </row>
    <row r="20" spans="1:17" x14ac:dyDescent="0.35">
      <c r="A20" s="39" t="s">
        <v>190</v>
      </c>
      <c r="B20" s="39" t="s">
        <v>191</v>
      </c>
      <c r="C20" s="1">
        <f>'A1 - Raw Material Supply'!Z130</f>
        <v>1.3272698948377861E-6</v>
      </c>
      <c r="D20" s="1">
        <f>'C3'' - Secondary Raw Material '!F336</f>
        <v>1.6427613993186483E-9</v>
      </c>
      <c r="E20" s="1">
        <f>'A2 - Transport'!Z134</f>
        <v>3.6651956828088136E-7</v>
      </c>
      <c r="F20" s="1">
        <f>'C2''- Transport Secondary'!H74</f>
        <v>4.1621381099999995E-7</v>
      </c>
      <c r="G20" s="1">
        <f>'A3 - Production '!D222</f>
        <v>9.3824087861874399E-8</v>
      </c>
      <c r="H20" s="1">
        <f>'A4 - Transport'!B33</f>
        <v>1.9678352834399996E-7</v>
      </c>
      <c r="I20" s="1">
        <f>'A5 - Construction'!E155</f>
        <v>1.138774689907637E-8</v>
      </c>
      <c r="J20" s="1">
        <f>'C1 - Deconstruction'!B103</f>
        <v>8.6414530919530463E-9</v>
      </c>
      <c r="K20" s="1">
        <f>'D- Benefits &amp; Burdens'!N177</f>
        <v>-8.5145970673035201E-7</v>
      </c>
      <c r="L20" s="1">
        <f t="shared" si="1"/>
        <v>2.20547012337986E-6</v>
      </c>
      <c r="M20" s="1">
        <f t="shared" si="0"/>
        <v>2.4222828517148893E-6</v>
      </c>
      <c r="Q20" s="67"/>
    </row>
    <row r="21" spans="1:17" ht="29" x14ac:dyDescent="0.35">
      <c r="A21" s="39" t="s">
        <v>192</v>
      </c>
      <c r="B21" s="39" t="s">
        <v>193</v>
      </c>
      <c r="C21" s="1">
        <f>'A1 - Raw Material Supply'!Z131</f>
        <v>9.1498727643183883E-2</v>
      </c>
      <c r="D21" s="1">
        <f>'C3'' - Secondary Raw Material '!F337</f>
        <v>4.1082738634614822E-4</v>
      </c>
      <c r="E21" s="1">
        <f>'A2 - Transport'!Z135</f>
        <v>5.6537446090333204E-2</v>
      </c>
      <c r="F21" s="1">
        <f>'C2''- Transport Secondary'!H75</f>
        <v>1.7457886799999996E-2</v>
      </c>
      <c r="G21" s="1">
        <f>'A3 - Production '!D223</f>
        <v>2.0528586507481541E-2</v>
      </c>
      <c r="H21" s="1">
        <f>'A4 - Transport'!B34</f>
        <v>8.2539898271999975E-3</v>
      </c>
      <c r="I21" s="1">
        <f>'A5 - Construction'!E156</f>
        <v>2.8478866723185801E-3</v>
      </c>
      <c r="J21" s="1">
        <f>'C1 - Deconstruction'!B104</f>
        <v>2.1610841291208631E-3</v>
      </c>
      <c r="K21" s="1">
        <f>'D- Benefits &amp; Burdens'!N178</f>
        <v>-5.9463897218549153E-2</v>
      </c>
      <c r="L21" s="1">
        <f t="shared" si="1"/>
        <v>0.18643347442734479</v>
      </c>
      <c r="M21" s="1">
        <f t="shared" si="0"/>
        <v>0.19969643505598422</v>
      </c>
      <c r="Q21" s="67"/>
    </row>
    <row r="22" spans="1:17" ht="29" x14ac:dyDescent="0.35">
      <c r="A22" s="39" t="s">
        <v>194</v>
      </c>
      <c r="B22" s="39" t="s">
        <v>195</v>
      </c>
      <c r="C22" s="1">
        <f>'A1 - Raw Material Supply'!Z132</f>
        <v>3.8418943355339903</v>
      </c>
      <c r="D22" s="1">
        <f>'C3'' - Secondary Raw Material '!F338</f>
        <v>2.9984053368853725E-3</v>
      </c>
      <c r="E22" s="1">
        <f>'A2 - Transport'!Z136</f>
        <v>0.48941448883677996</v>
      </c>
      <c r="F22" s="1">
        <f>'C2''- Transport Secondary'!H76</f>
        <v>0.20583979469999997</v>
      </c>
      <c r="G22" s="1">
        <f>'A3 - Production '!D224</f>
        <v>0.8490895325142519</v>
      </c>
      <c r="H22" s="1">
        <f>'A4 - Transport'!B35</f>
        <v>9.7319887048799986E-2</v>
      </c>
      <c r="I22" s="1">
        <f>'A5 - Construction'!E157</f>
        <v>2.0785173727269492E-2</v>
      </c>
      <c r="J22" s="1">
        <f>'C1 - Deconstruction'!B105</f>
        <v>1.5772576029667661E-2</v>
      </c>
      <c r="K22" s="1">
        <f>'D- Benefits &amp; Burdens'!N179</f>
        <v>-4.3621898741179965</v>
      </c>
      <c r="L22" s="1">
        <f t="shared" si="1"/>
        <v>5.3892365569219072</v>
      </c>
      <c r="M22" s="1">
        <f t="shared" si="0"/>
        <v>5.5231141937276442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8.8524724865863318E-5</v>
      </c>
      <c r="E28" s="1">
        <f t="shared" ref="E28" si="3">(D4/$B28)*$C28</f>
        <v>2.3778484406484672E-7</v>
      </c>
      <c r="F28" s="1">
        <f t="shared" ref="F28" si="4">(E4/$B28)*$C28</f>
        <v>4.3487609731782485E-5</v>
      </c>
      <c r="G28" s="1">
        <f t="shared" ref="G28" si="5">(F4/$B28)*$C28</f>
        <v>1.1165955345323742E-5</v>
      </c>
      <c r="H28" s="1">
        <f t="shared" ref="H28" si="6">(G4/$B28)*$C28</f>
        <v>2.3937602047404881E-5</v>
      </c>
      <c r="I28" s="1">
        <f t="shared" ref="I28" si="7">(H4/$B28)*$C28</f>
        <v>5.279200334330934E-6</v>
      </c>
      <c r="J28" s="1">
        <f t="shared" ref="J28" si="8">(I4/$B28)*$C28</f>
        <v>1.6483426149226037E-6</v>
      </c>
      <c r="K28" s="1">
        <f t="shared" ref="K28" si="9">(J4/$B28)*$C28</f>
        <v>1.2508247252558979E-6</v>
      </c>
      <c r="L28" s="1">
        <f t="shared" ref="L28" si="10">(K4/$B28)*$C28</f>
        <v>-6.3063747727649033E-5</v>
      </c>
      <c r="M28" s="1">
        <f>SUM(D28:H28)*1000</f>
        <v>0.16735367683443927</v>
      </c>
      <c r="N28" s="1">
        <f>SUM(D28:K28)*1000</f>
        <v>0.17553204450894869</v>
      </c>
      <c r="O28" s="1">
        <f>SUM(D28:L28)*1000</f>
        <v>0.11246829678129966</v>
      </c>
    </row>
    <row r="29" spans="1:17" x14ac:dyDescent="0.35">
      <c r="A29" s="39" t="s">
        <v>164</v>
      </c>
      <c r="B29" s="154">
        <v>8100</v>
      </c>
      <c r="C29" s="154">
        <v>0.21059999999999998</v>
      </c>
      <c r="D29" s="1">
        <f t="shared" ref="D29:D46" si="11">(C5/$B29)*$C29</f>
        <v>3.8423555498022781E-4</v>
      </c>
      <c r="E29" s="1">
        <f t="shared" ref="E29:E46" si="12">(D5/$B29)*$C29</f>
        <v>4.3365487867971042E-6</v>
      </c>
      <c r="F29" s="1">
        <f t="shared" ref="F29:F46" si="13">(E5/$B29)*$C29</f>
        <v>2.1634195275752947E-4</v>
      </c>
      <c r="G29" s="1">
        <f t="shared" ref="G29:G46" si="14">(F5/$B29)*$C29</f>
        <v>1.7458759592819996E-4</v>
      </c>
      <c r="H29" s="1">
        <f t="shared" ref="H29:H46" si="15">(G5/$B29)*$C29</f>
        <v>5.6616829676349836E-4</v>
      </c>
      <c r="I29" s="1">
        <f t="shared" ref="I29:I46" si="16">(H5/$B29)*$C29</f>
        <v>8.2544024786932775E-5</v>
      </c>
      <c r="J29" s="1">
        <f t="shared" ref="J29:J46" si="17">(I5/$B29)*$C29</f>
        <v>3.0061285844690778E-5</v>
      </c>
      <c r="K29" s="1">
        <f t="shared" ref="K29:K46" si="18">(J5/$B29)*$C29</f>
        <v>2.2811640776083373E-5</v>
      </c>
      <c r="L29" s="1">
        <f t="shared" ref="L29:L46" si="19">(K5/$B29)*$C29</f>
        <v>-2.4471397040015815E-4</v>
      </c>
      <c r="M29" s="1">
        <f>SUM(D29:H29)*1000</f>
        <v>1.3456699492162527</v>
      </c>
      <c r="N29" s="1">
        <f t="shared" ref="N29:N46" si="20">SUM(D29:K29)*1000</f>
        <v>1.48108690062396</v>
      </c>
      <c r="O29" s="1">
        <f>SUM(D29:L29)*1000</f>
        <v>1.2363729302238018</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2.9217151952729204E-4</v>
      </c>
      <c r="E33" s="1">
        <f t="shared" si="12"/>
        <v>3.3135998232230473E-8</v>
      </c>
      <c r="F33" s="1">
        <f t="shared" si="13"/>
        <v>3.4655968643008851E-6</v>
      </c>
      <c r="G33" s="1">
        <f t="shared" si="14"/>
        <v>2.5932810683803273E-6</v>
      </c>
      <c r="H33" s="1">
        <f t="shared" si="15"/>
        <v>5.2352217473587054E-6</v>
      </c>
      <c r="I33" s="1">
        <f t="shared" si="16"/>
        <v>1.2260885754787671E-6</v>
      </c>
      <c r="J33" s="1">
        <f t="shared" si="17"/>
        <v>2.2970125866932963E-7</v>
      </c>
      <c r="K33" s="1">
        <f t="shared" si="18"/>
        <v>1.7430600359712764E-7</v>
      </c>
      <c r="L33" s="1">
        <f t="shared" si="19"/>
        <v>-3.0243063069226346E-4</v>
      </c>
      <c r="M33" s="1">
        <f t="shared" ref="M33:M46" si="21">SUM(D33:H33)*1000</f>
        <v>0.30349875520556424</v>
      </c>
      <c r="N33" s="1">
        <f t="shared" si="20"/>
        <v>0.30512885104330945</v>
      </c>
      <c r="O33" s="1">
        <f t="shared" ref="O33:O46" si="22">SUM(D33:L33)*1000</f>
        <v>2.6982203510459834E-3</v>
      </c>
    </row>
    <row r="34" spans="1:15" x14ac:dyDescent="0.35">
      <c r="A34" s="39" t="s">
        <v>171</v>
      </c>
      <c r="B34" s="154">
        <v>65000</v>
      </c>
      <c r="C34" s="154">
        <v>7.5499999999999998E-2</v>
      </c>
      <c r="D34" s="1">
        <f t="shared" si="11"/>
        <v>1.2260876030880704E-3</v>
      </c>
      <c r="E34" s="1">
        <f t="shared" si="12"/>
        <v>2.5732973276371616E-6</v>
      </c>
      <c r="F34" s="1">
        <f t="shared" si="13"/>
        <v>1.2502022409151053E-4</v>
      </c>
      <c r="G34" s="1">
        <f t="shared" si="14"/>
        <v>1.0497482151036921E-4</v>
      </c>
      <c r="H34" s="1">
        <f t="shared" si="15"/>
        <v>4.6804123139293789E-4</v>
      </c>
      <c r="I34" s="1">
        <f t="shared" si="16"/>
        <v>4.9631500008278386E-5</v>
      </c>
      <c r="J34" s="1">
        <f t="shared" si="17"/>
        <v>1.7838292691413218E-5</v>
      </c>
      <c r="K34" s="1">
        <f t="shared" si="18"/>
        <v>1.3536371233002972E-5</v>
      </c>
      <c r="L34" s="1">
        <f t="shared" si="19"/>
        <v>-1.2002606152787219E-3</v>
      </c>
      <c r="M34" s="1">
        <f t="shared" si="21"/>
        <v>1.9266971774105253</v>
      </c>
      <c r="N34" s="1">
        <f t="shared" si="20"/>
        <v>2.0077033413432197</v>
      </c>
      <c r="O34" s="1">
        <f t="shared" si="22"/>
        <v>0.80744272606449785</v>
      </c>
    </row>
    <row r="35" spans="1:15" x14ac:dyDescent="0.35">
      <c r="A35" s="39" t="s">
        <v>173</v>
      </c>
      <c r="B35" s="154">
        <v>1.61</v>
      </c>
      <c r="C35" s="154">
        <v>2.7999999999999997E-2</v>
      </c>
      <c r="D35" s="1">
        <f t="shared" si="11"/>
        <v>6.944816178192163E-6</v>
      </c>
      <c r="E35" s="1">
        <f t="shared" si="12"/>
        <v>3.0664335698171552E-8</v>
      </c>
      <c r="F35" s="1">
        <f t="shared" si="13"/>
        <v>7.6204415488298046E-6</v>
      </c>
      <c r="G35" s="1">
        <f t="shared" si="14"/>
        <v>2.7238919478260862E-6</v>
      </c>
      <c r="H35" s="1">
        <f t="shared" si="15"/>
        <v>1.2477249189395659E-5</v>
      </c>
      <c r="I35" s="1">
        <f t="shared" si="16"/>
        <v>1.2878406582260863E-6</v>
      </c>
      <c r="J35" s="1">
        <f t="shared" si="17"/>
        <v>2.1256750609304743E-7</v>
      </c>
      <c r="K35" s="1">
        <f t="shared" si="18"/>
        <v>1.6130426405292678E-7</v>
      </c>
      <c r="L35" s="1">
        <f t="shared" si="19"/>
        <v>-9.7418584069854762E-6</v>
      </c>
      <c r="M35" s="1">
        <f t="shared" si="21"/>
        <v>2.9797063199941885E-2</v>
      </c>
      <c r="N35" s="1">
        <f t="shared" si="20"/>
        <v>3.1458775628313944E-2</v>
      </c>
      <c r="O35" s="1">
        <f t="shared" si="22"/>
        <v>2.1716917221328472E-2</v>
      </c>
    </row>
    <row r="36" spans="1:15" x14ac:dyDescent="0.35">
      <c r="A36" s="39" t="s">
        <v>175</v>
      </c>
      <c r="B36" s="154">
        <v>19.5</v>
      </c>
      <c r="C36" s="154">
        <v>2.9600000000000001E-2</v>
      </c>
      <c r="D36" s="1">
        <f t="shared" si="11"/>
        <v>3.7035993036582238E-5</v>
      </c>
      <c r="E36" s="1">
        <f t="shared" si="12"/>
        <v>7.3196027254334448E-8</v>
      </c>
      <c r="F36" s="1">
        <f t="shared" si="13"/>
        <v>2.4350135319185337E-5</v>
      </c>
      <c r="G36" s="1">
        <f t="shared" si="14"/>
        <v>3.3130165218461537E-6</v>
      </c>
      <c r="H36" s="1">
        <f t="shared" si="15"/>
        <v>8.5376722738966345E-6</v>
      </c>
      <c r="I36" s="1">
        <f t="shared" si="16"/>
        <v>1.5663754142719996E-6</v>
      </c>
      <c r="J36" s="1">
        <f t="shared" si="17"/>
        <v>5.0740042512319476E-7</v>
      </c>
      <c r="K36" s="1">
        <f t="shared" si="18"/>
        <v>3.8503463515638476E-7</v>
      </c>
      <c r="L36" s="1">
        <f t="shared" si="19"/>
        <v>-2.4768340478431569E-5</v>
      </c>
      <c r="M36" s="1">
        <f t="shared" si="21"/>
        <v>7.3310013178764691E-2</v>
      </c>
      <c r="N36" s="1">
        <f t="shared" si="20"/>
        <v>7.5768823653316275E-2</v>
      </c>
      <c r="O36" s="1">
        <f t="shared" si="22"/>
        <v>5.1000483174884696E-2</v>
      </c>
    </row>
    <row r="37" spans="1:15" x14ac:dyDescent="0.35">
      <c r="A37" s="39" t="s">
        <v>177</v>
      </c>
      <c r="B37" s="154">
        <v>177</v>
      </c>
      <c r="C37" s="154">
        <v>3.7100000000000001E-2</v>
      </c>
      <c r="D37" s="1">
        <f t="shared" si="11"/>
        <v>6.2244730114919473E-5</v>
      </c>
      <c r="E37" s="1">
        <f t="shared" si="12"/>
        <v>1.0987776765633682E-7</v>
      </c>
      <c r="F37" s="1">
        <f t="shared" si="13"/>
        <v>3.6728653575355218E-5</v>
      </c>
      <c r="G37" s="1">
        <f t="shared" si="14"/>
        <v>4.9517503937288131E-6</v>
      </c>
      <c r="H37" s="1">
        <f t="shared" si="15"/>
        <v>1.2736261748139086E-5</v>
      </c>
      <c r="I37" s="1">
        <f t="shared" si="16"/>
        <v>2.3411594911172881E-6</v>
      </c>
      <c r="J37" s="1">
        <f t="shared" si="17"/>
        <v>7.6168103805266902E-7</v>
      </c>
      <c r="K37" s="1">
        <f t="shared" si="18"/>
        <v>5.7799238248753979E-7</v>
      </c>
      <c r="L37" s="1">
        <f t="shared" si="19"/>
        <v>-4.1134032095027953E-5</v>
      </c>
      <c r="M37" s="1">
        <f t="shared" si="21"/>
        <v>0.11677127359979893</v>
      </c>
      <c r="N37" s="1">
        <f t="shared" si="20"/>
        <v>0.12045210651145642</v>
      </c>
      <c r="O37" s="1">
        <f t="shared" si="22"/>
        <v>7.9318074416428463E-2</v>
      </c>
    </row>
    <row r="38" spans="1:15" x14ac:dyDescent="0.35">
      <c r="A38" s="39" t="s">
        <v>179</v>
      </c>
      <c r="B38" s="154">
        <v>1.6900000000000001E-5</v>
      </c>
      <c r="C38" s="154">
        <v>2.1299999999999999E-2</v>
      </c>
      <c r="D38" s="1">
        <f t="shared" si="11"/>
        <v>1.4767056411293405E-5</v>
      </c>
      <c r="E38" s="1">
        <f t="shared" si="12"/>
        <v>1.2846353778871438E-8</v>
      </c>
      <c r="F38" s="1">
        <f t="shared" si="13"/>
        <v>1.14287815756928E-6</v>
      </c>
      <c r="G38" s="1">
        <f t="shared" si="14"/>
        <v>7.5009816585798809E-7</v>
      </c>
      <c r="H38" s="1">
        <f t="shared" si="15"/>
        <v>2.676041533654236E-6</v>
      </c>
      <c r="I38" s="1">
        <f t="shared" si="16"/>
        <v>3.5464215694153836E-7</v>
      </c>
      <c r="J38" s="1">
        <f t="shared" si="17"/>
        <v>8.9051900945844519E-8</v>
      </c>
      <c r="K38" s="1">
        <f t="shared" si="18"/>
        <v>6.7575950852506183E-8</v>
      </c>
      <c r="L38" s="1">
        <f t="shared" si="19"/>
        <v>-1.4533240622184141E-5</v>
      </c>
      <c r="M38" s="1">
        <f t="shared" si="21"/>
        <v>1.9348920622153779E-2</v>
      </c>
      <c r="N38" s="1">
        <f t="shared" si="20"/>
        <v>1.9860190630893667E-2</v>
      </c>
      <c r="O38" s="1">
        <f t="shared" si="22"/>
        <v>5.3269500087095249E-3</v>
      </c>
    </row>
    <row r="39" spans="1:15" x14ac:dyDescent="0.35">
      <c r="A39" s="39" t="s">
        <v>181</v>
      </c>
      <c r="B39" s="154">
        <v>2.3000000000000001E-4</v>
      </c>
      <c r="C39" s="154">
        <v>1.84E-2</v>
      </c>
      <c r="D39" s="1">
        <f t="shared" si="11"/>
        <v>2.73225936707046E-5</v>
      </c>
      <c r="E39" s="1">
        <f t="shared" si="12"/>
        <v>2.1734050981136607E-8</v>
      </c>
      <c r="F39" s="1">
        <f t="shared" si="13"/>
        <v>3.5647999290393618E-6</v>
      </c>
      <c r="G39" s="1">
        <f t="shared" si="14"/>
        <v>3.8739355199999996E-6</v>
      </c>
      <c r="H39" s="1">
        <f t="shared" si="15"/>
        <v>3.1586651478627355E-6</v>
      </c>
      <c r="I39" s="1">
        <f t="shared" si="16"/>
        <v>1.8315747340799997E-6</v>
      </c>
      <c r="J39" s="1">
        <f t="shared" si="17"/>
        <v>1.5066209357455078E-7</v>
      </c>
      <c r="K39" s="1">
        <f t="shared" si="18"/>
        <v>1.1432809544313966E-7</v>
      </c>
      <c r="L39" s="1">
        <f t="shared" si="19"/>
        <v>-2.4836852052877687E-5</v>
      </c>
      <c r="M39" s="1">
        <f t="shared" si="21"/>
        <v>3.7941728318587831E-2</v>
      </c>
      <c r="N39" s="1">
        <f t="shared" si="20"/>
        <v>4.0038293241685521E-2</v>
      </c>
      <c r="O39" s="1">
        <f t="shared" si="22"/>
        <v>1.5201441188807837E-2</v>
      </c>
    </row>
    <row r="40" spans="1:15" x14ac:dyDescent="0.35">
      <c r="A40" s="39" t="s">
        <v>182</v>
      </c>
      <c r="B40" s="154">
        <v>4220</v>
      </c>
      <c r="C40" s="154">
        <v>5.0099999999999999E-2</v>
      </c>
      <c r="D40" s="1">
        <f t="shared" si="11"/>
        <v>4.4502473457270163E-6</v>
      </c>
      <c r="E40" s="1">
        <f t="shared" si="12"/>
        <v>7.8972639828877798E-9</v>
      </c>
      <c r="F40" s="1">
        <f t="shared" si="13"/>
        <v>1.7928267816438474E-6</v>
      </c>
      <c r="G40" s="1">
        <f t="shared" si="14"/>
        <v>4.8652197615639808E-7</v>
      </c>
      <c r="H40" s="1">
        <f t="shared" si="15"/>
        <v>2.9258270423444217E-5</v>
      </c>
      <c r="I40" s="1">
        <f t="shared" si="16"/>
        <v>2.3002482991836962E-7</v>
      </c>
      <c r="J40" s="1">
        <f t="shared" si="17"/>
        <v>5.4744434261492891E-8</v>
      </c>
      <c r="K40" s="1">
        <f t="shared" si="18"/>
        <v>4.1542147442227365E-8</v>
      </c>
      <c r="L40" s="1">
        <f t="shared" si="19"/>
        <v>-5.7636535299157373E-6</v>
      </c>
      <c r="M40" s="1">
        <f t="shared" si="21"/>
        <v>3.5995763790954372E-2</v>
      </c>
      <c r="N40" s="1">
        <f t="shared" si="20"/>
        <v>3.6322075202576465E-2</v>
      </c>
      <c r="O40" s="1">
        <f t="shared" si="22"/>
        <v>3.0558421672660725E-2</v>
      </c>
    </row>
    <row r="41" spans="1:15" x14ac:dyDescent="0.35">
      <c r="A41" s="39" t="s">
        <v>184</v>
      </c>
      <c r="B41" s="154">
        <v>819000</v>
      </c>
      <c r="C41" s="154">
        <v>7.9399999999999998E-2</v>
      </c>
      <c r="D41" s="1">
        <f t="shared" si="11"/>
        <v>3.8835432736414766E-5</v>
      </c>
      <c r="E41" s="1">
        <f t="shared" si="12"/>
        <v>1.1042769018891711E-8</v>
      </c>
      <c r="F41" s="1">
        <f t="shared" si="13"/>
        <v>3.2825475814595675E-6</v>
      </c>
      <c r="G41" s="1">
        <f t="shared" si="14"/>
        <v>5.5266118345626364E-7</v>
      </c>
      <c r="H41" s="1">
        <f t="shared" si="15"/>
        <v>1.2768173209324117E-6</v>
      </c>
      <c r="I41" s="1">
        <f t="shared" si="16"/>
        <v>2.6129507187183238E-7</v>
      </c>
      <c r="J41" s="1">
        <f t="shared" si="17"/>
        <v>7.6549314285238074E-8</v>
      </c>
      <c r="K41" s="1">
        <f t="shared" si="18"/>
        <v>5.8088515180356561E-8</v>
      </c>
      <c r="L41" s="1">
        <f t="shared" si="19"/>
        <v>-4.7535462020135317E-5</v>
      </c>
      <c r="M41" s="1">
        <f t="shared" si="21"/>
        <v>4.3958501591281895E-2</v>
      </c>
      <c r="N41" s="1">
        <f t="shared" si="20"/>
        <v>4.4354434492619325E-2</v>
      </c>
      <c r="O41" s="1">
        <f t="shared" si="22"/>
        <v>-3.1810275275159878E-3</v>
      </c>
    </row>
    <row r="42" spans="1:15" x14ac:dyDescent="0.35">
      <c r="A42" s="39" t="s">
        <v>186</v>
      </c>
      <c r="B42" s="154">
        <v>65000</v>
      </c>
      <c r="C42" s="154">
        <v>8.3199999999999996E-2</v>
      </c>
      <c r="D42" s="1">
        <f t="shared" si="11"/>
        <v>2.6545808046214132E-10</v>
      </c>
      <c r="E42" s="1">
        <f t="shared" si="12"/>
        <v>3.3290156379975435E-14</v>
      </c>
      <c r="F42" s="1">
        <f t="shared" si="13"/>
        <v>1.303348783489245E-11</v>
      </c>
      <c r="G42" s="1">
        <f t="shared" si="14"/>
        <v>9.4826177279999972E-12</v>
      </c>
      <c r="H42" s="1">
        <f t="shared" si="15"/>
        <v>3.8494247472440998E-11</v>
      </c>
      <c r="I42" s="1">
        <f t="shared" si="16"/>
        <v>4.4833278597119991E-12</v>
      </c>
      <c r="J42" s="1">
        <f t="shared" si="17"/>
        <v>2.3076989466825078E-13</v>
      </c>
      <c r="K42" s="1">
        <f t="shared" si="18"/>
        <v>1.7511692501458543E-13</v>
      </c>
      <c r="L42" s="1">
        <f t="shared" si="19"/>
        <v>-3.2817012016894771E-12</v>
      </c>
      <c r="M42" s="1">
        <f t="shared" si="21"/>
        <v>3.2650172365385472E-7</v>
      </c>
      <c r="N42" s="1">
        <f t="shared" si="20"/>
        <v>3.3139093833324957E-7</v>
      </c>
      <c r="O42" s="1">
        <f t="shared" si="22"/>
        <v>3.2810923713156007E-7</v>
      </c>
    </row>
    <row r="43" spans="1:15" x14ac:dyDescent="0.35">
      <c r="A43" s="39" t="s">
        <v>188</v>
      </c>
      <c r="B43" s="154">
        <v>5.3600000000000002E-2</v>
      </c>
      <c r="C43" s="154">
        <v>6.3099999999999989E-2</v>
      </c>
      <c r="D43" s="1">
        <f t="shared" si="11"/>
        <v>5.1744077555990036E-8</v>
      </c>
      <c r="E43" s="1">
        <f t="shared" si="12"/>
        <v>4.4247185444639328E-9</v>
      </c>
      <c r="F43" s="1">
        <f t="shared" si="13"/>
        <v>2.0181507812308892E-7</v>
      </c>
      <c r="G43" s="1">
        <f t="shared" si="14"/>
        <v>1.7577515777238799E-7</v>
      </c>
      <c r="H43" s="1">
        <f t="shared" si="15"/>
        <v>3.4592615617344808E-6</v>
      </c>
      <c r="I43" s="1">
        <f t="shared" si="16"/>
        <v>8.3105497288925339E-8</v>
      </c>
      <c r="J43" s="1">
        <f t="shared" si="17"/>
        <v>3.0672485307302459E-8</v>
      </c>
      <c r="K43" s="1">
        <f t="shared" si="18"/>
        <v>2.3275442047115675E-8</v>
      </c>
      <c r="L43" s="1">
        <f t="shared" si="19"/>
        <v>1.028207625293871E-7</v>
      </c>
      <c r="M43" s="1">
        <f t="shared" si="21"/>
        <v>3.8930205937304121E-3</v>
      </c>
      <c r="N43" s="1">
        <f t="shared" si="20"/>
        <v>4.0300740183737555E-3</v>
      </c>
      <c r="O43" s="1">
        <f t="shared" si="22"/>
        <v>4.1328947809031423E-3</v>
      </c>
    </row>
    <row r="44" spans="1:15" x14ac:dyDescent="0.35">
      <c r="A44" s="39" t="s">
        <v>190</v>
      </c>
      <c r="B44" s="154">
        <v>5.9500000000000004E-4</v>
      </c>
      <c r="C44" s="154">
        <v>8.9600000000000013E-2</v>
      </c>
      <c r="D44" s="1">
        <f t="shared" si="11"/>
        <v>1.9987123122263136E-4</v>
      </c>
      <c r="E44" s="1">
        <f t="shared" si="12"/>
        <v>2.4738054013269055E-7</v>
      </c>
      <c r="F44" s="1">
        <f t="shared" si="13"/>
        <v>5.5193534988179793E-5</v>
      </c>
      <c r="G44" s="1">
        <f t="shared" si="14"/>
        <v>6.2676903303529409E-5</v>
      </c>
      <c r="H44" s="1">
        <f t="shared" si="15"/>
        <v>1.412880381919991E-5</v>
      </c>
      <c r="I44" s="1">
        <f t="shared" si="16"/>
        <v>2.9633284268272938E-5</v>
      </c>
      <c r="J44" s="1">
        <f t="shared" si="17"/>
        <v>1.7148607095079711E-6</v>
      </c>
      <c r="K44" s="1">
        <f t="shared" si="18"/>
        <v>1.3013011714941059E-6</v>
      </c>
      <c r="L44" s="1">
        <f t="shared" si="19"/>
        <v>-1.2821981466057067E-4</v>
      </c>
      <c r="M44" s="1">
        <f t="shared" si="21"/>
        <v>0.33211785387367321</v>
      </c>
      <c r="N44" s="1">
        <f t="shared" si="20"/>
        <v>0.36476730002294822</v>
      </c>
      <c r="O44" s="1">
        <f t="shared" si="22"/>
        <v>0.23654748536237755</v>
      </c>
    </row>
    <row r="45" spans="1:15" x14ac:dyDescent="0.35">
      <c r="A45" s="39" t="s">
        <v>192</v>
      </c>
      <c r="B45" s="154">
        <v>40.6</v>
      </c>
      <c r="C45" s="154">
        <v>4.7800000000000002E-2</v>
      </c>
      <c r="D45" s="1">
        <f t="shared" si="11"/>
        <v>1.0772510298877315E-4</v>
      </c>
      <c r="E45" s="1">
        <f t="shared" si="12"/>
        <v>4.8368347456516961E-7</v>
      </c>
      <c r="F45" s="1">
        <f t="shared" si="13"/>
        <v>6.656379120980116E-5</v>
      </c>
      <c r="G45" s="1">
        <f t="shared" si="14"/>
        <v>2.0553866725123148E-5</v>
      </c>
      <c r="H45" s="1">
        <f t="shared" si="15"/>
        <v>2.4169124016197477E-5</v>
      </c>
      <c r="I45" s="1">
        <f t="shared" si="16"/>
        <v>9.7177515699546768E-6</v>
      </c>
      <c r="J45" s="1">
        <f t="shared" si="17"/>
        <v>3.3529306142075896E-6</v>
      </c>
      <c r="K45" s="1">
        <f t="shared" si="18"/>
        <v>2.5443305756644643E-6</v>
      </c>
      <c r="L45" s="1">
        <f t="shared" si="19"/>
        <v>-7.000921889277462E-5</v>
      </c>
      <c r="M45" s="1">
        <f t="shared" si="21"/>
        <v>0.21949556841446011</v>
      </c>
      <c r="N45" s="1">
        <f t="shared" si="20"/>
        <v>0.23511058117428682</v>
      </c>
      <c r="O45" s="1">
        <f t="shared" si="22"/>
        <v>0.1651013622815122</v>
      </c>
    </row>
    <row r="46" spans="1:15" x14ac:dyDescent="0.35">
      <c r="A46" s="39" t="s">
        <v>194</v>
      </c>
      <c r="B46" s="154">
        <v>11500</v>
      </c>
      <c r="C46" s="154">
        <v>8.5099999999999995E-2</v>
      </c>
      <c r="D46" s="1">
        <f t="shared" si="11"/>
        <v>2.8430018082951529E-5</v>
      </c>
      <c r="E46" s="1">
        <f t="shared" si="12"/>
        <v>2.2188199492951758E-8</v>
      </c>
      <c r="F46" s="1">
        <f t="shared" si="13"/>
        <v>3.6216672173921716E-6</v>
      </c>
      <c r="G46" s="1">
        <f t="shared" si="14"/>
        <v>1.5232144807799997E-6</v>
      </c>
      <c r="H46" s="1">
        <f t="shared" si="15"/>
        <v>6.2832625406054639E-6</v>
      </c>
      <c r="I46" s="1">
        <f t="shared" si="16"/>
        <v>7.2016716416111986E-7</v>
      </c>
      <c r="J46" s="1">
        <f t="shared" si="17"/>
        <v>1.5381028558179424E-7</v>
      </c>
      <c r="K46" s="1">
        <f t="shared" si="18"/>
        <v>1.1671706261954069E-7</v>
      </c>
      <c r="L46" s="1">
        <f t="shared" si="19"/>
        <v>-3.2280205068473171E-5</v>
      </c>
      <c r="M46" s="1">
        <f t="shared" si="21"/>
        <v>3.9880350521222116E-2</v>
      </c>
      <c r="N46" s="1">
        <f t="shared" si="20"/>
        <v>4.0871045033584567E-2</v>
      </c>
      <c r="O46" s="1">
        <f t="shared" si="22"/>
        <v>8.5908399651113999E-3</v>
      </c>
    </row>
    <row r="47" spans="1:15" x14ac:dyDescent="0.35">
      <c r="A47" s="376" t="s">
        <v>200</v>
      </c>
      <c r="B47" s="377"/>
      <c r="C47" s="330">
        <f>SUM(C28:C46)</f>
        <v>1</v>
      </c>
      <c r="D47" s="88">
        <f>SUM(D28:D46)*1000</f>
        <v>2.5186986337852799</v>
      </c>
      <c r="E47" s="88">
        <f>SUM(E28:E46)*1000</f>
        <v>8.2057024911274066E-3</v>
      </c>
      <c r="F47" s="88">
        <f t="shared" ref="F47:L47" si="23">SUM(F28:F46)*1000</f>
        <v>0.59237848786518987</v>
      </c>
      <c r="G47" s="88">
        <f t="shared" si="23"/>
        <v>0.39490329871096752</v>
      </c>
      <c r="H47" s="88">
        <f t="shared" si="23"/>
        <v>1.1815438200205093</v>
      </c>
      <c r="I47" s="88">
        <f t="shared" si="23"/>
        <v>0.18670803904445349</v>
      </c>
      <c r="J47" s="88">
        <f t="shared" si="23"/>
        <v>5.688255344740651E-2</v>
      </c>
      <c r="K47" s="88">
        <f t="shared" si="23"/>
        <v>4.3164633155496616E-2</v>
      </c>
      <c r="L47" s="88">
        <f t="shared" si="23"/>
        <v>-2.209188824445341</v>
      </c>
      <c r="M47" s="1">
        <f>+SUM(M28:M46)</f>
        <v>4.6957299428730739</v>
      </c>
      <c r="N47" s="1">
        <f>+SUM(N28:N46)</f>
        <v>4.9824851685204328</v>
      </c>
      <c r="O47" s="1">
        <f>SUM(O28:O46)</f>
        <v>2.7732963440750908</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14.778290576162606</v>
      </c>
      <c r="D53" s="88">
        <f>'C3'' - Secondary Raw Material '!F321</f>
        <v>0.16679033795373477</v>
      </c>
      <c r="E53" s="88">
        <f>+'A2 - Transport'!Z119</f>
        <v>8.320844336828058</v>
      </c>
      <c r="F53" s="88">
        <f>+'C2''- Transport Secondary'!H59</f>
        <v>6.7149075356999992</v>
      </c>
      <c r="G53" s="88">
        <f>'A3 - Production '!D207</f>
        <v>21.775703721673015</v>
      </c>
      <c r="H53" s="88">
        <f>'A4 - Transport'!B18</f>
        <v>3.1747701841127993</v>
      </c>
      <c r="I53" s="88">
        <f>'A5 - Construction'!E140</f>
        <v>1.1562033017188762</v>
      </c>
      <c r="J53" s="88">
        <f>'C1 - Deconstruction'!B88</f>
        <v>0.87737079908012983</v>
      </c>
      <c r="K53" s="1">
        <f>'D- Benefits &amp; Burdens'!N162</f>
        <v>-9.412075784621468</v>
      </c>
      <c r="L53" s="1">
        <f>SUM(C53:G53)</f>
        <v>51.75653650831741</v>
      </c>
      <c r="M53" s="1">
        <f>SUM(C53:J53)</f>
        <v>56.96488079322922</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2.257590932111079</v>
      </c>
      <c r="D60" s="244">
        <f>'A2 - Transport'!L119</f>
        <v>6.6916594003343519</v>
      </c>
      <c r="E60" s="245">
        <f>'A1 - Raw Material Supply'!O115</f>
        <v>11.7448</v>
      </c>
      <c r="F60" s="245">
        <f>'A2 - Transport'!B119</f>
        <v>0.9203231930566127</v>
      </c>
      <c r="G60" s="245">
        <f>'A1 - Raw Material Supply'!N115</f>
        <v>0.12166438176342087</v>
      </c>
      <c r="H60" s="245">
        <f>'A2 - Transport'!O119</f>
        <v>5.9634003872689585E-2</v>
      </c>
      <c r="I60" s="245">
        <f>'C3'' - Secondary Raw Material '!B321</f>
        <v>0.16679033795373477</v>
      </c>
      <c r="J60" s="245">
        <f>'C2''- Transport Secondary'!$D$59</f>
        <v>6.7149075356999992</v>
      </c>
      <c r="K60" s="245">
        <f>'C3'' - Secondary Raw Material '!C321+'C3'' - Secondary Raw Material '!D321+'C3'' - Secondary Raw Material '!E321</f>
        <v>0</v>
      </c>
      <c r="L60" s="245">
        <f>'C2''- Transport Secondary'!$G$59</f>
        <v>0</v>
      </c>
      <c r="M60" s="245">
        <f>'A1 - Raw Material Supply'!Y$115</f>
        <v>0.65423526228811013</v>
      </c>
      <c r="N60" s="245">
        <f>'A2 - Transport'!$Y$119</f>
        <v>0.64922773956440383</v>
      </c>
      <c r="O60" s="245">
        <f>'A3 - Production '!D207</f>
        <v>21.775703721673015</v>
      </c>
      <c r="P60" s="245">
        <f>'D- Benefits &amp; Burdens'!N162</f>
        <v>-9.412075784621468</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3.5123816629792567E-2</v>
      </c>
      <c r="D67" s="1">
        <f>'A2 - Transport'!L118</f>
        <v>3.6134851500230832E-2</v>
      </c>
      <c r="E67" s="62">
        <f>SUM(C67:D67)</f>
        <v>7.1258668130023406E-2</v>
      </c>
      <c r="F67" s="1">
        <f>'A1 - Raw Material Supply'!O114</f>
        <v>3.8115199999999995E-2</v>
      </c>
      <c r="G67" s="1">
        <f>'A2 - Transport'!B118</f>
        <v>1.3723956056223999E-3</v>
      </c>
      <c r="H67" s="62">
        <f>SUM(F67:G67)</f>
        <v>3.9487595605622393E-2</v>
      </c>
      <c r="I67" s="1">
        <f>'A1 - Raw Material Supply'!N114</f>
        <v>9.3081697010435698E-4</v>
      </c>
      <c r="J67" s="1">
        <f>'A2 - Transport'!O118</f>
        <v>5.2318382088100053E-4</v>
      </c>
      <c r="K67" s="62">
        <f>SUM(I67:J67)</f>
        <v>1.4540007909853575E-3</v>
      </c>
      <c r="L67" s="1">
        <f>'C3'' - Secondary Raw Material '!B320</f>
        <v>2.132393117742819E-4</v>
      </c>
      <c r="M67" s="1">
        <f>'C2''- Transport Secondary'!D58</f>
        <v>1.00133406E-2</v>
      </c>
      <c r="N67" s="62">
        <f t="shared" ref="N67" si="25">SUM(L67:M67)</f>
        <v>1.0226579911774282E-2</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9.68135219832E-4</v>
      </c>
      <c r="T67" s="62">
        <f>SUM(R67:S67)</f>
        <v>6.1849903706125029E-3</v>
      </c>
      <c r="U67" s="62">
        <f>'A3 - Production '!D206</f>
        <v>2.1466623771543732E-2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4.3698141900000001E-2</v>
      </c>
      <c r="AC67" s="1">
        <f>'D- Benefits &amp; Burdens'!C161</f>
        <v>9.7208322691190062E-4</v>
      </c>
      <c r="AD67" s="62">
        <f>SUM(AB67:AC67)</f>
        <v>4.4670225126911899E-2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-2.7058083595799761E-3</v>
      </c>
      <c r="AJ67" s="1">
        <f>'D- Benefits &amp; Burdens'!I161</f>
        <v>-4.0762948121751243E-3</v>
      </c>
      <c r="AK67" s="1">
        <f>'D- Benefits &amp; Burdens'!J161</f>
        <v>-1.5256923866726403E-2</v>
      </c>
      <c r="AL67" s="1">
        <f>'D- Benefits &amp; Burdens'!K161</f>
        <v>-8.1704102738400005E-3</v>
      </c>
      <c r="AM67" s="62">
        <f>SUM(AE67:AL67)</f>
        <v>-0.1012241666375133</v>
      </c>
      <c r="AN67" s="62">
        <f>AD67+AM67</f>
        <v>-5.6553941510601398E-2</v>
      </c>
    </row>
    <row r="68" spans="1:40" x14ac:dyDescent="0.35">
      <c r="A68" s="39" t="s">
        <v>164</v>
      </c>
      <c r="B68" s="39" t="s">
        <v>165</v>
      </c>
      <c r="C68" s="13">
        <f>'A1 - Raw Material Supply'!K115</f>
        <v>2.257590932111079</v>
      </c>
      <c r="D68" s="1">
        <f>'A2 - Transport'!L119</f>
        <v>6.6916594003343519</v>
      </c>
      <c r="E68" s="62">
        <f t="shared" ref="E68:E85" si="27">SUM(C68:D68)</f>
        <v>8.9492503324454304</v>
      </c>
      <c r="F68" s="1">
        <f>'A1 - Raw Material Supply'!O115</f>
        <v>11.7448</v>
      </c>
      <c r="G68" s="1">
        <f>'A2 - Transport'!B119</f>
        <v>0.9203231930566127</v>
      </c>
      <c r="H68" s="62">
        <f t="shared" ref="H68:H85" si="28">SUM(F68:G68)</f>
        <v>12.665123193056612</v>
      </c>
      <c r="I68" s="1">
        <f>'A1 - Raw Material Supply'!N115</f>
        <v>0.12166438176342087</v>
      </c>
      <c r="J68" s="1">
        <f>'A2 - Transport'!O119</f>
        <v>5.9634003872689585E-2</v>
      </c>
      <c r="K68" s="62">
        <f t="shared" ref="K68:K85" si="29">SUM(I68:J68)</f>
        <v>0.18129838563611045</v>
      </c>
      <c r="L68" s="1">
        <f>'C3'' - Secondary Raw Material '!B321</f>
        <v>0.16679033795373477</v>
      </c>
      <c r="M68" s="1">
        <f>'C2''- Transport Secondary'!D59</f>
        <v>6.7149075356999992</v>
      </c>
      <c r="N68" s="62">
        <f t="shared" ref="N68:N85" si="30">SUM(L68:M68)</f>
        <v>6.8816978736537342</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0.64922773956440383</v>
      </c>
      <c r="T68" s="62">
        <f t="shared" ref="T68:T85" si="32">SUM(R68:S68)</f>
        <v>1.303463001852514</v>
      </c>
      <c r="U68" s="62">
        <f>'A3 - Production '!D207</f>
        <v>21.775703721673015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15.973208166299999</v>
      </c>
      <c r="AC68" s="1">
        <f>'D- Benefits &amp; Burdens'!C162</f>
        <v>0.76033864762898462</v>
      </c>
      <c r="AD68" s="62">
        <f t="shared" ref="AD68:AD85" si="34">SUM(AB68:AC68)</f>
        <v>16.733546813928985</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-0.98906814583998781</v>
      </c>
      <c r="AJ68" s="1">
        <f>'D- Benefits &amp; Burdens'!I162</f>
        <v>-1.4900291580151148</v>
      </c>
      <c r="AK68" s="1">
        <f>'D- Benefits &amp; Burdens'!J162</f>
        <v>-5.5769424122953737</v>
      </c>
      <c r="AL68" s="1">
        <f>'D- Benefits &amp; Burdens'!K162</f>
        <v>-2.9865723903496799</v>
      </c>
      <c r="AM68" s="62">
        <f t="shared" ref="AM68:AM85" si="35">SUM(AE68:AL68)</f>
        <v>-26.145622598550453</v>
      </c>
      <c r="AN68" s="62">
        <f t="shared" ref="AN68:AN85" si="36">AD68+AM68</f>
        <v>-9.412075784621468</v>
      </c>
    </row>
    <row r="69" spans="1:40" x14ac:dyDescent="0.35">
      <c r="A69" s="39" t="s">
        <v>166</v>
      </c>
      <c r="B69" s="39" t="s">
        <v>165</v>
      </c>
      <c r="C69" s="13">
        <f>'A1 - Raw Material Supply'!K116</f>
        <v>4.3074191235738827E-3</v>
      </c>
      <c r="D69" s="1">
        <f>'A2 - Transport'!L120</f>
        <v>2.4380587059681107E-3</v>
      </c>
      <c r="E69" s="62">
        <f t="shared" si="27"/>
        <v>6.7454778295419938E-3</v>
      </c>
      <c r="F69" s="1">
        <f>'A1 - Raw Material Supply'!O116</f>
        <v>4.6536000000000001E-2</v>
      </c>
      <c r="G69" s="1">
        <f>'A2 - Transport'!B120</f>
        <v>4.3011820489776E-4</v>
      </c>
      <c r="H69" s="62">
        <f t="shared" si="28"/>
        <v>4.696611820489776E-2</v>
      </c>
      <c r="I69" s="1">
        <f>'A1 - Raw Material Supply'!N116</f>
        <v>1.8973973943732778E-3</v>
      </c>
      <c r="J69" s="1">
        <f>'A2 - Transport'!O120</f>
        <v>1.6425779962108642E-5</v>
      </c>
      <c r="K69" s="62">
        <f t="shared" si="29"/>
        <v>1.9138231743353864E-3</v>
      </c>
      <c r="L69" s="1">
        <f>'C3'' - Secondary Raw Material '!B322</f>
        <v>3.4471332246079752E-5</v>
      </c>
      <c r="M69" s="1">
        <f>'C2''- Transport Secondary'!D60</f>
        <v>3.1382496899999999E-3</v>
      </c>
      <c r="N69" s="62">
        <f t="shared" si="30"/>
        <v>3.1727210222460799E-3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3.0342022456679999E-4</v>
      </c>
      <c r="T69" s="62">
        <f t="shared" si="32"/>
        <v>0.1071715306863634</v>
      </c>
      <c r="U69" s="62">
        <f>'A3 - Production '!D208</f>
        <v>7.2132251090895796E-3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7.3826415599999992E-3</v>
      </c>
      <c r="AC69" s="1">
        <f>'D- Benefits &amp; Burdens'!C163</f>
        <v>1.5714271260259654E-4</v>
      </c>
      <c r="AD69" s="62">
        <f t="shared" si="34"/>
        <v>7.5397842726025958E-3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-4.5713644517298238E-4</v>
      </c>
      <c r="AJ69" s="1">
        <f>'D- Benefits &amp; Burdens'!I163</f>
        <v>-6.8867512856825752E-4</v>
      </c>
      <c r="AK69" s="1">
        <f>'D- Benefits &amp; Burdens'!J163</f>
        <v>-2.5776015939993602E-3</v>
      </c>
      <c r="AL69" s="1">
        <f>'D- Benefits &amp; Burdens'!K163</f>
        <v>-1.380360990816E-3</v>
      </c>
      <c r="AM69" s="62">
        <f t="shared" si="35"/>
        <v>-7.103909733224284E-2</v>
      </c>
      <c r="AN69" s="62">
        <f t="shared" si="36"/>
        <v>-6.3499313059640239E-2</v>
      </c>
    </row>
    <row r="70" spans="1:40" x14ac:dyDescent="0.35">
      <c r="A70" s="39" t="s">
        <v>167</v>
      </c>
      <c r="B70" s="39" t="s">
        <v>165</v>
      </c>
      <c r="C70" s="13">
        <f>'A1 - Raw Material Supply'!K117</f>
        <v>2.2526938635434135</v>
      </c>
      <c r="D70" s="1">
        <f>'A2 - Transport'!L121</f>
        <v>6.6856434233456739</v>
      </c>
      <c r="E70" s="62">
        <f t="shared" si="27"/>
        <v>8.9383372868890874</v>
      </c>
      <c r="F70" s="1">
        <f>'A1 - Raw Material Supply'!O117</f>
        <v>11.700479999999999</v>
      </c>
      <c r="G70" s="1">
        <f>'A2 - Transport'!B121</f>
        <v>0.91981987156856637</v>
      </c>
      <c r="H70" s="62">
        <f t="shared" si="28"/>
        <v>12.620299871568566</v>
      </c>
      <c r="I70" s="1">
        <f>'A1 - Raw Material Supply'!N117</f>
        <v>0.11956136434225269</v>
      </c>
      <c r="J70" s="1">
        <f>'A2 - Transport'!O121</f>
        <v>5.9562269331220385E-2</v>
      </c>
      <c r="K70" s="62">
        <f t="shared" si="29"/>
        <v>0.17912363367347306</v>
      </c>
      <c r="L70" s="1">
        <f>'C3'' - Secondary Raw Material '!B323</f>
        <v>0.16674849071700243</v>
      </c>
      <c r="M70" s="1">
        <f>'C2''- Transport Secondary'!D61</f>
        <v>6.7112351765999998</v>
      </c>
      <c r="N70" s="62">
        <f t="shared" si="30"/>
        <v>6.8779836673170021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0.64887267921775194</v>
      </c>
      <c r="T70" s="62">
        <f t="shared" si="32"/>
        <v>1.195788900809089</v>
      </c>
      <c r="U70" s="62">
        <f>'A3 - Production '!D209</f>
        <v>21.764914133006144</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15.9645695475</v>
      </c>
      <c r="AC70" s="1">
        <f>'D- Benefits &amp; Burdens'!C164</f>
        <v>0.76014788075498918</v>
      </c>
      <c r="AD70" s="62">
        <f t="shared" si="34"/>
        <v>16.724717428254991</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-0.98853323872613941</v>
      </c>
      <c r="AJ70" s="1">
        <f>'D- Benefits &amp; Burdens'!I164</f>
        <v>-1.4892233215317381</v>
      </c>
      <c r="AK70" s="1">
        <f>'D- Benefits &amp; Burdens'!J164</f>
        <v>-5.5739262943641608</v>
      </c>
      <c r="AL70" s="1">
        <f>'D- Benefits &amp; Burdens'!K164</f>
        <v>-2.9849571944459998</v>
      </c>
      <c r="AM70" s="62">
        <f t="shared" si="35"/>
        <v>-26.074060369221638</v>
      </c>
      <c r="AN70" s="62">
        <f t="shared" si="36"/>
        <v>-9.3493429409666469</v>
      </c>
    </row>
    <row r="71" spans="1:40" x14ac:dyDescent="0.35">
      <c r="A71" s="39" t="s">
        <v>168</v>
      </c>
      <c r="B71" s="39" t="s">
        <v>165</v>
      </c>
      <c r="C71" s="13">
        <f>'A1 - Raw Material Supply'!K118</f>
        <v>5.8964944409195356E-4</v>
      </c>
      <c r="D71" s="1">
        <f>'A2 - Transport'!L122</f>
        <v>3.5779143773478476E-3</v>
      </c>
      <c r="E71" s="62">
        <f t="shared" si="27"/>
        <v>4.1675638214398007E-3</v>
      </c>
      <c r="F71" s="1">
        <f>'A1 - Raw Material Supply'!O118</f>
        <v>5.8723999999999998E-3</v>
      </c>
      <c r="G71" s="1">
        <f>'A2 - Transport'!B122</f>
        <v>7.3202123648800002E-5</v>
      </c>
      <c r="H71" s="62">
        <f t="shared" si="28"/>
        <v>5.9456021236487999E-3</v>
      </c>
      <c r="I71" s="1">
        <f>'A1 - Raw Material Supply'!N118</f>
        <v>2.0562002679489535E-4</v>
      </c>
      <c r="J71" s="1">
        <f>'A2 - Transport'!O122</f>
        <v>5.5308761507100365E-5</v>
      </c>
      <c r="K71" s="62">
        <f t="shared" si="29"/>
        <v>2.6092878830199573E-4</v>
      </c>
      <c r="L71" s="1">
        <f>'C3'' - Secondary Raw Material '!B324</f>
        <v>7.375904486254632E-6</v>
      </c>
      <c r="M71" s="1">
        <f>'C2''- Transport Secondary'!D62</f>
        <v>5.3410095000000002E-4</v>
      </c>
      <c r="N71" s="62">
        <f t="shared" si="30"/>
        <v>5.4147685448625469E-4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5.1639304133999999E-5</v>
      </c>
      <c r="T71" s="62">
        <f t="shared" si="32"/>
        <v>5.0256953911041833E-4</v>
      </c>
      <c r="U71" s="62">
        <f>'A3 - Production '!D210</f>
        <v>3.5763635577832518E-3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1.25594763E-3</v>
      </c>
      <c r="AC71" s="1">
        <f>'D- Benefits &amp; Burdens'!C165</f>
        <v>3.3624161392820239E-5</v>
      </c>
      <c r="AD71" s="62">
        <f t="shared" si="34"/>
        <v>1.2895717913928202E-3</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-7.7768835211015208E-5</v>
      </c>
      <c r="AJ71" s="1">
        <f>'D- Benefits &amp; Burdens'!I165</f>
        <v>-1.1715859269825481E-4</v>
      </c>
      <c r="AK71" s="1">
        <f>'D- Benefits &amp; Burdens'!J165</f>
        <v>-4.3850599907328006E-4</v>
      </c>
      <c r="AL71" s="1">
        <f>'D- Benefits &amp; Burdens'!K165</f>
        <v>-2.3482937656799999E-4</v>
      </c>
      <c r="AM71" s="62">
        <f t="shared" si="35"/>
        <v>-9.0496575265624369E-3</v>
      </c>
      <c r="AN71" s="62">
        <f t="shared" si="36"/>
        <v>-7.7600857351696169E-3</v>
      </c>
    </row>
    <row r="72" spans="1:40" x14ac:dyDescent="0.35">
      <c r="A72" s="39" t="s">
        <v>169</v>
      </c>
      <c r="B72" s="39" t="s">
        <v>170</v>
      </c>
      <c r="C72" s="13">
        <f>'A1 - Raw Material Supply'!K119</f>
        <v>15.105125447103942</v>
      </c>
      <c r="D72" s="1">
        <f>'A2 - Transport'!L123</f>
        <v>6.2989001496068573</v>
      </c>
      <c r="E72" s="62">
        <f t="shared" si="27"/>
        <v>21.404025596710799</v>
      </c>
      <c r="F72" s="1">
        <f>'A1 - Raw Material Supply'!O119</f>
        <v>631.55999999999995</v>
      </c>
      <c r="G72" s="1">
        <f>'A2 - Transport'!B123</f>
        <v>0.79045393525234076</v>
      </c>
      <c r="H72" s="62">
        <f t="shared" si="28"/>
        <v>632.35045393525229</v>
      </c>
      <c r="I72" s="1">
        <f>'A1 - Raw Material Supply'!N119</f>
        <v>0.37977548705269193</v>
      </c>
      <c r="J72" s="1">
        <f>'A2 - Transport'!O123</f>
        <v>6.0375457990181826E-2</v>
      </c>
      <c r="K72" s="62">
        <f t="shared" si="29"/>
        <v>0.44015094504287378</v>
      </c>
      <c r="L72" s="1">
        <f>'C3'' - Secondary Raw Material '!B325</f>
        <v>7.3693079401887573E-2</v>
      </c>
      <c r="M72" s="1">
        <f>'C2''- Transport Secondary'!D63</f>
        <v>5.7673490426999994</v>
      </c>
      <c r="N72" s="62">
        <f t="shared" si="30"/>
        <v>5.8410421221018867</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0.55761348348644391</v>
      </c>
      <c r="T72" s="62">
        <f t="shared" si="32"/>
        <v>3.2899981647138192</v>
      </c>
      <c r="U72" s="62">
        <f>'A3 - Production '!D211</f>
        <v>11.642915031886288</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13.574884923600001</v>
      </c>
      <c r="AC72" s="1">
        <f>'D- Benefits &amp; Burdens'!C166</f>
        <v>0.33594090053099462</v>
      </c>
      <c r="AD72" s="62">
        <f t="shared" si="34"/>
        <v>13.910825824130995</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-0.84056290518414611</v>
      </c>
      <c r="AJ72" s="1">
        <f>'D- Benefits &amp; Burdens'!I166</f>
        <v>-1.2663063138147983</v>
      </c>
      <c r="AK72" s="1">
        <f>'D- Benefits &amp; Burdens'!J166</f>
        <v>-4.7395833500860425</v>
      </c>
      <c r="AL72" s="1">
        <f>'D- Benefits &amp; Burdens'!K166</f>
        <v>-2.53814863569696</v>
      </c>
      <c r="AM72" s="62">
        <f t="shared" si="35"/>
        <v>-686.503947207446</v>
      </c>
      <c r="AN72" s="62">
        <f t="shared" si="36"/>
        <v>-672.59312138331507</v>
      </c>
    </row>
    <row r="73" spans="1:40" ht="29" x14ac:dyDescent="0.35">
      <c r="A73" s="39" t="s">
        <v>171</v>
      </c>
      <c r="B73" s="39" t="s">
        <v>172</v>
      </c>
      <c r="C73" s="13">
        <f>'A1 - Raw Material Supply'!K120</f>
        <v>31.054793647495167</v>
      </c>
      <c r="D73" s="1">
        <f>'A2 - Transport'!L124</f>
        <v>85.777319251095719</v>
      </c>
      <c r="E73" s="62">
        <f t="shared" si="27"/>
        <v>116.83211289859088</v>
      </c>
      <c r="F73" s="1">
        <f>'A1 - Raw Material Supply'!O120</f>
        <v>1014.928</v>
      </c>
      <c r="G73" s="1">
        <f>'A2 - Transport'!B124</f>
        <v>12.386593346867391</v>
      </c>
      <c r="H73" s="62">
        <f t="shared" si="28"/>
        <v>1027.3145933468675</v>
      </c>
      <c r="I73" s="1">
        <f>'A1 - Raw Material Supply'!N120</f>
        <v>2.0373321039625885</v>
      </c>
      <c r="J73" s="1">
        <f>'A2 - Transport'!O124</f>
        <v>0.73146251882980984</v>
      </c>
      <c r="K73" s="62">
        <f t="shared" si="29"/>
        <v>2.7687946227923983</v>
      </c>
      <c r="L73" s="1">
        <f>'C3'' - Secondary Raw Material '!B326</f>
        <v>2.2154215403498743</v>
      </c>
      <c r="M73" s="1">
        <f>'C2''- Transport Secondary'!D64</f>
        <v>90.375674147999987</v>
      </c>
      <c r="N73" s="62">
        <f t="shared" si="30"/>
        <v>92.591095688349867</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8.7379303924545599</v>
      </c>
      <c r="T73" s="62">
        <f t="shared" si="32"/>
        <v>16.289913259865642</v>
      </c>
      <c r="U73" s="62">
        <f>'A3 - Production '!D212</f>
        <v>402.94940451047637</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214.76523950699999</v>
      </c>
      <c r="AC73" s="1">
        <f>'D- Benefits &amp; Burdens'!C167</f>
        <v>10.099329724872872</v>
      </c>
      <c r="AD73" s="62">
        <f t="shared" si="34"/>
        <v>224.86456923187285</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-13.298359040873459</v>
      </c>
      <c r="AJ73" s="1">
        <f>'D- Benefits &amp; Burdens'!I167</f>
        <v>-20.033950954741442</v>
      </c>
      <c r="AK73" s="1">
        <f>'D- Benefits &amp; Burdens'!J167</f>
        <v>-74.983895559585804</v>
      </c>
      <c r="AL73" s="1">
        <f>'D- Benefits &amp; Burdens'!K167</f>
        <v>-40.155485863615191</v>
      </c>
      <c r="AM73" s="62">
        <f t="shared" si="35"/>
        <v>-1258.2015227830905</v>
      </c>
      <c r="AN73" s="62">
        <f t="shared" si="36"/>
        <v>-1033.3369535512177</v>
      </c>
    </row>
    <row r="74" spans="1:40" ht="29" x14ac:dyDescent="0.35">
      <c r="A74" s="39" t="s">
        <v>173</v>
      </c>
      <c r="B74" s="39" t="s">
        <v>174</v>
      </c>
      <c r="C74" s="13">
        <f>'A1 - Raw Material Supply'!K121</f>
        <v>1.4384535895084423E-4</v>
      </c>
      <c r="D74" s="1">
        <f>'A2 - Transport'!L125</f>
        <v>3.9618862863728243E-4</v>
      </c>
      <c r="E74" s="62">
        <f t="shared" si="27"/>
        <v>5.400339875881266E-4</v>
      </c>
      <c r="F74" s="1">
        <f>'A1 - Raw Material Supply'!O121</f>
        <v>9.8611999999999997E-6</v>
      </c>
      <c r="G74" s="1">
        <f>'A2 - Transport'!B125</f>
        <v>2.1466342312848E-5</v>
      </c>
      <c r="H74" s="62">
        <f t="shared" si="28"/>
        <v>3.1327542312847997E-5</v>
      </c>
      <c r="I74" s="1">
        <f>'A1 - Raw Material Supply'!N121</f>
        <v>7.3105915013882289E-5</v>
      </c>
      <c r="J74" s="1">
        <f>'A2 - Transport'!O125</f>
        <v>5.3773194639433831E-6</v>
      </c>
      <c r="K74" s="62">
        <f t="shared" si="29"/>
        <v>7.8483234477825679E-5</v>
      </c>
      <c r="L74" s="1">
        <f>'C3'' - Secondary Raw Material '!B327</f>
        <v>1.7631993026448645E-6</v>
      </c>
      <c r="M74" s="1">
        <f>'C2''- Transport Secondary'!D65</f>
        <v>1.5662378699999999E-4</v>
      </c>
      <c r="N74" s="62">
        <f t="shared" si="30"/>
        <v>1.5838698630264486E-4</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1.5143098643639998E-5</v>
      </c>
      <c r="T74" s="62">
        <f t="shared" si="32"/>
        <v>1.8765755492496298E-4</v>
      </c>
      <c r="U74" s="62">
        <f>'A3 - Production '!D213</f>
        <v>7.1744182839025058E-4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3.6746009999999999E-4</v>
      </c>
      <c r="AC74" s="1">
        <f>'D- Benefits &amp; Burdens'!C168</f>
        <v>8.0378071638972046E-6</v>
      </c>
      <c r="AD74" s="62">
        <f t="shared" si="34"/>
        <v>3.754979071638972E-4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-2.2753292638104003E-5</v>
      </c>
      <c r="AJ74" s="1">
        <f>'D- Benefits &amp; Burdens'!I168</f>
        <v>-3.4277789264796E-5</v>
      </c>
      <c r="AK74" s="1">
        <f>'D- Benefits &amp; Burdens'!J168</f>
        <v>-1.2829631938560002E-4</v>
      </c>
      <c r="AL74" s="1">
        <f>'D- Benefits &amp; Burdens'!K168</f>
        <v>-6.8705433359999999E-5</v>
      </c>
      <c r="AM74" s="62">
        <f t="shared" si="35"/>
        <v>-9.3565476556556218E-4</v>
      </c>
      <c r="AN74" s="62">
        <f t="shared" si="36"/>
        <v>-5.6015685840166498E-4</v>
      </c>
    </row>
    <row r="75" spans="1:40" ht="29" x14ac:dyDescent="0.35">
      <c r="A75" s="39" t="s">
        <v>175</v>
      </c>
      <c r="B75" s="39" t="s">
        <v>176</v>
      </c>
      <c r="C75" s="13">
        <f>'A1 - Raw Material Supply'!K122</f>
        <v>1.3318101023214563E-2</v>
      </c>
      <c r="D75" s="1">
        <f>'A2 - Transport'!L126</f>
        <v>1.5294126900016424E-2</v>
      </c>
      <c r="E75" s="62">
        <f t="shared" si="27"/>
        <v>2.8612227923230989E-2</v>
      </c>
      <c r="F75" s="1">
        <f>'A1 - Raw Material Supply'!O122</f>
        <v>9.8390400000000003E-3</v>
      </c>
      <c r="G75" s="1">
        <f>'A2 - Transport'!B126</f>
        <v>2.9913472572224001E-4</v>
      </c>
      <c r="H75" s="62">
        <f t="shared" si="28"/>
        <v>1.0138174725722241E-2</v>
      </c>
      <c r="I75" s="1">
        <f>'A1 - Raw Material Supply'!N122</f>
        <v>2.1080260603251652E-4</v>
      </c>
      <c r="J75" s="1">
        <f>'A2 - Transport'!O126</f>
        <v>2.3719269719820547E-4</v>
      </c>
      <c r="K75" s="62">
        <f t="shared" si="29"/>
        <v>4.4799530323072197E-4</v>
      </c>
      <c r="L75" s="1">
        <f>'C3'' - Secondary Raw Material '!B328</f>
        <v>4.8220355792551409E-5</v>
      </c>
      <c r="M75" s="1">
        <f>'C2''- Transport Secondary'!D66</f>
        <v>2.1825615599999999E-3</v>
      </c>
      <c r="N75" s="62">
        <f t="shared" si="30"/>
        <v>2.2307819157925514E-3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2.110199582832E-4</v>
      </c>
      <c r="T75" s="62">
        <f t="shared" si="32"/>
        <v>1.2417879578656358E-3</v>
      </c>
      <c r="U75" s="62">
        <f>'A3 - Production '!D214</f>
        <v>5.6244800453035251E-3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1.5678889799999998E-2</v>
      </c>
      <c r="AC75" s="1">
        <f>'D- Benefits &amp; Burdens'!C169</f>
        <v>2.1981968836628309E-4</v>
      </c>
      <c r="AD75" s="62">
        <f t="shared" si="34"/>
        <v>1.5898709488366282E-2</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-9.70843821846192E-4</v>
      </c>
      <c r="AJ75" s="1">
        <f>'D- Benefits &amp; Burdens'!I169</f>
        <v>-1.4625742508380078E-3</v>
      </c>
      <c r="AK75" s="1">
        <f>'D- Benefits &amp; Burdens'!J169</f>
        <v>-5.4741830565888001E-3</v>
      </c>
      <c r="AL75" s="1">
        <f>'D- Benefits &amp; Burdens'!K169</f>
        <v>-2.9315425492799996E-3</v>
      </c>
      <c r="AM75" s="62">
        <f t="shared" si="35"/>
        <v>-3.2215690546792485E-2</v>
      </c>
      <c r="AN75" s="62">
        <f t="shared" si="36"/>
        <v>-1.6316981058426203E-2</v>
      </c>
    </row>
    <row r="76" spans="1:40" x14ac:dyDescent="0.35">
      <c r="A76" s="39" t="s">
        <v>177</v>
      </c>
      <c r="B76" s="39" t="s">
        <v>178</v>
      </c>
      <c r="C76" s="13">
        <f>'A1 - Raw Material Supply'!K123</f>
        <v>0.17618729939659733</v>
      </c>
      <c r="D76" s="1">
        <f>'A2 - Transport'!L127</f>
        <v>0.16711295755571748</v>
      </c>
      <c r="E76" s="62">
        <f t="shared" si="27"/>
        <v>0.34330025695231481</v>
      </c>
      <c r="F76" s="1">
        <f>'A1 - Raw Material Supply'!O123</f>
        <v>0.1076976</v>
      </c>
      <c r="G76" s="1">
        <f>'A2 - Transport'!B127</f>
        <v>3.2378627207056E-3</v>
      </c>
      <c r="H76" s="62">
        <f t="shared" si="28"/>
        <v>0.1109354627207056</v>
      </c>
      <c r="I76" s="1">
        <f>'A1 - Raw Material Supply'!N123</f>
        <v>2.49859756171603E-3</v>
      </c>
      <c r="J76" s="1">
        <f>'A2 - Transport'!O127</f>
        <v>2.5934268721727856E-3</v>
      </c>
      <c r="K76" s="62">
        <f t="shared" si="29"/>
        <v>5.0920244338888161E-3</v>
      </c>
      <c r="L76" s="1">
        <f>'C3'' - Secondary Raw Material '!B329</f>
        <v>5.2421468666230769E-4</v>
      </c>
      <c r="M76" s="1">
        <f>'C2''- Transport Secondary'!D67</f>
        <v>2.3624253899999999E-2</v>
      </c>
      <c r="N76" s="62">
        <f t="shared" si="30"/>
        <v>2.4148468586662308E-2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2.284100097708E-3</v>
      </c>
      <c r="T76" s="62">
        <f t="shared" si="32"/>
        <v>1.2863331720007769E-2</v>
      </c>
      <c r="U76" s="62">
        <f>'A3 - Production '!D215</f>
        <v>6.0763297288965457E-2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0.17103278849999998</v>
      </c>
      <c r="AC76" s="1">
        <f>'D- Benefits &amp; Burdens'!C170</f>
        <v>2.3897108838200898E-3</v>
      </c>
      <c r="AD76" s="62">
        <f t="shared" si="34"/>
        <v>0.17342249938382007</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-1.0590426246146039E-2</v>
      </c>
      <c r="AJ76" s="1">
        <f>'D- Benefits &amp; Burdens'!I170</f>
        <v>-1.5954455685320459E-2</v>
      </c>
      <c r="AK76" s="1">
        <f>'D- Benefits &amp; Burdens'!J170</f>
        <v>-5.9714992889856003E-2</v>
      </c>
      <c r="AL76" s="1">
        <f>'D- Benefits &amp; Burdens'!K170</f>
        <v>-3.1978660683599995E-2</v>
      </c>
      <c r="AM76" s="62">
        <f t="shared" si="35"/>
        <v>-0.36966842069972161</v>
      </c>
      <c r="AN76" s="62">
        <f t="shared" si="36"/>
        <v>-0.19624592131590154</v>
      </c>
    </row>
    <row r="77" spans="1:40" x14ac:dyDescent="0.35">
      <c r="A77" s="39" t="s">
        <v>179</v>
      </c>
      <c r="B77" s="39" t="s">
        <v>180</v>
      </c>
      <c r="C77" s="13">
        <f>'A1 - Raw Material Supply'!K124</f>
        <v>3.5692543894392867E-10</v>
      </c>
      <c r="D77" s="1">
        <f>'A2 - Transport'!L128</f>
        <v>7.5962951835093286E-10</v>
      </c>
      <c r="E77" s="62">
        <f t="shared" si="27"/>
        <v>1.1165549572948615E-9</v>
      </c>
      <c r="F77" s="1">
        <f>'A1 - Raw Material Supply'!O124</f>
        <v>1.099136E-8</v>
      </c>
      <c r="G77" s="1">
        <f>'A2 - Transport'!B128</f>
        <v>8.1569074494239994E-11</v>
      </c>
      <c r="H77" s="62">
        <f t="shared" si="28"/>
        <v>1.107292907449424E-8</v>
      </c>
      <c r="I77" s="1">
        <f>'A1 - Raw Material Supply'!N124</f>
        <v>2.5071044568388908E-11</v>
      </c>
      <c r="J77" s="1">
        <f>'A2 - Transport'!O128</f>
        <v>8.0504180029807643E-12</v>
      </c>
      <c r="K77" s="62">
        <f t="shared" si="29"/>
        <v>3.3121462571369672E-11</v>
      </c>
      <c r="L77" s="1">
        <f>'C3'' - Secondary Raw Material '!B330</f>
        <v>1.0192646894973112E-11</v>
      </c>
      <c r="M77" s="1">
        <f>'C2''- Transport Secondary'!D68</f>
        <v>5.9514830999999998E-10</v>
      </c>
      <c r="N77" s="62">
        <f t="shared" si="30"/>
        <v>6.0534095689497309E-10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5.7541639993199993E-11</v>
      </c>
      <c r="T77" s="62">
        <f t="shared" si="32"/>
        <v>4.0076982084043973E-10</v>
      </c>
      <c r="U77" s="62">
        <f>'A3 - Production '!D216</f>
        <v>2.1232442215378681E-9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1.49304477E-9</v>
      </c>
      <c r="AC77" s="1">
        <f>'D- Benefits &amp; Burdens'!C171</f>
        <v>4.6464702038275903E-11</v>
      </c>
      <c r="AD77" s="62">
        <f t="shared" si="34"/>
        <v>1.5395094720382759E-9</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-9.2449995451480805E-11</v>
      </c>
      <c r="AJ77" s="1">
        <f>'D- Benefits &amp; Burdens'!I171</f>
        <v>-1.3927573085884921E-10</v>
      </c>
      <c r="AK77" s="1">
        <f>'D- Benefits &amp; Burdens'!J171</f>
        <v>-5.2128693338112003E-10</v>
      </c>
      <c r="AL77" s="1">
        <f>'D- Benefits &amp; Burdens'!K171</f>
        <v>-2.7916034407200001E-10</v>
      </c>
      <c r="AM77" s="62">
        <f t="shared" si="35"/>
        <v>-1.3070578322503629E-8</v>
      </c>
      <c r="AN77" s="62">
        <f t="shared" si="36"/>
        <v>-1.1531068850465352E-8</v>
      </c>
    </row>
    <row r="78" spans="1:40" x14ac:dyDescent="0.35">
      <c r="A78" s="39" t="s">
        <v>181</v>
      </c>
      <c r="B78" s="39" t="s">
        <v>180</v>
      </c>
      <c r="C78" s="13">
        <f>'A1 - Raw Material Supply'!K125</f>
        <v>8.4961887941133851E-9</v>
      </c>
      <c r="D78" s="1">
        <f>'A2 - Transport'!L129</f>
        <v>3.3063462219387944E-8</v>
      </c>
      <c r="E78" s="62">
        <f t="shared" si="27"/>
        <v>4.1559651013501329E-8</v>
      </c>
      <c r="F78" s="1">
        <f>'A1 - Raw Material Supply'!O125</f>
        <v>3.1688799999999997E-7</v>
      </c>
      <c r="G78" s="1">
        <f>'A2 - Transport'!B129</f>
        <v>6.6368611341760007E-9</v>
      </c>
      <c r="H78" s="62">
        <f t="shared" si="28"/>
        <v>3.2352486113417598E-7</v>
      </c>
      <c r="I78" s="1">
        <f>'A1 - Raw Material Supply'!N125</f>
        <v>9.5260510567475159E-10</v>
      </c>
      <c r="J78" s="1">
        <f>'A2 - Transport'!O129</f>
        <v>1.7780488574807634E-10</v>
      </c>
      <c r="K78" s="62">
        <f t="shared" si="29"/>
        <v>1.130409991422828E-9</v>
      </c>
      <c r="L78" s="1">
        <f>'C3'' - Secondary Raw Material '!B331</f>
        <v>2.7167563726420761E-10</v>
      </c>
      <c r="M78" s="1">
        <f>'C2''- Transport Secondary'!D69</f>
        <v>4.8424194E-8</v>
      </c>
      <c r="N78" s="62">
        <f t="shared" si="30"/>
        <v>4.8695869637264208E-8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4.6818708736799992E-9</v>
      </c>
      <c r="T78" s="62">
        <f t="shared" si="32"/>
        <v>1.9877497857699378E-8</v>
      </c>
      <c r="U78" s="62">
        <f>'A3 - Production '!D217</f>
        <v>3.9483314348284196E-8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1.1447719499999999E-7</v>
      </c>
      <c r="AC78" s="1">
        <f>'D- Benefits &amp; Burdens'!C172</f>
        <v>1.2384739377919393E-9</v>
      </c>
      <c r="AD78" s="62">
        <f t="shared" si="34"/>
        <v>1.1571566893779193E-7</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-7.0884787715028007E-9</v>
      </c>
      <c r="AJ78" s="1">
        <f>'D- Benefits &amp; Burdens'!I172</f>
        <v>-1.0678778909152201E-8</v>
      </c>
      <c r="AK78" s="1">
        <f>'D- Benefits &amp; Burdens'!J172</f>
        <v>-3.9968972881920007E-8</v>
      </c>
      <c r="AL78" s="1">
        <f>'D- Benefits &amp; Burdens'!K172</f>
        <v>-2.1404243052E-8</v>
      </c>
      <c r="AM78" s="62">
        <f t="shared" si="35"/>
        <v>-4.2617631959876305E-7</v>
      </c>
      <c r="AN78" s="62">
        <f t="shared" si="36"/>
        <v>-3.1046065066097111E-7</v>
      </c>
    </row>
    <row r="79" spans="1:40" ht="29" x14ac:dyDescent="0.35">
      <c r="A79" s="39" t="s">
        <v>182</v>
      </c>
      <c r="B79" s="39" t="s">
        <v>183</v>
      </c>
      <c r="C79" s="13">
        <f>'A1 - Raw Material Supply'!K126</f>
        <v>6.1999922579962938E-2</v>
      </c>
      <c r="D79" s="1">
        <f>'A2 - Transport'!L130</f>
        <v>0.1394328744803176</v>
      </c>
      <c r="E79" s="62">
        <f t="shared" si="27"/>
        <v>0.20143279706028056</v>
      </c>
      <c r="F79" s="1">
        <f>'A1 - Raw Material Supply'!O126</f>
        <v>0.16730799999999998</v>
      </c>
      <c r="G79" s="1">
        <f>'A2 - Transport'!B130</f>
        <v>5.6166520099551996E-3</v>
      </c>
      <c r="H79" s="62">
        <f t="shared" si="28"/>
        <v>0.17292465200995519</v>
      </c>
      <c r="I79" s="1">
        <f>'A1 - Raw Material Supply'!N126</f>
        <v>3.9110006778906019E-2</v>
      </c>
      <c r="J79" s="1">
        <f>'A2 - Transport'!O130</f>
        <v>2.0008486186114597E-3</v>
      </c>
      <c r="K79" s="62">
        <f t="shared" si="29"/>
        <v>4.1110855397517479E-2</v>
      </c>
      <c r="L79" s="1">
        <f>'C3'' - Secondary Raw Material '!B332</f>
        <v>6.6519868279014841E-4</v>
      </c>
      <c r="M79" s="1">
        <f>'C2''- Transport Secondary'!D70</f>
        <v>4.0980493800000004E-2</v>
      </c>
      <c r="N79" s="62">
        <f t="shared" si="30"/>
        <v>4.1645692482790153E-2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3.9621801513360002E-3</v>
      </c>
      <c r="T79" s="62">
        <f t="shared" si="32"/>
        <v>0.11039542442456306</v>
      </c>
      <c r="U79" s="62">
        <f>'A3 - Production '!D218</f>
        <v>2.4644690855675568</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9.6689283599999981E-2</v>
      </c>
      <c r="AC79" s="1">
        <f>'D- Benefits &amp; Burdens'!C173</f>
        <v>3.0324074708544474E-3</v>
      </c>
      <c r="AD79" s="62">
        <f t="shared" si="34"/>
        <v>9.9721691070854435E-2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-5.9870433952405435E-3</v>
      </c>
      <c r="AJ79" s="1">
        <f>'D- Benefits &amp; Burdens'!I173</f>
        <v>-9.019468746143856E-3</v>
      </c>
      <c r="AK79" s="1">
        <f>'D- Benefits &amp; Burdens'!J173</f>
        <v>-3.3758438562201599E-2</v>
      </c>
      <c r="AL79" s="1">
        <f>'D- Benefits &amp; Burdens'!K173</f>
        <v>-1.8078368592959998E-2</v>
      </c>
      <c r="AM79" s="62">
        <f t="shared" si="35"/>
        <v>-0.58520308620547346</v>
      </c>
      <c r="AN79" s="62">
        <f t="shared" si="36"/>
        <v>-0.48548139513461902</v>
      </c>
    </row>
    <row r="80" spans="1:40" x14ac:dyDescent="0.35">
      <c r="A80" s="39" t="s">
        <v>184</v>
      </c>
      <c r="B80" s="39" t="s">
        <v>185</v>
      </c>
      <c r="C80" s="13">
        <f>'A1 - Raw Material Supply'!K127</f>
        <v>391.20196233776971</v>
      </c>
      <c r="D80" s="1">
        <f>'A2 - Transport'!L131</f>
        <v>32.038327898191731</v>
      </c>
      <c r="E80" s="62">
        <f t="shared" si="27"/>
        <v>423.24029023596142</v>
      </c>
      <c r="F80" s="1">
        <f>'A1 - Raw Material Supply'!O127</f>
        <v>5.8280799999999999</v>
      </c>
      <c r="G80" s="1">
        <f>'A2 - Transport'!B131</f>
        <v>0.78130875710178882</v>
      </c>
      <c r="H80" s="62">
        <f t="shared" si="28"/>
        <v>6.6093887571017884</v>
      </c>
      <c r="I80" s="1">
        <f>'A1 - Raw Material Supply'!N127</f>
        <v>0.6282499716687221</v>
      </c>
      <c r="J80" s="1">
        <f>'A2 - Transport'!O131</f>
        <v>0.48822472723138388</v>
      </c>
      <c r="K80" s="62">
        <f t="shared" si="29"/>
        <v>1.116474698900106</v>
      </c>
      <c r="L80" s="1">
        <f>'C3'' - Secondary Raw Material '!B333</f>
        <v>0.11390463257521803</v>
      </c>
      <c r="M80" s="1">
        <f>'C2''- Transport Secondary'!D71</f>
        <v>5.7006235421999998</v>
      </c>
      <c r="N80" s="62">
        <f t="shared" si="30"/>
        <v>5.8145281747752176</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0.55116215923058398</v>
      </c>
      <c r="T80" s="62">
        <f t="shared" si="32"/>
        <v>3.4749783022316891</v>
      </c>
      <c r="U80" s="62">
        <f>'A3 - Production '!D219</f>
        <v>13.170193776368329</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13.476679608</v>
      </c>
      <c r="AC80" s="1">
        <f>'D- Benefits &amp; Burdens'!C174</f>
        <v>0.51925126691056267</v>
      </c>
      <c r="AD80" s="62">
        <f t="shared" si="34"/>
        <v>13.995930874910563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-0.83448198841396026</v>
      </c>
      <c r="AJ80" s="1">
        <f>'D- Benefits &amp; Burdens'!I174</f>
        <v>-1.2571454250194716</v>
      </c>
      <c r="AK80" s="1">
        <f>'D- Benefits &amp; Burdens'!J174</f>
        <v>-4.7052955987476484</v>
      </c>
      <c r="AL80" s="1">
        <f>'D- Benefits &amp; Burdens'!K174</f>
        <v>-2.5197868087487998</v>
      </c>
      <c r="AM80" s="62">
        <f t="shared" si="35"/>
        <v>-504.31763609519805</v>
      </c>
      <c r="AN80" s="62">
        <f t="shared" si="36"/>
        <v>-490.32170522028747</v>
      </c>
    </row>
    <row r="81" spans="1:40" ht="29" x14ac:dyDescent="0.35">
      <c r="A81" s="39" t="s">
        <v>186</v>
      </c>
      <c r="B81" s="39" t="s">
        <v>187</v>
      </c>
      <c r="C81" s="13">
        <f>'A1 - Raw Material Supply'!K128</f>
        <v>4.742706305592335E-6</v>
      </c>
      <c r="D81" s="1">
        <f>'A2 - Transport'!L132</f>
        <v>8.3686265909625351E-6</v>
      </c>
      <c r="E81" s="62">
        <f t="shared" si="27"/>
        <v>1.3111332896554869E-5</v>
      </c>
      <c r="F81" s="1">
        <f>'A1 - Raw Material Supply'!O128</f>
        <v>2.2603199999999999E-6</v>
      </c>
      <c r="G81" s="1">
        <f>'A2 - Transport'!B132</f>
        <v>1.0153566173903999E-6</v>
      </c>
      <c r="H81" s="62">
        <f t="shared" si="28"/>
        <v>3.2756766173904001E-6</v>
      </c>
      <c r="I81" s="1">
        <f>'A1 - Raw Material Supply'!N128</f>
        <v>3.5788766674713027E-7</v>
      </c>
      <c r="J81" s="1">
        <f>'A2 - Transport'!O132</f>
        <v>8.2161566084793734E-8</v>
      </c>
      <c r="K81" s="62">
        <f t="shared" si="29"/>
        <v>4.4004923283192399E-7</v>
      </c>
      <c r="L81" s="1">
        <f>'C3'' - Secondary Raw Material '!B334</f>
        <v>2.6007934671855809E-8</v>
      </c>
      <c r="M81" s="1">
        <f>'C2''- Transport Secondary'!D72</f>
        <v>7.4082950999999986E-6</v>
      </c>
      <c r="N81" s="62">
        <f t="shared" si="30"/>
        <v>7.4343030346718546E-6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7.1626759657199998E-7</v>
      </c>
      <c r="T81" s="62">
        <f t="shared" si="32"/>
        <v>2.0074447898528044E-4</v>
      </c>
      <c r="U81" s="62">
        <f>'A3 - Production '!D220</f>
        <v>3.0073630837844529E-5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1.7314052699999997E-5</v>
      </c>
      <c r="AC81" s="1">
        <f>'D- Benefits &amp; Burdens'!C175</f>
        <v>1.1856105166899467E-7</v>
      </c>
      <c r="AD81" s="62">
        <f t="shared" si="34"/>
        <v>1.7432613751668993E-5</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-1.0720938350440079E-6</v>
      </c>
      <c r="AJ81" s="1">
        <f>'D- Benefits &amp; Burdens'!I175</f>
        <v>-1.6151071906042918E-6</v>
      </c>
      <c r="AK81" s="1">
        <f>'D- Benefits &amp; Burdens'!J175</f>
        <v>-6.0450896166912004E-6</v>
      </c>
      <c r="AL81" s="1">
        <f>'D- Benefits &amp; Burdens'!K175</f>
        <v>-3.2372752687199996E-6</v>
      </c>
      <c r="AM81" s="62">
        <f t="shared" si="35"/>
        <v>-1.9996442815488897E-5</v>
      </c>
      <c r="AN81" s="62">
        <f t="shared" si="36"/>
        <v>-2.5638290638199042E-6</v>
      </c>
    </row>
    <row r="82" spans="1:40" x14ac:dyDescent="0.35">
      <c r="A82" s="39" t="s">
        <v>188</v>
      </c>
      <c r="B82" s="39" t="s">
        <v>189</v>
      </c>
      <c r="C82" s="13">
        <f>'A1 - Raw Material Supply'!K129</f>
        <v>3.5702259662986999E-8</v>
      </c>
      <c r="D82" s="1">
        <f>'A2 - Transport'!L133</f>
        <v>1.3542657285973804E-7</v>
      </c>
      <c r="E82" s="62">
        <f t="shared" si="27"/>
        <v>1.7112883252272504E-7</v>
      </c>
      <c r="F82" s="1">
        <f>'A1 - Raw Material Supply'!O129</f>
        <v>7.3571199999999993E-12</v>
      </c>
      <c r="G82" s="1">
        <f>'A2 - Transport'!B133</f>
        <v>2.0464128626144001E-8</v>
      </c>
      <c r="H82" s="62">
        <f t="shared" si="28"/>
        <v>2.0471485746144002E-8</v>
      </c>
      <c r="I82" s="1">
        <f>'A1 - Raw Material Supply'!N129</f>
        <v>1.5574157254795618E-9</v>
      </c>
      <c r="J82" s="1">
        <f>'A2 - Transport'!O133</f>
        <v>1.1040705923781306E-9</v>
      </c>
      <c r="K82" s="62">
        <f t="shared" si="29"/>
        <v>2.6614863178576922E-9</v>
      </c>
      <c r="L82" s="1">
        <f>'C3'' - Secondary Raw Material '!B335</f>
        <v>3.7585564815097762E-9</v>
      </c>
      <c r="M82" s="1">
        <f>'C2''- Transport Secondary'!D73</f>
        <v>1.4931138599999998E-7</v>
      </c>
      <c r="N82" s="62">
        <f t="shared" si="30"/>
        <v>1.5306994248150976E-7</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1.4436102523919999E-8</v>
      </c>
      <c r="T82" s="62">
        <f t="shared" si="32"/>
        <v>2.1122834785676369E-8</v>
      </c>
      <c r="U82" s="62">
        <f>'A3 - Production '!D221</f>
        <v>2.9384535611563901E-6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3.5530618199999999E-7</v>
      </c>
      <c r="AC82" s="1">
        <f>'D- Benefits &amp; Burdens'!C176</f>
        <v>1.7133940654170295E-8</v>
      </c>
      <c r="AD82" s="62">
        <f t="shared" si="34"/>
        <v>3.7244012265417031E-7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-2.2000716636101281E-8</v>
      </c>
      <c r="AJ82" s="1">
        <f>'D- Benefits &amp; Burdens'!I176</f>
        <v>-3.3144035042376718E-8</v>
      </c>
      <c r="AK82" s="1">
        <f>'D- Benefits &amp; Burdens'!J176</f>
        <v>-1.2405285745459201E-7</v>
      </c>
      <c r="AL82" s="1">
        <f>'D- Benefits &amp; Burdens'!K176</f>
        <v>-6.643296839519999E-8</v>
      </c>
      <c r="AM82" s="62">
        <f t="shared" si="35"/>
        <v>-2.8509950662286842E-7</v>
      </c>
      <c r="AN82" s="62">
        <f t="shared" si="36"/>
        <v>8.7340616031301889E-8</v>
      </c>
    </row>
    <row r="83" spans="1:40" x14ac:dyDescent="0.35">
      <c r="A83" s="39" t="s">
        <v>190</v>
      </c>
      <c r="B83" s="39" t="s">
        <v>191</v>
      </c>
      <c r="C83" s="13">
        <f>'A1 - Raw Material Supply'!K130</f>
        <v>6.5360368889705883E-7</v>
      </c>
      <c r="D83" s="1">
        <f>'A2 - Transport'!L134</f>
        <v>2.6797412100032458E-7</v>
      </c>
      <c r="E83" s="62">
        <f t="shared" si="27"/>
        <v>9.2157780989738341E-7</v>
      </c>
      <c r="F83" s="1">
        <f>'A1 - Raw Material Supply'!O130</f>
        <v>5.9388800000000003E-7</v>
      </c>
      <c r="G83" s="1">
        <f>'A2 - Transport'!B134</f>
        <v>5.7044899203343993E-8</v>
      </c>
      <c r="H83" s="62">
        <f t="shared" si="28"/>
        <v>6.5093289920334402E-7</v>
      </c>
      <c r="I83" s="1">
        <f>'A1 - Raw Material Supply'!N130</f>
        <v>9.8472396783713966E-9</v>
      </c>
      <c r="J83" s="1">
        <f>'A2 - Transport'!O134</f>
        <v>1.2591076322928305E-9</v>
      </c>
      <c r="K83" s="62">
        <f t="shared" si="29"/>
        <v>1.1106347310664228E-8</v>
      </c>
      <c r="L83" s="1">
        <f>'C3'' - Secondary Raw Material '!B336</f>
        <v>1.6427613993186483E-9</v>
      </c>
      <c r="M83" s="1">
        <f>'C2''- Transport Secondary'!D74</f>
        <v>4.1621381099999995E-7</v>
      </c>
      <c r="N83" s="62">
        <f t="shared" si="30"/>
        <v>4.1785657239931861E-7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4.0241440444919994E-8</v>
      </c>
      <c r="T83" s="62">
        <f t="shared" si="32"/>
        <v>1.101724067072761E-7</v>
      </c>
      <c r="U83" s="62">
        <f>'A3 - Production '!D222</f>
        <v>9.3824087861874399E-8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1.0800741000000001E-6</v>
      </c>
      <c r="AC83" s="1">
        <f>'D- Benefits &amp; Burdens'!C177</f>
        <v>7.4887730072320456E-9</v>
      </c>
      <c r="AD83" s="62">
        <f t="shared" si="34"/>
        <v>1.0875628730072323E-6</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-6.6878668100664016E-8</v>
      </c>
      <c r="AJ83" s="1">
        <f>'D- Benefits &amp; Burdens'!I177</f>
        <v>-1.00752578008236E-7</v>
      </c>
      <c r="AK83" s="1">
        <f>'D- Benefits &amp; Burdens'!J177</f>
        <v>-3.7710089256960008E-7</v>
      </c>
      <c r="AL83" s="1">
        <f>'D- Benefits &amp; Burdens'!K177</f>
        <v>-2.0194562376E-7</v>
      </c>
      <c r="AM83" s="62">
        <f t="shared" si="35"/>
        <v>-1.9390225797375843E-6</v>
      </c>
      <c r="AN83" s="62">
        <f t="shared" si="36"/>
        <v>-8.5145970673035201E-7</v>
      </c>
    </row>
    <row r="84" spans="1:40" ht="29" x14ac:dyDescent="0.35">
      <c r="A84" s="39" t="s">
        <v>192</v>
      </c>
      <c r="B84" s="39" t="s">
        <v>193</v>
      </c>
      <c r="C84" s="13">
        <f>'A1 - Raw Material Supply'!K131</f>
        <v>4.2361407169931642E-2</v>
      </c>
      <c r="D84" s="1">
        <f>'A2 - Transport'!L135</f>
        <v>5.173174312316698E-2</v>
      </c>
      <c r="E84" s="62">
        <f t="shared" si="27"/>
        <v>9.4093150293098615E-2</v>
      </c>
      <c r="F84" s="1">
        <f>'A1 - Raw Material Supply'!O131</f>
        <v>4.4984799999999991E-2</v>
      </c>
      <c r="G84" s="1">
        <f>'A2 - Transport'!B135</f>
        <v>2.3927206798272003E-3</v>
      </c>
      <c r="H84" s="62">
        <f t="shared" si="28"/>
        <v>4.7377520679827194E-2</v>
      </c>
      <c r="I84" s="1">
        <f>'A1 - Raw Material Supply'!N131</f>
        <v>6.5993967225239786E-4</v>
      </c>
      <c r="J84" s="1">
        <f>'A2 - Transport'!O135</f>
        <v>7.2507455004302635E-4</v>
      </c>
      <c r="K84" s="62">
        <f t="shared" si="29"/>
        <v>1.3850142222954242E-3</v>
      </c>
      <c r="L84" s="1">
        <f>'C3'' - Secondary Raw Material '!B337</f>
        <v>4.1082738634614822E-4</v>
      </c>
      <c r="M84" s="1">
        <f>'C2''- Transport Secondary'!D75</f>
        <v>1.7457886799999996E-2</v>
      </c>
      <c r="N84" s="62">
        <f t="shared" si="30"/>
        <v>1.7868714186346144E-2</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1.6879077372959999E-3</v>
      </c>
      <c r="T84" s="62">
        <f t="shared" si="32"/>
        <v>5.1804885382958528E-3</v>
      </c>
      <c r="U84" s="62">
        <f>'A3 - Production '!D223</f>
        <v>2.0528586507481541E-2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6.8799328499999993E-2</v>
      </c>
      <c r="AC84" s="1">
        <f>'D- Benefits &amp; Burdens'!C178</f>
        <v>1.872817953219971E-3</v>
      </c>
      <c r="AD84" s="62">
        <f t="shared" si="34"/>
        <v>7.0672146453219967E-2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-4.2600849851876406E-3</v>
      </c>
      <c r="AJ84" s="1">
        <f>'D- Benefits &amp; Burdens'!I178</f>
        <v>-6.4178093999388598E-3</v>
      </c>
      <c r="AK84" s="1">
        <f>'D- Benefits &amp; Burdens'!J178</f>
        <v>-2.4020840964096003E-2</v>
      </c>
      <c r="AL84" s="1">
        <f>'D- Benefits &amp; Burdens'!K178</f>
        <v>-1.2863676027599998E-2</v>
      </c>
      <c r="AM84" s="62">
        <f t="shared" si="35"/>
        <v>-0.13013604367176912</v>
      </c>
      <c r="AN84" s="62">
        <f t="shared" si="36"/>
        <v>-5.9463897218549153E-2</v>
      </c>
    </row>
    <row r="85" spans="1:40" ht="29" x14ac:dyDescent="0.35">
      <c r="A85" s="39" t="s">
        <v>194</v>
      </c>
      <c r="B85" s="39" t="s">
        <v>195</v>
      </c>
      <c r="C85" s="13">
        <f>'A1 - Raw Material Supply'!K132</f>
        <v>3.0979806680888267</v>
      </c>
      <c r="D85" s="1">
        <f>'A2 - Transport'!L136</f>
        <v>0.43564602550869758</v>
      </c>
      <c r="E85" s="62">
        <f t="shared" si="27"/>
        <v>3.5336266935975242</v>
      </c>
      <c r="F85" s="1">
        <f>'A1 - Raw Material Supply'!O132</f>
        <v>0.15977359999999999</v>
      </c>
      <c r="G85" s="1">
        <f>'A2 - Transport'!B136</f>
        <v>2.8211726834548801E-2</v>
      </c>
      <c r="H85" s="62">
        <f t="shared" si="28"/>
        <v>0.1879853268345488</v>
      </c>
      <c r="I85" s="1">
        <f>'A1 - Raw Material Supply'!N132</f>
        <v>0.25392572768492161</v>
      </c>
      <c r="J85" s="1">
        <f>'A2 - Transport'!O136</f>
        <v>5.655210833649559E-3</v>
      </c>
      <c r="K85" s="62">
        <f t="shared" si="29"/>
        <v>0.25958093851857117</v>
      </c>
      <c r="L85" s="1">
        <f>'C3'' - Secondary Raw Material '!B338</f>
        <v>2.9984053368853725E-3</v>
      </c>
      <c r="M85" s="1">
        <f>'C2''- Transport Secondary'!D76</f>
        <v>0.20583979469999997</v>
      </c>
      <c r="N85" s="62">
        <f t="shared" si="30"/>
        <v>0.20883820003688533</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1.9901525659883998E-2</v>
      </c>
      <c r="T85" s="62">
        <f t="shared" si="32"/>
        <v>0.35011586542012607</v>
      </c>
      <c r="U85" s="62">
        <f>'A3 - Production '!D224</f>
        <v>0.8490895325142519</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0.48473958539999995</v>
      </c>
      <c r="AC85" s="1">
        <f>'D- Benefits &amp; Burdens'!C179</f>
        <v>1.366867821518138E-2</v>
      </c>
      <c r="AD85" s="62">
        <f t="shared" si="34"/>
        <v>0.49840826361518131</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-3.0015290476107213E-2</v>
      </c>
      <c r="AJ85" s="1">
        <f>'D- Benefits &amp; Burdens'!I179</f>
        <v>-4.5217974296109381E-2</v>
      </c>
      <c r="AK85" s="1">
        <f>'D- Benefits &amp; Burdens'!J179</f>
        <v>-0.1692436938522624</v>
      </c>
      <c r="AL85" s="1">
        <f>'D- Benefits &amp; Burdens'!K179</f>
        <v>-9.0633631465439984E-2</v>
      </c>
      <c r="AM85" s="62">
        <f t="shared" si="35"/>
        <v>-4.8605981377331782</v>
      </c>
      <c r="AN85" s="62">
        <f t="shared" si="36"/>
        <v>-4.3621898741179965</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1.6996747174245758E-5</v>
      </c>
      <c r="E92" s="1">
        <f>((D4/$B92)*$C92)*Input!$C$31</f>
        <v>4.5654690060450572E-8</v>
      </c>
      <c r="F92" s="1">
        <f>((E4/$B92)*$C92)*Input!$C$31</f>
        <v>8.3496210685022374E-6</v>
      </c>
      <c r="G92" s="1">
        <f>((F4/$B92)*$C92)*Input!$C$31</f>
        <v>2.1438634263021583E-6</v>
      </c>
      <c r="H92" s="1">
        <f>((G4/$B92)*$C92)*Input!$C$31</f>
        <v>4.5960195931017371E-6</v>
      </c>
      <c r="I92" s="1">
        <f>((H4/$B92)*$C92)*Input!$C$31</f>
        <v>1.0136064641915394E-6</v>
      </c>
      <c r="J92" s="1">
        <f>((I4/$B92)*$C92)*Input!$C$31</f>
        <v>3.164817820651399E-7</v>
      </c>
      <c r="K92" s="1">
        <f>((J4/$B92)*$C92)*Input!$C$31</f>
        <v>2.4015834724913239E-7</v>
      </c>
      <c r="L92" s="1">
        <f>((K4/$B92)*$C92)*Input!$C$31</f>
        <v>-1.2108239563708614E-5</v>
      </c>
      <c r="M92" s="1">
        <f>(SUM(D92:H92))*1000</f>
        <v>3.2131905952212346E-2</v>
      </c>
      <c r="N92" s="1">
        <f>SUM(D92:K92)*1000</f>
        <v>3.3702152545718157E-2</v>
      </c>
      <c r="O92" s="1">
        <f>SUM(D92:L92)*1000</f>
        <v>2.1593912982009546E-2</v>
      </c>
    </row>
    <row r="93" spans="1:40" x14ac:dyDescent="0.35">
      <c r="A93" s="39" t="s">
        <v>164</v>
      </c>
      <c r="B93" s="154">
        <v>8100</v>
      </c>
      <c r="C93" s="154">
        <v>0.21059999999999998</v>
      </c>
      <c r="D93" s="1">
        <f>((C5/$B93)*$C93)*Input!$C$31</f>
        <v>7.3773226556203742E-5</v>
      </c>
      <c r="E93" s="1">
        <f>((D5/$B93)*$C93)*Input!$C$31</f>
        <v>8.3261736706504406E-7</v>
      </c>
      <c r="F93" s="1">
        <f>((E5/$B93)*$C93)*Input!$C$31</f>
        <v>4.1537654929445656E-5</v>
      </c>
      <c r="G93" s="1">
        <f>((F5/$B93)*$C93)*Input!$C$31</f>
        <v>3.3520818418214395E-5</v>
      </c>
      <c r="H93" s="1">
        <f>((G5/$B93)*$C93)*Input!$C$31</f>
        <v>1.0870431297859169E-4</v>
      </c>
      <c r="I93" s="1">
        <f>((H5/$B93)*$C93)*Input!$C$31</f>
        <v>1.5848452759091094E-5</v>
      </c>
      <c r="J93" s="1">
        <f>((I5/$B93)*$C93)*Input!$C$31</f>
        <v>5.7717668821806292E-6</v>
      </c>
      <c r="K93" s="1">
        <f>((J5/$B93)*$C93)*Input!$C$31</f>
        <v>4.3798350290080077E-6</v>
      </c>
      <c r="L93" s="1">
        <f>((K5/$B93)*$C93)*Input!$C$31</f>
        <v>-4.6985082316830366E-5</v>
      </c>
      <c r="M93" s="1">
        <f>(SUM(D93:H93))*1000</f>
        <v>0.2583686302495205</v>
      </c>
      <c r="N93" s="1">
        <f>SUM(D93:K93)*1000</f>
        <v>0.28436868491980027</v>
      </c>
      <c r="O93" s="1">
        <f>SUM(D93:L93)*1000</f>
        <v>0.2373836026029699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5.6096931749240073E-5</v>
      </c>
      <c r="E97" s="1">
        <f>((D9/$B97)*$C97)*Input!$C$31</f>
        <v>6.3621116605882512E-9</v>
      </c>
      <c r="F97" s="1">
        <f>((E9/$B97)*$C97)*Input!$C$31</f>
        <v>6.6539459794576999E-7</v>
      </c>
      <c r="G97" s="1">
        <f>((F9/$B97)*$C97)*Input!$C$31</f>
        <v>4.9790996512902289E-7</v>
      </c>
      <c r="H97" s="1">
        <f>((G9/$B97)*$C97)*Input!$C$31</f>
        <v>1.0051625754928715E-6</v>
      </c>
      <c r="I97" s="1">
        <f>((H9/$B97)*$C97)*Input!$C$31</f>
        <v>2.3540900649192329E-7</v>
      </c>
      <c r="J97" s="1">
        <f>((I9/$B97)*$C97)*Input!$C$31</f>
        <v>4.4102641664511286E-8</v>
      </c>
      <c r="K97" s="1">
        <f>((J9/$B97)*$C97)*Input!$C$31</f>
        <v>3.3466752690648508E-8</v>
      </c>
      <c r="L97" s="1">
        <f>((K9/$B97)*$C97)*Input!$C$31</f>
        <v>-5.8066681092914587E-5</v>
      </c>
      <c r="M97" s="1">
        <f t="shared" ref="M97:M110" si="37">(SUM(D97:H97))*1000</f>
        <v>5.8271760999468326E-2</v>
      </c>
      <c r="N97" s="1">
        <f t="shared" ref="N97:N110" si="38">SUM(D97:K97)*1000</f>
        <v>5.858473940031541E-2</v>
      </c>
      <c r="O97" s="1">
        <f t="shared" ref="O97:O110" si="39">SUM(D97:L97)*1000</f>
        <v>5.1805830740082252E-4</v>
      </c>
    </row>
    <row r="98" spans="1:18" x14ac:dyDescent="0.35">
      <c r="A98" s="39" t="s">
        <v>171</v>
      </c>
      <c r="B98" s="154">
        <v>65000</v>
      </c>
      <c r="C98" s="154">
        <v>7.5499999999999998E-2</v>
      </c>
      <c r="D98" s="1">
        <f>((C10/$B98)*$C98)*Input!$C$31</f>
        <v>2.3540881979290952E-4</v>
      </c>
      <c r="E98" s="1">
        <f>((D10/$B98)*$C98)*Input!$C$31</f>
        <v>4.9407308690633505E-7</v>
      </c>
      <c r="F98" s="1">
        <f>((E10/$B98)*$C98)*Input!$C$31</f>
        <v>2.4003883025570023E-5</v>
      </c>
      <c r="G98" s="1">
        <f>((F10/$B98)*$C98)*Input!$C$31</f>
        <v>2.0155165729990891E-5</v>
      </c>
      <c r="H98" s="1">
        <f>((G10/$B98)*$C98)*Input!$C$31</f>
        <v>8.986391642744408E-5</v>
      </c>
      <c r="I98" s="1">
        <f>((H10/$B98)*$C98)*Input!$C$31</f>
        <v>9.5292480015894504E-6</v>
      </c>
      <c r="J98" s="1">
        <f>((I10/$B98)*$C98)*Input!$C$31</f>
        <v>3.4249521967513378E-6</v>
      </c>
      <c r="K98" s="1">
        <f>((J10/$B98)*$C98)*Input!$C$31</f>
        <v>2.5989832767365709E-6</v>
      </c>
      <c r="L98" s="1">
        <f>((K10/$B98)*$C98)*Input!$C$31</f>
        <v>-2.3045003813351462E-4</v>
      </c>
      <c r="M98" s="1">
        <f t="shared" si="37"/>
        <v>0.36992585806282091</v>
      </c>
      <c r="N98" s="1">
        <f t="shared" si="38"/>
        <v>0.38547904153789825</v>
      </c>
      <c r="O98" s="1">
        <f t="shared" si="39"/>
        <v>0.15502900340438364</v>
      </c>
    </row>
    <row r="99" spans="1:18" x14ac:dyDescent="0.35">
      <c r="A99" s="39" t="s">
        <v>173</v>
      </c>
      <c r="B99" s="154">
        <v>1.61</v>
      </c>
      <c r="C99" s="154">
        <v>2.7999999999999997E-2</v>
      </c>
      <c r="D99" s="1">
        <f>((C11/$B99)*$C99)*Input!$C$31</f>
        <v>1.3334047062128953E-6</v>
      </c>
      <c r="E99" s="1">
        <f>((D11/$B99)*$C99)*Input!$C$31</f>
        <v>5.8875524540489382E-9</v>
      </c>
      <c r="F99" s="1">
        <f>((E11/$B99)*$C99)*Input!$C$31</f>
        <v>1.4631247773753224E-6</v>
      </c>
      <c r="G99" s="1">
        <f>((F11/$B99)*$C99)*Input!$C$31</f>
        <v>5.2298725398260855E-7</v>
      </c>
      <c r="H99" s="1">
        <f>((G11/$B99)*$C99)*Input!$C$31</f>
        <v>2.3956318443639665E-6</v>
      </c>
      <c r="I99" s="1">
        <f>((H11/$B99)*$C99)*Input!$C$31</f>
        <v>2.4726540637940858E-7</v>
      </c>
      <c r="J99" s="1">
        <f>((I11/$B99)*$C99)*Input!$C$31</f>
        <v>4.0812961169865106E-8</v>
      </c>
      <c r="K99" s="1">
        <f>((J11/$B99)*$C99)*Input!$C$31</f>
        <v>3.0970418698161943E-8</v>
      </c>
      <c r="L99" s="1">
        <f>((K11/$B99)*$C99)*Input!$C$31</f>
        <v>-1.8704368141412115E-6</v>
      </c>
      <c r="M99" s="1">
        <f t="shared" si="37"/>
        <v>5.7210361343888417E-3</v>
      </c>
      <c r="N99" s="1">
        <f t="shared" si="38"/>
        <v>6.0400849206362767E-3</v>
      </c>
      <c r="O99" s="1">
        <f t="shared" si="39"/>
        <v>4.169648106495066E-3</v>
      </c>
    </row>
    <row r="100" spans="1:18" x14ac:dyDescent="0.35">
      <c r="A100" s="39" t="s">
        <v>175</v>
      </c>
      <c r="B100" s="154">
        <v>19.5</v>
      </c>
      <c r="C100" s="154">
        <v>2.9600000000000001E-2</v>
      </c>
      <c r="D100" s="1">
        <f>((C12/$B100)*$C100)*Input!$C$31</f>
        <v>7.11091066302379E-6</v>
      </c>
      <c r="E100" s="1">
        <f>((D12/$B100)*$C100)*Input!$C$31</f>
        <v>1.4053637232832214E-8</v>
      </c>
      <c r="F100" s="1">
        <f>((E12/$B100)*$C100)*Input!$C$31</f>
        <v>4.6752259812835848E-6</v>
      </c>
      <c r="G100" s="1">
        <f>((F12/$B100)*$C100)*Input!$C$31</f>
        <v>6.3609917219446151E-7</v>
      </c>
      <c r="H100" s="1">
        <f>((G12/$B100)*$C100)*Input!$C$31</f>
        <v>1.6392330765881539E-6</v>
      </c>
      <c r="I100" s="1">
        <f>((H12/$B100)*$C100)*Input!$C$31</f>
        <v>3.0074407954022391E-7</v>
      </c>
      <c r="J100" s="1">
        <f>((I12/$B100)*$C100)*Input!$C$31</f>
        <v>9.7420881623653393E-8</v>
      </c>
      <c r="K100" s="1">
        <f>((J12/$B100)*$C100)*Input!$C$31</f>
        <v>7.3926649950025875E-8</v>
      </c>
      <c r="L100" s="1">
        <f>((K12/$B100)*$C100)*Input!$C$31</f>
        <v>-4.7555213718588611E-6</v>
      </c>
      <c r="M100" s="1">
        <f t="shared" si="37"/>
        <v>1.4075522530322824E-2</v>
      </c>
      <c r="N100" s="1">
        <f t="shared" si="38"/>
        <v>1.4547614141436727E-2</v>
      </c>
      <c r="O100" s="1">
        <f t="shared" si="39"/>
        <v>9.7920927695778672E-3</v>
      </c>
    </row>
    <row r="101" spans="1:18" x14ac:dyDescent="0.35">
      <c r="A101" s="39" t="s">
        <v>177</v>
      </c>
      <c r="B101" s="154">
        <v>177</v>
      </c>
      <c r="C101" s="154">
        <v>3.7100000000000001E-2</v>
      </c>
      <c r="D101" s="1">
        <f>((C13/$B101)*$C101)*Input!$C$31</f>
        <v>1.195098818206454E-5</v>
      </c>
      <c r="E101" s="1">
        <f>((D13/$B101)*$C101)*Input!$C$31</f>
        <v>2.1096531390016671E-8</v>
      </c>
      <c r="F101" s="1">
        <f>((E13/$B101)*$C101)*Input!$C$31</f>
        <v>7.0519014864682016E-6</v>
      </c>
      <c r="G101" s="1">
        <f>((F13/$B101)*$C101)*Input!$C$31</f>
        <v>9.507360755959321E-7</v>
      </c>
      <c r="H101" s="1">
        <f>((G13/$B101)*$C101)*Input!$C$31</f>
        <v>2.4453622556427048E-6</v>
      </c>
      <c r="I101" s="1">
        <f>((H13/$B101)*$C101)*Input!$C$31</f>
        <v>4.4950262229451932E-7</v>
      </c>
      <c r="J101" s="1">
        <f>((I13/$B101)*$C101)*Input!$C$31</f>
        <v>1.4624275930611246E-7</v>
      </c>
      <c r="K101" s="1">
        <f>((J13/$B101)*$C101)*Input!$C$31</f>
        <v>1.1097453743760765E-7</v>
      </c>
      <c r="L101" s="1">
        <f>((K13/$B101)*$C101)*Input!$C$31</f>
        <v>-7.8977341622453666E-6</v>
      </c>
      <c r="M101" s="1">
        <f t="shared" si="37"/>
        <v>2.2420084531161392E-2</v>
      </c>
      <c r="N101" s="1">
        <f t="shared" si="38"/>
        <v>2.3126804450199632E-2</v>
      </c>
      <c r="O101" s="1">
        <f t="shared" si="39"/>
        <v>1.5229070287954265E-2</v>
      </c>
      <c r="R101" s="87">
        <f>+Results!B23+Results!B54+Results!B61+Results!B86+Results!B112+Results!B119+Results!B126+Results!B152+Results!B160</f>
        <v>6.5369931689929217E-13</v>
      </c>
    </row>
    <row r="102" spans="1:18" x14ac:dyDescent="0.35">
      <c r="A102" s="39" t="s">
        <v>179</v>
      </c>
      <c r="B102" s="154">
        <v>1.6900000000000001E-5</v>
      </c>
      <c r="C102" s="154">
        <v>2.1299999999999999E-2</v>
      </c>
      <c r="D102" s="1">
        <f>((C14/$B102)*$C102)*Input!$C$31</f>
        <v>2.8352748309683337E-6</v>
      </c>
      <c r="E102" s="1">
        <f>((D14/$B102)*$C102)*Input!$C$31</f>
        <v>2.4664999255433163E-9</v>
      </c>
      <c r="F102" s="1">
        <f>((E14/$B102)*$C102)*Input!$C$31</f>
        <v>2.1943260625330177E-7</v>
      </c>
      <c r="G102" s="1">
        <f>((F14/$B102)*$C102)*Input!$C$31</f>
        <v>1.4401884784473372E-7</v>
      </c>
      <c r="H102" s="1">
        <f>((G14/$B102)*$C102)*Input!$C$31</f>
        <v>5.1379997446161334E-7</v>
      </c>
      <c r="I102" s="1">
        <f>((H14/$B102)*$C102)*Input!$C$31</f>
        <v>6.8091294132775371E-8</v>
      </c>
      <c r="J102" s="1">
        <f>((I14/$B102)*$C102)*Input!$C$31</f>
        <v>1.7097964981602147E-8</v>
      </c>
      <c r="K102" s="1">
        <f>((J14/$B102)*$C102)*Input!$C$31</f>
        <v>1.2974582563681187E-8</v>
      </c>
      <c r="L102" s="1">
        <f>((K14/$B102)*$C102)*Input!$C$31</f>
        <v>-2.7903821994593552E-6</v>
      </c>
      <c r="M102" s="1">
        <f t="shared" si="37"/>
        <v>3.7149927594535255E-3</v>
      </c>
      <c r="N102" s="1">
        <f t="shared" si="38"/>
        <v>3.8131566011315836E-3</v>
      </c>
      <c r="O102" s="1">
        <f t="shared" si="39"/>
        <v>1.0227744016722286E-3</v>
      </c>
    </row>
    <row r="103" spans="1:18" x14ac:dyDescent="0.35">
      <c r="A103" s="39" t="s">
        <v>181</v>
      </c>
      <c r="B103" s="154">
        <v>2.3000000000000001E-4</v>
      </c>
      <c r="C103" s="154">
        <v>1.84E-2</v>
      </c>
      <c r="D103" s="1">
        <f>((C15/$B103)*$C103)*Input!$C$31</f>
        <v>5.2459379847752831E-6</v>
      </c>
      <c r="E103" s="1">
        <f>((D15/$B103)*$C103)*Input!$C$31</f>
        <v>4.1729377883782286E-9</v>
      </c>
      <c r="F103" s="1">
        <f>((E15/$B103)*$C103)*Input!$C$31</f>
        <v>6.8444158637555751E-7</v>
      </c>
      <c r="G103" s="1">
        <f>((F15/$B103)*$C103)*Input!$C$31</f>
        <v>7.4379561983999989E-7</v>
      </c>
      <c r="H103" s="1">
        <f>((G15/$B103)*$C103)*Input!$C$31</f>
        <v>6.0646370838964521E-7</v>
      </c>
      <c r="I103" s="1">
        <f>((H15/$B103)*$C103)*Input!$C$31</f>
        <v>3.5166234894335998E-7</v>
      </c>
      <c r="J103" s="1">
        <f>((I15/$B103)*$C103)*Input!$C$31</f>
        <v>2.8927121966313752E-8</v>
      </c>
      <c r="K103" s="1">
        <f>((J15/$B103)*$C103)*Input!$C$31</f>
        <v>2.1950994325082815E-8</v>
      </c>
      <c r="L103" s="1">
        <f>((K15/$B103)*$C103)*Input!$C$31</f>
        <v>-4.7686755941525159E-6</v>
      </c>
      <c r="M103" s="1">
        <f t="shared" si="37"/>
        <v>7.2848118371688642E-3</v>
      </c>
      <c r="N103" s="1">
        <f t="shared" si="38"/>
        <v>7.687352302403621E-3</v>
      </c>
      <c r="O103" s="1">
        <f t="shared" si="39"/>
        <v>2.9186767082511047E-3</v>
      </c>
    </row>
    <row r="104" spans="1:18" x14ac:dyDescent="0.35">
      <c r="A104" s="39" t="s">
        <v>182</v>
      </c>
      <c r="B104" s="154">
        <v>4220</v>
      </c>
      <c r="C104" s="154">
        <v>5.0099999999999999E-2</v>
      </c>
      <c r="D104" s="1">
        <f>((C16/$B104)*$C104)*Input!$C$31</f>
        <v>8.5444749037958715E-7</v>
      </c>
      <c r="E104" s="1">
        <f>((D16/$B104)*$C104)*Input!$C$31</f>
        <v>1.5162746847144538E-9</v>
      </c>
      <c r="F104" s="1">
        <f>((E16/$B104)*$C104)*Input!$C$31</f>
        <v>3.442227420756187E-7</v>
      </c>
      <c r="G104" s="1">
        <f>((F16/$B104)*$C104)*Input!$C$31</f>
        <v>9.3412219422028439E-8</v>
      </c>
      <c r="H104" s="1">
        <f>((G16/$B104)*$C104)*Input!$C$31</f>
        <v>5.6175879213012895E-6</v>
      </c>
      <c r="I104" s="1">
        <f>((H16/$B104)*$C104)*Input!$C$31</f>
        <v>4.4164767344326967E-8</v>
      </c>
      <c r="J104" s="1">
        <f>((I16/$B104)*$C104)*Input!$C$31</f>
        <v>1.0510931378206635E-8</v>
      </c>
      <c r="K104" s="1">
        <f>((J16/$B104)*$C104)*Input!$C$31</f>
        <v>7.9760923089076543E-9</v>
      </c>
      <c r="L104" s="1">
        <f>((K16/$B104)*$C104)*Input!$C$31</f>
        <v>-1.1066214777438216E-6</v>
      </c>
      <c r="M104" s="1">
        <f t="shared" si="37"/>
        <v>6.9111866478632385E-3</v>
      </c>
      <c r="N104" s="1">
        <f t="shared" si="38"/>
        <v>6.9738384388946797E-3</v>
      </c>
      <c r="O104" s="1">
        <f t="shared" si="39"/>
        <v>5.8672169611508574E-3</v>
      </c>
    </row>
    <row r="105" spans="1:18" x14ac:dyDescent="0.35">
      <c r="A105" s="39" t="s">
        <v>184</v>
      </c>
      <c r="B105" s="154">
        <v>819000</v>
      </c>
      <c r="C105" s="154">
        <v>7.9399999999999998E-2</v>
      </c>
      <c r="D105" s="1">
        <f>((C17/$B105)*$C105)*Input!$C$31</f>
        <v>7.4564030853916354E-6</v>
      </c>
      <c r="E105" s="1">
        <f>((D17/$B105)*$C105)*Input!$C$31</f>
        <v>2.1202116516272084E-9</v>
      </c>
      <c r="F105" s="1">
        <f>((E17/$B105)*$C105)*Input!$C$31</f>
        <v>6.3024913564023701E-7</v>
      </c>
      <c r="G105" s="1">
        <f>((F17/$B105)*$C105)*Input!$C$31</f>
        <v>1.0611094722360263E-7</v>
      </c>
      <c r="H105" s="1">
        <f>((G17/$B105)*$C105)*Input!$C$31</f>
        <v>2.4514892561902307E-7</v>
      </c>
      <c r="I105" s="1">
        <f>((H17/$B105)*$C105)*Input!$C$31</f>
        <v>5.016865379939182E-8</v>
      </c>
      <c r="J105" s="1">
        <f>((I17/$B105)*$C105)*Input!$C$31</f>
        <v>1.469746834276571E-8</v>
      </c>
      <c r="K105" s="1">
        <f>((J17/$B105)*$C105)*Input!$C$31</f>
        <v>1.115299491462846E-8</v>
      </c>
      <c r="L105" s="1">
        <f>((K17/$B105)*$C105)*Input!$C$31</f>
        <v>-9.1268087078659802E-6</v>
      </c>
      <c r="M105" s="1">
        <f t="shared" si="37"/>
        <v>8.4400323055261253E-3</v>
      </c>
      <c r="N105" s="1">
        <f t="shared" si="38"/>
        <v>8.5160514225829098E-3</v>
      </c>
      <c r="O105" s="1">
        <f t="shared" si="39"/>
        <v>-6.1075728528307003E-4</v>
      </c>
    </row>
    <row r="106" spans="1:18" x14ac:dyDescent="0.35">
      <c r="A106" s="39" t="s">
        <v>186</v>
      </c>
      <c r="B106" s="154">
        <v>65000</v>
      </c>
      <c r="C106" s="154">
        <v>8.3199999999999996E-2</v>
      </c>
      <c r="D106" s="1">
        <f>((C18/$B106)*$C106)*Input!$C$31</f>
        <v>5.0967951448731135E-11</v>
      </c>
      <c r="E106" s="1">
        <f>((D18/$B106)*$C106)*Input!$C$31</f>
        <v>6.3917100249552833E-15</v>
      </c>
      <c r="F106" s="1">
        <f>((E18/$B106)*$C106)*Input!$C$31</f>
        <v>2.5024296642993506E-12</v>
      </c>
      <c r="G106" s="1">
        <f>((F18/$B106)*$C106)*Input!$C$31</f>
        <v>1.8206626037759994E-12</v>
      </c>
      <c r="H106" s="1">
        <f>((G18/$B106)*$C106)*Input!$C$31</f>
        <v>7.3908955147086718E-12</v>
      </c>
      <c r="I106" s="1">
        <f>((H18/$B106)*$C106)*Input!$C$31</f>
        <v>8.6079894906470382E-13</v>
      </c>
      <c r="J106" s="1">
        <f>((I18/$B106)*$C106)*Input!$C$31</f>
        <v>4.4307819776304149E-14</v>
      </c>
      <c r="K106" s="1">
        <f>((J18/$B106)*$C106)*Input!$C$31</f>
        <v>3.36224496028004E-14</v>
      </c>
      <c r="L106" s="1">
        <f>((K18/$B106)*$C106)*Input!$C$31</f>
        <v>-6.300866307243796E-13</v>
      </c>
      <c r="M106" s="1">
        <f t="shared" si="37"/>
        <v>6.268833094154011E-8</v>
      </c>
      <c r="N106" s="1">
        <f t="shared" si="38"/>
        <v>6.3627060159983914E-8</v>
      </c>
      <c r="O106" s="1">
        <f t="shared" si="39"/>
        <v>6.2996973529259537E-8</v>
      </c>
    </row>
    <row r="107" spans="1:18" x14ac:dyDescent="0.35">
      <c r="A107" s="39" t="s">
        <v>188</v>
      </c>
      <c r="B107" s="154">
        <v>5.3600000000000002E-2</v>
      </c>
      <c r="C107" s="154">
        <v>6.3099999999999989E-2</v>
      </c>
      <c r="D107" s="1">
        <f>((C19/$B107)*$C107)*Input!$C$31</f>
        <v>9.9348628907500878E-9</v>
      </c>
      <c r="E107" s="1">
        <f>((D19/$B107)*$C107)*Input!$C$31</f>
        <v>8.4954596053707516E-10</v>
      </c>
      <c r="F107" s="1">
        <f>((E19/$B107)*$C107)*Input!$C$31</f>
        <v>3.8748494999633075E-8</v>
      </c>
      <c r="G107" s="1">
        <f>((F19/$B107)*$C107)*Input!$C$31</f>
        <v>3.3748830292298496E-8</v>
      </c>
      <c r="H107" s="1">
        <f>((G19/$B107)*$C107)*Input!$C$31</f>
        <v>6.6417821985302031E-7</v>
      </c>
      <c r="I107" s="1">
        <f>((H19/$B107)*$C107)*Input!$C$31</f>
        <v>1.5956255479473666E-8</v>
      </c>
      <c r="J107" s="1">
        <f>((I19/$B107)*$C107)*Input!$C$31</f>
        <v>5.8891171790020722E-9</v>
      </c>
      <c r="K107" s="1">
        <f>((J19/$B107)*$C107)*Input!$C$31</f>
        <v>4.4688848730462096E-9</v>
      </c>
      <c r="L107" s="1">
        <f>((K19/$B107)*$C107)*Input!$C$31</f>
        <v>1.9741586405642324E-8</v>
      </c>
      <c r="M107" s="1">
        <f t="shared" si="37"/>
        <v>7.4745995399623901E-4</v>
      </c>
      <c r="N107" s="1">
        <f t="shared" si="38"/>
        <v>7.7377421152776088E-4</v>
      </c>
      <c r="O107" s="1">
        <f t="shared" si="39"/>
        <v>7.9351579793340322E-4</v>
      </c>
    </row>
    <row r="108" spans="1:18" x14ac:dyDescent="0.35">
      <c r="A108" s="39" t="s">
        <v>190</v>
      </c>
      <c r="B108" s="154">
        <v>5.9500000000000004E-4</v>
      </c>
      <c r="C108" s="154">
        <v>8.9600000000000013E-2</v>
      </c>
      <c r="D108" s="1">
        <f>((C20/$B108)*$C108)*Input!$C$31</f>
        <v>3.8375276394745224E-5</v>
      </c>
      <c r="E108" s="1">
        <f>((D20/$B108)*$C108)*Input!$C$31</f>
        <v>4.7497063705476585E-8</v>
      </c>
      <c r="F108" s="1">
        <f>((E20/$B108)*$C108)*Input!$C$31</f>
        <v>1.0597158717730521E-5</v>
      </c>
      <c r="G108" s="1">
        <f>((F20/$B108)*$C108)*Input!$C$31</f>
        <v>1.2033965434277647E-5</v>
      </c>
      <c r="H108" s="1">
        <f>((G20/$B108)*$C108)*Input!$C$31</f>
        <v>2.7127303332863828E-6</v>
      </c>
      <c r="I108" s="1">
        <f>((H20/$B108)*$C108)*Input!$C$31</f>
        <v>5.6895905795084039E-6</v>
      </c>
      <c r="J108" s="1">
        <f>((I20/$B108)*$C108)*Input!$C$31</f>
        <v>3.2925325622553048E-7</v>
      </c>
      <c r="K108" s="1">
        <f>((J20/$B108)*$C108)*Input!$C$31</f>
        <v>2.4984982492686832E-7</v>
      </c>
      <c r="L108" s="1">
        <f>((K20/$B108)*$C108)*Input!$C$31</f>
        <v>-2.461820441482957E-5</v>
      </c>
      <c r="M108" s="1">
        <f t="shared" si="37"/>
        <v>6.3766627943745255E-2</v>
      </c>
      <c r="N108" s="1">
        <f t="shared" si="38"/>
        <v>7.0035321604406064E-2</v>
      </c>
      <c r="O108" s="1">
        <f t="shared" si="39"/>
        <v>4.5417117189576486E-2</v>
      </c>
    </row>
    <row r="109" spans="1:18" x14ac:dyDescent="0.35">
      <c r="A109" s="39" t="s">
        <v>192</v>
      </c>
      <c r="B109" s="154">
        <v>40.6</v>
      </c>
      <c r="C109" s="154">
        <v>4.7800000000000002E-2</v>
      </c>
      <c r="D109" s="1">
        <f>((C21/$B109)*$C109)*Input!$C$31</f>
        <v>2.0683219773844446E-5</v>
      </c>
      <c r="E109" s="1">
        <f>((D21/$B109)*$C109)*Input!$C$31</f>
        <v>9.2867227116512568E-8</v>
      </c>
      <c r="F109" s="1">
        <f>((E21/$B109)*$C109)*Input!$C$31</f>
        <v>1.2780247912281823E-5</v>
      </c>
      <c r="G109" s="1">
        <f>((F21/$B109)*$C109)*Input!$C$31</f>
        <v>3.9463424112236442E-6</v>
      </c>
      <c r="H109" s="1">
        <f>((G21/$B109)*$C109)*Input!$C$31</f>
        <v>4.6404718111099154E-6</v>
      </c>
      <c r="I109" s="1">
        <f>((H21/$B109)*$C109)*Input!$C$31</f>
        <v>1.8658083014312979E-6</v>
      </c>
      <c r="J109" s="1">
        <f>((I21/$B109)*$C109)*Input!$C$31</f>
        <v>6.4376267792785716E-7</v>
      </c>
      <c r="K109" s="1">
        <f>((J21/$B109)*$C109)*Input!$C$31</f>
        <v>4.8851147052757718E-7</v>
      </c>
      <c r="L109" s="1">
        <f>((K21/$B109)*$C109)*Input!$C$31</f>
        <v>-1.3441770027412727E-5</v>
      </c>
      <c r="M109" s="1">
        <f t="shared" si="37"/>
        <v>4.2143149135576347E-2</v>
      </c>
      <c r="N109" s="1">
        <f t="shared" si="38"/>
        <v>4.5141231585463078E-2</v>
      </c>
      <c r="O109" s="1">
        <f t="shared" si="39"/>
        <v>3.1699461558050354E-2</v>
      </c>
    </row>
    <row r="110" spans="1:18" x14ac:dyDescent="0.35">
      <c r="A110" s="39" t="s">
        <v>194</v>
      </c>
      <c r="B110" s="154">
        <v>11500</v>
      </c>
      <c r="C110" s="154">
        <v>8.5099999999999995E-2</v>
      </c>
      <c r="D110" s="1">
        <f>((C22/$B110)*$C110)*Input!$C$31</f>
        <v>5.4585634719266937E-6</v>
      </c>
      <c r="E110" s="1">
        <f>((D22/$B110)*$C110)*Input!$C$31</f>
        <v>4.2601343026467376E-9</v>
      </c>
      <c r="F110" s="1">
        <f>((E22/$B110)*$C110)*Input!$C$31</f>
        <v>6.9536010573929699E-7</v>
      </c>
      <c r="G110" s="1">
        <f>((F22/$B110)*$C110)*Input!$C$31</f>
        <v>2.9245718030975995E-7</v>
      </c>
      <c r="H110" s="1">
        <f>((G22/$B110)*$C110)*Input!$C$31</f>
        <v>1.206386407796249E-6</v>
      </c>
      <c r="I110" s="1">
        <f>((H22/$B110)*$C110)*Input!$C$31</f>
        <v>1.3827209551893501E-7</v>
      </c>
      <c r="J110" s="1">
        <f>((I22/$B110)*$C110)*Input!$C$31</f>
        <v>2.9531574831704496E-8</v>
      </c>
      <c r="K110" s="1">
        <f>((J22/$B110)*$C110)*Input!$C$31</f>
        <v>2.2409676022951813E-8</v>
      </c>
      <c r="L110" s="1">
        <f>((K22/$B110)*$C110)*Input!$C$31</f>
        <v>-6.1977993731468488E-6</v>
      </c>
      <c r="M110" s="1">
        <f t="shared" si="37"/>
        <v>7.6570273000746477E-3</v>
      </c>
      <c r="N110" s="1">
        <f t="shared" si="38"/>
        <v>7.8472406464482388E-3</v>
      </c>
      <c r="O110" s="1">
        <f t="shared" si="39"/>
        <v>1.6494412733013895E-3</v>
      </c>
    </row>
    <row r="111" spans="1:18" x14ac:dyDescent="0.35">
      <c r="A111" s="376" t="s">
        <v>200</v>
      </c>
      <c r="B111" s="377"/>
      <c r="C111" s="330">
        <f>SUM(C92:C110)</f>
        <v>1</v>
      </c>
      <c r="D111" s="13">
        <f>SUM(D92:D110)*1000</f>
        <v>0.48359013768677367</v>
      </c>
      <c r="E111" s="13">
        <f t="shared" ref="E111:L111" si="40">SUM(E92:E110)*1000</f>
        <v>1.575494878296462E-3</v>
      </c>
      <c r="F111" s="13">
        <f t="shared" si="40"/>
        <v>0.11373666967011643</v>
      </c>
      <c r="G111" s="13">
        <f>SUM(G92:G110)*1000</f>
        <v>7.582143335250581E-2</v>
      </c>
      <c r="H111" s="13">
        <f t="shared" si="40"/>
        <v>0.22685641344393781</v>
      </c>
      <c r="I111" s="13">
        <f t="shared" si="40"/>
        <v>3.5847943496535084E-2</v>
      </c>
      <c r="J111" s="13">
        <f t="shared" si="40"/>
        <v>1.0921450261902051E-2</v>
      </c>
      <c r="K111" s="13">
        <f t="shared" si="40"/>
        <v>8.2876095658553448E-3</v>
      </c>
      <c r="L111" s="13">
        <f t="shared" si="40"/>
        <v>-0.4241642542935054</v>
      </c>
      <c r="M111" s="1">
        <f>SUM(M92:M110)</f>
        <v>0.90158014903163053</v>
      </c>
      <c r="N111" s="1">
        <f>SUM(N92:N110)</f>
        <v>0.95663715235592284</v>
      </c>
      <c r="O111" s="1">
        <f>SUM(O92:O110)</f>
        <v>0.53247289806241727</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2.8374317906232212</v>
      </c>
      <c r="D118" s="1">
        <f>'C3'' - Secondary Raw Material '!$F$321*Input!$C$31</f>
        <v>3.2023744887117074E-2</v>
      </c>
      <c r="E118" s="1">
        <f>'A2 - Transport'!$Z$119*Input!$C$31</f>
        <v>1.5976021126709872</v>
      </c>
      <c r="F118" s="1">
        <f>('C2''- Transport Secondary'!$D$59+'C2''- Transport Secondary'!$G$59)*Input!$C$31</f>
        <v>1.2892622468543999</v>
      </c>
      <c r="G118" s="1">
        <f>'A3 - Production '!$D$207*Input!$C$31</f>
        <v>4.180935114561219</v>
      </c>
      <c r="H118" s="1">
        <f>'A4 - Transport'!$B$18*Input!$C$31</f>
        <v>0.60955587534965749</v>
      </c>
      <c r="I118" s="1">
        <f>'A5 - Construction'!$E$140*Input!$C$31</f>
        <v>0.22199103393002423</v>
      </c>
      <c r="J118" s="1">
        <f>'C1 - Deconstruction'!$B$88*Input!$C$31</f>
        <v>0.16845519342338494</v>
      </c>
      <c r="K118" s="1">
        <f>'D- Benefits &amp; Burdens'!$N$162*Input!$C$31</f>
        <v>-1.807118550647322</v>
      </c>
      <c r="L118" s="1">
        <f>SUM(C118:G118)</f>
        <v>9.9372550095969441</v>
      </c>
      <c r="M118" s="1">
        <f>SUM(C118:J118)</f>
        <v>10.937257112300012</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0.43345745896532717</v>
      </c>
      <c r="D125" s="1">
        <f>D68*Input!$C$31</f>
        <v>1.2847986048641955</v>
      </c>
      <c r="E125" s="1">
        <f>F68*Input!$C$31</f>
        <v>2.2550015999999999</v>
      </c>
      <c r="F125" s="1">
        <f>G68*Input!$C$31</f>
        <v>0.17670205306686965</v>
      </c>
      <c r="G125" s="1">
        <f>I68*Input!$C$31</f>
        <v>2.3359561298576807E-2</v>
      </c>
      <c r="H125" s="1">
        <f>J68*Input!$C$31</f>
        <v>1.14497287435564E-2</v>
      </c>
      <c r="I125" s="1">
        <f>L68*Input!C31</f>
        <v>3.2023744887117074E-2</v>
      </c>
      <c r="J125" s="1">
        <f>M68*Input!C31</f>
        <v>1.2892622468543999</v>
      </c>
      <c r="K125" s="1">
        <f>O68*Input!$C$31</f>
        <v>0</v>
      </c>
      <c r="L125" s="1">
        <f>P68*Input!$C$31</f>
        <v>0</v>
      </c>
      <c r="M125" s="1">
        <f>R68*Input!$C$31</f>
        <v>0.12561317035931716</v>
      </c>
      <c r="N125" s="1">
        <f>S68*Input!$C$31</f>
        <v>0.12465172599636554</v>
      </c>
      <c r="O125" s="1">
        <f>U68*Input!$C$31</f>
        <v>4.180935114561219</v>
      </c>
      <c r="P125" s="1">
        <f>V68*Input!$C$31</f>
        <v>0.60955587534965749</v>
      </c>
      <c r="Q125" s="1">
        <f>Z68*Input!$C$31</f>
        <v>0.22199103393002423</v>
      </c>
      <c r="R125" s="1">
        <f>AA68*Input!$C$31</f>
        <v>0.16845519342338494</v>
      </c>
      <c r="S125" s="1">
        <f>$AC$68*Input!$C$31</f>
        <v>0.14598502034476504</v>
      </c>
      <c r="T125" s="1">
        <f>$AB$68*Input!$C$31</f>
        <v>3.0668559679295999</v>
      </c>
      <c r="U125" s="1">
        <f>AE68*Input!$C$31</f>
        <v>-2.3771543040000003</v>
      </c>
      <c r="V125" s="1">
        <f>AF68*Input!$C$31</f>
        <v>-0.1818962319197579</v>
      </c>
      <c r="W125" s="1">
        <f>AG68*Input!$C$31</f>
        <v>-0.14622850590868589</v>
      </c>
      <c r="X125" s="1">
        <f>AH68*Input!$C$31</f>
        <v>-0.19449897264521324</v>
      </c>
      <c r="Y125" s="1">
        <f>AI68*Input!$C$31</f>
        <v>-0.18990108400127767</v>
      </c>
      <c r="Z125" s="1">
        <f>AJ68*Input!$C$31</f>
        <v>-0.28608559833890207</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6.7437727929201734E-3</v>
      </c>
      <c r="D133" s="1">
        <f>D67*Input!$C$31</f>
        <v>6.9378914880443201E-3</v>
      </c>
      <c r="E133" s="62">
        <f>E67*Input!$C$31</f>
        <v>1.3681664280964494E-2</v>
      </c>
      <c r="F133" s="1">
        <f>F67*Input!$C$31</f>
        <v>7.3181183999999995E-3</v>
      </c>
      <c r="G133" s="1">
        <f>G67*Input!$C$31</f>
        <v>2.6349995627950078E-4</v>
      </c>
      <c r="H133" s="62">
        <f>H67*Input!$C$31</f>
        <v>7.5816183562794999E-3</v>
      </c>
      <c r="I133" s="1">
        <f>I67*Input!$C$31</f>
        <v>1.7871685826003654E-4</v>
      </c>
      <c r="J133" s="1">
        <f>J67*Input!$C$31</f>
        <v>1.0045129360915211E-4</v>
      </c>
      <c r="K133" s="62">
        <f>K67*Input!$C$31</f>
        <v>2.7916815186918866E-4</v>
      </c>
      <c r="L133" s="1">
        <f>L67*Input!$C$31</f>
        <v>4.0941947860662124E-5</v>
      </c>
      <c r="M133" s="1">
        <f>M67*Input!$C$31</f>
        <v>1.9225613952E-3</v>
      </c>
      <c r="N133" s="62">
        <f>N67*Input!$C$31</f>
        <v>1.9635033430606625E-3</v>
      </c>
      <c r="O133" s="1">
        <f>O67*Input!$C$31</f>
        <v>0</v>
      </c>
      <c r="P133" s="1">
        <f>P67*Input!$C$31</f>
        <v>0</v>
      </c>
      <c r="Q133" s="62">
        <f>Q67*Input!$C$31</f>
        <v>0</v>
      </c>
      <c r="R133" s="1">
        <f>R67*Input!$C$31</f>
        <v>1.0016361889498566E-3</v>
      </c>
      <c r="S133" s="1">
        <f>S67*Input!$C$31</f>
        <v>1.85881962207744E-4</v>
      </c>
      <c r="T133" s="62">
        <f>T67*Input!$C$31</f>
        <v>1.1875181511576006E-3</v>
      </c>
      <c r="U133" s="62">
        <f>U67*Input!$C$31</f>
        <v>4.1215917641363965E-3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8.3900432447999995E-3</v>
      </c>
      <c r="AC133" s="89">
        <f>AC67*Input!$C$31</f>
        <v>1.8663997956708492E-4</v>
      </c>
      <c r="AD133" s="250">
        <f>AD67*Input!$C$31</f>
        <v>8.5766832243670856E-3</v>
      </c>
      <c r="AE133" s="89">
        <f>AE67*Input!$C$31</f>
        <v>-7.7145384959999997E-3</v>
      </c>
      <c r="AF133" s="89">
        <f>AF67*Input!$C$31</f>
        <v>-1.3916324318992525E-3</v>
      </c>
      <c r="AG133" s="89">
        <f>AG67*Input!$C$31</f>
        <v>-2.8138885042152326E-3</v>
      </c>
      <c r="AH133" s="89">
        <f>AH67*Input!$C$31</f>
        <v>-1.7147685983223385E-3</v>
      </c>
      <c r="AI133" s="89">
        <f>AI67*Input!$C$31</f>
        <v>-5.1951520503935541E-4</v>
      </c>
      <c r="AJ133" s="89">
        <f>AJ67*Input!$C$31</f>
        <v>-7.8264860393762392E-4</v>
      </c>
      <c r="AK133" s="89">
        <f>AK67*Input!$C$31</f>
        <v>-2.9293293824114693E-3</v>
      </c>
      <c r="AL133" s="89">
        <f>AL67*Input!$C$31</f>
        <v>-1.5687187725772801E-3</v>
      </c>
      <c r="AM133" s="250">
        <f>AM67*Input!$C$31</f>
        <v>-1.9435039994402555E-2</v>
      </c>
      <c r="AN133" s="250">
        <f>AN67*Input!$C$31</f>
        <v>-1.0858356770035469E-2</v>
      </c>
    </row>
    <row r="134" spans="1:40" x14ac:dyDescent="0.35">
      <c r="A134" s="39" t="s">
        <v>164</v>
      </c>
      <c r="B134" s="39" t="s">
        <v>165</v>
      </c>
      <c r="C134" s="1">
        <f>C68*Input!$C$31</f>
        <v>0.43345745896532717</v>
      </c>
      <c r="D134" s="1">
        <f>D68*Input!$C$31</f>
        <v>1.2847986048641955</v>
      </c>
      <c r="E134" s="62">
        <f>E68*Input!$C$31</f>
        <v>1.7182560638295228</v>
      </c>
      <c r="F134" s="1">
        <f>F68*Input!$C$31</f>
        <v>2.2550015999999999</v>
      </c>
      <c r="G134" s="1">
        <f>G68*Input!$C$31</f>
        <v>0.17670205306686965</v>
      </c>
      <c r="H134" s="62">
        <f>H68*Input!$C$31</f>
        <v>2.4317036530668696</v>
      </c>
      <c r="I134" s="1">
        <f>I68*Input!$C$31</f>
        <v>2.3359561298576807E-2</v>
      </c>
      <c r="J134" s="1">
        <f>J68*Input!$C$31</f>
        <v>1.14497287435564E-2</v>
      </c>
      <c r="K134" s="62">
        <f>K68*Input!$C$31</f>
        <v>3.4809290042133206E-2</v>
      </c>
      <c r="L134" s="1">
        <f>L68*Input!$C$31</f>
        <v>3.2023744887117074E-2</v>
      </c>
      <c r="M134" s="1">
        <f>M68*Input!$C$31</f>
        <v>1.2892622468543999</v>
      </c>
      <c r="N134" s="62">
        <f>N68*Input!$C$31</f>
        <v>1.321285991741517</v>
      </c>
      <c r="O134" s="1">
        <f>O68*Input!$C$31</f>
        <v>0</v>
      </c>
      <c r="P134" s="1">
        <f>P68*Input!$C$31</f>
        <v>0</v>
      </c>
      <c r="Q134" s="62">
        <f>Q68*Input!$C$31</f>
        <v>0</v>
      </c>
      <c r="R134" s="1">
        <f>R68*Input!$C$31</f>
        <v>0.12561317035931716</v>
      </c>
      <c r="S134" s="1">
        <f>S68*Input!$C$31</f>
        <v>0.12465172599636554</v>
      </c>
      <c r="T134" s="62">
        <f>T68*Input!$C$31</f>
        <v>0.25026489635568266</v>
      </c>
      <c r="U134" s="62">
        <f>U68*Input!$C$31</f>
        <v>4.180935114561219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3.0668559679295999</v>
      </c>
      <c r="AC134" s="1">
        <f>AC68*Input!$C$31</f>
        <v>0.14598502034476504</v>
      </c>
      <c r="AD134" s="62">
        <f>AD68*Input!$C$31</f>
        <v>3.2128409882743654</v>
      </c>
      <c r="AE134" s="1">
        <f>AE68*Input!$C$31</f>
        <v>-2.3771543040000003</v>
      </c>
      <c r="AF134" s="1">
        <f>AF68*Input!$C$31</f>
        <v>-0.1818962319197579</v>
      </c>
      <c r="AG134" s="1">
        <f>AG68*Input!$C$31</f>
        <v>-0.14622850590868589</v>
      </c>
      <c r="AH134" s="1">
        <f>AH68*Input!$C$31</f>
        <v>-0.19449897264521324</v>
      </c>
      <c r="AI134" s="1">
        <f>AI68*Input!$C$31</f>
        <v>-0.18990108400127767</v>
      </c>
      <c r="AJ134" s="1">
        <f>AJ68*Input!$C$31</f>
        <v>-0.28608559833890207</v>
      </c>
      <c r="AK134" s="1">
        <f>AK68*Input!$C$31</f>
        <v>-1.0707729431607118</v>
      </c>
      <c r="AL134" s="1">
        <f>AL68*Input!$C$31</f>
        <v>-0.57342189894713858</v>
      </c>
      <c r="AM134" s="62">
        <f>AM68*Input!$C$31</f>
        <v>-5.0199595389216869</v>
      </c>
      <c r="AN134" s="62">
        <f>AN68*Input!$C$31</f>
        <v>-1.807118550647322</v>
      </c>
    </row>
    <row r="135" spans="1:40" x14ac:dyDescent="0.35">
      <c r="A135" s="39" t="s">
        <v>166</v>
      </c>
      <c r="B135" s="39" t="s">
        <v>165</v>
      </c>
      <c r="C135" s="1">
        <f>C69*Input!$C$31</f>
        <v>8.2702447172618555E-4</v>
      </c>
      <c r="D135" s="1">
        <f>D69*Input!$C$31</f>
        <v>4.6810727154587725E-4</v>
      </c>
      <c r="E135" s="62">
        <f>E69*Input!$C$31</f>
        <v>1.2951317432720628E-3</v>
      </c>
      <c r="F135" s="1">
        <f>F69*Input!$C$31</f>
        <v>8.9349119999999997E-3</v>
      </c>
      <c r="G135" s="1">
        <f>G69*Input!$C$31</f>
        <v>8.2582695340369921E-5</v>
      </c>
      <c r="H135" s="62">
        <f>H69*Input!$C$31</f>
        <v>9.0174946953403695E-3</v>
      </c>
      <c r="I135" s="1">
        <f>I69*Input!$C$31</f>
        <v>3.6430029971966935E-4</v>
      </c>
      <c r="J135" s="1">
        <f>J69*Input!$C$31</f>
        <v>3.1537497527248591E-6</v>
      </c>
      <c r="K135" s="62">
        <f>K69*Input!$C$31</f>
        <v>3.6745404947239419E-4</v>
      </c>
      <c r="L135" s="1">
        <f>L69*Input!$C$31</f>
        <v>6.6184957912473123E-6</v>
      </c>
      <c r="M135" s="1">
        <f>M69*Input!$C$31</f>
        <v>6.0254394047999996E-4</v>
      </c>
      <c r="N135" s="62">
        <f>N69*Input!$C$31</f>
        <v>6.0916243627124732E-4</v>
      </c>
      <c r="O135" s="1">
        <f>O69*Input!$C$31</f>
        <v>0</v>
      </c>
      <c r="P135" s="1">
        <f>P69*Input!$C$31</f>
        <v>0</v>
      </c>
      <c r="Q135" s="62">
        <f>Q69*Input!$C$31</f>
        <v>0</v>
      </c>
      <c r="R135" s="1">
        <f>R69*Input!$C$31</f>
        <v>2.0518677208664949E-2</v>
      </c>
      <c r="S135" s="1">
        <f>S69*Input!$C$31</f>
        <v>5.8256683116825597E-5</v>
      </c>
      <c r="T135" s="62">
        <f>T69*Input!$C$31</f>
        <v>2.0576933891781772E-2</v>
      </c>
      <c r="U135" s="62">
        <f>U69*Input!$C$31</f>
        <v>1.3849392209451994E-3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1.4174671795199999E-3</v>
      </c>
      <c r="AC135" s="1">
        <f>AC69*Input!$C$31</f>
        <v>3.0171400819698537E-5</v>
      </c>
      <c r="AD135" s="62">
        <f>AD69*Input!$C$31</f>
        <v>1.4476385803396984E-3</v>
      </c>
      <c r="AE135" s="1">
        <f>AE69*Input!$C$31</f>
        <v>-9.4189132800000016E-3</v>
      </c>
      <c r="AF135" s="1">
        <f>AF69*Input!$C$31</f>
        <v>-2.8367335738571217E-3</v>
      </c>
      <c r="AG135" s="1">
        <f>AG69*Input!$C$31</f>
        <v>-4.5072816010370998E-4</v>
      </c>
      <c r="AH135" s="1">
        <f>AH69*Input!$C$31</f>
        <v>4.6792964613074159E-5</v>
      </c>
      <c r="AI135" s="1">
        <f>AI69*Input!$C$31</f>
        <v>-8.7770197473212622E-5</v>
      </c>
      <c r="AJ135" s="1">
        <f>AJ69*Input!$C$31</f>
        <v>-1.3222562468510546E-4</v>
      </c>
      <c r="AK135" s="1">
        <f>AK69*Input!$C$31</f>
        <v>-4.9489950604787714E-4</v>
      </c>
      <c r="AL135" s="1">
        <f>AL69*Input!$C$31</f>
        <v>-2.6502931023667198E-4</v>
      </c>
      <c r="AM135" s="62">
        <f>AM69*Input!$C$31</f>
        <v>-1.3639506687790626E-2</v>
      </c>
      <c r="AN135" s="62">
        <f>AN69*Input!$C$31</f>
        <v>-1.2191868107450926E-2</v>
      </c>
    </row>
    <row r="136" spans="1:40" x14ac:dyDescent="0.35">
      <c r="A136" s="39" t="s">
        <v>167</v>
      </c>
      <c r="B136" s="39" t="s">
        <v>165</v>
      </c>
      <c r="C136" s="1">
        <f>C70*Input!$C$31</f>
        <v>0.43251722180033542</v>
      </c>
      <c r="D136" s="1">
        <f>D70*Input!$C$31</f>
        <v>1.2836435372823694</v>
      </c>
      <c r="E136" s="62">
        <f>E70*Input!$C$31</f>
        <v>1.7161607590827048</v>
      </c>
      <c r="F136" s="1">
        <f>F70*Input!$C$31</f>
        <v>2.2464921599999998</v>
      </c>
      <c r="G136" s="1">
        <f>G70*Input!$C$31</f>
        <v>0.17660541534116475</v>
      </c>
      <c r="H136" s="62">
        <f>H70*Input!$C$31</f>
        <v>2.4230975753411648</v>
      </c>
      <c r="I136" s="1">
        <f>I70*Input!$C$31</f>
        <v>2.2955781953712517E-2</v>
      </c>
      <c r="J136" s="1">
        <f>J70*Input!$C$31</f>
        <v>1.1435955711594314E-2</v>
      </c>
      <c r="K136" s="62">
        <f>K70*Input!$C$31</f>
        <v>3.4391737665306829E-2</v>
      </c>
      <c r="L136" s="1">
        <f>L70*Input!$C$31</f>
        <v>3.2015710217664466E-2</v>
      </c>
      <c r="M136" s="1">
        <f>M70*Input!$C$31</f>
        <v>1.2885571539072</v>
      </c>
      <c r="N136" s="62">
        <f>N70*Input!$C$31</f>
        <v>1.3205728641248644</v>
      </c>
      <c r="O136" s="1">
        <f>O70*Input!$C$31</f>
        <v>0</v>
      </c>
      <c r="P136" s="1">
        <f>P70*Input!$C$31</f>
        <v>0</v>
      </c>
      <c r="Q136" s="62">
        <f>Q70*Input!$C$31</f>
        <v>0</v>
      </c>
      <c r="R136" s="1">
        <f>R70*Input!$C$31</f>
        <v>0.10500791454553669</v>
      </c>
      <c r="S136" s="1">
        <f>S70*Input!$C$31</f>
        <v>0.12458355440980838</v>
      </c>
      <c r="T136" s="62">
        <f>T70*Input!$C$31</f>
        <v>0.22959146895534507</v>
      </c>
      <c r="U136" s="62">
        <f>U70*Input!$C$31</f>
        <v>4.1788635135371797</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3.0651973531199999</v>
      </c>
      <c r="AC136" s="1">
        <f>AC70*Input!$C$31</f>
        <v>0.14594839310495791</v>
      </c>
      <c r="AD136" s="62">
        <f>AD70*Input!$C$31</f>
        <v>3.2111457462249584</v>
      </c>
      <c r="AE136" s="1">
        <f>AE70*Input!$C$31</f>
        <v>-2.3681839104</v>
      </c>
      <c r="AF136" s="1">
        <f>AF70*Input!$C$31</f>
        <v>-0.17875208291716863</v>
      </c>
      <c r="AG136" s="1">
        <f>AG70*Input!$C$31</f>
        <v>-0.14572970826516521</v>
      </c>
      <c r="AH136" s="1">
        <f>AH70*Input!$C$31</f>
        <v>-0.19451899988715718</v>
      </c>
      <c r="AI136" s="1">
        <f>AI70*Input!$C$31</f>
        <v>-0.18979838183541878</v>
      </c>
      <c r="AJ136" s="1">
        <f>AJ70*Input!$C$31</f>
        <v>-0.2859308777340937</v>
      </c>
      <c r="AK136" s="1">
        <f>AK70*Input!$C$31</f>
        <v>-1.070193848517919</v>
      </c>
      <c r="AL136" s="1">
        <f>AL70*Input!$C$31</f>
        <v>-0.57311178133363194</v>
      </c>
      <c r="AM136" s="62">
        <f>AM70*Input!$C$31</f>
        <v>-5.0062195908905549</v>
      </c>
      <c r="AN136" s="62">
        <f>AN70*Input!$C$31</f>
        <v>-1.7950738446655963</v>
      </c>
    </row>
    <row r="137" spans="1:40" x14ac:dyDescent="0.35">
      <c r="A137" s="39" t="s">
        <v>168</v>
      </c>
      <c r="B137" s="39" t="s">
        <v>165</v>
      </c>
      <c r="C137" s="1">
        <f>C71*Input!$C$31</f>
        <v>1.1321269326565509E-4</v>
      </c>
      <c r="D137" s="1">
        <f>D71*Input!$C$31</f>
        <v>6.869595604507867E-4</v>
      </c>
      <c r="E137" s="62">
        <f>E71*Input!$C$31</f>
        <v>8.0017225371644177E-4</v>
      </c>
      <c r="F137" s="1">
        <f>F71*Input!$C$31</f>
        <v>1.1275008000000001E-3</v>
      </c>
      <c r="G137" s="1">
        <f>G71*Input!$C$31</f>
        <v>1.40548077405696E-5</v>
      </c>
      <c r="H137" s="62">
        <f>H71*Input!$C$31</f>
        <v>1.1415556077405695E-3</v>
      </c>
      <c r="I137" s="1">
        <f>I71*Input!$C$31</f>
        <v>3.9479045144619907E-5</v>
      </c>
      <c r="J137" s="1">
        <f>J71*Input!$C$31</f>
        <v>1.0619282209363271E-5</v>
      </c>
      <c r="K137" s="62">
        <f>K71*Input!$C$31</f>
        <v>5.0098327353983181E-5</v>
      </c>
      <c r="L137" s="1">
        <f>L71*Input!$C$31</f>
        <v>1.4161736613608893E-6</v>
      </c>
      <c r="M137" s="1">
        <f>M71*Input!$C$31</f>
        <v>1.025473824E-4</v>
      </c>
      <c r="N137" s="62">
        <f>N71*Input!$C$31</f>
        <v>1.039635560613609E-4</v>
      </c>
      <c r="O137" s="1">
        <f>O71*Input!$C$31</f>
        <v>0</v>
      </c>
      <c r="P137" s="1">
        <f>P71*Input!$C$31</f>
        <v>0</v>
      </c>
      <c r="Q137" s="62">
        <f>Q71*Input!$C$31</f>
        <v>0</v>
      </c>
      <c r="R137" s="1">
        <f>R71*Input!$C$31</f>
        <v>8.6578605115472321E-5</v>
      </c>
      <c r="S137" s="1">
        <f>S71*Input!$C$31</f>
        <v>9.9147463937279996E-6</v>
      </c>
      <c r="T137" s="62">
        <f>T71*Input!$C$31</f>
        <v>9.6493351509200327E-5</v>
      </c>
      <c r="U137" s="62">
        <f>U71*Input!$C$31</f>
        <v>6.8666180309438437E-4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2.4114194496000001E-4</v>
      </c>
      <c r="AC137" s="1">
        <f>AC71*Input!$C$31</f>
        <v>6.4558389874214863E-6</v>
      </c>
      <c r="AD137" s="62">
        <f>AD71*Input!$C$31</f>
        <v>2.4759778394742147E-4</v>
      </c>
      <c r="AE137" s="1">
        <f>AE71*Input!$C$31</f>
        <v>-1.1885771519999999E-3</v>
      </c>
      <c r="AF137" s="1">
        <f>AF71*Input!$C$31</f>
        <v>-3.0741542873212631E-4</v>
      </c>
      <c r="AG137" s="1">
        <f>AG71*Input!$C$31</f>
        <v>-4.8069483416935012E-5</v>
      </c>
      <c r="AH137" s="1">
        <f>AH71*Input!$C$31</f>
        <v>-2.6765722669221122E-5</v>
      </c>
      <c r="AI137" s="1">
        <f>AI71*Input!$C$31</f>
        <v>-1.493161636051492E-5</v>
      </c>
      <c r="AJ137" s="1">
        <f>AJ71*Input!$C$31</f>
        <v>-2.2494449798064922E-5</v>
      </c>
      <c r="AK137" s="1">
        <f>AK71*Input!$C$31</f>
        <v>-8.4193151822069766E-5</v>
      </c>
      <c r="AL137" s="1">
        <f>AL71*Input!$C$31</f>
        <v>-4.5087240301056001E-5</v>
      </c>
      <c r="AM137" s="62">
        <f>AM71*Input!$C$31</f>
        <v>-1.7375342450999878E-3</v>
      </c>
      <c r="AN137" s="62">
        <f>AN71*Input!$C$31</f>
        <v>-1.4899364611525665E-3</v>
      </c>
    </row>
    <row r="138" spans="1:40" x14ac:dyDescent="0.35">
      <c r="A138" s="39" t="s">
        <v>169</v>
      </c>
      <c r="B138" s="39" t="s">
        <v>170</v>
      </c>
      <c r="C138" s="1">
        <f>C72*Input!$C$31</f>
        <v>2.9001840858439571</v>
      </c>
      <c r="D138" s="1">
        <f>D72*Input!$C$31</f>
        <v>1.2093888287245167</v>
      </c>
      <c r="E138" s="62">
        <f>E72*Input!$C$31</f>
        <v>4.1095729145684734</v>
      </c>
      <c r="F138" s="1">
        <f>F72*Input!$C$31</f>
        <v>121.25951999999999</v>
      </c>
      <c r="G138" s="1">
        <f>G72*Input!$C$31</f>
        <v>0.15176715556844944</v>
      </c>
      <c r="H138" s="62">
        <f>H72*Input!$C$31</f>
        <v>121.41128715556844</v>
      </c>
      <c r="I138" s="1">
        <f>I72*Input!$C$31</f>
        <v>7.2916893514116857E-2</v>
      </c>
      <c r="J138" s="1">
        <f>J72*Input!$C$31</f>
        <v>1.1592087934114911E-2</v>
      </c>
      <c r="K138" s="62">
        <f>K72*Input!$C$31</f>
        <v>8.4508981448231768E-2</v>
      </c>
      <c r="L138" s="1">
        <f>L72*Input!$C$31</f>
        <v>1.4149071245162414E-2</v>
      </c>
      <c r="M138" s="1">
        <f>M72*Input!$C$31</f>
        <v>1.1073310161983998</v>
      </c>
      <c r="N138" s="62">
        <f>N72*Input!$C$31</f>
        <v>1.1214800874435622</v>
      </c>
      <c r="O138" s="1">
        <f>O72*Input!$C$31</f>
        <v>0</v>
      </c>
      <c r="P138" s="1">
        <f>P72*Input!$C$31</f>
        <v>0</v>
      </c>
      <c r="Q138" s="62">
        <f>Q72*Input!$C$31</f>
        <v>0</v>
      </c>
      <c r="R138" s="1">
        <f>R72*Input!$C$31</f>
        <v>0.52461785879565603</v>
      </c>
      <c r="S138" s="1">
        <f>S72*Input!$C$31</f>
        <v>0.10706178882939724</v>
      </c>
      <c r="T138" s="62">
        <f>T72*Input!$C$31</f>
        <v>0.63167964762505335</v>
      </c>
      <c r="U138" s="62">
        <f>U72*Input!$C$31</f>
        <v>2.2354396861221675</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2.6063779053312004</v>
      </c>
      <c r="AC138" s="1">
        <f>AC72*Input!$C$31</f>
        <v>6.4500652901950964E-2</v>
      </c>
      <c r="AD138" s="62">
        <f>AD72*Input!$C$31</f>
        <v>2.6708785582331513</v>
      </c>
      <c r="AE138" s="1">
        <f>AE72*Input!$C$31</f>
        <v>-127.8281088</v>
      </c>
      <c r="AF138" s="1">
        <f>AF72*Input!$C$31</f>
        <v>-0.56778926641572514</v>
      </c>
      <c r="AG138" s="1">
        <f>AG72*Input!$C$31</f>
        <v>-1.4449064597919234</v>
      </c>
      <c r="AH138" s="1">
        <f>AH72*Input!$C$31</f>
        <v>-0.16610990630386485</v>
      </c>
      <c r="AI138" s="1">
        <f>AI72*Input!$C$31</f>
        <v>-0.16138807779535605</v>
      </c>
      <c r="AJ138" s="1">
        <f>AJ72*Input!$C$31</f>
        <v>-0.24313081225244129</v>
      </c>
      <c r="AK138" s="1">
        <f>AK72*Input!$C$31</f>
        <v>-0.91000000321652019</v>
      </c>
      <c r="AL138" s="1">
        <f>AL72*Input!$C$31</f>
        <v>-0.48732453805381631</v>
      </c>
      <c r="AM138" s="62">
        <f>AM72*Input!$C$31</f>
        <v>-131.80875786382964</v>
      </c>
      <c r="AN138" s="62">
        <f>AN72*Input!$C$31</f>
        <v>-129.1378793055965</v>
      </c>
    </row>
    <row r="139" spans="1:40" ht="29" x14ac:dyDescent="0.35">
      <c r="A139" s="39" t="s">
        <v>171</v>
      </c>
      <c r="B139" s="39" t="s">
        <v>172</v>
      </c>
      <c r="C139" s="1">
        <f>C73*Input!$C$31</f>
        <v>5.9625203803190718</v>
      </c>
      <c r="D139" s="1">
        <f>D73*Input!$C$31</f>
        <v>16.469245296210378</v>
      </c>
      <c r="E139" s="62">
        <f>E73*Input!$C$31</f>
        <v>22.431765676529448</v>
      </c>
      <c r="F139" s="1">
        <f>F73*Input!$C$31</f>
        <v>194.866176</v>
      </c>
      <c r="G139" s="1">
        <f>G73*Input!$C$31</f>
        <v>2.3782259225985394</v>
      </c>
      <c r="H139" s="62">
        <f>H73*Input!$C$31</f>
        <v>197.24440192259857</v>
      </c>
      <c r="I139" s="1">
        <f>I73*Input!$C$31</f>
        <v>0.39116776396081698</v>
      </c>
      <c r="J139" s="1">
        <f>J73*Input!$C$31</f>
        <v>0.14044080361532349</v>
      </c>
      <c r="K139" s="62">
        <f>K73*Input!$C$31</f>
        <v>0.5316085675761405</v>
      </c>
      <c r="L139" s="1">
        <f>L73*Input!$C$31</f>
        <v>0.42536093574717587</v>
      </c>
      <c r="M139" s="1">
        <f>M73*Input!$C$31</f>
        <v>17.352129436415996</v>
      </c>
      <c r="N139" s="62">
        <f>N73*Input!$C$31</f>
        <v>17.777490372163175</v>
      </c>
      <c r="O139" s="1">
        <f>O73*Input!$C$31</f>
        <v>0</v>
      </c>
      <c r="P139" s="1">
        <f>P73*Input!$C$31</f>
        <v>0</v>
      </c>
      <c r="Q139" s="62">
        <f>Q73*Input!$C$31</f>
        <v>0</v>
      </c>
      <c r="R139" s="1">
        <f>R73*Input!$C$31</f>
        <v>1.4499807105429279</v>
      </c>
      <c r="S139" s="1">
        <f>S73*Input!$C$31</f>
        <v>1.6776826353512755</v>
      </c>
      <c r="T139" s="62">
        <f>T73*Input!$C$31</f>
        <v>3.1276633458942036</v>
      </c>
      <c r="U139" s="62">
        <f>U73*Input!$C$31</f>
        <v>77.366285666011464</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41.234925985343999</v>
      </c>
      <c r="AC139" s="1">
        <f>AC73*Input!$C$31</f>
        <v>1.9390713071755914</v>
      </c>
      <c r="AD139" s="62">
        <f>AD73*Input!$C$31</f>
        <v>43.173997292519587</v>
      </c>
      <c r="AE139" s="1">
        <f>AE73*Input!$C$31</f>
        <v>-205.42201344</v>
      </c>
      <c r="AF139" s="1">
        <f>AF73*Input!$C$31</f>
        <v>-3.0459451444100898</v>
      </c>
      <c r="AG139" s="1">
        <f>AG73*Input!$C$31</f>
        <v>-2.0720206123821234</v>
      </c>
      <c r="AH139" s="1">
        <f>AH73*Input!$C$31</f>
        <v>-2.5281484251485127</v>
      </c>
      <c r="AI139" s="1">
        <f>AI73*Input!$C$31</f>
        <v>-2.5532849358477043</v>
      </c>
      <c r="AJ139" s="1">
        <f>AJ73*Input!$C$31</f>
        <v>-3.846518583310357</v>
      </c>
      <c r="AK139" s="1">
        <f>AK73*Input!$C$31</f>
        <v>-14.396907947440475</v>
      </c>
      <c r="AL139" s="1">
        <f>AL73*Input!$C$31</f>
        <v>-7.7098532858141171</v>
      </c>
      <c r="AM139" s="62">
        <f>AM73*Input!$C$31</f>
        <v>-241.57469237435336</v>
      </c>
      <c r="AN139" s="62">
        <f>AN73*Input!$C$31</f>
        <v>-198.40069508183379</v>
      </c>
    </row>
    <row r="140" spans="1:40" ht="29" x14ac:dyDescent="0.35">
      <c r="A140" s="39" t="s">
        <v>173</v>
      </c>
      <c r="B140" s="39" t="s">
        <v>174</v>
      </c>
      <c r="C140" s="1">
        <f>C74*Input!$C$31</f>
        <v>2.7618308918562093E-5</v>
      </c>
      <c r="D140" s="1">
        <f>D74*Input!$C$31</f>
        <v>7.6068216698358223E-5</v>
      </c>
      <c r="E140" s="62">
        <f>E74*Input!$C$31</f>
        <v>1.0368652561692031E-4</v>
      </c>
      <c r="F140" s="1">
        <f>F74*Input!$C$31</f>
        <v>1.8933504E-6</v>
      </c>
      <c r="G140" s="1">
        <f>G74*Input!$C$31</f>
        <v>4.121537724066816E-6</v>
      </c>
      <c r="H140" s="62">
        <f>H74*Input!$C$31</f>
        <v>6.0148881240668151E-6</v>
      </c>
      <c r="I140" s="1">
        <f>I74*Input!$C$31</f>
        <v>1.40363356826654E-5</v>
      </c>
      <c r="J140" s="1">
        <f>J74*Input!$C$31</f>
        <v>1.0324453370771296E-6</v>
      </c>
      <c r="K140" s="62">
        <f>K74*Input!$C$31</f>
        <v>1.5068781019742531E-5</v>
      </c>
      <c r="L140" s="1">
        <f>L74*Input!$C$31</f>
        <v>3.3853426610781397E-7</v>
      </c>
      <c r="M140" s="1">
        <f>M74*Input!$C$31</f>
        <v>3.0071767103999998E-5</v>
      </c>
      <c r="N140" s="62">
        <f>N74*Input!$C$31</f>
        <v>3.0410301370107813E-5</v>
      </c>
      <c r="O140" s="1">
        <f>O74*Input!$C$31</f>
        <v>0</v>
      </c>
      <c r="P140" s="1">
        <f>P74*Input!$C$31</f>
        <v>0</v>
      </c>
      <c r="Q140" s="62">
        <f>Q74*Input!$C$31</f>
        <v>0</v>
      </c>
      <c r="R140" s="1">
        <f>R74*Input!$C$31</f>
        <v>3.312277560601401E-5</v>
      </c>
      <c r="S140" s="1">
        <f>S74*Input!$C$31</f>
        <v>2.9074749395788796E-6</v>
      </c>
      <c r="T140" s="62">
        <f>T74*Input!$C$31</f>
        <v>3.6030250545592891E-5</v>
      </c>
      <c r="U140" s="62">
        <f>U74*Input!$C$31</f>
        <v>1.3774883105092812E-4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7.0552339199999995E-5</v>
      </c>
      <c r="AC140" s="1">
        <f>AC74*Input!$C$31</f>
        <v>1.5432589754682634E-6</v>
      </c>
      <c r="AD140" s="62">
        <f>AD74*Input!$C$31</f>
        <v>7.2095598175468258E-5</v>
      </c>
      <c r="AE140" s="1">
        <f>AE74*Input!$C$31</f>
        <v>-1.9959125759999997E-6</v>
      </c>
      <c r="AF140" s="1">
        <f>AF74*Input!$C$31</f>
        <v>-1.0929813869377895E-4</v>
      </c>
      <c r="AG140" s="1">
        <f>AG74*Input!$C$31</f>
        <v>-1.0804841523195163E-5</v>
      </c>
      <c r="AH140" s="1">
        <f>AH74*Input!$C$31</f>
        <v>-8.7725179431018649E-6</v>
      </c>
      <c r="AI140" s="1">
        <f>AI74*Input!$C$31</f>
        <v>-4.3686321865159689E-6</v>
      </c>
      <c r="AJ140" s="1">
        <f>AJ74*Input!$C$31</f>
        <v>-6.5813355388408318E-6</v>
      </c>
      <c r="AK140" s="1">
        <f>AK74*Input!$C$31</f>
        <v>-2.4632893322035205E-5</v>
      </c>
      <c r="AL140" s="1">
        <f>AL74*Input!$C$31</f>
        <v>-1.319144320512E-5</v>
      </c>
      <c r="AM140" s="62">
        <f>AM74*Input!$C$31</f>
        <v>-1.7964571498858795E-4</v>
      </c>
      <c r="AN140" s="62">
        <f>AN74*Input!$C$31</f>
        <v>-1.0755011681311968E-4</v>
      </c>
    </row>
    <row r="141" spans="1:40" ht="29" x14ac:dyDescent="0.35">
      <c r="A141" s="39" t="s">
        <v>175</v>
      </c>
      <c r="B141" s="39" t="s">
        <v>176</v>
      </c>
      <c r="C141" s="1">
        <f>C75*Input!$C$31</f>
        <v>2.5570753964571963E-3</v>
      </c>
      <c r="D141" s="1">
        <f>D75*Input!$C$31</f>
        <v>2.9364723648031537E-3</v>
      </c>
      <c r="E141" s="62">
        <f>E75*Input!$C$31</f>
        <v>5.4935477612603496E-3</v>
      </c>
      <c r="F141" s="1">
        <f>F75*Input!$C$31</f>
        <v>1.88909568E-3</v>
      </c>
      <c r="G141" s="1">
        <f>G75*Input!$C$31</f>
        <v>5.743386733867008E-5</v>
      </c>
      <c r="H141" s="62">
        <f>H75*Input!$C$31</f>
        <v>1.9465295473386703E-3</v>
      </c>
      <c r="I141" s="1">
        <f>I75*Input!$C$31</f>
        <v>4.0474100358243172E-5</v>
      </c>
      <c r="J141" s="1">
        <f>J75*Input!$C$31</f>
        <v>4.5540997862055451E-5</v>
      </c>
      <c r="K141" s="62">
        <f>K75*Input!$C$31</f>
        <v>8.6015098220298616E-5</v>
      </c>
      <c r="L141" s="1">
        <f>L75*Input!$C$31</f>
        <v>9.2583083121698704E-6</v>
      </c>
      <c r="M141" s="1">
        <f>M75*Input!$C$31</f>
        <v>4.1905181951999997E-4</v>
      </c>
      <c r="N141" s="62">
        <f>N75*Input!$C$31</f>
        <v>4.2831012783216987E-4</v>
      </c>
      <c r="O141" s="1">
        <f>O75*Input!$C$31</f>
        <v>0</v>
      </c>
      <c r="P141" s="1">
        <f>P75*Input!$C$31</f>
        <v>0</v>
      </c>
      <c r="Q141" s="62">
        <f>Q75*Input!$C$31</f>
        <v>0</v>
      </c>
      <c r="R141" s="1">
        <f>R75*Input!$C$31</f>
        <v>1.9790745591982768E-4</v>
      </c>
      <c r="S141" s="1">
        <f>S75*Input!$C$31</f>
        <v>4.0515831990374402E-5</v>
      </c>
      <c r="T141" s="62">
        <f>T75*Input!$C$31</f>
        <v>2.3842328791020209E-4</v>
      </c>
      <c r="U141" s="62">
        <f>U75*Input!$C$31</f>
        <v>1.0799001686982769E-3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3.0103468415999999E-3</v>
      </c>
      <c r="AC141" s="1">
        <f>AC75*Input!$C$31</f>
        <v>4.220538016632635E-5</v>
      </c>
      <c r="AD141" s="62">
        <f>AD75*Input!$C$31</f>
        <v>3.0525522217663263E-3</v>
      </c>
      <c r="AE141" s="1">
        <f>AE75*Input!$C$31</f>
        <v>-1.9914273792E-3</v>
      </c>
      <c r="AF141" s="1">
        <f>AF75*Input!$C$31</f>
        <v>-3.1516372466956798E-4</v>
      </c>
      <c r="AG141" s="1">
        <f>AG75*Input!$C$31</f>
        <v>-1.0107659795927518E-3</v>
      </c>
      <c r="AH141" s="1">
        <f>AH75*Input!$C$31</f>
        <v>-7.8693991523966168E-4</v>
      </c>
      <c r="AI141" s="1">
        <f>AI75*Input!$C$31</f>
        <v>-1.8640201379446886E-4</v>
      </c>
      <c r="AJ141" s="1">
        <f>AJ75*Input!$C$31</f>
        <v>-2.8081425616089751E-4</v>
      </c>
      <c r="AK141" s="1">
        <f>AK75*Input!$C$31</f>
        <v>-1.0510431468650496E-3</v>
      </c>
      <c r="AL141" s="1">
        <f>AL75*Input!$C$31</f>
        <v>-5.6285616946175998E-4</v>
      </c>
      <c r="AM141" s="62">
        <f>AM75*Input!$C$31</f>
        <v>-6.185412584984157E-3</v>
      </c>
      <c r="AN141" s="62">
        <f>AN75*Input!$C$31</f>
        <v>-3.1328603632178311E-3</v>
      </c>
    </row>
    <row r="142" spans="1:40" x14ac:dyDescent="0.35">
      <c r="A142" s="39" t="s">
        <v>177</v>
      </c>
      <c r="B142" s="39" t="s">
        <v>178</v>
      </c>
      <c r="C142" s="1">
        <f>C76*Input!$C$31</f>
        <v>3.3827961484146685E-2</v>
      </c>
      <c r="D142" s="1">
        <f>D76*Input!$C$31</f>
        <v>3.2085687850697757E-2</v>
      </c>
      <c r="E142" s="62">
        <f>E76*Input!$C$31</f>
        <v>6.5913649334844449E-2</v>
      </c>
      <c r="F142" s="1">
        <f>F76*Input!$C$31</f>
        <v>2.0677939200000002E-2</v>
      </c>
      <c r="G142" s="1">
        <f>G76*Input!$C$31</f>
        <v>6.2166964237547523E-4</v>
      </c>
      <c r="H142" s="62">
        <f>H76*Input!$C$31</f>
        <v>2.1299608842375476E-2</v>
      </c>
      <c r="I142" s="1">
        <f>I76*Input!$C$31</f>
        <v>4.7973073184947776E-4</v>
      </c>
      <c r="J142" s="1">
        <f>J76*Input!$C$31</f>
        <v>4.979379594571749E-4</v>
      </c>
      <c r="K142" s="62">
        <f>K76*Input!$C$31</f>
        <v>9.7766869130665266E-4</v>
      </c>
      <c r="L142" s="1">
        <f>L76*Input!$C$31</f>
        <v>1.0064921983916307E-4</v>
      </c>
      <c r="M142" s="1">
        <f>M76*Input!$C$31</f>
        <v>4.5358567487999999E-3</v>
      </c>
      <c r="N142" s="62">
        <f>N76*Input!$C$31</f>
        <v>4.6365059686391636E-3</v>
      </c>
      <c r="O142" s="1">
        <f>O76*Input!$C$31</f>
        <v>0</v>
      </c>
      <c r="P142" s="1">
        <f>P76*Input!$C$31</f>
        <v>0</v>
      </c>
      <c r="Q142" s="62">
        <f>Q76*Input!$C$31</f>
        <v>0</v>
      </c>
      <c r="R142" s="1">
        <f>R76*Input!$C$31</f>
        <v>2.0312124714815557E-3</v>
      </c>
      <c r="S142" s="1">
        <f>S76*Input!$C$31</f>
        <v>4.3854721875993602E-4</v>
      </c>
      <c r="T142" s="62">
        <f>T76*Input!$C$31</f>
        <v>2.4697596902414918E-3</v>
      </c>
      <c r="U142" s="62">
        <f>U76*Input!$C$31</f>
        <v>1.1666553079481367E-2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3.2838295391999998E-2</v>
      </c>
      <c r="AC142" s="1">
        <f>AC76*Input!$C$31</f>
        <v>4.5882448969345726E-4</v>
      </c>
      <c r="AD142" s="62">
        <f>AD76*Input!$C$31</f>
        <v>3.3297119881693454E-2</v>
      </c>
      <c r="AE142" s="1">
        <f>AE76*Input!$C$31</f>
        <v>-2.1798056448000001E-2</v>
      </c>
      <c r="AF142" s="1">
        <f>AF76*Input!$C$31</f>
        <v>-3.7355672627655137E-3</v>
      </c>
      <c r="AG142" s="1">
        <f>AG76*Input!$C$31</f>
        <v>-1.4097965842915176E-2</v>
      </c>
      <c r="AH142" s="1">
        <f>AH76*Input!$C$31</f>
        <v>-8.6429484037207384E-3</v>
      </c>
      <c r="AI142" s="1">
        <f>AI76*Input!$C$31</f>
        <v>-2.0333618392600395E-3</v>
      </c>
      <c r="AJ142" s="1">
        <f>AJ76*Input!$C$31</f>
        <v>-3.0632554915815281E-3</v>
      </c>
      <c r="AK142" s="1">
        <f>AK76*Input!$C$31</f>
        <v>-1.1465278634852354E-2</v>
      </c>
      <c r="AL142" s="1">
        <f>AL76*Input!$C$31</f>
        <v>-6.1399028512511989E-3</v>
      </c>
      <c r="AM142" s="62">
        <f>AM76*Input!$C$31</f>
        <v>-7.0976336774346546E-2</v>
      </c>
      <c r="AN142" s="62">
        <f>AN76*Input!$C$31</f>
        <v>-3.7679216892653099E-2</v>
      </c>
    </row>
    <row r="143" spans="1:40" x14ac:dyDescent="0.35">
      <c r="A143" s="39" t="s">
        <v>179</v>
      </c>
      <c r="B143" s="39" t="s">
        <v>180</v>
      </c>
      <c r="C143" s="1">
        <f>C77*Input!$C$31</f>
        <v>6.8529684277234306E-11</v>
      </c>
      <c r="D143" s="1">
        <f>D77*Input!$C$31</f>
        <v>1.4584886752337911E-10</v>
      </c>
      <c r="E143" s="62">
        <f>E77*Input!$C$31</f>
        <v>2.1437855180061342E-10</v>
      </c>
      <c r="F143" s="1">
        <f>F77*Input!$C$31</f>
        <v>2.11034112E-9</v>
      </c>
      <c r="G143" s="1">
        <f>G77*Input!$C$31</f>
        <v>1.5661262302894078E-11</v>
      </c>
      <c r="H143" s="62">
        <f>H77*Input!$C$31</f>
        <v>2.1260023823028941E-9</v>
      </c>
      <c r="I143" s="1">
        <f>I77*Input!$C$31</f>
        <v>4.8136405571306705E-12</v>
      </c>
      <c r="J143" s="1">
        <f>J77*Input!$C$31</f>
        <v>1.5456802565723067E-12</v>
      </c>
      <c r="K143" s="62">
        <f>K77*Input!$C$31</f>
        <v>6.3593208137029772E-12</v>
      </c>
      <c r="L143" s="1">
        <f>L77*Input!$C$31</f>
        <v>1.9569882038348375E-12</v>
      </c>
      <c r="M143" s="1">
        <f>M77*Input!$C$31</f>
        <v>1.1426847552E-10</v>
      </c>
      <c r="N143" s="62">
        <f>N77*Input!$C$31</f>
        <v>1.1622546372383483E-10</v>
      </c>
      <c r="O143" s="1">
        <f>O77*Input!$C$31</f>
        <v>0</v>
      </c>
      <c r="P143" s="1">
        <f>P77*Input!$C$31</f>
        <v>0</v>
      </c>
      <c r="Q143" s="62">
        <f>Q77*Input!$C$31</f>
        <v>0</v>
      </c>
      <c r="R143" s="1">
        <f>R77*Input!$C$31</f>
        <v>6.5899810722670032E-11</v>
      </c>
      <c r="S143" s="1">
        <f>S77*Input!$C$31</f>
        <v>1.1047994878694399E-11</v>
      </c>
      <c r="T143" s="62">
        <f>T77*Input!$C$31</f>
        <v>7.6947805601364424E-11</v>
      </c>
      <c r="U143" s="62">
        <f>U77*Input!$C$31</f>
        <v>4.0766289053527071E-10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2.8666459584000002E-10</v>
      </c>
      <c r="AC143" s="1">
        <f>AC77*Input!$C$31</f>
        <v>8.9212227913489734E-12</v>
      </c>
      <c r="AD143" s="62">
        <f>AD77*Input!$C$31</f>
        <v>2.9558581863134898E-10</v>
      </c>
      <c r="AE143" s="1">
        <f>AE77*Input!$C$31</f>
        <v>-2.2246576128000001E-9</v>
      </c>
      <c r="AF143" s="1">
        <f>AF77*Input!$C$31</f>
        <v>-3.7482856290265112E-11</v>
      </c>
      <c r="AG143" s="1">
        <f>AG77*Input!$C$31</f>
        <v>-2.6352711135983022E-11</v>
      </c>
      <c r="AH143" s="1">
        <f>AH77*Input!$C$31</f>
        <v>-2.2880640971865886E-11</v>
      </c>
      <c r="AI143" s="1">
        <f>AI77*Input!$C$31</f>
        <v>-1.7750399126684314E-11</v>
      </c>
      <c r="AJ143" s="1">
        <f>AJ77*Input!$C$31</f>
        <v>-2.6740940324899047E-11</v>
      </c>
      <c r="AK143" s="1">
        <f>AK77*Input!$C$31</f>
        <v>-1.0008709120917505E-10</v>
      </c>
      <c r="AL143" s="1">
        <f>AL77*Input!$C$31</f>
        <v>-5.3598786061824001E-11</v>
      </c>
      <c r="AM143" s="62">
        <f>AM77*Input!$C$31</f>
        <v>-2.5095510379206966E-9</v>
      </c>
      <c r="AN143" s="62">
        <f>AN77*Input!$C$31</f>
        <v>-2.2139652192893478E-9</v>
      </c>
    </row>
    <row r="144" spans="1:40" x14ac:dyDescent="0.35">
      <c r="A144" s="39" t="s">
        <v>181</v>
      </c>
      <c r="B144" s="39" t="s">
        <v>180</v>
      </c>
      <c r="C144" s="1">
        <f>C78*Input!$C$31</f>
        <v>1.63126824846977E-9</v>
      </c>
      <c r="D144" s="1">
        <f>D78*Input!$C$31</f>
        <v>6.3481847461224852E-9</v>
      </c>
      <c r="E144" s="62">
        <f>E78*Input!$C$31</f>
        <v>7.9794529945922558E-9</v>
      </c>
      <c r="F144" s="1">
        <f>F78*Input!$C$31</f>
        <v>6.0842495999999996E-8</v>
      </c>
      <c r="G144" s="1">
        <f>G78*Input!$C$31</f>
        <v>1.2742773377617922E-9</v>
      </c>
      <c r="H144" s="62">
        <f>H78*Input!$C$31</f>
        <v>6.2116773337761796E-8</v>
      </c>
      <c r="I144" s="1">
        <f>I78*Input!$C$31</f>
        <v>1.8290018028955231E-10</v>
      </c>
      <c r="J144" s="1">
        <f>J78*Input!$C$31</f>
        <v>3.4138538063630656E-11</v>
      </c>
      <c r="K144" s="62">
        <f>K78*Input!$C$31</f>
        <v>2.1703871835318296E-10</v>
      </c>
      <c r="L144" s="1">
        <f>L78*Input!$C$31</f>
        <v>5.2161722354727859E-11</v>
      </c>
      <c r="M144" s="1">
        <f>M78*Input!$C$31</f>
        <v>9.2974452480000007E-9</v>
      </c>
      <c r="N144" s="62">
        <f>N78*Input!$C$31</f>
        <v>9.3496069703547284E-9</v>
      </c>
      <c r="O144" s="1">
        <f>O78*Input!$C$31</f>
        <v>0</v>
      </c>
      <c r="P144" s="1">
        <f>P78*Input!$C$31</f>
        <v>0</v>
      </c>
      <c r="Q144" s="62">
        <f>Q78*Input!$C$31</f>
        <v>0</v>
      </c>
      <c r="R144" s="1">
        <f>R78*Input!$C$31</f>
        <v>2.917560380931721E-9</v>
      </c>
      <c r="S144" s="1">
        <f>S78*Input!$C$31</f>
        <v>8.9891920774655986E-10</v>
      </c>
      <c r="T144" s="62">
        <f>T78*Input!$C$31</f>
        <v>3.8164795886782804E-9</v>
      </c>
      <c r="U144" s="62">
        <f>U78*Input!$C$31</f>
        <v>7.5807963548705658E-9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2.197962144E-8</v>
      </c>
      <c r="AC144" s="1">
        <f>AC78*Input!$C$31</f>
        <v>2.3778699605605235E-10</v>
      </c>
      <c r="AD144" s="62">
        <f>AD78*Input!$C$31</f>
        <v>2.2217408436056053E-8</v>
      </c>
      <c r="AE144" s="1">
        <f>AE78*Input!$C$31</f>
        <v>-6.4138314239999999E-8</v>
      </c>
      <c r="AF144" s="1">
        <f>AF78*Input!$C$31</f>
        <v>-1.4242071238786861E-9</v>
      </c>
      <c r="AG144" s="1">
        <f>AG78*Input!$C$31</f>
        <v>-6.9955521336561415E-10</v>
      </c>
      <c r="AH144" s="1">
        <f>AH78*Input!$C$31</f>
        <v>-3.6880585171981345E-10</v>
      </c>
      <c r="AI144" s="1">
        <f>AI78*Input!$C$31</f>
        <v>-1.3609879241285378E-9</v>
      </c>
      <c r="AJ144" s="1">
        <f>AJ78*Input!$C$31</f>
        <v>-2.0503255505572225E-9</v>
      </c>
      <c r="AK144" s="1">
        <f>AK78*Input!$C$31</f>
        <v>-7.6740427933286413E-9</v>
      </c>
      <c r="AL144" s="1">
        <f>AL78*Input!$C$31</f>
        <v>-4.1096146659840002E-9</v>
      </c>
      <c r="AM144" s="62">
        <f>AM78*Input!$C$31</f>
        <v>-8.1825853362962502E-8</v>
      </c>
      <c r="AN144" s="62">
        <f>AN78*Input!$C$31</f>
        <v>-5.9608444926906456E-8</v>
      </c>
    </row>
    <row r="145" spans="1:40" ht="29" x14ac:dyDescent="0.35">
      <c r="A145" s="39" t="s">
        <v>182</v>
      </c>
      <c r="B145" s="39" t="s">
        <v>183</v>
      </c>
      <c r="C145" s="1">
        <f>C79*Input!$C$31</f>
        <v>1.1903985135352884E-2</v>
      </c>
      <c r="D145" s="1">
        <f>D79*Input!$C$31</f>
        <v>2.6771111900220981E-2</v>
      </c>
      <c r="E145" s="62">
        <f>E79*Input!$C$31</f>
        <v>3.8675097035573869E-2</v>
      </c>
      <c r="F145" s="1">
        <f>F79*Input!$C$31</f>
        <v>3.2123135999999997E-2</v>
      </c>
      <c r="G145" s="1">
        <f>G79*Input!$C$31</f>
        <v>1.0783971859113983E-3</v>
      </c>
      <c r="H145" s="62">
        <f>H79*Input!$C$31</f>
        <v>3.3201533185911396E-2</v>
      </c>
      <c r="I145" s="1">
        <f>I79*Input!$C$31</f>
        <v>7.5091213015499557E-3</v>
      </c>
      <c r="J145" s="1">
        <f>J79*Input!$C$31</f>
        <v>3.841629347734003E-4</v>
      </c>
      <c r="K145" s="62">
        <f>K79*Input!$C$31</f>
        <v>7.8932842363233554E-3</v>
      </c>
      <c r="L145" s="1">
        <f>L79*Input!$C$31</f>
        <v>1.277181470957085E-4</v>
      </c>
      <c r="M145" s="1">
        <f>M79*Input!$C$31</f>
        <v>7.8682548096000015E-3</v>
      </c>
      <c r="N145" s="62">
        <f>N79*Input!$C$31</f>
        <v>7.9959729566957093E-3</v>
      </c>
      <c r="O145" s="1">
        <f>O79*Input!$C$31</f>
        <v>0</v>
      </c>
      <c r="P145" s="1">
        <f>P79*Input!$C$31</f>
        <v>0</v>
      </c>
      <c r="Q145" s="62">
        <f>Q79*Input!$C$31</f>
        <v>0</v>
      </c>
      <c r="R145" s="1">
        <f>R79*Input!$C$31</f>
        <v>2.0435182900459595E-2</v>
      </c>
      <c r="S145" s="1">
        <f>S79*Input!$C$31</f>
        <v>7.6073858905651207E-4</v>
      </c>
      <c r="T145" s="62">
        <f>T79*Input!$C$31</f>
        <v>2.1195921489516108E-2</v>
      </c>
      <c r="U145" s="62">
        <f>U79*Input!$C$31</f>
        <v>0.47317806442897092</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1.8564342451199995E-2</v>
      </c>
      <c r="AC145" s="1">
        <f>AC79*Input!$C$31</f>
        <v>5.8222223440405397E-4</v>
      </c>
      <c r="AD145" s="62">
        <f>AD79*Input!$C$31</f>
        <v>1.9146564685604051E-2</v>
      </c>
      <c r="AE145" s="1">
        <f>AE79*Input!$C$31</f>
        <v>-3.3863235839999999E-2</v>
      </c>
      <c r="AF145" s="1">
        <f>AF79*Input!$C$31</f>
        <v>-5.84720257509092E-2</v>
      </c>
      <c r="AG145" s="1">
        <f>AG79*Input!$C$31</f>
        <v>-5.5279738582037601E-3</v>
      </c>
      <c r="AH145" s="1">
        <f>AH79*Input!$C$31</f>
        <v>-1.6618397974011037E-3</v>
      </c>
      <c r="AI145" s="1">
        <f>AI79*Input!$C$31</f>
        <v>-1.1495123318861844E-3</v>
      </c>
      <c r="AJ145" s="1">
        <f>AJ79*Input!$C$31</f>
        <v>-1.7317379992596205E-3</v>
      </c>
      <c r="AK145" s="1">
        <f>AK79*Input!$C$31</f>
        <v>-6.4816202039427069E-3</v>
      </c>
      <c r="AL145" s="1">
        <f>AL79*Input!$C$31</f>
        <v>-3.4710467698483198E-3</v>
      </c>
      <c r="AM145" s="62">
        <f>AM79*Input!$C$31</f>
        <v>-0.1123589925514509</v>
      </c>
      <c r="AN145" s="62">
        <f>AN79*Input!$C$31</f>
        <v>-9.3212427865846853E-2</v>
      </c>
    </row>
    <row r="146" spans="1:40" x14ac:dyDescent="0.35">
      <c r="A146" s="39" t="s">
        <v>184</v>
      </c>
      <c r="B146" s="39" t="s">
        <v>185</v>
      </c>
      <c r="C146" s="1">
        <f>C80*Input!$C$31</f>
        <v>75.110776768851792</v>
      </c>
      <c r="D146" s="1">
        <f>D80*Input!$C$31</f>
        <v>6.1513589564528122</v>
      </c>
      <c r="E146" s="62">
        <f>E80*Input!$C$31</f>
        <v>81.262135725304589</v>
      </c>
      <c r="F146" s="1">
        <f>F80*Input!$C$31</f>
        <v>1.1189913600000001</v>
      </c>
      <c r="G146" s="1">
        <f>G80*Input!$C$31</f>
        <v>0.15001128136354347</v>
      </c>
      <c r="H146" s="62">
        <f>H80*Input!$C$31</f>
        <v>1.2690026413635433</v>
      </c>
      <c r="I146" s="1">
        <f>I80*Input!$C$31</f>
        <v>0.12062399456039465</v>
      </c>
      <c r="J146" s="1">
        <f>J80*Input!$C$31</f>
        <v>9.3739147628425709E-2</v>
      </c>
      <c r="K146" s="62">
        <f>K80*Input!$C$31</f>
        <v>0.21436314218882035</v>
      </c>
      <c r="L146" s="1">
        <f>L80*Input!$C$31</f>
        <v>2.1869689454441864E-2</v>
      </c>
      <c r="M146" s="1">
        <f>M80*Input!$C$31</f>
        <v>1.0945197201024</v>
      </c>
      <c r="N146" s="62">
        <f>N80*Input!$C$31</f>
        <v>1.1163894095568418</v>
      </c>
      <c r="O146" s="1">
        <f>O80*Input!$C$31</f>
        <v>0</v>
      </c>
      <c r="P146" s="1">
        <f>P80*Input!$C$31</f>
        <v>0</v>
      </c>
      <c r="Q146" s="62">
        <f>Q80*Input!$C$31</f>
        <v>0</v>
      </c>
      <c r="R146" s="1">
        <f>R80*Input!$C$31</f>
        <v>0.56137269945621215</v>
      </c>
      <c r="S146" s="1">
        <f>S80*Input!$C$31</f>
        <v>0.10582313457227213</v>
      </c>
      <c r="T146" s="62">
        <f>T80*Input!$C$31</f>
        <v>0.66719583402848437</v>
      </c>
      <c r="U146" s="62">
        <f>U80*Input!$C$31</f>
        <v>2.5286772050627193</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2.5875224847360001</v>
      </c>
      <c r="AC146" s="1">
        <f>AC80*Input!$C$31</f>
        <v>9.9696243246828034E-2</v>
      </c>
      <c r="AD146" s="62">
        <f>AD80*Input!$C$31</f>
        <v>2.6872187279828283</v>
      </c>
      <c r="AE146" s="1">
        <f>AE80*Input!$C$31</f>
        <v>-1.1796067584000001</v>
      </c>
      <c r="AF146" s="1">
        <f>AF80*Input!$C$31</f>
        <v>-0.93927492084288111</v>
      </c>
      <c r="AG146" s="1">
        <f>AG80*Input!$C$31</f>
        <v>-1.7042026564451236</v>
      </c>
      <c r="AH146" s="1">
        <f>AH80*Input!$C$31</f>
        <v>-91.217093508971487</v>
      </c>
      <c r="AI146" s="1">
        <f>AI80*Input!$C$31</f>
        <v>-0.16022054177548037</v>
      </c>
      <c r="AJ146" s="1">
        <f>AJ80*Input!$C$31</f>
        <v>-0.24137192160373855</v>
      </c>
      <c r="AK146" s="1">
        <f>AK80*Input!$C$31</f>
        <v>-0.90341675495954854</v>
      </c>
      <c r="AL146" s="1">
        <f>AL80*Input!$C$31</f>
        <v>-0.48379906727976957</v>
      </c>
      <c r="AM146" s="62">
        <f>AM80*Input!$C$31</f>
        <v>-96.828986130278025</v>
      </c>
      <c r="AN146" s="62">
        <f>AN80*Input!$C$31</f>
        <v>-94.141767402295201</v>
      </c>
    </row>
    <row r="147" spans="1:40" ht="29" x14ac:dyDescent="0.35">
      <c r="A147" s="39" t="s">
        <v>186</v>
      </c>
      <c r="B147" s="39" t="s">
        <v>187</v>
      </c>
      <c r="C147" s="1">
        <f>C81*Input!$C$31</f>
        <v>9.1059961067372839E-7</v>
      </c>
      <c r="D147" s="1">
        <f>D81*Input!$C$31</f>
        <v>1.6067763054648067E-6</v>
      </c>
      <c r="E147" s="62">
        <f>E81*Input!$C$31</f>
        <v>2.5173759161385349E-6</v>
      </c>
      <c r="F147" s="1">
        <f>F81*Input!$C$31</f>
        <v>4.3398144000000001E-7</v>
      </c>
      <c r="G147" s="1">
        <f>G81*Input!$C$31</f>
        <v>1.9494847053895678E-7</v>
      </c>
      <c r="H147" s="62">
        <f>H81*Input!$C$31</f>
        <v>6.2892991053895679E-7</v>
      </c>
      <c r="I147" s="1">
        <f>I81*Input!$C$31</f>
        <v>6.8714432015449015E-8</v>
      </c>
      <c r="J147" s="1">
        <f>J81*Input!$C$31</f>
        <v>1.5775020688280398E-8</v>
      </c>
      <c r="K147" s="62">
        <f>K81*Input!$C$31</f>
        <v>8.4489452703729407E-8</v>
      </c>
      <c r="L147" s="1">
        <f>L81*Input!$C$31</f>
        <v>4.9935234569963153E-9</v>
      </c>
      <c r="M147" s="1">
        <f>M81*Input!$C$31</f>
        <v>1.4223926591999998E-6</v>
      </c>
      <c r="N147" s="62">
        <f>N81*Input!$C$31</f>
        <v>1.4273861826569962E-6</v>
      </c>
      <c r="O147" s="1">
        <f>O81*Input!$C$31</f>
        <v>0</v>
      </c>
      <c r="P147" s="1">
        <f>P81*Input!$C$31</f>
        <v>0</v>
      </c>
      <c r="Q147" s="62">
        <f>Q81*Input!$C$31</f>
        <v>0</v>
      </c>
      <c r="R147" s="1">
        <f>R81*Input!$C$31</f>
        <v>3.8405416586632021E-5</v>
      </c>
      <c r="S147" s="1">
        <f>S81*Input!$C$31</f>
        <v>1.37523378541824E-7</v>
      </c>
      <c r="T147" s="62">
        <f>T81*Input!$C$31</f>
        <v>3.8542939965173843E-5</v>
      </c>
      <c r="U147" s="62">
        <f>U81*Input!$C$31</f>
        <v>5.7741371208661499E-6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3.3242981183999997E-6</v>
      </c>
      <c r="AC147" s="1">
        <f>AC81*Input!$C$31</f>
        <v>2.2763721920446975E-8</v>
      </c>
      <c r="AD147" s="62">
        <f>AD81*Input!$C$31</f>
        <v>3.3470618403204467E-6</v>
      </c>
      <c r="AE147" s="1">
        <f>AE81*Input!$C$31</f>
        <v>-4.5749007360000003E-7</v>
      </c>
      <c r="AF147" s="1">
        <f>AF81*Input!$C$31</f>
        <v>-5.3506553921789849E-7</v>
      </c>
      <c r="AG147" s="1">
        <f>AG81*Input!$C$31</f>
        <v>-4.2382888593126167E-7</v>
      </c>
      <c r="AH147" s="1">
        <f>AH81*Input!$C$31</f>
        <v>-1.2477586690128448E-7</v>
      </c>
      <c r="AI147" s="1">
        <f>AI81*Input!$C$31</f>
        <v>-2.0584201632844952E-7</v>
      </c>
      <c r="AJ147" s="1">
        <f>AJ81*Input!$C$31</f>
        <v>-3.1010058059602404E-7</v>
      </c>
      <c r="AK147" s="1">
        <f>AK81*Input!$C$31</f>
        <v>-1.1606572064047106E-6</v>
      </c>
      <c r="AL147" s="1">
        <f>AL81*Input!$C$31</f>
        <v>-6.2155685159423996E-7</v>
      </c>
      <c r="AM147" s="62">
        <f>AM81*Input!$C$31</f>
        <v>-3.8393170205738684E-6</v>
      </c>
      <c r="AN147" s="62">
        <f>AN81*Input!$C$31</f>
        <v>-4.9225518025342164E-7</v>
      </c>
    </row>
    <row r="148" spans="1:40" x14ac:dyDescent="0.35">
      <c r="A148" s="39" t="s">
        <v>188</v>
      </c>
      <c r="B148" s="39" t="s">
        <v>189</v>
      </c>
      <c r="C148" s="1">
        <f>C82*Input!$C$31</f>
        <v>6.8548338552935043E-9</v>
      </c>
      <c r="D148" s="1">
        <f>D82*Input!$C$31</f>
        <v>2.6001901989069704E-8</v>
      </c>
      <c r="E148" s="62">
        <f>E82*Input!$C$31</f>
        <v>3.2856735844363211E-8</v>
      </c>
      <c r="F148" s="1">
        <f>F82*Input!$C$31</f>
        <v>1.4125670399999999E-12</v>
      </c>
      <c r="G148" s="1">
        <f>G82*Input!$C$31</f>
        <v>3.9291126962196484E-9</v>
      </c>
      <c r="H148" s="62">
        <f>H82*Input!$C$31</f>
        <v>3.9305252632596488E-9</v>
      </c>
      <c r="I148" s="1">
        <f>I82*Input!$C$31</f>
        <v>2.9902381929207585E-10</v>
      </c>
      <c r="J148" s="1">
        <f>J82*Input!$C$31</f>
        <v>2.1198155373660109E-10</v>
      </c>
      <c r="K148" s="62">
        <f>K82*Input!$C$31</f>
        <v>5.1100537302867686E-10</v>
      </c>
      <c r="L148" s="1">
        <f>L82*Input!$C$31</f>
        <v>7.2164284444987708E-10</v>
      </c>
      <c r="M148" s="1">
        <f>M82*Input!$C$31</f>
        <v>2.8667786111999997E-8</v>
      </c>
      <c r="N148" s="62">
        <f>N82*Input!$C$31</f>
        <v>2.9389428956449874E-8</v>
      </c>
      <c r="O148" s="1">
        <f>O82*Input!$C$31</f>
        <v>0</v>
      </c>
      <c r="P148" s="1">
        <f>P82*Input!$C$31</f>
        <v>0</v>
      </c>
      <c r="Q148" s="62">
        <f>Q82*Input!$C$31</f>
        <v>0</v>
      </c>
      <c r="R148" s="1">
        <f>R82*Input!$C$31</f>
        <v>1.2838525942572228E-9</v>
      </c>
      <c r="S148" s="1">
        <f>S82*Input!$C$31</f>
        <v>2.7717316845926399E-9</v>
      </c>
      <c r="T148" s="62">
        <f>T82*Input!$C$31</f>
        <v>4.0555842788498626E-9</v>
      </c>
      <c r="U148" s="62">
        <f>U82*Input!$C$31</f>
        <v>5.6418308374202688E-7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6.8218786943999997E-8</v>
      </c>
      <c r="AC148" s="1">
        <f>AC82*Input!$C$31</f>
        <v>3.2897166056006967E-9</v>
      </c>
      <c r="AD148" s="62">
        <f>AD82*Input!$C$31</f>
        <v>7.1508503549600695E-8</v>
      </c>
      <c r="AE148" s="1">
        <f>AE82*Input!$C$31</f>
        <v>-1.4890853376000002E-12</v>
      </c>
      <c r="AF148" s="1">
        <f>AF82*Input!$C$31</f>
        <v>-2.3284386760635366E-9</v>
      </c>
      <c r="AG148" s="1">
        <f>AG82*Input!$C$31</f>
        <v>-2.4103563127245524E-9</v>
      </c>
      <c r="AH148" s="1">
        <f>AH82*Input!$C$31</f>
        <v>-2.8377503120372069E-9</v>
      </c>
      <c r="AI148" s="1">
        <f>AI82*Input!$C$31</f>
        <v>-4.2241375941314459E-9</v>
      </c>
      <c r="AJ148" s="1">
        <f>AJ82*Input!$C$31</f>
        <v>-6.36365472813633E-9</v>
      </c>
      <c r="AK148" s="1">
        <f>AK82*Input!$C$31</f>
        <v>-2.3818148631281668E-8</v>
      </c>
      <c r="AL148" s="1">
        <f>AL82*Input!$C$31</f>
        <v>-1.2755129931878398E-8</v>
      </c>
      <c r="AM148" s="62">
        <f>AM82*Input!$C$31</f>
        <v>-5.473910527159074E-8</v>
      </c>
      <c r="AN148" s="62">
        <f>AN82*Input!$C$31</f>
        <v>1.6769398278009962E-8</v>
      </c>
    </row>
    <row r="149" spans="1:40" x14ac:dyDescent="0.35">
      <c r="A149" s="39" t="s">
        <v>190</v>
      </c>
      <c r="B149" s="39" t="s">
        <v>191</v>
      </c>
      <c r="C149" s="1">
        <f>C83*Input!$C$31</f>
        <v>1.254919082682353E-7</v>
      </c>
      <c r="D149" s="1">
        <f>D83*Input!$C$31</f>
        <v>5.145103123206232E-8</v>
      </c>
      <c r="E149" s="62">
        <f>E83*Input!$C$31</f>
        <v>1.7694293950029762E-7</v>
      </c>
      <c r="F149" s="1">
        <f>F83*Input!$C$31</f>
        <v>1.14026496E-7</v>
      </c>
      <c r="G149" s="1">
        <f>G83*Input!$C$31</f>
        <v>1.0952620647042046E-8</v>
      </c>
      <c r="H149" s="62">
        <f>H83*Input!$C$31</f>
        <v>1.2497911664704206E-7</v>
      </c>
      <c r="I149" s="1">
        <f>I83*Input!$C$31</f>
        <v>1.8906700182473082E-9</v>
      </c>
      <c r="J149" s="1">
        <f>J83*Input!$C$31</f>
        <v>2.4174866540022345E-10</v>
      </c>
      <c r="K149" s="62">
        <f>K83*Input!$C$31</f>
        <v>2.1324186836475318E-9</v>
      </c>
      <c r="L149" s="1">
        <f>L83*Input!$C$31</f>
        <v>3.1541018866918046E-10</v>
      </c>
      <c r="M149" s="1">
        <f>M83*Input!$C$31</f>
        <v>7.9913051711999996E-8</v>
      </c>
      <c r="N149" s="62">
        <f>N83*Input!$C$31</f>
        <v>8.0228461900669178E-8</v>
      </c>
      <c r="O149" s="1">
        <f>O83*Input!$C$31</f>
        <v>0</v>
      </c>
      <c r="P149" s="1">
        <f>P83*Input!$C$31</f>
        <v>0</v>
      </c>
      <c r="Q149" s="62">
        <f>Q83*Input!$C$31</f>
        <v>0</v>
      </c>
      <c r="R149" s="1">
        <f>R83*Input!$C$31</f>
        <v>1.3426745522372374E-8</v>
      </c>
      <c r="S149" s="1">
        <f>S83*Input!$C$31</f>
        <v>7.7263565654246399E-9</v>
      </c>
      <c r="T149" s="62">
        <f>T83*Input!$C$31</f>
        <v>2.1153102087797013E-8</v>
      </c>
      <c r="U149" s="62">
        <f>U83*Input!$C$31</f>
        <v>1.8014224869479886E-8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2.0737422720000003E-7</v>
      </c>
      <c r="AC149" s="1">
        <f>AC83*Input!$C$31</f>
        <v>1.4378444173885529E-9</v>
      </c>
      <c r="AD149" s="62">
        <f>AD83*Input!$C$31</f>
        <v>2.088120716173886E-7</v>
      </c>
      <c r="AE149" s="1">
        <f>AE83*Input!$C$31</f>
        <v>-1.2020327424000001E-7</v>
      </c>
      <c r="AF149" s="1">
        <f>AF83*Input!$C$31</f>
        <v>-1.4722269298088142E-8</v>
      </c>
      <c r="AG149" s="1">
        <f>AG83*Input!$C$31</f>
        <v>-4.5572571238552026E-8</v>
      </c>
      <c r="AH149" s="1">
        <f>AH83*Input!$C$31</f>
        <v>-4.8432090144784052E-8</v>
      </c>
      <c r="AI149" s="1">
        <f>AI83*Input!$C$31</f>
        <v>-1.2840704275327491E-8</v>
      </c>
      <c r="AJ149" s="1">
        <f>AJ83*Input!$C$31</f>
        <v>-1.9344494977581311E-8</v>
      </c>
      <c r="AK149" s="1">
        <f>AK83*Input!$C$31</f>
        <v>-7.2403371373363215E-8</v>
      </c>
      <c r="AL149" s="1">
        <f>AL83*Input!$C$31</f>
        <v>-3.8773559761920002E-8</v>
      </c>
      <c r="AM149" s="62">
        <f>AM83*Input!$C$31</f>
        <v>-3.7229233530961617E-7</v>
      </c>
      <c r="AN149" s="62">
        <f>AN83*Input!$C$31</f>
        <v>-1.634802636922276E-7</v>
      </c>
    </row>
    <row r="150" spans="1:40" ht="29" x14ac:dyDescent="0.35">
      <c r="A150" s="39" t="s">
        <v>192</v>
      </c>
      <c r="B150" s="39" t="s">
        <v>193</v>
      </c>
      <c r="C150" s="1">
        <f>C84*Input!$C$31</f>
        <v>8.1333901766268753E-3</v>
      </c>
      <c r="D150" s="1">
        <f>D84*Input!$C$31</f>
        <v>9.9324946796480601E-3</v>
      </c>
      <c r="E150" s="62">
        <f>E84*Input!$C$31</f>
        <v>1.8065884856274934E-2</v>
      </c>
      <c r="F150" s="1">
        <f>F84*Input!$C$31</f>
        <v>8.6370815999999989E-3</v>
      </c>
      <c r="G150" s="1">
        <f>G84*Input!$C$31</f>
        <v>4.5940237052682247E-4</v>
      </c>
      <c r="H150" s="62">
        <f>H84*Input!$C$31</f>
        <v>9.0964839705268211E-3</v>
      </c>
      <c r="I150" s="1">
        <f>I84*Input!$C$31</f>
        <v>1.267084170724604E-4</v>
      </c>
      <c r="J150" s="1">
        <f>J84*Input!$C$31</f>
        <v>1.3921431360826105E-4</v>
      </c>
      <c r="K150" s="62">
        <f>K84*Input!$C$31</f>
        <v>2.6592273068072147E-4</v>
      </c>
      <c r="L150" s="1">
        <f>L84*Input!$C$31</f>
        <v>7.8878858178460463E-5</v>
      </c>
      <c r="M150" s="1">
        <f>M84*Input!$C$31</f>
        <v>3.3519142655999991E-3</v>
      </c>
      <c r="N150" s="62">
        <f>N84*Input!$C$31</f>
        <v>3.4307931237784598E-3</v>
      </c>
      <c r="O150" s="1">
        <f>O84*Input!$C$31</f>
        <v>0</v>
      </c>
      <c r="P150" s="1">
        <f>P84*Input!$C$31</f>
        <v>0</v>
      </c>
      <c r="Q150" s="62">
        <f>Q84*Input!$C$31</f>
        <v>0</v>
      </c>
      <c r="R150" s="1">
        <f>R84*Input!$C$31</f>
        <v>6.7057551379197172E-4</v>
      </c>
      <c r="S150" s="1">
        <f>S84*Input!$C$31</f>
        <v>3.2407828556083198E-4</v>
      </c>
      <c r="T150" s="62">
        <f>T84*Input!$C$31</f>
        <v>9.9465379935280386E-4</v>
      </c>
      <c r="U150" s="62">
        <f>U84*Input!$C$31</f>
        <v>3.9414886094364561E-3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1.3209471071999998E-2</v>
      </c>
      <c r="AC150" s="1">
        <f>AC84*Input!$C$31</f>
        <v>3.5958104701823445E-4</v>
      </c>
      <c r="AD150" s="62">
        <f>AD84*Input!$C$31</f>
        <v>1.3569052119018234E-2</v>
      </c>
      <c r="AE150" s="1">
        <f>AE84*Input!$C$31</f>
        <v>-9.1049495039999991E-3</v>
      </c>
      <c r="AF150" s="1">
        <f>AF84*Input!$C$31</f>
        <v>-9.8665310205983464E-4</v>
      </c>
      <c r="AG150" s="1">
        <f>AG84*Input!$C$31</f>
        <v>-3.1839382519847593E-3</v>
      </c>
      <c r="AH150" s="1">
        <f>AH84*Input!$C$31</f>
        <v>-2.5785965425851594E-3</v>
      </c>
      <c r="AI150" s="1">
        <f>AI84*Input!$C$31</f>
        <v>-8.1793631715602704E-4</v>
      </c>
      <c r="AJ150" s="1">
        <f>AJ84*Input!$C$31</f>
        <v>-1.2322194047882612E-3</v>
      </c>
      <c r="AK150" s="1">
        <f>AK84*Input!$C$31</f>
        <v>-4.6120014651064327E-3</v>
      </c>
      <c r="AL150" s="1">
        <f>AL84*Input!$C$31</f>
        <v>-2.4698257972991995E-3</v>
      </c>
      <c r="AM150" s="62">
        <f>AM84*Input!$C$31</f>
        <v>-2.498612038497967E-2</v>
      </c>
      <c r="AN150" s="62">
        <f>AN84*Input!$C$31</f>
        <v>-1.1417068265961438E-2</v>
      </c>
    </row>
    <row r="151" spans="1:40" ht="29" x14ac:dyDescent="0.35">
      <c r="A151" s="39" t="s">
        <v>194</v>
      </c>
      <c r="B151" s="39" t="s">
        <v>195</v>
      </c>
      <c r="C151" s="1">
        <f>C85*Input!$C$31</f>
        <v>0.59481228827305477</v>
      </c>
      <c r="D151" s="1">
        <f>D85*Input!$C$31</f>
        <v>8.3644036897669943E-2</v>
      </c>
      <c r="E151" s="62">
        <f>E85*Input!$C$31</f>
        <v>0.67845632517072463</v>
      </c>
      <c r="F151" s="1">
        <f>F85*Input!$C$31</f>
        <v>3.0676531199999999E-2</v>
      </c>
      <c r="G151" s="1">
        <f>G85*Input!$C$31</f>
        <v>5.4166515522333699E-3</v>
      </c>
      <c r="H151" s="62">
        <f>H85*Input!$C$31</f>
        <v>3.6093182752233367E-2</v>
      </c>
      <c r="I151" s="1">
        <f>I85*Input!$C$31</f>
        <v>4.8753739715504951E-2</v>
      </c>
      <c r="J151" s="1">
        <f>J85*Input!$C$31</f>
        <v>1.0858004800607154E-3</v>
      </c>
      <c r="K151" s="62">
        <f>K85*Input!$C$31</f>
        <v>4.9839540195565663E-2</v>
      </c>
      <c r="L151" s="1">
        <f>L85*Input!$C$31</f>
        <v>5.7569382468199148E-4</v>
      </c>
      <c r="M151" s="1">
        <f>M85*Input!$C$31</f>
        <v>3.9521240582399995E-2</v>
      </c>
      <c r="N151" s="62">
        <f>N85*Input!$C$31</f>
        <v>4.0096934407081987E-2</v>
      </c>
      <c r="O151" s="1">
        <f>O85*Input!$C$31</f>
        <v>0</v>
      </c>
      <c r="P151" s="1">
        <f>P85*Input!$C$31</f>
        <v>0</v>
      </c>
      <c r="Q151" s="62">
        <f>Q85*Input!$C$31</f>
        <v>0</v>
      </c>
      <c r="R151" s="1">
        <f>R85*Input!$C$31</f>
        <v>6.3401153233966473E-2</v>
      </c>
      <c r="S151" s="1">
        <f>S85*Input!$C$31</f>
        <v>3.8210929266977276E-3</v>
      </c>
      <c r="T151" s="62">
        <f>T85*Input!$C$31</f>
        <v>6.7222246160664204E-2</v>
      </c>
      <c r="U151" s="62">
        <f>U85*Input!$C$31</f>
        <v>0.16302519024273637</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9.3070000396799996E-2</v>
      </c>
      <c r="AC151" s="1">
        <f>AC85*Input!$C$31</f>
        <v>2.6243862173148248E-3</v>
      </c>
      <c r="AD151" s="62">
        <f>AD85*Input!$C$31</f>
        <v>9.5694386614114821E-2</v>
      </c>
      <c r="AE151" s="1">
        <f>AE85*Input!$C$31</f>
        <v>-3.2338268928E-2</v>
      </c>
      <c r="AF151" s="1">
        <f>AF85*Input!$C$31</f>
        <v>-0.37963562041669396</v>
      </c>
      <c r="AG151" s="1">
        <f>AG85*Input!$C$31</f>
        <v>-0.20808748758658296</v>
      </c>
      <c r="AH151" s="1">
        <f>AH85*Input!$C$31</f>
        <v>-0.24883223221622869</v>
      </c>
      <c r="AI151" s="1">
        <f>AI85*Input!$C$31</f>
        <v>-5.7629357714125851E-3</v>
      </c>
      <c r="AJ151" s="1">
        <f>AJ85*Input!$C$31</f>
        <v>-8.6818510648530006E-3</v>
      </c>
      <c r="AK151" s="1">
        <f>AK85*Input!$C$31</f>
        <v>-3.2494789219634383E-2</v>
      </c>
      <c r="AL151" s="1">
        <f>AL85*Input!$C$31</f>
        <v>-1.7401657241364478E-2</v>
      </c>
      <c r="AM151" s="62">
        <f>AM85*Input!$C$31</f>
        <v>-0.93323484244477017</v>
      </c>
      <c r="AN151" s="62">
        <f>AN85*Input!$C$31</f>
        <v>-0.83754045583065539</v>
      </c>
    </row>
    <row r="152" spans="1:40" x14ac:dyDescent="0.35">
      <c r="A152" s="148" t="s">
        <v>58</v>
      </c>
      <c r="B152" s="338">
        <f>+SUM(E133:E151,H133:H151,K133:K151,N133:N151,Q133:Q151,T133:T151,U133:V151,Z133:Z151,AA133:AA151,AD133:AD151,AM133:AM151)-SUM(C4:K22)*Input!$C$31</f>
        <v>6.5369931689929217E-13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2.257590932111079</v>
      </c>
      <c r="D159" s="1">
        <f>+D125/Input!$C$31</f>
        <v>6.691659400334351</v>
      </c>
      <c r="E159" s="1">
        <f>+E125/Input!$C$31</f>
        <v>11.7448</v>
      </c>
      <c r="F159" s="1">
        <f>+F125/Input!$C$31</f>
        <v>0.9203231930566127</v>
      </c>
      <c r="G159" s="1">
        <f>+G125/Input!$C$31</f>
        <v>0.12166438176342087</v>
      </c>
      <c r="H159" s="1">
        <f>+H125/Input!$C$31</f>
        <v>5.9634003872689578E-2</v>
      </c>
      <c r="I159" s="1">
        <f>+I125/Input!$C$31</f>
        <v>0.16679033795373477</v>
      </c>
      <c r="J159" s="1">
        <f>+J125/Input!$C$31</f>
        <v>6.7149075356999992</v>
      </c>
      <c r="K159" s="1">
        <f>+K125/Input!$C$31</f>
        <v>0</v>
      </c>
      <c r="L159" s="1">
        <f>+L125/Input!$C$31</f>
        <v>0</v>
      </c>
      <c r="M159" s="1">
        <f>+M125/Input!$C$31</f>
        <v>0.65423526228811013</v>
      </c>
      <c r="N159" s="1">
        <f>+N125/Input!$C$31</f>
        <v>0.64922773956440383</v>
      </c>
      <c r="O159" s="1">
        <f>+O125/Input!$C$31</f>
        <v>21.775703721673015</v>
      </c>
      <c r="P159" s="1">
        <f>+P125/Input!$C$31</f>
        <v>3.1747701841127993</v>
      </c>
      <c r="Q159" s="1">
        <f>+Q125/Input!$C$31</f>
        <v>1.1562033017188762</v>
      </c>
      <c r="R159" s="1">
        <f>+R125/Input!$C$31</f>
        <v>0.87737079908012994</v>
      </c>
      <c r="S159" s="1">
        <f>+S125/Input!$C$31</f>
        <v>0.76033864762898462</v>
      </c>
      <c r="T159" s="1">
        <f>+T125/Input!$C$31</f>
        <v>15.973208166299999</v>
      </c>
      <c r="U159" s="1">
        <f>+U125/Input!$C$31</f>
        <v>-12.381012000000002</v>
      </c>
      <c r="V159" s="1">
        <f>+V125/Input!$C$31</f>
        <v>-0.94737620791540567</v>
      </c>
      <c r="W159" s="1">
        <f>+W125/Input!$C$31</f>
        <v>-0.76160680160773897</v>
      </c>
      <c r="X159" s="1">
        <f>+X125/Input!$C$31</f>
        <v>-1.0130154825271522</v>
      </c>
      <c r="Y159" s="1">
        <f>+Y125/Input!$C$31</f>
        <v>-0.98906814583998781</v>
      </c>
      <c r="Z159" s="1">
        <f>+Z125/Input!$C$31</f>
        <v>-1.4900291580151148</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6.0999999999999999E-2</v>
      </c>
      <c r="D5" s="158"/>
      <c r="E5" s="158">
        <f>INDEX(LCI!H$2:H$130,MATCH('A1 - Raw Material Supply'!$B5,LCI!$D$2:$D$130,0))*$C5</f>
        <v>3.3206591533990028E-3</v>
      </c>
      <c r="F5" s="158">
        <f>INDEX(LCI!I$2:I$130,MATCH('A1 - Raw Material Supply'!$B5,LCI!$D$2:$D$130,0))*$C5</f>
        <v>0.1725637053160215</v>
      </c>
      <c r="G5" s="158">
        <f>INDEX(LCI!J$2:J$130,MATCH('A1 - Raw Material Supply'!$B5,LCI!$D$2:$D$130,0))*$C5</f>
        <v>5.3190259255154657E-4</v>
      </c>
      <c r="H5" s="158">
        <f>INDEX(LCI!K$2:K$130,MATCH('A1 - Raw Material Supply'!$B5,LCI!$D$2:$D$130,0))*$C5</f>
        <v>0.17197507610837182</v>
      </c>
      <c r="I5" s="158">
        <f>INDEX(LCI!L$2:L$130,MATCH('A1 - Raw Material Supply'!$B5,LCI!$D$2:$D$130,0))*$C5</f>
        <v>5.6726615098107457E-5</v>
      </c>
      <c r="J5" s="158">
        <f>INDEX(LCI!M$2:M$130,MATCH('A1 - Raw Material Supply'!$B5,LCI!$D$2:$D$130,0))*$C5</f>
        <v>1.7051286340328997</v>
      </c>
      <c r="K5" s="158">
        <f>INDEX(LCI!N$2:N$130,MATCH('A1 - Raw Material Supply'!$B5,LCI!$D$2:$D$130,0))*$C5</f>
        <v>2.4451836674520284</v>
      </c>
      <c r="L5" s="158">
        <f>INDEX(LCI!O$2:O$130,MATCH('A1 - Raw Material Supply'!$B5,LCI!$D$2:$D$130,0))*$C5</f>
        <v>1.2750752508948473E-5</v>
      </c>
      <c r="M5" s="158">
        <f>INDEX(LCI!P$2:P$130,MATCH('A1 - Raw Material Supply'!$B5,LCI!$D$2:$D$130,0))*$C5</f>
        <v>1.1928010996352723E-3</v>
      </c>
      <c r="N5" s="158">
        <f>INDEX(LCI!Q$2:Q$130,MATCH('A1 - Raw Material Supply'!$B5,LCI!$D$2:$D$130,0))*$C5</f>
        <v>1.6636956030935176E-2</v>
      </c>
      <c r="O5" s="158">
        <f>INDEX(LCI!R$2:R$130,MATCH('A1 - Raw Material Supply'!$B5,LCI!$D$2:$D$130,0))*$C5</f>
        <v>3.1098734480592764E-11</v>
      </c>
      <c r="P5" s="158">
        <f>INDEX(LCI!S$2:S$130,MATCH('A1 - Raw Material Supply'!$B5,LCI!$D$2:$D$130,0))*$C5</f>
        <v>8.2554245453956894E-10</v>
      </c>
      <c r="Q5" s="158">
        <f>INDEX(LCI!T$2:T$130,MATCH('A1 - Raw Material Supply'!$B5,LCI!$D$2:$D$130,0))*$C5</f>
        <v>6.5235409876746985E-3</v>
      </c>
      <c r="R5" s="158">
        <f>INDEX(LCI!U$2:U$130,MATCH('A1 - Raw Material Supply'!$B5,LCI!$D$2:$D$130,0))*$C5</f>
        <v>2.0111230924374026</v>
      </c>
      <c r="S5" s="158">
        <f>INDEX(LCI!V$2:V$130,MATCH('A1 - Raw Material Supply'!$B5,LCI!$D$2:$D$130,0))*$C5</f>
        <v>5.0015886110421941E-7</v>
      </c>
      <c r="T5" s="158">
        <f>INDEX(LCI!W$2:W$130,MATCH('A1 - Raw Material Supply'!$B5,LCI!$D$2:$D$130,0))*$C5</f>
        <v>2.8444523444378932E-9</v>
      </c>
      <c r="U5" s="158">
        <f>INDEX(LCI!X$2:X$130,MATCH('A1 - Raw Material Supply'!$B5,LCI!$D$2:$D$130,0))*$C5</f>
        <v>5.3780018504830818E-8</v>
      </c>
      <c r="V5" s="158">
        <f>INDEX(LCI!Y$2:Y$130,MATCH('A1 - Raw Material Supply'!$B5,LCI!$D$2:$D$130,0))*$C5</f>
        <v>3.7573534574921121E-3</v>
      </c>
      <c r="W5" s="158">
        <f>INDEX(LCI!Z$2:Z$130,MATCH('A1 - Raw Material Supply'!$B5,LCI!$D$2:$D$130,0))*$C5</f>
        <v>0.24556325502132795</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7.9386688750677434E-2</v>
      </c>
      <c r="F23" s="158">
        <f t="shared" ref="F23:W23" si="0">SUM(F4:F22)</f>
        <v>14.778290576162606</v>
      </c>
      <c r="G23" s="158">
        <f t="shared" si="0"/>
        <v>0.15960892697974377</v>
      </c>
      <c r="H23" s="158">
        <f t="shared" si="0"/>
        <v>14.619651449477002</v>
      </c>
      <c r="I23" s="158">
        <f t="shared" si="0"/>
        <v>7.1185997058632669E-3</v>
      </c>
      <c r="J23" s="158">
        <f t="shared" si="0"/>
        <v>649.7772856153839</v>
      </c>
      <c r="K23" s="158">
        <f t="shared" si="0"/>
        <v>1055.5721086188687</v>
      </c>
      <c r="L23" s="158">
        <f t="shared" si="0"/>
        <v>3.9932693024604949E-4</v>
      </c>
      <c r="M23" s="158">
        <f t="shared" si="0"/>
        <v>2.4398711628829513E-2</v>
      </c>
      <c r="N23" s="158">
        <f t="shared" si="0"/>
        <v>0.29696272858061318</v>
      </c>
      <c r="O23" s="158">
        <f t="shared" si="0"/>
        <v>1.1716584664359555E-8</v>
      </c>
      <c r="P23" s="158">
        <f t="shared" si="0"/>
        <v>3.4153242088380752E-7</v>
      </c>
      <c r="Q23" s="158">
        <f t="shared" si="0"/>
        <v>0.37485117363209597</v>
      </c>
      <c r="R23" s="158">
        <f t="shared" si="0"/>
        <v>400.58210845243951</v>
      </c>
      <c r="S23" s="158">
        <f t="shared" si="0"/>
        <v>2.0738912536104792E-4</v>
      </c>
      <c r="T23" s="158">
        <f t="shared" si="0"/>
        <v>4.3953764770222923E-8</v>
      </c>
      <c r="U23" s="158">
        <f t="shared" si="0"/>
        <v>1.3272698948377864E-6</v>
      </c>
      <c r="V23" s="158">
        <f t="shared" si="0"/>
        <v>9.1498727643183883E-2</v>
      </c>
      <c r="W23" s="158">
        <f t="shared" si="0"/>
        <v>3.8418943355339898</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7.9386688750677434E-2</v>
      </c>
      <c r="F54" s="154">
        <f t="shared" ref="F54:W54" si="2">F23+F47</f>
        <v>14.778290576162606</v>
      </c>
      <c r="G54" s="154">
        <f t="shared" si="2"/>
        <v>0.15960892697974377</v>
      </c>
      <c r="H54" s="154">
        <f t="shared" si="2"/>
        <v>14.619651449477002</v>
      </c>
      <c r="I54" s="154">
        <f t="shared" si="2"/>
        <v>7.1185997058632669E-3</v>
      </c>
      <c r="J54" s="154">
        <f t="shared" si="2"/>
        <v>649.7772856153839</v>
      </c>
      <c r="K54" s="154">
        <f t="shared" si="2"/>
        <v>1055.5721086188687</v>
      </c>
      <c r="L54" s="154">
        <f t="shared" si="2"/>
        <v>3.9932693024604949E-4</v>
      </c>
      <c r="M54" s="154">
        <f t="shared" si="2"/>
        <v>2.4398711628829513E-2</v>
      </c>
      <c r="N54" s="154">
        <f t="shared" si="2"/>
        <v>0.29696272858061318</v>
      </c>
      <c r="O54" s="154">
        <f t="shared" si="2"/>
        <v>1.1716584664359555E-8</v>
      </c>
      <c r="P54" s="154">
        <f t="shared" si="2"/>
        <v>3.4153242088380752E-7</v>
      </c>
      <c r="Q54" s="154">
        <f t="shared" si="2"/>
        <v>0.37485117363209597</v>
      </c>
      <c r="R54" s="154">
        <f t="shared" si="2"/>
        <v>400.58210845243951</v>
      </c>
      <c r="S54" s="154">
        <f t="shared" si="2"/>
        <v>2.0738912536104792E-4</v>
      </c>
      <c r="T54" s="154">
        <f t="shared" si="2"/>
        <v>4.3953764770222923E-8</v>
      </c>
      <c r="U54" s="154">
        <f t="shared" si="2"/>
        <v>1.3272698948377864E-6</v>
      </c>
      <c r="V54" s="154">
        <f t="shared" si="2"/>
        <v>9.1498727643183883E-2</v>
      </c>
      <c r="W54" s="154">
        <f t="shared" si="2"/>
        <v>3.8418943355339898</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3.3206591533990028E-3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3.5123816629792567E-2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0.1725637053160215</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2.257590932111079</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5.3190259255154657E-4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4.3074191235738827E-3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0.17197507610837182</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2.2526938635434135</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5.6726615098107457E-5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5.8964944409195356E-4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1.7051286340328997</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15.105125447103942</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2.4451836674520284</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31.054793647495167</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1.2750752508948473E-5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1.4384535895084423E-4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1.1928010996352723E-3</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1.3318101023214563E-2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1.6636956030935176E-2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0.17618729939659733</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3.1098734480592764E-11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3.5692543894392867E-10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8.2554245453956894E-10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8.4961887941133851E-9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6.5235409876746985E-3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6.1999922579962938E-2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2.0111230924374026</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391.20196233776971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5.0015886110421941E-7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4.742706305592335E-6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2.8444523444378932E-9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3.5702259662986999E-8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5.3780018504830818E-8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6.5360368889705883E-7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3.7573534574921121E-3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4.2361407169931642E-2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0.24556325502132795</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3.0979806680888267</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445.30418379770373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3.3206591533990028E-3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3.5123816629792567E-2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7.9386688750677434E-2</v>
      </c>
    </row>
    <row r="115" spans="1:26" x14ac:dyDescent="0.35">
      <c r="A115" s="1" t="s">
        <v>280</v>
      </c>
      <c r="B115" s="154">
        <f t="shared" ref="B115:K132" si="8">B66+B90</f>
        <v>0.1725637053160215</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2.257590932111079</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14.778290576162609</v>
      </c>
    </row>
    <row r="116" spans="1:26" x14ac:dyDescent="0.35">
      <c r="A116" s="1" t="s">
        <v>281</v>
      </c>
      <c r="B116" s="154">
        <f t="shared" si="8"/>
        <v>5.3190259255154657E-4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4.3074191235738827E-3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0.15960892697974377</v>
      </c>
    </row>
    <row r="117" spans="1:26" x14ac:dyDescent="0.35">
      <c r="A117" s="1" t="s">
        <v>282</v>
      </c>
      <c r="B117" s="154">
        <f t="shared" si="8"/>
        <v>0.17197507610837182</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2.2526938635434135</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14.619651449477002</v>
      </c>
    </row>
    <row r="118" spans="1:26" x14ac:dyDescent="0.35">
      <c r="A118" s="1" t="s">
        <v>283</v>
      </c>
      <c r="B118" s="154">
        <f t="shared" si="8"/>
        <v>5.6726615098107457E-5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5.8964944409195356E-4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7.1185997058632669E-3</v>
      </c>
    </row>
    <row r="119" spans="1:26" x14ac:dyDescent="0.35">
      <c r="A119" s="1" t="s">
        <v>284</v>
      </c>
      <c r="B119" s="154">
        <f t="shared" si="8"/>
        <v>1.7051286340328997</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15.105125447103942</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649.7772856153839</v>
      </c>
    </row>
    <row r="120" spans="1:26" x14ac:dyDescent="0.35">
      <c r="A120" s="1" t="s">
        <v>285</v>
      </c>
      <c r="B120" s="154">
        <f t="shared" si="8"/>
        <v>2.4451836674520284</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31.054793647495167</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1055.5721086188687</v>
      </c>
    </row>
    <row r="121" spans="1:26" x14ac:dyDescent="0.35">
      <c r="A121" s="1" t="s">
        <v>286</v>
      </c>
      <c r="B121" s="154">
        <f t="shared" si="8"/>
        <v>1.2750752508948473E-5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1.4384535895084423E-4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3.9932693024604944E-4</v>
      </c>
    </row>
    <row r="122" spans="1:26" x14ac:dyDescent="0.35">
      <c r="A122" s="1" t="s">
        <v>287</v>
      </c>
      <c r="B122" s="154">
        <f t="shared" si="8"/>
        <v>1.1928010996352723E-3</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1.3318101023214563E-2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2.4398711628829516E-2</v>
      </c>
    </row>
    <row r="123" spans="1:26" x14ac:dyDescent="0.35">
      <c r="A123" s="1" t="s">
        <v>288</v>
      </c>
      <c r="B123" s="154">
        <f t="shared" si="8"/>
        <v>1.6636956030935176E-2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0.17618729939659733</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0.29696272858061312</v>
      </c>
    </row>
    <row r="124" spans="1:26" x14ac:dyDescent="0.35">
      <c r="A124" s="1" t="s">
        <v>289</v>
      </c>
      <c r="B124" s="154">
        <f t="shared" si="8"/>
        <v>3.1098734480592764E-11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3.5692543894392867E-10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1.1716584664359557E-8</v>
      </c>
    </row>
    <row r="125" spans="1:26" x14ac:dyDescent="0.35">
      <c r="A125" s="1" t="s">
        <v>319</v>
      </c>
      <c r="B125" s="154">
        <f t="shared" si="8"/>
        <v>8.2554245453956894E-10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8.4961887941133851E-9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3.4153242088380752E-7</v>
      </c>
    </row>
    <row r="126" spans="1:26" x14ac:dyDescent="0.35">
      <c r="A126" s="1" t="s">
        <v>291</v>
      </c>
      <c r="B126" s="154">
        <f t="shared" si="8"/>
        <v>6.5235409876746985E-3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6.1999922579962938E-2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0.37485117363209597</v>
      </c>
    </row>
    <row r="127" spans="1:26" x14ac:dyDescent="0.35">
      <c r="A127" s="1" t="s">
        <v>292</v>
      </c>
      <c r="B127" s="154">
        <f t="shared" si="8"/>
        <v>2.0111230924374026</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391.20196233776971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400.58210845243951</v>
      </c>
    </row>
    <row r="128" spans="1:26" x14ac:dyDescent="0.35">
      <c r="A128" s="1" t="s">
        <v>293</v>
      </c>
      <c r="B128" s="154">
        <f t="shared" si="8"/>
        <v>5.0015886110421941E-7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4.742706305592335E-6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2.0738912536104792E-4</v>
      </c>
    </row>
    <row r="129" spans="1:26" x14ac:dyDescent="0.35">
      <c r="A129" s="1" t="s">
        <v>294</v>
      </c>
      <c r="B129" s="154">
        <f t="shared" si="8"/>
        <v>2.8444523444378932E-9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3.5702259662986999E-8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4.3953764770222923E-8</v>
      </c>
    </row>
    <row r="130" spans="1:26" x14ac:dyDescent="0.35">
      <c r="A130" s="1" t="s">
        <v>295</v>
      </c>
      <c r="B130" s="154">
        <f t="shared" si="8"/>
        <v>5.3780018504830818E-8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6.5360368889705883E-7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1.3272698948377861E-6</v>
      </c>
    </row>
    <row r="131" spans="1:26" x14ac:dyDescent="0.35">
      <c r="A131" s="1" t="s">
        <v>296</v>
      </c>
      <c r="B131" s="154">
        <f t="shared" si="8"/>
        <v>3.7573534574921121E-3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4.2361407169931642E-2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9.1498727643183883E-2</v>
      </c>
    </row>
    <row r="132" spans="1:26" x14ac:dyDescent="0.35">
      <c r="A132" s="1" t="s">
        <v>297</v>
      </c>
      <c r="B132" s="154">
        <f t="shared" si="8"/>
        <v>0.24556325502132795</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3.0979806680888267</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3.8418943355339903</v>
      </c>
    </row>
    <row r="133" spans="1:26" x14ac:dyDescent="0.35">
      <c r="K133">
        <f>+SUM(K114:K132)</f>
        <v>445.30418379770373</v>
      </c>
      <c r="N133">
        <f>+SUM(N114:N132)</f>
        <v>3.5860956936697885</v>
      </c>
      <c r="O133">
        <f>+SUM(O114:O132)</f>
        <v>1676.3414996832948</v>
      </c>
      <c r="R133">
        <f>+SUM(R114:R132)</f>
        <v>0</v>
      </c>
      <c r="U133">
        <f>+SUM(U114:U132)</f>
        <v>0</v>
      </c>
      <c r="Y133">
        <f>+SUM(Y114:Y132)</f>
        <v>14.973993870647137</v>
      </c>
      <c r="Z133">
        <f>+SUM(Z114:Z132)</f>
        <v>2140.2057730453148</v>
      </c>
    </row>
    <row r="136" spans="1:26" x14ac:dyDescent="0.35">
      <c r="B136" s="205" t="s">
        <v>324</v>
      </c>
      <c r="C136" s="205" t="s">
        <v>325</v>
      </c>
      <c r="D136" s="205" t="s">
        <v>200</v>
      </c>
    </row>
    <row r="137" spans="1:26" x14ac:dyDescent="0.35">
      <c r="A137" s="95" t="s">
        <v>326</v>
      </c>
      <c r="B137" s="1">
        <f>+SUM(E4:W22)</f>
        <v>2140.2057730453157</v>
      </c>
      <c r="C137" s="1">
        <f>+SUM(E28:W46)</f>
        <v>0</v>
      </c>
      <c r="D137" s="1">
        <f>+SUM(E54:W54)</f>
        <v>2140.2057730453148</v>
      </c>
    </row>
    <row r="138" spans="1:26" x14ac:dyDescent="0.35">
      <c r="A138" s="95" t="s">
        <v>327</v>
      </c>
      <c r="B138" s="1">
        <f>+SUM(B65:J83,L65:M83,O65:O83,P65:Q83,S65:T83,V65:X83)</f>
        <v>2140.2057730453148</v>
      </c>
      <c r="C138" s="1">
        <f>+SUM(B89:J107,L89:M107,O89:O107,P89:Q107,S89:T107,V89:X107)</f>
        <v>0</v>
      </c>
      <c r="D138" s="1">
        <f>+SUM(B114:G132,H114:J132,L114:M132,O114:O132,P114:Q132,S114:T132,V114:X132)</f>
        <v>2140.2057730453148</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261.62</v>
      </c>
      <c r="E15" s="158" t="str">
        <f>Input!$J39</f>
        <v>Truck</v>
      </c>
      <c r="F15" s="158" t="str">
        <f>Input!$K39</f>
        <v>Diesel_Euro6</v>
      </c>
      <c r="G15" s="158" cm="1">
        <f t="array" ref="G15">INDEX(LCI!H$2:H$73, MATCH($E15&amp;$F15, LCI!$B$2:$B$73&amp;LCI!$D$2:$D$73, 0))* IF(AND($E15="Truck", OR($F15="Electric", $F15="Electric_green")), $B$6, 1)* $C15* $D15</f>
        <v>1.3723956056223999E-3</v>
      </c>
      <c r="H15" s="158" cm="1">
        <f t="array" ref="H15">INDEX(LCI!I$2:I$73, MATCH($E15&amp;$F15, LCI!$B$2:$B$73&amp;LCI!$D$2:$D$73, 0))* IF(AND($E15="Truck", OR($F15="Electric", $F15="Electric_green")), $B$6, 1)* $C15* $D15</f>
        <v>0.9203231930566127</v>
      </c>
      <c r="I15" s="158" cm="1">
        <f t="array" ref="I15">INDEX(LCI!J$2:J$73, MATCH($E15&amp;$F15, LCI!$B$2:$B$73&amp;LCI!$D$2:$D$73, 0))* IF(AND($E15="Truck", OR($F15="Electric", $F15="Electric_green")), $B$6, 1)* $C15* $D15</f>
        <v>4.3011820489776E-4</v>
      </c>
      <c r="J15" s="158" cm="1">
        <f t="array" ref="J15">INDEX(LCI!K$2:K$73, MATCH($E15&amp;$F15, LCI!$B$2:$B$73&amp;LCI!$D$2:$D$73, 0))* IF(AND($E15="Truck", OR($F15="Electric", $F15="Electric_green")), $B$6, 1)* $C15* $D15</f>
        <v>0.91981987156856637</v>
      </c>
      <c r="K15" s="158" cm="1">
        <f t="array" ref="K15">INDEX(LCI!L$2:L$73, MATCH($E15&amp;$F15, LCI!$B$2:$B$73&amp;LCI!$D$2:$D$73, 0))* IF(AND($E15="Truck", OR($F15="Electric", $F15="Electric_green")), $B$6, 1)* $C15* $D15</f>
        <v>7.3202123648800002E-5</v>
      </c>
      <c r="L15" s="158" cm="1">
        <f t="array" ref="L15">INDEX(LCI!M$2:M$73, MATCH($E15&amp;$F15, LCI!$B$2:$B$73&amp;LCI!$D$2:$D$73, 0))* IF(AND($E15="Truck", OR($F15="Electric", $F15="Electric_green")), $B$6, 1)* $C15* $D15</f>
        <v>0.79045393525234076</v>
      </c>
      <c r="M15" s="158" cm="1">
        <f t="array" ref="M15">INDEX(LCI!N$2:N$73, MATCH($E15&amp;$F15, LCI!$B$2:$B$73&amp;LCI!$D$2:$D$73, 0))* IF(AND($E15="Truck", OR($F15="Electric", $F15="Electric_green")), $B$6, 1)* $C15* $D15</f>
        <v>12.386593346867391</v>
      </c>
      <c r="N15" s="158" cm="1">
        <f t="array" ref="N15">INDEX(LCI!O$2:O$73, MATCH($E15&amp;$F15, LCI!$B$2:$B$73&amp;LCI!$D$2:$D$73, 0))* IF(AND($E15="Truck", OR($F15="Electric", $F15="Electric_green")), $B$6, 1)* $C15* $D15</f>
        <v>2.1466342312848E-5</v>
      </c>
      <c r="O15" s="158" cm="1">
        <f t="array" ref="O15">INDEX(LCI!P$2:P$73, MATCH($E15&amp;$F15, LCI!$B$2:$B$73&amp;LCI!$D$2:$D$73, 0))* IF(AND($E15="Truck", OR($F15="Electric", $F15="Electric_green")), $B$6, 1)* $C15* $D15</f>
        <v>2.9913472572224001E-4</v>
      </c>
      <c r="P15" s="158" cm="1">
        <f t="array" ref="P15">INDEX(LCI!Q$2:Q$73, MATCH($E15&amp;$F15, LCI!$B$2:$B$73&amp;LCI!$D$2:$D$73, 0))* IF(AND($E15="Truck", OR($F15="Electric", $F15="Electric_green")), $B$6, 1)* $C15* $D15</f>
        <v>3.2378627207056E-3</v>
      </c>
      <c r="Q15" s="158" cm="1">
        <f t="array" ref="Q15">INDEX(LCI!R$2:R$73, MATCH($E15&amp;$F15, LCI!$B$2:$B$73&amp;LCI!$D$2:$D$73, 0))* IF(AND($E15="Truck", OR($F15="Electric", $F15="Electric_green")), $B$6, 1)* $C15* $D15</f>
        <v>8.1569074494239994E-11</v>
      </c>
      <c r="R15" s="158" cm="1">
        <f t="array" ref="R15">INDEX(LCI!S$2:S$73, MATCH($E15&amp;$F15, LCI!$B$2:$B$73&amp;LCI!$D$2:$D$73, 0))* IF(AND($E15="Truck", OR($F15="Electric", $F15="Electric_green")), $B$6, 1)* $C15* $D15</f>
        <v>6.6368611341760007E-9</v>
      </c>
      <c r="S15" s="158" cm="1">
        <f t="array" ref="S15">INDEX(LCI!T$2:T$73, MATCH($E15&amp;$F15, LCI!$B$2:$B$73&amp;LCI!$D$2:$D$73, 0))* IF(AND($E15="Truck", OR($F15="Electric", $F15="Electric_green")), $B$6, 1)* $C15* $D15</f>
        <v>5.6166520099551996E-3</v>
      </c>
      <c r="T15" s="158" cm="1">
        <f t="array" ref="T15">INDEX(LCI!U$2:U$73, MATCH($E15&amp;$F15, LCI!$B$2:$B$73&amp;LCI!$D$2:$D$73, 0))* IF(AND($E15="Truck", OR($F15="Electric", $F15="Electric_green")), $B$6, 1)* $C15* $D15</f>
        <v>0.78130875710178882</v>
      </c>
      <c r="U15" s="158" cm="1">
        <f t="array" ref="U15">INDEX(LCI!V$2:V$73, MATCH($E15&amp;$F15, LCI!$B$2:$B$73&amp;LCI!$D$2:$D$73, 0))* IF(AND($E15="Truck", OR($F15="Electric", $F15="Electric_green")), $B$6, 1)* $C15* $D15</f>
        <v>1.0153566173903999E-6</v>
      </c>
      <c r="V15" s="158" cm="1">
        <f t="array" ref="V15">INDEX(LCI!W$2:W$73, MATCH($E15&amp;$F15, LCI!$B$2:$B$73&amp;LCI!$D$2:$D$73, 0))* IF(AND($E15="Truck", OR($F15="Electric", $F15="Electric_green")), $B$6, 1)* $C15* $D15</f>
        <v>2.0464128626144001E-8</v>
      </c>
      <c r="W15" s="158" cm="1">
        <f t="array" ref="W15">INDEX(LCI!X$2:X$73, MATCH($E15&amp;$F15, LCI!$B$2:$B$73&amp;LCI!$D$2:$D$73, 0))* IF(AND($E15="Truck", OR($F15="Electric", $F15="Electric_green")), $B$6, 1)* $C15* $D15</f>
        <v>5.7044899203343993E-8</v>
      </c>
      <c r="X15" s="158" cm="1">
        <f t="array" ref="X15">INDEX(LCI!Y$2:Y$73, MATCH($E15&amp;$F15, LCI!$B$2:$B$73&amp;LCI!$D$2:$D$73, 0))* IF(AND($E15="Truck", OR($F15="Electric", $F15="Electric_green")), $B$6, 1)* $C15* $D15</f>
        <v>2.3927206798272003E-3</v>
      </c>
      <c r="Y15" s="158" cm="1">
        <f t="array" ref="Y15">INDEX(LCI!Z$2:Z$73, MATCH($E15&amp;$F15, LCI!$B$2:$B$73&amp;LCI!$D$2:$D$73, 0))* IF(AND($E15="Truck", OR($F15="Electric", $F15="Electric_green")), $B$6, 1)* $C15* $D15</f>
        <v>2.8211726834548801E-2</v>
      </c>
    </row>
    <row r="16" spans="1:25" ht="14" customHeight="1" x14ac:dyDescent="0.35">
      <c r="A16" s="395" t="s">
        <v>211</v>
      </c>
      <c r="B16" s="158" t="str">
        <f>Input!A40</f>
        <v>Virgin crushed coarse aggregate 1 (&gt;2 mm)</v>
      </c>
      <c r="C16" s="158">
        <f>+Input!B40</f>
        <v>6.0999999999999999E-2</v>
      </c>
      <c r="D16" s="158">
        <f>Input!$L40</f>
        <v>114.54</v>
      </c>
      <c r="E16" s="158" t="str">
        <f>Input!$J40</f>
        <v>Truck</v>
      </c>
      <c r="F16" s="158" t="str">
        <f>Input!$K40</f>
        <v>Diesel_Euro6</v>
      </c>
      <c r="G16" s="158" cm="1">
        <f t="array" ref="G16">INDEX(LCI!H$2:H$73, MATCH($E16&amp;$F16, LCI!$B$2:$B$73&amp;LCI!$D$2:$D$73, 0))* IF(AND($E16="Truck", OR($F16="Electric", $F16="Electric_green")), $B$6, 1)* $C16* $D16</f>
        <v>1.6539624106800001E-3</v>
      </c>
      <c r="H16" s="158" cm="1">
        <f t="array" ref="H16">INDEX(LCI!I$2:I$73, MATCH($E16&amp;$F16, LCI!$B$2:$B$73&amp;LCI!$D$2:$D$73, 0))* IF(AND($E16="Truck", OR($F16="Electric", $F16="Electric_green")), $B$6, 1)* $C16* $D16</f>
        <v>1.10914080514146</v>
      </c>
      <c r="I16" s="158" cm="1">
        <f t="array" ref="I16">INDEX(LCI!J$2:J$73, MATCH($E16&amp;$F16, LCI!$B$2:$B$73&amp;LCI!$D$2:$D$73, 0))* IF(AND($E16="Truck", OR($F16="Electric", $F16="Electric_green")), $B$6, 1)* $C16* $D16</f>
        <v>5.1836317468199997E-4</v>
      </c>
      <c r="J16" s="158" cm="1">
        <f t="array" ref="J16">INDEX(LCI!K$2:K$73, MATCH($E16&amp;$F16, LCI!$B$2:$B$73&amp;LCI!$D$2:$D$73, 0))* IF(AND($E16="Truck", OR($F16="Electric", $F16="Electric_green")), $B$6, 1)* $C16* $D16</f>
        <v>1.1085342199714801</v>
      </c>
      <c r="K16" s="158" cm="1">
        <f t="array" ref="K16">INDEX(LCI!L$2:L$73, MATCH($E16&amp;$F16, LCI!$B$2:$B$73&amp;LCI!$D$2:$D$73, 0))* IF(AND($E16="Truck", OR($F16="Electric", $F16="Electric_green")), $B$6, 1)* $C16* $D16</f>
        <v>8.822059791E-5</v>
      </c>
      <c r="L16" s="158" cm="1">
        <f t="array" ref="L16">INDEX(LCI!M$2:M$73, MATCH($E16&amp;$F16, LCI!$B$2:$B$73&amp;LCI!$D$2:$D$73, 0))* IF(AND($E16="Truck", OR($F16="Electric", $F16="Electric_green")), $B$6, 1)* $C16* $D16</f>
        <v>0.95262699102605986</v>
      </c>
      <c r="M16" s="158" cm="1">
        <f t="array" ref="M16">INDEX(LCI!N$2:N$73, MATCH($E16&amp;$F16, LCI!$B$2:$B$73&amp;LCI!$D$2:$D$73, 0))* IF(AND($E16="Truck", OR($F16="Electric", $F16="Electric_green")), $B$6, 1)* $C16* $D16</f>
        <v>14.927882097674399</v>
      </c>
      <c r="N16" s="158" cm="1">
        <f t="array" ref="N16">INDEX(LCI!O$2:O$73, MATCH($E16&amp;$F16, LCI!$B$2:$B$73&amp;LCI!$D$2:$D$73, 0))* IF(AND($E16="Truck", OR($F16="Electric", $F16="Electric_green")), $B$6, 1)* $C16* $D16</f>
        <v>2.5870472868600001E-5</v>
      </c>
      <c r="O16" s="158" cm="1">
        <f t="array" ref="O16">INDEX(LCI!P$2:P$73, MATCH($E16&amp;$F16, LCI!$B$2:$B$73&amp;LCI!$D$2:$D$73, 0))* IF(AND($E16="Truck", OR($F16="Electric", $F16="Electric_green")), $B$6, 1)* $C16* $D16</f>
        <v>3.6050654056800005E-4</v>
      </c>
      <c r="P16" s="158" cm="1">
        <f t="array" ref="P16">INDEX(LCI!Q$2:Q$73, MATCH($E16&amp;$F16, LCI!$B$2:$B$73&amp;LCI!$D$2:$D$73, 0))* IF(AND($E16="Truck", OR($F16="Electric", $F16="Electric_green")), $B$6, 1)* $C16* $D16</f>
        <v>3.9021570814200004E-3</v>
      </c>
      <c r="Q16" s="158" cm="1">
        <f t="array" ref="Q16">INDEX(LCI!R$2:R$73, MATCH($E16&amp;$F16, LCI!$B$2:$B$73&amp;LCI!$D$2:$D$73, 0))* IF(AND($E16="Truck", OR($F16="Electric", $F16="Electric_green")), $B$6, 1)* $C16* $D16</f>
        <v>9.8304149718000006E-11</v>
      </c>
      <c r="R16" s="158" cm="1">
        <f t="array" ref="R16">INDEX(LCI!S$2:S$73, MATCH($E16&amp;$F16, LCI!$B$2:$B$73&amp;LCI!$D$2:$D$73, 0))* IF(AND($E16="Truck", OR($F16="Electric", $F16="Electric_green")), $B$6, 1)* $C16* $D16</f>
        <v>7.9985091732E-9</v>
      </c>
      <c r="S16" s="158" cm="1">
        <f t="array" ref="S16">INDEX(LCI!T$2:T$73, MATCH($E16&amp;$F16, LCI!$B$2:$B$73&amp;LCI!$D$2:$D$73, 0))* IF(AND($E16="Truck", OR($F16="Electric", $F16="Electric_green")), $B$6, 1)* $C16* $D16</f>
        <v>6.7689893936400004E-3</v>
      </c>
      <c r="T16" s="158" cm="1">
        <f t="array" ref="T16">INDEX(LCI!U$2:U$73, MATCH($E16&amp;$F16, LCI!$B$2:$B$73&amp;LCI!$D$2:$D$73, 0))* IF(AND($E16="Truck", OR($F16="Electric", $F16="Electric_green")), $B$6, 1)* $C16* $D16</f>
        <v>0.94160554732716006</v>
      </c>
      <c r="U16" s="158" cm="1">
        <f t="array" ref="U16">INDEX(LCI!V$2:V$73, MATCH($E16&amp;$F16, LCI!$B$2:$B$73&amp;LCI!$D$2:$D$73, 0))* IF(AND($E16="Truck", OR($F16="Electric", $F16="Electric_green")), $B$6, 1)* $C16* $D16</f>
        <v>1.2236717107799999E-6</v>
      </c>
      <c r="V16" s="158" cm="1">
        <f t="array" ref="V16">INDEX(LCI!W$2:W$73, MATCH($E16&amp;$F16, LCI!$B$2:$B$73&amp;LCI!$D$2:$D$73, 0))* IF(AND($E16="Truck", OR($F16="Electric", $F16="Electric_green")), $B$6, 1)* $C16* $D16</f>
        <v>2.4662640550800004E-8</v>
      </c>
      <c r="W16" s="158" cm="1">
        <f t="array" ref="W16">INDEX(LCI!X$2:X$73, MATCH($E16&amp;$F16, LCI!$B$2:$B$73&amp;LCI!$D$2:$D$73, 0))* IF(AND($E16="Truck", OR($F16="Electric", $F16="Electric_green")), $B$6, 1)* $C16* $D16</f>
        <v>6.87484852158E-8</v>
      </c>
      <c r="X16" s="158" cm="1">
        <f t="array" ref="X16">INDEX(LCI!Y$2:Y$73, MATCH($E16&amp;$F16, LCI!$B$2:$B$73&amp;LCI!$D$2:$D$73, 0))* IF(AND($E16="Truck", OR($F16="Electric", $F16="Electric_green")), $B$6, 1)* $C16* $D16</f>
        <v>2.8836219290399997E-3</v>
      </c>
      <c r="Y16" s="158" cm="1">
        <f t="array" ref="Y16">INDEX(LCI!Z$2:Z$73, MATCH($E16&amp;$F16, LCI!$B$2:$B$73&amp;LCI!$D$2:$D$73, 0))* IF(AND($E16="Truck", OR($F16="Electric", $F16="Electric_green")), $B$6, 1)* $C16* $D16</f>
        <v>3.3999770571660003E-2</v>
      </c>
    </row>
    <row r="17" spans="1:25" ht="14" customHeight="1" x14ac:dyDescent="0.35">
      <c r="A17" s="396"/>
      <c r="B17" s="158" t="str">
        <f>Input!A41</f>
        <v>Virgin crushed coarse aggregate 2 (&gt;2 mm)</v>
      </c>
      <c r="C17" s="158">
        <f>+Input!B41</f>
        <v>0.10199999999999999</v>
      </c>
      <c r="D17" s="158">
        <f>Input!$L41</f>
        <v>50.37</v>
      </c>
      <c r="E17" s="158" t="str">
        <f>Input!$J41</f>
        <v>Truck</v>
      </c>
      <c r="F17" s="158" t="str">
        <f>Input!$K41</f>
        <v>Diesel_Euro6</v>
      </c>
      <c r="G17" s="158" cm="1">
        <f t="array" ref="G17">INDEX(LCI!H$2:H$73, MATCH($E17&amp;$F17, LCI!$B$2:$B$73&amp;LCI!$D$2:$D$73, 0))* IF(AND($E17="Truck", OR($F17="Electric", $F17="Electric_green")), $B$6, 1)* $C17* $D17</f>
        <v>1.2162160882799998E-3</v>
      </c>
      <c r="H17" s="158" cm="1">
        <f t="array" ref="H17">INDEX(LCI!I$2:I$73, MATCH($E17&amp;$F17, LCI!$B$2:$B$73&amp;LCI!$D$2:$D$73, 0))* IF(AND($E17="Truck", OR($F17="Electric", $F17="Electric_green")), $B$6, 1)* $C17* $D17</f>
        <v>0.81558981187865986</v>
      </c>
      <c r="I17" s="158" cm="1">
        <f t="array" ref="I17">INDEX(LCI!J$2:J$73, MATCH($E17&amp;$F17, LCI!$B$2:$B$73&amp;LCI!$D$2:$D$73, 0))* IF(AND($E17="Truck", OR($F17="Electric", $F17="Electric_green")), $B$6, 1)* $C17* $D17</f>
        <v>3.8117047192199992E-4</v>
      </c>
      <c r="J17" s="158" cm="1">
        <f t="array" ref="J17">INDEX(LCI!K$2:K$73, MATCH($E17&amp;$F17, LCI!$B$2:$B$73&amp;LCI!$D$2:$D$73, 0))* IF(AND($E17="Truck", OR($F17="Electric", $F17="Electric_green")), $B$6, 1)* $C17* $D17</f>
        <v>0.81514376870507987</v>
      </c>
      <c r="K17" s="158" cm="1">
        <f t="array" ref="K17">INDEX(LCI!L$2:L$73, MATCH($E17&amp;$F17, LCI!$B$2:$B$73&amp;LCI!$D$2:$D$73, 0))* IF(AND($E17="Truck", OR($F17="Electric", $F17="Electric_green")), $B$6, 1)* $C17* $D17</f>
        <v>6.4871674109999995E-5</v>
      </c>
      <c r="L17" s="158" cm="1">
        <f t="array" ref="L17">INDEX(LCI!M$2:M$73, MATCH($E17&amp;$F17, LCI!$B$2:$B$73&amp;LCI!$D$2:$D$73, 0))* IF(AND($E17="Truck", OR($F17="Electric", $F17="Electric_green")), $B$6, 1)* $C17* $D17</f>
        <v>0.70049976053525986</v>
      </c>
      <c r="M17" s="158" cm="1">
        <f t="array" ref="M17">INDEX(LCI!N$2:N$73, MATCH($E17&amp;$F17, LCI!$B$2:$B$73&amp;LCI!$D$2:$D$73, 0))* IF(AND($E17="Truck", OR($F17="Electric", $F17="Electric_green")), $B$6, 1)* $C17* $D17</f>
        <v>10.976990924282397</v>
      </c>
      <c r="N17" s="158" cm="1">
        <f t="array" ref="N17">INDEX(LCI!O$2:O$73, MATCH($E17&amp;$F17, LCI!$B$2:$B$73&amp;LCI!$D$2:$D$73, 0))* IF(AND($E17="Truck", OR($F17="Electric", $F17="Electric_green")), $B$6, 1)* $C17* $D17</f>
        <v>1.9023458520599999E-5</v>
      </c>
      <c r="O17" s="158" cm="1">
        <f t="array" ref="O17">INDEX(LCI!P$2:P$73, MATCH($E17&amp;$F17, LCI!$B$2:$B$73&amp;LCI!$D$2:$D$73, 0))* IF(AND($E17="Truck", OR($F17="Electric", $F17="Electric_green")), $B$6, 1)* $C17* $D17</f>
        <v>2.65092998328E-4</v>
      </c>
      <c r="P17" s="158" cm="1">
        <f t="array" ref="P17">INDEX(LCI!Q$2:Q$73, MATCH($E17&amp;$F17, LCI!$B$2:$B$73&amp;LCI!$D$2:$D$73, 0))* IF(AND($E17="Truck", OR($F17="Electric", $F17="Electric_green")), $B$6, 1)* $C17* $D17</f>
        <v>2.8693918258199994E-3</v>
      </c>
      <c r="Q17" s="158" cm="1">
        <f t="array" ref="Q17">INDEX(LCI!R$2:R$73, MATCH($E17&amp;$F17, LCI!$B$2:$B$73&amp;LCI!$D$2:$D$73, 0))* IF(AND($E17="Truck", OR($F17="Electric", $F17="Electric_green")), $B$6, 1)* $C17* $D17</f>
        <v>7.228646047799998E-11</v>
      </c>
      <c r="R17" s="158" cm="1">
        <f t="array" ref="R17">INDEX(LCI!S$2:S$73, MATCH($E17&amp;$F17, LCI!$B$2:$B$73&amp;LCI!$D$2:$D$73, 0))* IF(AND($E17="Truck", OR($F17="Electric", $F17="Electric_green")), $B$6, 1)* $C17* $D17</f>
        <v>5.8815819971999995E-9</v>
      </c>
      <c r="S17" s="158" cm="1">
        <f t="array" ref="S17">INDEX(LCI!T$2:T$73, MATCH($E17&amp;$F17, LCI!$B$2:$B$73&amp;LCI!$D$2:$D$73, 0))* IF(AND($E17="Truck", OR($F17="Electric", $F17="Electric_green")), $B$6, 1)* $C17* $D17</f>
        <v>4.9774733384399996E-3</v>
      </c>
      <c r="T17" s="158" cm="1">
        <f t="array" ref="T17">INDEX(LCI!U$2:U$73, MATCH($E17&amp;$F17, LCI!$B$2:$B$73&amp;LCI!$D$2:$D$73, 0))* IF(AND($E17="Truck", OR($F17="Electric", $F17="Electric_green")), $B$6, 1)* $C17* $D17</f>
        <v>0.69239530963835993</v>
      </c>
      <c r="U17" s="158" cm="1">
        <f t="array" ref="U17">INDEX(LCI!V$2:V$73, MATCH($E17&amp;$F17, LCI!$B$2:$B$73&amp;LCI!$D$2:$D$73, 0))* IF(AND($E17="Truck", OR($F17="Electric", $F17="Electric_green")), $B$6, 1)* $C17* $D17</f>
        <v>8.9980837037999986E-7</v>
      </c>
      <c r="V17" s="158" cm="1">
        <f t="array" ref="V17">INDEX(LCI!W$2:W$73, MATCH($E17&amp;$F17, LCI!$B$2:$B$73&amp;LCI!$D$2:$D$73, 0))* IF(AND($E17="Truck", OR($F17="Electric", $F17="Electric_green")), $B$6, 1)* $C17* $D17</f>
        <v>1.8135297406799999E-8</v>
      </c>
      <c r="W17" s="158" cm="1">
        <f t="array" ref="W17">INDEX(LCI!X$2:X$73, MATCH($E17&amp;$F17, LCI!$B$2:$B$73&amp;LCI!$D$2:$D$73, 0))* IF(AND($E17="Truck", OR($F17="Electric", $F17="Electric_green")), $B$6, 1)* $C17* $D17</f>
        <v>5.0553152371799989E-8</v>
      </c>
      <c r="X17" s="158" cm="1">
        <f t="array" ref="X17">INDEX(LCI!Y$2:Y$73, MATCH($E17&amp;$F17, LCI!$B$2:$B$73&amp;LCI!$D$2:$D$73, 0))* IF(AND($E17="Truck", OR($F17="Electric", $F17="Electric_green")), $B$6, 1)* $C17* $D17</f>
        <v>2.1204275018399995E-3</v>
      </c>
      <c r="Y17" s="158" cm="1">
        <f t="array" ref="Y17">INDEX(LCI!Z$2:Z$73, MATCH($E17&amp;$F17, LCI!$B$2:$B$73&amp;LCI!$D$2:$D$73, 0))* IF(AND($E17="Truck", OR($F17="Electric", $F17="Electric_green")), $B$6, 1)* $C17* $D17</f>
        <v>2.5001213872859997E-2</v>
      </c>
    </row>
    <row r="18" spans="1:25" ht="14" customHeight="1" x14ac:dyDescent="0.35">
      <c r="A18" s="396"/>
      <c r="B18" s="158" t="str">
        <f>Input!A42</f>
        <v>Virgin crushed coarse aggregate 3 (&gt;2 mm)</v>
      </c>
      <c r="C18" s="158">
        <f>+Input!B42</f>
        <v>0.35299999999999998</v>
      </c>
      <c r="D18" s="158">
        <f>Input!$L42</f>
        <v>201.75</v>
      </c>
      <c r="E18" s="158" t="str">
        <f>Input!$J42</f>
        <v>Barge</v>
      </c>
      <c r="F18" s="158" t="str">
        <f>Input!$K42</f>
        <v>Diesel</v>
      </c>
      <c r="G18" s="158" cm="1">
        <f t="array" ref="G18">INDEX(LCI!H$2:H$73, MATCH($E18&amp;$F18, LCI!$B$2:$B$73&amp;LCI!$D$2:$D$73, 0))* IF(AND($E18="Truck", OR($F18="Electric", $F18="Electric_green")), $B$6, 1)* $C18* $D18</f>
        <v>3.1512423616190832E-2</v>
      </c>
      <c r="H18" s="158" cm="1">
        <f t="array" ref="H18">INDEX(LCI!I$2:I$73, MATCH($E18&amp;$F18, LCI!$B$2:$B$73&amp;LCI!$D$2:$D$73, 0))* IF(AND($E18="Truck", OR($F18="Electric", $F18="Electric_green")), $B$6, 1)* $C18* $D18</f>
        <v>3.5918771127159728</v>
      </c>
      <c r="I18" s="158" cm="1">
        <f t="array" ref="I18">INDEX(LCI!J$2:J$73, MATCH($E18&amp;$F18, LCI!$B$2:$B$73&amp;LCI!$D$2:$D$73, 0))* IF(AND($E18="Truck", OR($F18="Electric", $F18="Electric_green")), $B$6, 1)* $C18* $D18</f>
        <v>9.8935807212211088E-4</v>
      </c>
      <c r="J18" s="158" cm="1">
        <f t="array" ref="J18">INDEX(LCI!K$2:K$73, MATCH($E18&amp;$F18, LCI!$B$2:$B$73&amp;LCI!$D$2:$D$73, 0))* IF(AND($E18="Truck", OR($F18="Electric", $F18="Electric_green")), $B$6, 1)* $C18* $D18</f>
        <v>3.5875563956592331</v>
      </c>
      <c r="K18" s="158" cm="1">
        <f t="array" ref="K18">INDEX(LCI!L$2:L$73, MATCH($E18&amp;$F18, LCI!$B$2:$B$73&amp;LCI!$D$2:$D$73, 0))* IF(AND($E18="Truck", OR($F18="Electric", $F18="Electric_green")), $B$6, 1)* $C18* $D18</f>
        <v>3.3313589846178477E-3</v>
      </c>
      <c r="L18" s="158" cm="1">
        <f t="array" ref="L18">INDEX(LCI!M$2:M$73, MATCH($E18&amp;$F18, LCI!$B$2:$B$73&amp;LCI!$D$2:$D$73, 0))* IF(AND($E18="Truck", OR($F18="Electric", $F18="Electric_green")), $B$6, 1)* $C18* $D18</f>
        <v>3.6365363993946773</v>
      </c>
      <c r="M18" s="158" cm="1">
        <f t="array" ref="M18">INDEX(LCI!N$2:N$73, MATCH($E18&amp;$F18, LCI!$B$2:$B$73&amp;LCI!$D$2:$D$73, 0))* IF(AND($E18="Truck", OR($F18="Electric", $F18="Electric_green")), $B$6, 1)* $C18* $D18</f>
        <v>44.057472407912528</v>
      </c>
      <c r="N18" s="158" cm="1">
        <f t="array" ref="N18">INDEX(LCI!O$2:O$73, MATCH($E18&amp;$F18, LCI!$B$2:$B$73&amp;LCI!$D$2:$D$73, 0))* IF(AND($E18="Truck", OR($F18="Electric", $F18="Electric_green")), $B$6, 1)* $C18* $D18</f>
        <v>3.2388686749148247E-4</v>
      </c>
      <c r="O18" s="158" cm="1">
        <f t="array" ref="O18">INDEX(LCI!P$2:P$73, MATCH($E18&amp;$F18, LCI!$B$2:$B$73&amp;LCI!$D$2:$D$73, 0))* IF(AND($E18="Truck", OR($F18="Electric", $F18="Electric_green")), $B$6, 1)* $C18* $D18</f>
        <v>1.4286597663112424E-2</v>
      </c>
      <c r="P18" s="158" cm="1">
        <f t="array" ref="P18">INDEX(LCI!Q$2:Q$73, MATCH($E18&amp;$F18, LCI!$B$2:$B$73&amp;LCI!$D$2:$D$73, 0))* IF(AND($E18="Truck", OR($F18="Electric", $F18="Electric_green")), $B$6, 1)* $C18* $D18</f>
        <v>0.15620736527345749</v>
      </c>
      <c r="Q18" s="158" cm="1">
        <f t="array" ref="Q18">INDEX(LCI!R$2:R$73, MATCH($E18&amp;$F18, LCI!$B$2:$B$73&amp;LCI!$D$2:$D$73, 0))* IF(AND($E18="Truck", OR($F18="Electric", $F18="Electric_green")), $B$6, 1)* $C18* $D18</f>
        <v>4.8489301899693285E-10</v>
      </c>
      <c r="R18" s="158" cm="1">
        <f t="array" ref="R18">INDEX(LCI!S$2:S$73, MATCH($E18&amp;$F18, LCI!$B$2:$B$73&amp;LCI!$D$2:$D$73, 0))* IF(AND($E18="Truck", OR($F18="Electric", $F18="Electric_green")), $B$6, 1)* $C18* $D18</f>
        <v>1.0709549219787942E-8</v>
      </c>
      <c r="S18" s="158" cm="1">
        <f t="array" ref="S18">INDEX(LCI!T$2:T$73, MATCH($E18&amp;$F18, LCI!$B$2:$B$73&amp;LCI!$D$2:$D$73, 0))* IF(AND($E18="Truck", OR($F18="Electric", $F18="Electric_green")), $B$6, 1)* $C18* $D18</f>
        <v>0.1205151741033976</v>
      </c>
      <c r="T18" s="158" cm="1">
        <f t="array" ref="T18">INDEX(LCI!U$2:U$73, MATCH($E18&amp;$F18, LCI!$B$2:$B$73&amp;LCI!$D$2:$D$73, 0))* IF(AND($E18="Truck", OR($F18="Electric", $F18="Electric_green")), $B$6, 1)* $C18* $D18</f>
        <v>29.406766437286251</v>
      </c>
      <c r="U18" s="158" cm="1">
        <f t="array" ref="U18">INDEX(LCI!V$2:V$73, MATCH($E18&amp;$F18, LCI!$B$2:$B$73&amp;LCI!$D$2:$D$73, 0))* IF(AND($E18="Truck", OR($F18="Electric", $F18="Electric_green")), $B$6, 1)* $C18* $D18</f>
        <v>4.9487579166225347E-6</v>
      </c>
      <c r="V18" s="158" cm="1">
        <f t="array" ref="V18">INDEX(LCI!W$2:W$73, MATCH($E18&amp;$F18, LCI!$B$2:$B$73&amp;LCI!$D$2:$D$73, 0))* IF(AND($E18="Truck", OR($F18="Electric", $F18="Electric_green")), $B$6, 1)* $C18* $D18</f>
        <v>6.650041308733804E-8</v>
      </c>
      <c r="W18" s="158" cm="1">
        <f t="array" ref="W18">INDEX(LCI!X$2:X$73, MATCH($E18&amp;$F18, LCI!$B$2:$B$73&amp;LCI!$D$2:$D$73, 0))* IF(AND($E18="Truck", OR($F18="Electric", $F18="Electric_green")), $B$6, 1)* $C18* $D18</f>
        <v>7.5838608732924615E-8</v>
      </c>
      <c r="X18" s="158" cm="1">
        <f t="array" ref="X18">INDEX(LCI!Y$2:Y$73, MATCH($E18&amp;$F18, LCI!$B$2:$B$73&amp;LCI!$D$2:$D$73, 0))* IF(AND($E18="Truck", OR($F18="Electric", $F18="Electric_green")), $B$6, 1)* $C18* $D18</f>
        <v>4.3672712080046978E-2</v>
      </c>
      <c r="Y18" s="158" cm="1">
        <f t="array" ref="Y18">INDEX(LCI!Z$2:Z$73, MATCH($E18&amp;$F18, LCI!$B$2:$B$73&amp;LCI!$D$2:$D$73, 0))* IF(AND($E18="Truck", OR($F18="Electric", $F18="Electric_green")), $B$6, 1)* $C18* $D18</f>
        <v>0.34062482881971756</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48.38</v>
      </c>
      <c r="E22" s="158" t="str">
        <f>Input!$J46</f>
        <v>Truck</v>
      </c>
      <c r="F22" s="158" t="str">
        <f>Input!$K46</f>
        <v>Diesel_Euro6</v>
      </c>
      <c r="G22" s="158" cm="1">
        <f t="array" ref="G22">INDEX(LCI!H$2:H$73, MATCH($E22&amp;$F22, LCI!$B$2:$B$73&amp;LCI!$D$2:$D$73, 0))* IF(AND($E22="Truck", OR($F22="Electric", $F22="Electric_green")), $B$6, 1)* $C22* $D22</f>
        <v>1.75224938508E-3</v>
      </c>
      <c r="H22" s="158" cm="1">
        <f t="array" ref="H22">INDEX(LCI!I$2:I$73, MATCH($E22&amp;$F22, LCI!$B$2:$B$73&amp;LCI!$D$2:$D$73, 0))* IF(AND($E22="Truck", OR($F22="Electric", $F22="Electric_green")), $B$6, 1)* $C22* $D22</f>
        <v>1.1750516705982599</v>
      </c>
      <c r="I22" s="158" cm="1">
        <f t="array" ref="I22">INDEX(LCI!J$2:J$73, MATCH($E22&amp;$F22, LCI!$B$2:$B$73&amp;LCI!$D$2:$D$73, 0))* IF(AND($E22="Truck", OR($F22="Electric", $F22="Electric_green")), $B$6, 1)* $C22* $D22</f>
        <v>5.4916698724199998E-4</v>
      </c>
      <c r="J22" s="158" cm="1">
        <f t="array" ref="J22">INDEX(LCI!K$2:K$73, MATCH($E22&amp;$F22, LCI!$B$2:$B$73&amp;LCI!$D$2:$D$73, 0))* IF(AND($E22="Truck", OR($F22="Electric", $F22="Electric_green")), $B$6, 1)* $C22* $D22</f>
        <v>1.17440903900988</v>
      </c>
      <c r="K22" s="158" cm="1">
        <f t="array" ref="K22">INDEX(LCI!L$2:L$73, MATCH($E22&amp;$F22, LCI!$B$2:$B$73&amp;LCI!$D$2:$D$73, 0))* IF(AND($E22="Truck", OR($F22="Electric", $F22="Electric_green")), $B$6, 1)* $C22* $D22</f>
        <v>9.3463120709999989E-5</v>
      </c>
      <c r="L22" s="158" cm="1">
        <f t="array" ref="L22">INDEX(LCI!M$2:M$73, MATCH($E22&amp;$F22, LCI!$B$2:$B$73&amp;LCI!$D$2:$D$73, 0))* IF(AND($E22="Truck", OR($F22="Electric", $F22="Electric_green")), $B$6, 1)* $C22* $D22</f>
        <v>1.00923699865086</v>
      </c>
      <c r="M22" s="158" cm="1">
        <f t="array" ref="M22">INDEX(LCI!N$2:N$73, MATCH($E22&amp;$F22, LCI!$B$2:$B$73&amp;LCI!$D$2:$D$73, 0))* IF(AND($E22="Truck", OR($F22="Electric", $F22="Electric_green")), $B$6, 1)* $C22* $D22</f>
        <v>15.814973821226401</v>
      </c>
      <c r="N22" s="158" cm="1">
        <f t="array" ref="N22">INDEX(LCI!O$2:O$73, MATCH($E22&amp;$F22, LCI!$B$2:$B$73&amp;LCI!$D$2:$D$73, 0))* IF(AND($E22="Truck", OR($F22="Electric", $F22="Electric_green")), $B$6, 1)* $C22* $D22</f>
        <v>2.7407829756599998E-5</v>
      </c>
      <c r="O22" s="158" cm="1">
        <f t="array" ref="O22">INDEX(LCI!P$2:P$73, MATCH($E22&amp;$F22, LCI!$B$2:$B$73&amp;LCI!$D$2:$D$73, 0))* IF(AND($E22="Truck", OR($F22="Electric", $F22="Electric_green")), $B$6, 1)* $C22* $D22</f>
        <v>3.8192969800800007E-4</v>
      </c>
      <c r="P22" s="158" cm="1">
        <f t="array" ref="P22">INDEX(LCI!Q$2:Q$73, MATCH($E22&amp;$F22, LCI!$B$2:$B$73&amp;LCI!$D$2:$D$73, 0))* IF(AND($E22="Truck", OR($F22="Electric", $F22="Electric_green")), $B$6, 1)* $C22* $D22</f>
        <v>4.1340433750199999E-3</v>
      </c>
      <c r="Q22" s="158" cm="1">
        <f t="array" ref="Q22">INDEX(LCI!R$2:R$73, MATCH($E22&amp;$F22, LCI!$B$2:$B$73&amp;LCI!$D$2:$D$73, 0))* IF(AND($E22="Truck", OR($F22="Electric", $F22="Electric_green")), $B$6, 1)* $C22* $D22</f>
        <v>1.04145889158E-10</v>
      </c>
      <c r="R22" s="158" cm="1">
        <f t="array" ref="R22">INDEX(LCI!S$2:S$73, MATCH($E22&amp;$F22, LCI!$B$2:$B$73&amp;LCI!$D$2:$D$73, 0))* IF(AND($E22="Truck", OR($F22="Electric", $F22="Electric_green")), $B$6, 1)* $C22* $D22</f>
        <v>8.4738218292000015E-9</v>
      </c>
      <c r="S22" s="158" cm="1">
        <f t="array" ref="S22">INDEX(LCI!T$2:T$73, MATCH($E22&amp;$F22, LCI!$B$2:$B$73&amp;LCI!$D$2:$D$73, 0))* IF(AND($E22="Truck", OR($F22="Electric", $F22="Electric_green")), $B$6, 1)* $C22* $D22</f>
        <v>7.1712376448400004E-3</v>
      </c>
      <c r="T22" s="158" cm="1">
        <f t="array" ref="T22">INDEX(LCI!U$2:U$73, MATCH($E22&amp;$F22, LCI!$B$2:$B$73&amp;LCI!$D$2:$D$73, 0))* IF(AND($E22="Truck", OR($F22="Electric", $F22="Electric_green")), $B$6, 1)* $C22* $D22</f>
        <v>0.99756060393996004</v>
      </c>
      <c r="U22" s="158" cm="1">
        <f t="array" ref="U22">INDEX(LCI!V$2:V$73, MATCH($E22&amp;$F22, LCI!$B$2:$B$73&amp;LCI!$D$2:$D$73, 0))* IF(AND($E22="Truck", OR($F22="Electric", $F22="Electric_green")), $B$6, 1)* $C22* $D22</f>
        <v>1.29638859318E-6</v>
      </c>
      <c r="V22" s="158" cm="1">
        <f t="array" ref="V22">INDEX(LCI!W$2:W$73, MATCH($E22&amp;$F22, LCI!$B$2:$B$73&amp;LCI!$D$2:$D$73, 0))* IF(AND($E22="Truck", OR($F22="Electric", $F22="Electric_green")), $B$6, 1)* $C22* $D22</f>
        <v>2.61282218148E-8</v>
      </c>
      <c r="W22" s="158" cm="1">
        <f t="array" ref="W22">INDEX(LCI!X$2:X$73, MATCH($E22&amp;$F22, LCI!$B$2:$B$73&amp;LCI!$D$2:$D$73, 0))* IF(AND($E22="Truck", OR($F22="Electric", $F22="Electric_green")), $B$6, 1)* $C22* $D22</f>
        <v>7.2833874679799998E-8</v>
      </c>
      <c r="X22" s="158" cm="1">
        <f t="array" ref="X22">INDEX(LCI!Y$2:Y$73, MATCH($E22&amp;$F22, LCI!$B$2:$B$73&amp;LCI!$D$2:$D$73, 0))* IF(AND($E22="Truck", OR($F22="Electric", $F22="Electric_green")), $B$6, 1)* $C22* $D22</f>
        <v>3.05498161224E-3</v>
      </c>
      <c r="Y22" s="158" cm="1">
        <f t="array" ref="Y22">INDEX(LCI!Z$2:Z$73, MATCH($E22&amp;$F22, LCI!$B$2:$B$73&amp;LCI!$D$2:$D$73, 0))* IF(AND($E22="Truck", OR($F22="Electric", $F22="Electric_green")), $B$6, 1)* $C22* $D22</f>
        <v>3.6020212244459997E-2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214.98</v>
      </c>
      <c r="E25" s="158" t="str">
        <f>Input!$J49</f>
        <v>Barge</v>
      </c>
      <c r="F25" s="158" t="str">
        <f>Input!$K49</f>
        <v>Diesel</v>
      </c>
      <c r="G25" s="158" cm="1">
        <f t="array" ref="G25">INDEX(LCI!H$2:H$73, MATCH($E25&amp;$F25, LCI!$B$2:$B$73&amp;LCI!$D$2:$D$73, 0))* IF(AND($E25="Truck", OR($F25="Electric", $F25="Electric_green")), $B$6, 1)* $C25* $D25</f>
        <v>5.2318382088100053E-4</v>
      </c>
      <c r="H25" s="158" cm="1">
        <f t="array" ref="H25">INDEX(LCI!I$2:I$73, MATCH($E25&amp;$F25, LCI!$B$2:$B$73&amp;LCI!$D$2:$D$73, 0))* IF(AND($E25="Truck", OR($F25="Electric", $F25="Electric_green")), $B$6, 1)* $C25* $D25</f>
        <v>5.9634003872689585E-2</v>
      </c>
      <c r="I25" s="158" cm="1">
        <f t="array" ref="I25">INDEX(LCI!J$2:J$73, MATCH($E25&amp;$F25, LCI!$B$2:$B$73&amp;LCI!$D$2:$D$73, 0))* IF(AND($E25="Truck", OR($F25="Electric", $F25="Electric_green")), $B$6, 1)* $C25* $D25</f>
        <v>1.6425779962108642E-5</v>
      </c>
      <c r="J25" s="158" cm="1">
        <f t="array" ref="J25">INDEX(LCI!K$2:K$73, MATCH($E25&amp;$F25, LCI!$B$2:$B$73&amp;LCI!$D$2:$D$73, 0))* IF(AND($E25="Truck", OR($F25="Electric", $F25="Electric_green")), $B$6, 1)* $C25* $D25</f>
        <v>5.9562269331220385E-2</v>
      </c>
      <c r="K25" s="158" cm="1">
        <f t="array" ref="K25">INDEX(LCI!L$2:L$73, MATCH($E25&amp;$F25, LCI!$B$2:$B$73&amp;LCI!$D$2:$D$73, 0))* IF(AND($E25="Truck", OR($F25="Electric", $F25="Electric_green")), $B$6, 1)* $C25* $D25</f>
        <v>5.5308761507100365E-5</v>
      </c>
      <c r="L25" s="158" cm="1">
        <f t="array" ref="L25">INDEX(LCI!M$2:M$73, MATCH($E25&amp;$F25, LCI!$B$2:$B$73&amp;LCI!$D$2:$D$73, 0))* IF(AND($E25="Truck", OR($F25="Electric", $F25="Electric_green")), $B$6, 1)* $C25* $D25</f>
        <v>6.0375457990181826E-2</v>
      </c>
      <c r="M25" s="158" cm="1">
        <f t="array" ref="M25">INDEX(LCI!N$2:N$73, MATCH($E25&amp;$F25, LCI!$B$2:$B$73&amp;LCI!$D$2:$D$73, 0))* IF(AND($E25="Truck", OR($F25="Electric", $F25="Electric_green")), $B$6, 1)* $C25* $D25</f>
        <v>0.73146251882980984</v>
      </c>
      <c r="N25" s="158" cm="1">
        <f t="array" ref="N25">INDEX(LCI!O$2:O$73, MATCH($E25&amp;$F25, LCI!$B$2:$B$73&amp;LCI!$D$2:$D$73, 0))* IF(AND($E25="Truck", OR($F25="Electric", $F25="Electric_green")), $B$6, 1)* $C25* $D25</f>
        <v>5.3773194639433831E-6</v>
      </c>
      <c r="O25" s="158" cm="1">
        <f t="array" ref="O25">INDEX(LCI!P$2:P$73, MATCH($E25&amp;$F25, LCI!$B$2:$B$73&amp;LCI!$D$2:$D$73, 0))* IF(AND($E25="Truck", OR($F25="Electric", $F25="Electric_green")), $B$6, 1)* $C25* $D25</f>
        <v>2.3719269719820547E-4</v>
      </c>
      <c r="P25" s="158" cm="1">
        <f t="array" ref="P25">INDEX(LCI!Q$2:Q$73, MATCH($E25&amp;$F25, LCI!$B$2:$B$73&amp;LCI!$D$2:$D$73, 0))* IF(AND($E25="Truck", OR($F25="Electric", $F25="Electric_green")), $B$6, 1)* $C25* $D25</f>
        <v>2.5934268721727856E-3</v>
      </c>
      <c r="Q25" s="158" cm="1">
        <f t="array" ref="Q25">INDEX(LCI!R$2:R$73, MATCH($E25&amp;$F25, LCI!$B$2:$B$73&amp;LCI!$D$2:$D$73, 0))* IF(AND($E25="Truck", OR($F25="Electric", $F25="Electric_green")), $B$6, 1)* $C25* $D25</f>
        <v>8.0504180029807643E-12</v>
      </c>
      <c r="R25" s="158" cm="1">
        <f t="array" ref="R25">INDEX(LCI!S$2:S$73, MATCH($E25&amp;$F25, LCI!$B$2:$B$73&amp;LCI!$D$2:$D$73, 0))* IF(AND($E25="Truck", OR($F25="Electric", $F25="Electric_green")), $B$6, 1)* $C25* $D25</f>
        <v>1.7780488574807634E-10</v>
      </c>
      <c r="S25" s="158" cm="1">
        <f t="array" ref="S25">INDEX(LCI!T$2:T$73, MATCH($E25&amp;$F25, LCI!$B$2:$B$73&amp;LCI!$D$2:$D$73, 0))* IF(AND($E25="Truck", OR($F25="Electric", $F25="Electric_green")), $B$6, 1)* $C25* $D25</f>
        <v>2.0008486186114597E-3</v>
      </c>
      <c r="T25" s="158" cm="1">
        <f t="array" ref="T25">INDEX(LCI!U$2:U$73, MATCH($E25&amp;$F25, LCI!$B$2:$B$73&amp;LCI!$D$2:$D$73, 0))* IF(AND($E25="Truck", OR($F25="Electric", $F25="Electric_green")), $B$6, 1)* $C25* $D25</f>
        <v>0.48822472723138388</v>
      </c>
      <c r="U25" s="158" cm="1">
        <f t="array" ref="U25">INDEX(LCI!V$2:V$73, MATCH($E25&amp;$F25, LCI!$B$2:$B$73&amp;LCI!$D$2:$D$73, 0))* IF(AND($E25="Truck", OR($F25="Electric", $F25="Electric_green")), $B$6, 1)* $C25* $D25</f>
        <v>8.2161566084793734E-8</v>
      </c>
      <c r="V25" s="158" cm="1">
        <f t="array" ref="V25">INDEX(LCI!W$2:W$73, MATCH($E25&amp;$F25, LCI!$B$2:$B$73&amp;LCI!$D$2:$D$73, 0))* IF(AND($E25="Truck", OR($F25="Electric", $F25="Electric_green")), $B$6, 1)* $C25* $D25</f>
        <v>1.1040705923781306E-9</v>
      </c>
      <c r="W25" s="158" cm="1">
        <f t="array" ref="W25">INDEX(LCI!X$2:X$73, MATCH($E25&amp;$F25, LCI!$B$2:$B$73&amp;LCI!$D$2:$D$73, 0))* IF(AND($E25="Truck", OR($F25="Electric", $F25="Electric_green")), $B$6, 1)* $C25* $D25</f>
        <v>1.2591076322928305E-9</v>
      </c>
      <c r="X25" s="158" cm="1">
        <f t="array" ref="X25">INDEX(LCI!Y$2:Y$73, MATCH($E25&amp;$F25, LCI!$B$2:$B$73&amp;LCI!$D$2:$D$73, 0))* IF(AND($E25="Truck", OR($F25="Electric", $F25="Electric_green")), $B$6, 1)* $C25* $D25</f>
        <v>7.2507455004302635E-4</v>
      </c>
      <c r="Y25" s="158" cm="1">
        <f t="array" ref="Y25">INDEX(LCI!Z$2:Z$73, MATCH($E25&amp;$F25, LCI!$B$2:$B$73&amp;LCI!$D$2:$D$73, 0))* IF(AND($E25="Truck", OR($F25="Electric", $F25="Electric_green")), $B$6, 1)* $C25* $D25</f>
        <v>5.655210833649559E-3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1239.32</v>
      </c>
      <c r="E31" s="158" t="str">
        <f>Input!$J55</f>
        <v>Truck</v>
      </c>
      <c r="F31" s="158" t="str">
        <f>Input!$K55</f>
        <v>Diesel_Euro6</v>
      </c>
      <c r="G31" s="158" cm="1">
        <f t="array" ref="G31">INDEX(LCI!H$2:H$73, MATCH($E31&amp;$F31, LCI!$B$2:$B$73&amp;LCI!$D$2:$D$73, 0))* IF(AND($E31="Truck", OR($F31="Electric", $F31="Electric_green")), $B$6, 1)* $C31* $D31</f>
        <v>9.68135219832E-4</v>
      </c>
      <c r="H31" s="158" cm="1">
        <f t="array" ref="H31">INDEX(LCI!I$2:I$73, MATCH($E31&amp;$F31, LCI!$B$2:$B$73&amp;LCI!$D$2:$D$73, 0))* IF(AND($E31="Truck", OR($F31="Electric", $F31="Electric_green")), $B$6, 1)* $C31* $D31</f>
        <v>0.64922773956440383</v>
      </c>
      <c r="I31" s="158" cm="1">
        <f t="array" ref="I31">INDEX(LCI!J$2:J$73, MATCH($E31&amp;$F31, LCI!$B$2:$B$73&amp;LCI!$D$2:$D$73, 0))* IF(AND($E31="Truck", OR($F31="Electric", $F31="Electric_green")), $B$6, 1)* $C31* $D31</f>
        <v>3.0342022456679999E-4</v>
      </c>
      <c r="J31" s="158" cm="1">
        <f t="array" ref="J31">INDEX(LCI!K$2:K$73, MATCH($E31&amp;$F31, LCI!$B$2:$B$73&amp;LCI!$D$2:$D$73, 0))* IF(AND($E31="Truck", OR($F31="Electric", $F31="Electric_green")), $B$6, 1)* $C31* $D31</f>
        <v>0.64887267921775194</v>
      </c>
      <c r="K31" s="158" cm="1">
        <f t="array" ref="K31">INDEX(LCI!L$2:L$73, MATCH($E31&amp;$F31, LCI!$B$2:$B$73&amp;LCI!$D$2:$D$73, 0))* IF(AND($E31="Truck", OR($F31="Electric", $F31="Electric_green")), $B$6, 1)* $C31* $D31</f>
        <v>5.1639304133999999E-5</v>
      </c>
      <c r="L31" s="158" cm="1">
        <f t="array" ref="L31">INDEX(LCI!M$2:M$73, MATCH($E31&amp;$F31, LCI!$B$2:$B$73&amp;LCI!$D$2:$D$73, 0))* IF(AND($E31="Truck", OR($F31="Electric", $F31="Electric_green")), $B$6, 1)* $C31* $D31</f>
        <v>0.55761348348644391</v>
      </c>
      <c r="M31" s="158" cm="1">
        <f t="array" ref="M31">INDEX(LCI!N$2:N$73, MATCH($E31&amp;$F31, LCI!$B$2:$B$73&amp;LCI!$D$2:$D$73, 0))* IF(AND($E31="Truck", OR($F31="Electric", $F31="Electric_green")), $B$6, 1)* $C31* $D31</f>
        <v>8.7379303924545599</v>
      </c>
      <c r="N31" s="158" cm="1">
        <f t="array" ref="N31">INDEX(LCI!O$2:O$73, MATCH($E31&amp;$F31, LCI!$B$2:$B$73&amp;LCI!$D$2:$D$73, 0))* IF(AND($E31="Truck", OR($F31="Electric", $F31="Electric_green")), $B$6, 1)* $C31* $D31</f>
        <v>1.5143098643639998E-5</v>
      </c>
      <c r="O31" s="158" cm="1">
        <f t="array" ref="O31">INDEX(LCI!P$2:P$73, MATCH($E31&amp;$F31, LCI!$B$2:$B$73&amp;LCI!$D$2:$D$73, 0))* IF(AND($E31="Truck", OR($F31="Electric", $F31="Electric_green")), $B$6, 1)* $C31* $D31</f>
        <v>2.110199582832E-4</v>
      </c>
      <c r="P31" s="158" cm="1">
        <f t="array" ref="P31">INDEX(LCI!Q$2:Q$73, MATCH($E31&amp;$F31, LCI!$B$2:$B$73&amp;LCI!$D$2:$D$73, 0))* IF(AND($E31="Truck", OR($F31="Electric", $F31="Electric_green")), $B$6, 1)* $C31* $D31</f>
        <v>2.284100097708E-3</v>
      </c>
      <c r="Q31" s="158" cm="1">
        <f t="array" ref="Q31">INDEX(LCI!R$2:R$73, MATCH($E31&amp;$F31, LCI!$B$2:$B$73&amp;LCI!$D$2:$D$73, 0))* IF(AND($E31="Truck", OR($F31="Electric", $F31="Electric_green")), $B$6, 1)* $C31* $D31</f>
        <v>5.7541639993199993E-11</v>
      </c>
      <c r="R31" s="158" cm="1">
        <f t="array" ref="R31">INDEX(LCI!S$2:S$73, MATCH($E31&amp;$F31, LCI!$B$2:$B$73&amp;LCI!$D$2:$D$73, 0))* IF(AND($E31="Truck", OR($F31="Electric", $F31="Electric_green")), $B$6, 1)* $C31* $D31</f>
        <v>4.6818708736799992E-9</v>
      </c>
      <c r="S31" s="158" cm="1">
        <f t="array" ref="S31">INDEX(LCI!T$2:T$73, MATCH($E31&amp;$F31, LCI!$B$2:$B$73&amp;LCI!$D$2:$D$73, 0))* IF(AND($E31="Truck", OR($F31="Electric", $F31="Electric_green")), $B$6, 1)* $C31* $D31</f>
        <v>3.9621801513360002E-3</v>
      </c>
      <c r="T31" s="158" cm="1">
        <f t="array" ref="T31">INDEX(LCI!U$2:U$73, MATCH($E31&amp;$F31, LCI!$B$2:$B$73&amp;LCI!$D$2:$D$73, 0))* IF(AND($E31="Truck", OR($F31="Electric", $F31="Electric_green")), $B$6, 1)* $C31* $D31</f>
        <v>0.55116215923058398</v>
      </c>
      <c r="U31" s="158" cm="1">
        <f t="array" ref="U31">INDEX(LCI!V$2:V$73, MATCH($E31&amp;$F31, LCI!$B$2:$B$73&amp;LCI!$D$2:$D$73, 0))* IF(AND($E31="Truck", OR($F31="Electric", $F31="Electric_green")), $B$6, 1)* $C31* $D31</f>
        <v>7.1626759657199998E-7</v>
      </c>
      <c r="V31" s="158" cm="1">
        <f t="array" ref="V31">INDEX(LCI!W$2:W$73, MATCH($E31&amp;$F31, LCI!$B$2:$B$73&amp;LCI!$D$2:$D$73, 0))* IF(AND($E31="Truck", OR($F31="Electric", $F31="Electric_green")), $B$6, 1)* $C31* $D31</f>
        <v>1.4436102523919999E-8</v>
      </c>
      <c r="W31" s="158" cm="1">
        <f t="array" ref="W31">INDEX(LCI!X$2:X$73, MATCH($E31&amp;$F31, LCI!$B$2:$B$73&amp;LCI!$D$2:$D$73, 0))* IF(AND($E31="Truck", OR($F31="Electric", $F31="Electric_green")), $B$6, 1)* $C31* $D31</f>
        <v>4.0241440444919994E-8</v>
      </c>
      <c r="X31" s="158" cm="1">
        <f t="array" ref="X31">INDEX(LCI!Y$2:Y$73, MATCH($E31&amp;$F31, LCI!$B$2:$B$73&amp;LCI!$D$2:$D$73, 0))* IF(AND($E31="Truck", OR($F31="Electric", $F31="Electric_green")), $B$6, 1)* $C31* $D31</f>
        <v>1.6879077372959999E-3</v>
      </c>
      <c r="Y31" s="158" cm="1">
        <f t="array" ref="Y31">INDEX(LCI!Z$2:Z$73, MATCH($E31&amp;$F31, LCI!$B$2:$B$73&amp;LCI!$D$2:$D$73, 0))* IF(AND($E31="Truck", OR($F31="Electric", $F31="Electric_green")), $B$6, 1)* $C31* $D31</f>
        <v>1.9901525659883998E-2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3.899856614656623E-2</v>
      </c>
      <c r="H34" s="139">
        <f t="shared" si="0"/>
        <v>8.320844336828058</v>
      </c>
      <c r="I34" s="139">
        <f t="shared" si="0"/>
        <v>3.1880229153947795E-3</v>
      </c>
      <c r="J34" s="139">
        <f t="shared" si="0"/>
        <v>8.3138982434632105</v>
      </c>
      <c r="K34" s="139">
        <f t="shared" si="0"/>
        <v>3.7580645666377482E-3</v>
      </c>
      <c r="L34" s="139">
        <f t="shared" si="0"/>
        <v>7.7073430263358231</v>
      </c>
      <c r="M34" s="139">
        <f t="shared" si="0"/>
        <v>107.63330550924749</v>
      </c>
      <c r="N34" s="139">
        <f t="shared" si="0"/>
        <v>4.3817538905771385E-4</v>
      </c>
      <c r="O34" s="139">
        <f t="shared" si="0"/>
        <v>1.6041474281220068E-2</v>
      </c>
      <c r="P34" s="139">
        <f t="shared" si="0"/>
        <v>0.17522834724630387</v>
      </c>
      <c r="Q34" s="139">
        <f t="shared" si="0"/>
        <v>9.0679065084135356E-10</v>
      </c>
      <c r="R34" s="139">
        <f t="shared" si="0"/>
        <v>4.4559999112992018E-8</v>
      </c>
      <c r="S34" s="139">
        <f t="shared" si="0"/>
        <v>0.15101255526022028</v>
      </c>
      <c r="T34" s="139">
        <f t="shared" si="0"/>
        <v>33.859023541755491</v>
      </c>
      <c r="U34" s="139">
        <f t="shared" si="0"/>
        <v>1.0182412371009728E-5</v>
      </c>
      <c r="V34" s="139">
        <f t="shared" si="0"/>
        <v>1.7143087460218017E-7</v>
      </c>
      <c r="W34" s="139">
        <f t="shared" si="0"/>
        <v>3.6651956828088136E-7</v>
      </c>
      <c r="X34" s="139">
        <f t="shared" si="0"/>
        <v>5.6537446090333197E-2</v>
      </c>
      <c r="Y34" s="139">
        <f t="shared" si="0"/>
        <v>0.48941448883677996</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6.0999999999999999E-2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6.0999999999999999E-2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261.62</v>
      </c>
      <c r="E91" s="154" t="s">
        <v>346</v>
      </c>
      <c r="F91" s="154" t="s">
        <v>346</v>
      </c>
      <c r="G91" s="154">
        <f t="shared" ref="G91:Y91" si="4">G15+G40+G65</f>
        <v>1.3723956056223999E-3</v>
      </c>
      <c r="H91" s="154">
        <f t="shared" si="4"/>
        <v>0.9203231930566127</v>
      </c>
      <c r="I91" s="154">
        <f t="shared" si="4"/>
        <v>4.3011820489776E-4</v>
      </c>
      <c r="J91" s="154">
        <f t="shared" si="4"/>
        <v>0.91981987156856637</v>
      </c>
      <c r="K91" s="154">
        <f t="shared" si="4"/>
        <v>7.3202123648800002E-5</v>
      </c>
      <c r="L91" s="154">
        <f t="shared" si="4"/>
        <v>0.79045393525234076</v>
      </c>
      <c r="M91" s="154">
        <f t="shared" si="4"/>
        <v>12.386593346867391</v>
      </c>
      <c r="N91" s="154">
        <f t="shared" si="4"/>
        <v>2.1466342312848E-5</v>
      </c>
      <c r="O91" s="154">
        <f t="shared" si="4"/>
        <v>2.9913472572224001E-4</v>
      </c>
      <c r="P91" s="154">
        <f t="shared" si="4"/>
        <v>3.2378627207056E-3</v>
      </c>
      <c r="Q91" s="154">
        <f t="shared" si="4"/>
        <v>8.1569074494239994E-11</v>
      </c>
      <c r="R91" s="154">
        <f t="shared" si="4"/>
        <v>6.6368611341760007E-9</v>
      </c>
      <c r="S91" s="154">
        <f t="shared" si="4"/>
        <v>5.6166520099551996E-3</v>
      </c>
      <c r="T91" s="154">
        <f t="shared" si="4"/>
        <v>0.78130875710178882</v>
      </c>
      <c r="U91" s="154">
        <f t="shared" si="4"/>
        <v>1.0153566173903999E-6</v>
      </c>
      <c r="V91" s="154">
        <f t="shared" si="4"/>
        <v>2.0464128626144001E-8</v>
      </c>
      <c r="W91" s="154">
        <f t="shared" si="4"/>
        <v>5.7044899203343993E-8</v>
      </c>
      <c r="X91" s="154">
        <f t="shared" si="4"/>
        <v>2.3927206798272003E-3</v>
      </c>
      <c r="Y91" s="154">
        <f t="shared" si="4"/>
        <v>2.8211726834548801E-2</v>
      </c>
    </row>
    <row r="92" spans="1:25" ht="14" customHeight="1" x14ac:dyDescent="0.35">
      <c r="A92" s="395" t="s">
        <v>211</v>
      </c>
      <c r="B92" s="1" t="str">
        <f>Input!A40</f>
        <v>Virgin crushed coarse aggregate 1 (&gt;2 mm)</v>
      </c>
      <c r="C92" s="154">
        <f>+Input!B40</f>
        <v>6.0999999999999999E-2</v>
      </c>
      <c r="D92" s="158">
        <f t="shared" si="3"/>
        <v>114.54</v>
      </c>
      <c r="E92" s="154" t="s">
        <v>346</v>
      </c>
      <c r="F92" s="154" t="s">
        <v>346</v>
      </c>
      <c r="G92" s="154">
        <f t="shared" ref="G92:Y92" si="5">G16+G41+G66</f>
        <v>1.6539624106800001E-3</v>
      </c>
      <c r="H92" s="154">
        <f t="shared" si="5"/>
        <v>1.10914080514146</v>
      </c>
      <c r="I92" s="154">
        <f t="shared" si="5"/>
        <v>5.1836317468199997E-4</v>
      </c>
      <c r="J92" s="154">
        <f t="shared" si="5"/>
        <v>1.1085342199714801</v>
      </c>
      <c r="K92" s="154">
        <f t="shared" si="5"/>
        <v>8.822059791E-5</v>
      </c>
      <c r="L92" s="154">
        <f t="shared" si="5"/>
        <v>0.95262699102605986</v>
      </c>
      <c r="M92" s="154">
        <f t="shared" si="5"/>
        <v>14.927882097674399</v>
      </c>
      <c r="N92" s="154">
        <f t="shared" si="5"/>
        <v>2.5870472868600001E-5</v>
      </c>
      <c r="O92" s="154">
        <f t="shared" si="5"/>
        <v>3.6050654056800005E-4</v>
      </c>
      <c r="P92" s="154">
        <f t="shared" si="5"/>
        <v>3.9021570814200004E-3</v>
      </c>
      <c r="Q92" s="154">
        <f t="shared" si="5"/>
        <v>9.8304149718000006E-11</v>
      </c>
      <c r="R92" s="154">
        <f t="shared" si="5"/>
        <v>7.9985091732E-9</v>
      </c>
      <c r="S92" s="154">
        <f t="shared" si="5"/>
        <v>6.7689893936400004E-3</v>
      </c>
      <c r="T92" s="154">
        <f t="shared" si="5"/>
        <v>0.94160554732716006</v>
      </c>
      <c r="U92" s="154">
        <f t="shared" si="5"/>
        <v>1.2236717107799999E-6</v>
      </c>
      <c r="V92" s="154">
        <f t="shared" si="5"/>
        <v>2.4662640550800004E-8</v>
      </c>
      <c r="W92" s="154">
        <f t="shared" si="5"/>
        <v>6.87484852158E-8</v>
      </c>
      <c r="X92" s="154">
        <f t="shared" si="5"/>
        <v>2.8836219290399997E-3</v>
      </c>
      <c r="Y92" s="154">
        <f t="shared" si="5"/>
        <v>3.3999770571660003E-2</v>
      </c>
    </row>
    <row r="93" spans="1:25" ht="14" customHeight="1" x14ac:dyDescent="0.35">
      <c r="A93" s="396"/>
      <c r="B93" s="1" t="str">
        <f>Input!A41</f>
        <v>Virgin crushed coarse aggregate 2 (&gt;2 mm)</v>
      </c>
      <c r="C93" s="154">
        <f>+Input!B41</f>
        <v>0.10199999999999999</v>
      </c>
      <c r="D93" s="158">
        <f t="shared" si="3"/>
        <v>50.37</v>
      </c>
      <c r="E93" s="154" t="s">
        <v>346</v>
      </c>
      <c r="F93" s="154" t="s">
        <v>346</v>
      </c>
      <c r="G93" s="154">
        <f t="shared" ref="G93:Y93" si="6">G17+G42+G67</f>
        <v>1.2162160882799998E-3</v>
      </c>
      <c r="H93" s="154">
        <f t="shared" si="6"/>
        <v>0.81558981187865986</v>
      </c>
      <c r="I93" s="154">
        <f t="shared" si="6"/>
        <v>3.8117047192199992E-4</v>
      </c>
      <c r="J93" s="154">
        <f t="shared" si="6"/>
        <v>0.81514376870507987</v>
      </c>
      <c r="K93" s="154">
        <f t="shared" si="6"/>
        <v>6.4871674109999995E-5</v>
      </c>
      <c r="L93" s="154">
        <f t="shared" si="6"/>
        <v>0.70049976053525986</v>
      </c>
      <c r="M93" s="154">
        <f t="shared" si="6"/>
        <v>10.976990924282397</v>
      </c>
      <c r="N93" s="154">
        <f t="shared" si="6"/>
        <v>1.9023458520599999E-5</v>
      </c>
      <c r="O93" s="154">
        <f t="shared" si="6"/>
        <v>2.65092998328E-4</v>
      </c>
      <c r="P93" s="154">
        <f t="shared" si="6"/>
        <v>2.8693918258199994E-3</v>
      </c>
      <c r="Q93" s="154">
        <f t="shared" si="6"/>
        <v>7.228646047799998E-11</v>
      </c>
      <c r="R93" s="154">
        <f t="shared" si="6"/>
        <v>5.8815819971999995E-9</v>
      </c>
      <c r="S93" s="154">
        <f t="shared" si="6"/>
        <v>4.9774733384399996E-3</v>
      </c>
      <c r="T93" s="154">
        <f t="shared" si="6"/>
        <v>0.69239530963835993</v>
      </c>
      <c r="U93" s="154">
        <f t="shared" si="6"/>
        <v>8.9980837037999986E-7</v>
      </c>
      <c r="V93" s="154">
        <f t="shared" si="6"/>
        <v>1.8135297406799999E-8</v>
      </c>
      <c r="W93" s="154">
        <f t="shared" si="6"/>
        <v>5.0553152371799989E-8</v>
      </c>
      <c r="X93" s="154">
        <f t="shared" si="6"/>
        <v>2.1204275018399995E-3</v>
      </c>
      <c r="Y93" s="154">
        <f t="shared" si="6"/>
        <v>2.5001213872859997E-2</v>
      </c>
    </row>
    <row r="94" spans="1:25" ht="14" customHeight="1" x14ac:dyDescent="0.35">
      <c r="A94" s="396"/>
      <c r="B94" s="1" t="str">
        <f>Input!A42</f>
        <v>Virgin crushed coarse aggregate 3 (&gt;2 mm)</v>
      </c>
      <c r="C94" s="154">
        <f>+Input!B42</f>
        <v>0.35299999999999998</v>
      </c>
      <c r="D94" s="158">
        <f t="shared" si="3"/>
        <v>201.75</v>
      </c>
      <c r="E94" s="154" t="s">
        <v>346</v>
      </c>
      <c r="F94" s="154" t="s">
        <v>346</v>
      </c>
      <c r="G94" s="154">
        <f t="shared" ref="G94:Y94" si="7">G18+G43+G68</f>
        <v>3.1512423616190832E-2</v>
      </c>
      <c r="H94" s="154">
        <f t="shared" si="7"/>
        <v>3.5918771127159728</v>
      </c>
      <c r="I94" s="154">
        <f t="shared" si="7"/>
        <v>9.8935807212211088E-4</v>
      </c>
      <c r="J94" s="154">
        <f t="shared" si="7"/>
        <v>3.5875563956592331</v>
      </c>
      <c r="K94" s="154">
        <f t="shared" si="7"/>
        <v>3.3313589846178477E-3</v>
      </c>
      <c r="L94" s="154">
        <f t="shared" si="7"/>
        <v>3.6365363993946773</v>
      </c>
      <c r="M94" s="154">
        <f t="shared" si="7"/>
        <v>44.057472407912528</v>
      </c>
      <c r="N94" s="154">
        <f t="shared" si="7"/>
        <v>3.2388686749148247E-4</v>
      </c>
      <c r="O94" s="154">
        <f t="shared" si="7"/>
        <v>1.4286597663112424E-2</v>
      </c>
      <c r="P94" s="154">
        <f t="shared" si="7"/>
        <v>0.15620736527345749</v>
      </c>
      <c r="Q94" s="154">
        <f t="shared" si="7"/>
        <v>4.8489301899693285E-10</v>
      </c>
      <c r="R94" s="154">
        <f t="shared" si="7"/>
        <v>1.0709549219787942E-8</v>
      </c>
      <c r="S94" s="154">
        <f t="shared" si="7"/>
        <v>0.1205151741033976</v>
      </c>
      <c r="T94" s="154">
        <f t="shared" si="7"/>
        <v>29.406766437286251</v>
      </c>
      <c r="U94" s="154">
        <f t="shared" si="7"/>
        <v>4.9487579166225347E-6</v>
      </c>
      <c r="V94" s="154">
        <f t="shared" si="7"/>
        <v>6.650041308733804E-8</v>
      </c>
      <c r="W94" s="154">
        <f t="shared" si="7"/>
        <v>7.5838608732924615E-8</v>
      </c>
      <c r="X94" s="154">
        <f t="shared" si="7"/>
        <v>4.3672712080046978E-2</v>
      </c>
      <c r="Y94" s="154">
        <f t="shared" si="7"/>
        <v>0.34062482881971756</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48.38</v>
      </c>
      <c r="E98" s="154" t="s">
        <v>346</v>
      </c>
      <c r="F98" s="154" t="s">
        <v>346</v>
      </c>
      <c r="G98" s="154">
        <f t="shared" ref="G98:Y98" si="11">G22+G47+G72</f>
        <v>1.75224938508E-3</v>
      </c>
      <c r="H98" s="154">
        <f t="shared" si="11"/>
        <v>1.1750516705982599</v>
      </c>
      <c r="I98" s="154">
        <f t="shared" si="11"/>
        <v>5.4916698724199998E-4</v>
      </c>
      <c r="J98" s="154">
        <f t="shared" si="11"/>
        <v>1.17440903900988</v>
      </c>
      <c r="K98" s="154">
        <f t="shared" si="11"/>
        <v>9.3463120709999989E-5</v>
      </c>
      <c r="L98" s="154">
        <f t="shared" si="11"/>
        <v>1.00923699865086</v>
      </c>
      <c r="M98" s="154">
        <f t="shared" si="11"/>
        <v>15.814973821226401</v>
      </c>
      <c r="N98" s="154">
        <f t="shared" si="11"/>
        <v>2.7407829756599998E-5</v>
      </c>
      <c r="O98" s="154">
        <f t="shared" si="11"/>
        <v>3.8192969800800007E-4</v>
      </c>
      <c r="P98" s="154">
        <f t="shared" si="11"/>
        <v>4.1340433750199999E-3</v>
      </c>
      <c r="Q98" s="154">
        <f t="shared" si="11"/>
        <v>1.04145889158E-10</v>
      </c>
      <c r="R98" s="154">
        <f t="shared" si="11"/>
        <v>8.4738218292000015E-9</v>
      </c>
      <c r="S98" s="154">
        <f t="shared" si="11"/>
        <v>7.1712376448400004E-3</v>
      </c>
      <c r="T98" s="154">
        <f t="shared" si="11"/>
        <v>0.99756060393996004</v>
      </c>
      <c r="U98" s="154">
        <f t="shared" si="11"/>
        <v>1.29638859318E-6</v>
      </c>
      <c r="V98" s="154">
        <f t="shared" si="11"/>
        <v>2.61282218148E-8</v>
      </c>
      <c r="W98" s="154">
        <f t="shared" si="11"/>
        <v>7.2833874679799998E-8</v>
      </c>
      <c r="X98" s="154">
        <f t="shared" si="11"/>
        <v>3.05498161224E-3</v>
      </c>
      <c r="Y98" s="154">
        <f t="shared" si="11"/>
        <v>3.6020212244459997E-2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214.98</v>
      </c>
      <c r="E101" s="154" t="s">
        <v>346</v>
      </c>
      <c r="F101" s="154" t="s">
        <v>346</v>
      </c>
      <c r="G101" s="154">
        <f t="shared" ref="G101:Y101" si="14">G25+G50+G75</f>
        <v>5.2318382088100053E-4</v>
      </c>
      <c r="H101" s="154">
        <f t="shared" si="14"/>
        <v>5.9634003872689585E-2</v>
      </c>
      <c r="I101" s="154">
        <f t="shared" si="14"/>
        <v>1.6425779962108642E-5</v>
      </c>
      <c r="J101" s="154">
        <f t="shared" si="14"/>
        <v>5.9562269331220385E-2</v>
      </c>
      <c r="K101" s="154">
        <f t="shared" si="14"/>
        <v>5.5308761507100365E-5</v>
      </c>
      <c r="L101" s="154">
        <f t="shared" si="14"/>
        <v>6.0375457990181826E-2</v>
      </c>
      <c r="M101" s="154">
        <f t="shared" si="14"/>
        <v>0.73146251882980984</v>
      </c>
      <c r="N101" s="154">
        <f t="shared" si="14"/>
        <v>5.3773194639433831E-6</v>
      </c>
      <c r="O101" s="154">
        <f t="shared" si="14"/>
        <v>2.3719269719820547E-4</v>
      </c>
      <c r="P101" s="154">
        <f t="shared" si="14"/>
        <v>2.5934268721727856E-3</v>
      </c>
      <c r="Q101" s="154">
        <f t="shared" si="14"/>
        <v>8.0504180029807643E-12</v>
      </c>
      <c r="R101" s="154">
        <f t="shared" si="14"/>
        <v>1.7780488574807634E-10</v>
      </c>
      <c r="S101" s="154">
        <f t="shared" si="14"/>
        <v>2.0008486186114597E-3</v>
      </c>
      <c r="T101" s="154">
        <f t="shared" si="14"/>
        <v>0.48822472723138388</v>
      </c>
      <c r="U101" s="154">
        <f t="shared" si="14"/>
        <v>8.2161566084793734E-8</v>
      </c>
      <c r="V101" s="154">
        <f t="shared" si="14"/>
        <v>1.1040705923781306E-9</v>
      </c>
      <c r="W101" s="154">
        <f t="shared" si="14"/>
        <v>1.2591076322928305E-9</v>
      </c>
      <c r="X101" s="154">
        <f t="shared" si="14"/>
        <v>7.2507455004302635E-4</v>
      </c>
      <c r="Y101" s="154">
        <f t="shared" si="14"/>
        <v>5.655210833649559E-3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1239.32</v>
      </c>
      <c r="E107" s="154" t="s">
        <v>346</v>
      </c>
      <c r="F107" s="154" t="s">
        <v>346</v>
      </c>
      <c r="G107" s="154">
        <f t="shared" ref="G107:Y107" si="16">G31+G56+G81</f>
        <v>9.68135219832E-4</v>
      </c>
      <c r="H107" s="154">
        <f t="shared" si="16"/>
        <v>0.64922773956440383</v>
      </c>
      <c r="I107" s="154">
        <f t="shared" si="16"/>
        <v>3.0342022456679999E-4</v>
      </c>
      <c r="J107" s="154">
        <f t="shared" si="16"/>
        <v>0.64887267921775194</v>
      </c>
      <c r="K107" s="154">
        <f t="shared" si="16"/>
        <v>5.1639304133999999E-5</v>
      </c>
      <c r="L107" s="154">
        <f t="shared" si="16"/>
        <v>0.55761348348644391</v>
      </c>
      <c r="M107" s="154">
        <f t="shared" si="16"/>
        <v>8.7379303924545599</v>
      </c>
      <c r="N107" s="154">
        <f t="shared" si="16"/>
        <v>1.5143098643639998E-5</v>
      </c>
      <c r="O107" s="154">
        <f t="shared" si="16"/>
        <v>2.110199582832E-4</v>
      </c>
      <c r="P107" s="154">
        <f t="shared" si="16"/>
        <v>2.284100097708E-3</v>
      </c>
      <c r="Q107" s="154">
        <f t="shared" si="16"/>
        <v>5.7541639993199993E-11</v>
      </c>
      <c r="R107" s="154">
        <f t="shared" si="16"/>
        <v>4.6818708736799992E-9</v>
      </c>
      <c r="S107" s="154">
        <f t="shared" si="16"/>
        <v>3.9621801513360002E-3</v>
      </c>
      <c r="T107" s="154">
        <f t="shared" si="16"/>
        <v>0.55116215923058398</v>
      </c>
      <c r="U107" s="154">
        <f t="shared" si="16"/>
        <v>7.1626759657199998E-7</v>
      </c>
      <c r="V107" s="154">
        <f t="shared" si="16"/>
        <v>1.4436102523919999E-8</v>
      </c>
      <c r="W107" s="154">
        <f t="shared" si="16"/>
        <v>4.0241440444919994E-8</v>
      </c>
      <c r="X107" s="154">
        <f t="shared" si="16"/>
        <v>1.6879077372959999E-3</v>
      </c>
      <c r="Y107" s="154">
        <f t="shared" si="16"/>
        <v>1.9901525659883998E-2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3.899856614656623E-2</v>
      </c>
      <c r="H110" s="139">
        <f t="shared" si="19"/>
        <v>8.320844336828058</v>
      </c>
      <c r="I110" s="139">
        <f t="shared" si="19"/>
        <v>3.1880229153947795E-3</v>
      </c>
      <c r="J110" s="139">
        <f t="shared" si="19"/>
        <v>8.3138982434632105</v>
      </c>
      <c r="K110" s="139">
        <f t="shared" si="19"/>
        <v>3.7580645666377482E-3</v>
      </c>
      <c r="L110" s="139">
        <f t="shared" si="19"/>
        <v>7.7073430263358231</v>
      </c>
      <c r="M110" s="139">
        <f t="shared" si="19"/>
        <v>107.63330550924749</v>
      </c>
      <c r="N110" s="139">
        <f t="shared" si="19"/>
        <v>4.3817538905771385E-4</v>
      </c>
      <c r="O110" s="139">
        <f t="shared" si="19"/>
        <v>1.6041474281220068E-2</v>
      </c>
      <c r="P110" s="139">
        <f t="shared" si="19"/>
        <v>0.17522834724630387</v>
      </c>
      <c r="Q110" s="139">
        <f t="shared" si="19"/>
        <v>9.0679065084135356E-10</v>
      </c>
      <c r="R110" s="139">
        <f t="shared" si="19"/>
        <v>4.4559999112992018E-8</v>
      </c>
      <c r="S110" s="139">
        <f t="shared" si="19"/>
        <v>0.15101255526022028</v>
      </c>
      <c r="T110" s="139">
        <f t="shared" si="19"/>
        <v>33.859023541755491</v>
      </c>
      <c r="U110" s="139">
        <f t="shared" si="19"/>
        <v>1.0182412371009728E-5</v>
      </c>
      <c r="V110" s="139">
        <f t="shared" si="19"/>
        <v>1.7143087460218017E-7</v>
      </c>
      <c r="W110" s="139">
        <f t="shared" si="19"/>
        <v>3.6651956828088136E-7</v>
      </c>
      <c r="X110" s="139">
        <f t="shared" si="19"/>
        <v>5.6537446090333197E-2</v>
      </c>
      <c r="Y110" s="139">
        <f t="shared" si="19"/>
        <v>0.48941448883677996</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1.3723956056223999E-3</v>
      </c>
      <c r="C118" s="154">
        <f>G16+G41+G66</f>
        <v>1.6539624106800001E-3</v>
      </c>
      <c r="D118" s="154">
        <f>G17+G42+G67</f>
        <v>1.2162160882799998E-3</v>
      </c>
      <c r="E118" s="154">
        <f>G18+G43+G68</f>
        <v>3.1512423616190832E-2</v>
      </c>
      <c r="F118" s="154">
        <f>G19+G44+G69</f>
        <v>0</v>
      </c>
      <c r="G118" s="154">
        <f>G20+G45+G70</f>
        <v>0</v>
      </c>
      <c r="H118" s="154">
        <f>G21+G46+G71</f>
        <v>0</v>
      </c>
      <c r="I118" s="154">
        <f>G22+G47+G72</f>
        <v>1.75224938508E-3</v>
      </c>
      <c r="J118" s="154">
        <f>G23+G48+G73</f>
        <v>0</v>
      </c>
      <c r="K118" s="154">
        <f>G24+G49+G74</f>
        <v>0</v>
      </c>
      <c r="L118" s="154">
        <f>SUM(C118:K118)</f>
        <v>3.6134851500230832E-2</v>
      </c>
      <c r="M118" s="154">
        <f>'A2 - Transport'!G101</f>
        <v>5.2318382088100053E-4</v>
      </c>
      <c r="N118" s="154">
        <f>'A2 - Transport'!G102</f>
        <v>0</v>
      </c>
      <c r="O118" s="154">
        <f t="shared" ref="O118:O136" si="20">SUM(M118:N118)</f>
        <v>5.2318382088100053E-4</v>
      </c>
      <c r="P118" s="154">
        <f>'A2 - Transport'!G103</f>
        <v>0</v>
      </c>
      <c r="Q118" s="154">
        <f>'A2 - Transport'!G104</f>
        <v>0</v>
      </c>
      <c r="R118" s="154">
        <f>SUM(P118:Q118)</f>
        <v>0</v>
      </c>
      <c r="S118" s="154">
        <f>'A2 - Transport'!G105</f>
        <v>0</v>
      </c>
      <c r="T118" s="154">
        <f>'A2 - Transport'!G106</f>
        <v>0</v>
      </c>
      <c r="U118" s="154">
        <f>SUM(S118:T118)</f>
        <v>0</v>
      </c>
      <c r="V118" s="154">
        <f>'A2 - Transport'!G107</f>
        <v>9.68135219832E-4</v>
      </c>
      <c r="W118" s="154">
        <f>'A2 - Transport'!G108</f>
        <v>0</v>
      </c>
      <c r="X118" s="154">
        <f>'A2 - Transport'!G109</f>
        <v>0</v>
      </c>
      <c r="Y118" s="154">
        <f>SUM(V118:X118)</f>
        <v>9.68135219832E-4</v>
      </c>
      <c r="Z118" s="154">
        <f>+SUM(B118+L118+O118+Y118)</f>
        <v>3.899856614656623E-2</v>
      </c>
      <c r="AB118" s="87"/>
    </row>
    <row r="119" spans="1:28" x14ac:dyDescent="0.35">
      <c r="A119" s="1" t="s">
        <v>280</v>
      </c>
      <c r="B119" s="154">
        <f>'A2 - Transport'!H91</f>
        <v>0.9203231930566127</v>
      </c>
      <c r="C119" s="154">
        <f>H16+H41+H66</f>
        <v>1.10914080514146</v>
      </c>
      <c r="D119" s="154">
        <f>H17+H42+H67</f>
        <v>0.81558981187865986</v>
      </c>
      <c r="E119" s="154">
        <f>H18+H43+H68</f>
        <v>3.5918771127159728</v>
      </c>
      <c r="F119" s="154">
        <f>H19+H44+H69</f>
        <v>0</v>
      </c>
      <c r="G119" s="154">
        <f>H20+H45+H70</f>
        <v>0</v>
      </c>
      <c r="H119" s="154">
        <f>H21+H46+H71</f>
        <v>0</v>
      </c>
      <c r="I119" s="154">
        <f>H22+H47+H72</f>
        <v>1.1750516705982599</v>
      </c>
      <c r="J119" s="154">
        <f>H23+H48+H73</f>
        <v>0</v>
      </c>
      <c r="K119" s="154">
        <f>H24+H49+H74</f>
        <v>0</v>
      </c>
      <c r="L119" s="154">
        <f t="shared" ref="L119:L136" si="21">SUM(C119:K119)</f>
        <v>6.6916594003343519</v>
      </c>
      <c r="M119" s="154">
        <f>'A2 - Transport'!H101</f>
        <v>5.9634003872689585E-2</v>
      </c>
      <c r="N119" s="154">
        <f>'A2 - Transport'!H102</f>
        <v>0</v>
      </c>
      <c r="O119" s="154">
        <f t="shared" si="20"/>
        <v>5.9634003872689585E-2</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0.64922773956440383</v>
      </c>
      <c r="W119" s="154">
        <f>'A2 - Transport'!H108</f>
        <v>0</v>
      </c>
      <c r="X119" s="154">
        <f>'A2 - Transport'!H109</f>
        <v>0</v>
      </c>
      <c r="Y119" s="154">
        <f t="shared" ref="Y119:Y136" si="24">SUM(V119:X119)</f>
        <v>0.64922773956440383</v>
      </c>
      <c r="Z119" s="154">
        <f t="shared" ref="Z119:Z136" si="25">+SUM(B119+L119+O119+Y119)</f>
        <v>8.320844336828058</v>
      </c>
      <c r="AB119" s="87"/>
    </row>
    <row r="120" spans="1:28" x14ac:dyDescent="0.35">
      <c r="A120" s="1" t="s">
        <v>281</v>
      </c>
      <c r="B120" s="154">
        <f>'A2 - Transport'!I91</f>
        <v>4.3011820489776E-4</v>
      </c>
      <c r="C120" s="154">
        <f>I16+I41+I66</f>
        <v>5.1836317468199997E-4</v>
      </c>
      <c r="D120" s="154">
        <f>I17+I42+I67</f>
        <v>3.8117047192199992E-4</v>
      </c>
      <c r="E120" s="154">
        <f>I18+I43+I68</f>
        <v>9.8935807212211088E-4</v>
      </c>
      <c r="F120" s="154">
        <f>I19+I44+I69</f>
        <v>0</v>
      </c>
      <c r="G120" s="154">
        <f>I20+I45+I70</f>
        <v>0</v>
      </c>
      <c r="H120" s="154">
        <f>I21+I46+I71</f>
        <v>0</v>
      </c>
      <c r="I120" s="154">
        <f>I22+I47+I72</f>
        <v>5.4916698724199998E-4</v>
      </c>
      <c r="J120" s="154">
        <f>I23+I48+I73</f>
        <v>0</v>
      </c>
      <c r="K120" s="154">
        <f>I24+I49+I74</f>
        <v>0</v>
      </c>
      <c r="L120" s="154">
        <f t="shared" si="21"/>
        <v>2.4380587059681107E-3</v>
      </c>
      <c r="M120" s="154">
        <f>'A2 - Transport'!I101</f>
        <v>1.6425779962108642E-5</v>
      </c>
      <c r="N120" s="154">
        <f>'A2 - Transport'!I102</f>
        <v>0</v>
      </c>
      <c r="O120" s="154">
        <f t="shared" si="20"/>
        <v>1.6425779962108642E-5</v>
      </c>
      <c r="P120" s="154">
        <f>'A2 - Transport'!I103</f>
        <v>0</v>
      </c>
      <c r="Q120" s="154">
        <f>'A2 - Transport'!I104</f>
        <v>0</v>
      </c>
      <c r="R120" s="154">
        <f t="shared" si="22"/>
        <v>0</v>
      </c>
      <c r="S120" s="154">
        <f>'A2 - Transport'!I105</f>
        <v>0</v>
      </c>
      <c r="T120" s="154">
        <f>'A2 - Transport'!I106</f>
        <v>0</v>
      </c>
      <c r="U120" s="154">
        <f t="shared" si="23"/>
        <v>0</v>
      </c>
      <c r="V120" s="154">
        <f>'A2 - Transport'!I107</f>
        <v>3.0342022456679999E-4</v>
      </c>
      <c r="W120" s="154">
        <f>'A2 - Transport'!I108</f>
        <v>0</v>
      </c>
      <c r="X120" s="154">
        <f>'A2 - Transport'!I109</f>
        <v>0</v>
      </c>
      <c r="Y120" s="154">
        <f t="shared" si="24"/>
        <v>3.0342022456679999E-4</v>
      </c>
      <c r="Z120" s="154">
        <f t="shared" si="25"/>
        <v>3.1880229153947795E-3</v>
      </c>
      <c r="AB120" s="87"/>
    </row>
    <row r="121" spans="1:28" x14ac:dyDescent="0.35">
      <c r="A121" s="1" t="s">
        <v>282</v>
      </c>
      <c r="B121" s="154">
        <f>'A2 - Transport'!J91</f>
        <v>0.91981987156856637</v>
      </c>
      <c r="C121" s="154">
        <f>J16+J41+J66</f>
        <v>1.1085342199714801</v>
      </c>
      <c r="D121" s="154">
        <f>J17+J42+J67</f>
        <v>0.81514376870507987</v>
      </c>
      <c r="E121" s="154">
        <f>J18+J43+J68</f>
        <v>3.5875563956592331</v>
      </c>
      <c r="F121" s="154">
        <f>J19+J44+J69</f>
        <v>0</v>
      </c>
      <c r="G121" s="154">
        <f>J20+J45+J70</f>
        <v>0</v>
      </c>
      <c r="H121" s="154">
        <f>J21+J46+J71</f>
        <v>0</v>
      </c>
      <c r="I121" s="154">
        <f>J22+J47+J72</f>
        <v>1.17440903900988</v>
      </c>
      <c r="J121" s="154">
        <f>J23+J48+J73</f>
        <v>0</v>
      </c>
      <c r="K121" s="154">
        <f>J24+J49+J74</f>
        <v>0</v>
      </c>
      <c r="L121" s="154">
        <f t="shared" si="21"/>
        <v>6.6856434233456739</v>
      </c>
      <c r="M121" s="154">
        <f>'A2 - Transport'!J101</f>
        <v>5.9562269331220385E-2</v>
      </c>
      <c r="N121" s="154">
        <f>'A2 - Transport'!J102</f>
        <v>0</v>
      </c>
      <c r="O121" s="154">
        <f t="shared" si="20"/>
        <v>5.9562269331220385E-2</v>
      </c>
      <c r="P121" s="154">
        <f>'A2 - Transport'!J103</f>
        <v>0</v>
      </c>
      <c r="Q121" s="154">
        <f>'A2 - Transport'!J104</f>
        <v>0</v>
      </c>
      <c r="R121" s="154">
        <f t="shared" si="22"/>
        <v>0</v>
      </c>
      <c r="S121" s="154">
        <f>'A2 - Transport'!J105</f>
        <v>0</v>
      </c>
      <c r="T121" s="154">
        <f>'A2 - Transport'!J106</f>
        <v>0</v>
      </c>
      <c r="U121" s="154">
        <f t="shared" si="23"/>
        <v>0</v>
      </c>
      <c r="V121" s="154">
        <f>'A2 - Transport'!J107</f>
        <v>0.64887267921775194</v>
      </c>
      <c r="W121" s="154">
        <f>'A2 - Transport'!J108</f>
        <v>0</v>
      </c>
      <c r="X121" s="154">
        <f>'A2 - Transport'!J109</f>
        <v>0</v>
      </c>
      <c r="Y121" s="154">
        <f t="shared" si="24"/>
        <v>0.64887267921775194</v>
      </c>
      <c r="Z121" s="154">
        <f t="shared" si="25"/>
        <v>8.3138982434632123</v>
      </c>
      <c r="AB121" s="87"/>
    </row>
    <row r="122" spans="1:28" x14ac:dyDescent="0.35">
      <c r="A122" s="1" t="s">
        <v>283</v>
      </c>
      <c r="B122" s="154">
        <f>'A2 - Transport'!K91</f>
        <v>7.3202123648800002E-5</v>
      </c>
      <c r="C122" s="154">
        <f>K16+K41+K66</f>
        <v>8.822059791E-5</v>
      </c>
      <c r="D122" s="154">
        <f>K17+K42+K67</f>
        <v>6.4871674109999995E-5</v>
      </c>
      <c r="E122" s="154">
        <f>K18+K43+K68</f>
        <v>3.3313589846178477E-3</v>
      </c>
      <c r="F122" s="154">
        <f>K19+K44+K69</f>
        <v>0</v>
      </c>
      <c r="G122" s="154">
        <f>K20+K45+K70</f>
        <v>0</v>
      </c>
      <c r="H122" s="154">
        <f>K21+K46+K71</f>
        <v>0</v>
      </c>
      <c r="I122" s="154">
        <f>K22+K47+K72</f>
        <v>9.3463120709999989E-5</v>
      </c>
      <c r="J122" s="154">
        <f>K23+K48+K73</f>
        <v>0</v>
      </c>
      <c r="K122" s="154">
        <f>K24+K49+K74</f>
        <v>0</v>
      </c>
      <c r="L122" s="154">
        <f t="shared" si="21"/>
        <v>3.5779143773478476E-3</v>
      </c>
      <c r="M122" s="154">
        <f>'A2 - Transport'!K101</f>
        <v>5.5308761507100365E-5</v>
      </c>
      <c r="N122" s="154">
        <f>'A2 - Transport'!K102</f>
        <v>0</v>
      </c>
      <c r="O122" s="154">
        <f t="shared" si="20"/>
        <v>5.5308761507100365E-5</v>
      </c>
      <c r="P122" s="154">
        <f>'A2 - Transport'!K103</f>
        <v>0</v>
      </c>
      <c r="Q122" s="154">
        <f>'A2 - Transport'!K104</f>
        <v>0</v>
      </c>
      <c r="R122" s="154">
        <f t="shared" si="22"/>
        <v>0</v>
      </c>
      <c r="S122" s="154">
        <f>'A2 - Transport'!K105</f>
        <v>0</v>
      </c>
      <c r="T122" s="154">
        <f>'A2 - Transport'!K106</f>
        <v>0</v>
      </c>
      <c r="U122" s="154">
        <f t="shared" si="23"/>
        <v>0</v>
      </c>
      <c r="V122" s="154">
        <f>'A2 - Transport'!K107</f>
        <v>5.1639304133999999E-5</v>
      </c>
      <c r="W122" s="154">
        <f>'A2 - Transport'!K108</f>
        <v>0</v>
      </c>
      <c r="X122" s="154">
        <f>'A2 - Transport'!K109</f>
        <v>0</v>
      </c>
      <c r="Y122" s="154">
        <f t="shared" si="24"/>
        <v>5.1639304133999999E-5</v>
      </c>
      <c r="Z122" s="154">
        <f t="shared" si="25"/>
        <v>3.7580645666377482E-3</v>
      </c>
      <c r="AB122" s="87"/>
    </row>
    <row r="123" spans="1:28" x14ac:dyDescent="0.35">
      <c r="A123" s="1" t="s">
        <v>284</v>
      </c>
      <c r="B123" s="154">
        <f>'A2 - Transport'!L91</f>
        <v>0.79045393525234076</v>
      </c>
      <c r="C123" s="154">
        <f>L16+L41+L66</f>
        <v>0.95262699102605986</v>
      </c>
      <c r="D123" s="154">
        <f>L17+L42+L67</f>
        <v>0.70049976053525986</v>
      </c>
      <c r="E123" s="154">
        <f>L18+L43+L68</f>
        <v>3.6365363993946773</v>
      </c>
      <c r="F123" s="154">
        <f>L19+L44+L69</f>
        <v>0</v>
      </c>
      <c r="G123" s="154">
        <f>L20+L45+L70</f>
        <v>0</v>
      </c>
      <c r="H123" s="154">
        <f>L21+L46+L71</f>
        <v>0</v>
      </c>
      <c r="I123" s="154">
        <f>L22+L47+L72</f>
        <v>1.00923699865086</v>
      </c>
      <c r="J123" s="154">
        <f>L23+L48+L73</f>
        <v>0</v>
      </c>
      <c r="K123" s="154">
        <f>L24+L49+L74</f>
        <v>0</v>
      </c>
      <c r="L123" s="154">
        <f t="shared" si="21"/>
        <v>6.2989001496068573</v>
      </c>
      <c r="M123" s="154">
        <f>'A2 - Transport'!L101</f>
        <v>6.0375457990181826E-2</v>
      </c>
      <c r="N123" s="154">
        <f>'A2 - Transport'!L102</f>
        <v>0</v>
      </c>
      <c r="O123" s="154">
        <f t="shared" si="20"/>
        <v>6.0375457990181826E-2</v>
      </c>
      <c r="P123" s="154">
        <f>'A2 - Transport'!L103</f>
        <v>0</v>
      </c>
      <c r="Q123" s="154">
        <f>'A2 - Transport'!L104</f>
        <v>0</v>
      </c>
      <c r="R123" s="154">
        <f t="shared" si="22"/>
        <v>0</v>
      </c>
      <c r="S123" s="154">
        <f>'A2 - Transport'!L105</f>
        <v>0</v>
      </c>
      <c r="T123" s="154">
        <f>'A2 - Transport'!L106</f>
        <v>0</v>
      </c>
      <c r="U123" s="154">
        <f t="shared" si="23"/>
        <v>0</v>
      </c>
      <c r="V123" s="154">
        <f>'A2 - Transport'!L107</f>
        <v>0.55761348348644391</v>
      </c>
      <c r="W123" s="154">
        <f>'A2 - Transport'!L108</f>
        <v>0</v>
      </c>
      <c r="X123" s="154">
        <f>'A2 - Transport'!L109</f>
        <v>0</v>
      </c>
      <c r="Y123" s="154">
        <f t="shared" si="24"/>
        <v>0.55761348348644391</v>
      </c>
      <c r="Z123" s="154">
        <f t="shared" si="25"/>
        <v>7.7073430263358231</v>
      </c>
      <c r="AB123" s="87"/>
    </row>
    <row r="124" spans="1:28" x14ac:dyDescent="0.35">
      <c r="A124" s="1" t="s">
        <v>285</v>
      </c>
      <c r="B124" s="154">
        <f>'A2 - Transport'!M91</f>
        <v>12.386593346867391</v>
      </c>
      <c r="C124" s="154">
        <f>M16+M41+M66</f>
        <v>14.927882097674399</v>
      </c>
      <c r="D124" s="154">
        <f>M17+M42+M67</f>
        <v>10.976990924282397</v>
      </c>
      <c r="E124" s="154">
        <f>M18+M43+M68</f>
        <v>44.057472407912528</v>
      </c>
      <c r="F124" s="154">
        <f>M19+M44+M69</f>
        <v>0</v>
      </c>
      <c r="G124" s="154">
        <f>M20+M45+M70</f>
        <v>0</v>
      </c>
      <c r="H124" s="154">
        <f>M21+M46+M71</f>
        <v>0</v>
      </c>
      <c r="I124" s="154">
        <f>M22+M47+M72</f>
        <v>15.814973821226401</v>
      </c>
      <c r="J124" s="154">
        <f>M23+M48+M73</f>
        <v>0</v>
      </c>
      <c r="K124" s="154">
        <f>M24+M49+M74</f>
        <v>0</v>
      </c>
      <c r="L124" s="154">
        <f t="shared" si="21"/>
        <v>85.777319251095719</v>
      </c>
      <c r="M124" s="154">
        <f>'A2 - Transport'!M101</f>
        <v>0.73146251882980984</v>
      </c>
      <c r="N124" s="154">
        <f>'A2 - Transport'!M102</f>
        <v>0</v>
      </c>
      <c r="O124" s="154">
        <f t="shared" si="20"/>
        <v>0.73146251882980984</v>
      </c>
      <c r="P124" s="154">
        <f>'A2 - Transport'!M103</f>
        <v>0</v>
      </c>
      <c r="Q124" s="154">
        <f>'A2 - Transport'!M104</f>
        <v>0</v>
      </c>
      <c r="R124" s="154">
        <f t="shared" si="22"/>
        <v>0</v>
      </c>
      <c r="S124" s="154">
        <f>'A2 - Transport'!M105</f>
        <v>0</v>
      </c>
      <c r="T124" s="154">
        <f>'A2 - Transport'!M106</f>
        <v>0</v>
      </c>
      <c r="U124" s="154">
        <f t="shared" si="23"/>
        <v>0</v>
      </c>
      <c r="V124" s="154">
        <f>'A2 - Transport'!M107</f>
        <v>8.7379303924545599</v>
      </c>
      <c r="W124" s="154">
        <f>'A2 - Transport'!M108</f>
        <v>0</v>
      </c>
      <c r="X124" s="154">
        <f>'A2 - Transport'!M109</f>
        <v>0</v>
      </c>
      <c r="Y124" s="154">
        <f t="shared" si="24"/>
        <v>8.7379303924545599</v>
      </c>
      <c r="Z124" s="154">
        <f t="shared" si="25"/>
        <v>107.63330550924748</v>
      </c>
      <c r="AB124" s="87"/>
    </row>
    <row r="125" spans="1:28" x14ac:dyDescent="0.35">
      <c r="A125" s="1" t="s">
        <v>286</v>
      </c>
      <c r="B125" s="154">
        <f>'A2 - Transport'!N91</f>
        <v>2.1466342312848E-5</v>
      </c>
      <c r="C125" s="154">
        <f>N16+N41+N66</f>
        <v>2.5870472868600001E-5</v>
      </c>
      <c r="D125" s="154">
        <f>N17+N42+N67</f>
        <v>1.9023458520599999E-5</v>
      </c>
      <c r="E125" s="154">
        <f>N18+N43+N68</f>
        <v>3.2388686749148247E-4</v>
      </c>
      <c r="F125" s="154">
        <f>N19+N44+N69</f>
        <v>0</v>
      </c>
      <c r="G125" s="154">
        <f>N20+N45+N70</f>
        <v>0</v>
      </c>
      <c r="H125" s="154">
        <f>N21+N46+N71</f>
        <v>0</v>
      </c>
      <c r="I125" s="154">
        <f>N22+N47+N72</f>
        <v>2.7407829756599998E-5</v>
      </c>
      <c r="J125" s="154">
        <f>N23+N48+N73</f>
        <v>0</v>
      </c>
      <c r="K125" s="154">
        <f>N24+N49+N74</f>
        <v>0</v>
      </c>
      <c r="L125" s="154">
        <f t="shared" si="21"/>
        <v>3.9618862863728243E-4</v>
      </c>
      <c r="M125" s="154">
        <f>'A2 - Transport'!N101</f>
        <v>5.3773194639433831E-6</v>
      </c>
      <c r="N125" s="154">
        <f>'A2 - Transport'!N102</f>
        <v>0</v>
      </c>
      <c r="O125" s="154">
        <f t="shared" si="20"/>
        <v>5.3773194639433831E-6</v>
      </c>
      <c r="P125" s="154">
        <f>'A2 - Transport'!N103</f>
        <v>0</v>
      </c>
      <c r="Q125" s="154">
        <f>'A2 - Transport'!N104</f>
        <v>0</v>
      </c>
      <c r="R125" s="154">
        <f t="shared" si="22"/>
        <v>0</v>
      </c>
      <c r="S125" s="154">
        <f>'A2 - Transport'!N105</f>
        <v>0</v>
      </c>
      <c r="T125" s="154">
        <f>'A2 - Transport'!N106</f>
        <v>0</v>
      </c>
      <c r="U125" s="154">
        <f t="shared" si="23"/>
        <v>0</v>
      </c>
      <c r="V125" s="154">
        <f>'A2 - Transport'!N107</f>
        <v>1.5143098643639998E-5</v>
      </c>
      <c r="W125" s="154">
        <f>'A2 - Transport'!N108</f>
        <v>0</v>
      </c>
      <c r="X125" s="154">
        <f>'A2 - Transport'!N109</f>
        <v>0</v>
      </c>
      <c r="Y125" s="154">
        <f t="shared" si="24"/>
        <v>1.5143098643639998E-5</v>
      </c>
      <c r="Z125" s="154">
        <f t="shared" si="25"/>
        <v>4.3817538905771379E-4</v>
      </c>
      <c r="AB125" s="87"/>
    </row>
    <row r="126" spans="1:28" x14ac:dyDescent="0.35">
      <c r="A126" s="1" t="s">
        <v>287</v>
      </c>
      <c r="B126" s="154">
        <f>'A2 - Transport'!O91</f>
        <v>2.9913472572224001E-4</v>
      </c>
      <c r="C126" s="154">
        <f>O16+O41+O66</f>
        <v>3.6050654056800005E-4</v>
      </c>
      <c r="D126" s="154">
        <f>O17+O42+O67</f>
        <v>2.65092998328E-4</v>
      </c>
      <c r="E126" s="154">
        <f>O18+O43+O68</f>
        <v>1.4286597663112424E-2</v>
      </c>
      <c r="F126" s="154">
        <f>O19+O44+O69</f>
        <v>0</v>
      </c>
      <c r="G126" s="154">
        <f>O20+O45+O70</f>
        <v>0</v>
      </c>
      <c r="H126" s="154">
        <f>O21+O46+O71</f>
        <v>0</v>
      </c>
      <c r="I126" s="154">
        <f>O22+O47+O72</f>
        <v>3.8192969800800007E-4</v>
      </c>
      <c r="J126" s="154">
        <f>O23+O48+O73</f>
        <v>0</v>
      </c>
      <c r="K126" s="154">
        <f>O24+O49+O74</f>
        <v>0</v>
      </c>
      <c r="L126" s="154">
        <f t="shared" si="21"/>
        <v>1.5294126900016424E-2</v>
      </c>
      <c r="M126" s="154">
        <f>'A2 - Transport'!O101</f>
        <v>2.3719269719820547E-4</v>
      </c>
      <c r="N126" s="154">
        <f>'A2 - Transport'!O102</f>
        <v>0</v>
      </c>
      <c r="O126" s="154">
        <f t="shared" si="20"/>
        <v>2.3719269719820547E-4</v>
      </c>
      <c r="P126" s="154">
        <f>'A2 - Transport'!O103</f>
        <v>0</v>
      </c>
      <c r="Q126" s="154">
        <f>'A2 - Transport'!O104</f>
        <v>0</v>
      </c>
      <c r="R126" s="154">
        <f t="shared" si="22"/>
        <v>0</v>
      </c>
      <c r="S126" s="154">
        <f>'A2 - Transport'!O105</f>
        <v>0</v>
      </c>
      <c r="T126" s="154">
        <f>'A2 - Transport'!O106</f>
        <v>0</v>
      </c>
      <c r="U126" s="154">
        <f t="shared" si="23"/>
        <v>0</v>
      </c>
      <c r="V126" s="154">
        <f>'A2 - Transport'!O107</f>
        <v>2.110199582832E-4</v>
      </c>
      <c r="W126" s="154">
        <f>'A2 - Transport'!O108</f>
        <v>0</v>
      </c>
      <c r="X126" s="154">
        <f>'A2 - Transport'!O109</f>
        <v>0</v>
      </c>
      <c r="Y126" s="154">
        <f t="shared" si="24"/>
        <v>2.110199582832E-4</v>
      </c>
      <c r="Z126" s="154">
        <f t="shared" si="25"/>
        <v>1.6041474281220068E-2</v>
      </c>
      <c r="AB126" s="87"/>
    </row>
    <row r="127" spans="1:28" x14ac:dyDescent="0.35">
      <c r="A127" s="1" t="s">
        <v>288</v>
      </c>
      <c r="B127" s="154">
        <f>'A2 - Transport'!P91</f>
        <v>3.2378627207056E-3</v>
      </c>
      <c r="C127" s="154">
        <f>P16+P41+P66</f>
        <v>3.9021570814200004E-3</v>
      </c>
      <c r="D127" s="154">
        <f>P17+P42+P67</f>
        <v>2.8693918258199994E-3</v>
      </c>
      <c r="E127" s="154">
        <f>P18+P43+P68</f>
        <v>0.15620736527345749</v>
      </c>
      <c r="F127" s="154">
        <f>P19+P44+P69</f>
        <v>0</v>
      </c>
      <c r="G127" s="154">
        <f>P20+P45+P70</f>
        <v>0</v>
      </c>
      <c r="H127" s="154">
        <f>P21+P46+P71</f>
        <v>0</v>
      </c>
      <c r="I127" s="154">
        <f>P22+P47+P72</f>
        <v>4.1340433750199999E-3</v>
      </c>
      <c r="J127" s="154">
        <f>P23+P48+P73</f>
        <v>0</v>
      </c>
      <c r="K127" s="154">
        <f>P24+P49+P74</f>
        <v>0</v>
      </c>
      <c r="L127" s="154">
        <f t="shared" si="21"/>
        <v>0.16711295755571748</v>
      </c>
      <c r="M127" s="154">
        <f>'A2 - Transport'!P101</f>
        <v>2.5934268721727856E-3</v>
      </c>
      <c r="N127" s="154">
        <f>'A2 - Transport'!P102</f>
        <v>0</v>
      </c>
      <c r="O127" s="154">
        <f t="shared" si="20"/>
        <v>2.5934268721727856E-3</v>
      </c>
      <c r="P127" s="154">
        <f>'A2 - Transport'!P103</f>
        <v>0</v>
      </c>
      <c r="Q127" s="154">
        <f>'A2 - Transport'!P104</f>
        <v>0</v>
      </c>
      <c r="R127" s="154">
        <f t="shared" si="22"/>
        <v>0</v>
      </c>
      <c r="S127" s="154">
        <f>'A2 - Transport'!P105</f>
        <v>0</v>
      </c>
      <c r="T127" s="154">
        <f>'A2 - Transport'!P106</f>
        <v>0</v>
      </c>
      <c r="U127" s="154">
        <f t="shared" si="23"/>
        <v>0</v>
      </c>
      <c r="V127" s="154">
        <f>'A2 - Transport'!P107</f>
        <v>2.284100097708E-3</v>
      </c>
      <c r="W127" s="154">
        <f>'A2 - Transport'!P108</f>
        <v>0</v>
      </c>
      <c r="X127" s="154">
        <f>'A2 - Transport'!P109</f>
        <v>0</v>
      </c>
      <c r="Y127" s="154">
        <f t="shared" si="24"/>
        <v>2.284100097708E-3</v>
      </c>
      <c r="Z127" s="154">
        <f t="shared" si="25"/>
        <v>0.17522834724630384</v>
      </c>
      <c r="AB127" s="87"/>
    </row>
    <row r="128" spans="1:28" x14ac:dyDescent="0.35">
      <c r="A128" s="1" t="s">
        <v>289</v>
      </c>
      <c r="B128" s="154">
        <f>'A2 - Transport'!Q91</f>
        <v>8.1569074494239994E-11</v>
      </c>
      <c r="C128" s="154">
        <f>Q16+Q41+Q66</f>
        <v>9.8304149718000006E-11</v>
      </c>
      <c r="D128" s="154">
        <f>Q17+Q42+Q67</f>
        <v>7.228646047799998E-11</v>
      </c>
      <c r="E128" s="154">
        <f>Q18+Q43+Q68</f>
        <v>4.8489301899693285E-10</v>
      </c>
      <c r="F128" s="154">
        <f>Q19+Q44+Q69</f>
        <v>0</v>
      </c>
      <c r="G128" s="154">
        <f>Q20+Q45+Q70</f>
        <v>0</v>
      </c>
      <c r="H128" s="154">
        <f>Q21+Q46+Q71</f>
        <v>0</v>
      </c>
      <c r="I128" s="154">
        <f>Q22+Q47+Q72</f>
        <v>1.04145889158E-10</v>
      </c>
      <c r="J128" s="154">
        <f>Q23+Q48+Q73</f>
        <v>0</v>
      </c>
      <c r="K128" s="154">
        <f>Q24+Q49+Q74</f>
        <v>0</v>
      </c>
      <c r="L128" s="154">
        <f t="shared" si="21"/>
        <v>7.5962951835093286E-10</v>
      </c>
      <c r="M128" s="154">
        <f>'A2 - Transport'!Q101</f>
        <v>8.0504180029807643E-12</v>
      </c>
      <c r="N128" s="154">
        <f>'A2 - Transport'!Q102</f>
        <v>0</v>
      </c>
      <c r="O128" s="154">
        <f t="shared" si="20"/>
        <v>8.0504180029807643E-12</v>
      </c>
      <c r="P128" s="154">
        <f>'A2 - Transport'!Q103</f>
        <v>0</v>
      </c>
      <c r="Q128" s="154">
        <f>'A2 - Transport'!Q104</f>
        <v>0</v>
      </c>
      <c r="R128" s="154">
        <f t="shared" si="22"/>
        <v>0</v>
      </c>
      <c r="S128" s="154">
        <f>'A2 - Transport'!Q105</f>
        <v>0</v>
      </c>
      <c r="T128" s="154">
        <f>'A2 - Transport'!Q106</f>
        <v>0</v>
      </c>
      <c r="U128" s="154">
        <f t="shared" si="23"/>
        <v>0</v>
      </c>
      <c r="V128" s="154">
        <f>'A2 - Transport'!Q107</f>
        <v>5.7541639993199993E-11</v>
      </c>
      <c r="W128" s="154">
        <f>'A2 - Transport'!Q108</f>
        <v>0</v>
      </c>
      <c r="X128" s="154">
        <f>'A2 - Transport'!Q109</f>
        <v>0</v>
      </c>
      <c r="Y128" s="154">
        <f t="shared" si="24"/>
        <v>5.7541639993199993E-11</v>
      </c>
      <c r="Z128" s="154">
        <f t="shared" si="25"/>
        <v>9.0679065084135366E-10</v>
      </c>
      <c r="AB128" s="87"/>
    </row>
    <row r="129" spans="1:28" x14ac:dyDescent="0.35">
      <c r="A129" s="1" t="s">
        <v>319</v>
      </c>
      <c r="B129" s="154">
        <f>'A2 - Transport'!R91</f>
        <v>6.6368611341760007E-9</v>
      </c>
      <c r="C129" s="154">
        <f>R16+R41+R66</f>
        <v>7.9985091732E-9</v>
      </c>
      <c r="D129" s="154">
        <f>R17+R42+R67</f>
        <v>5.8815819971999995E-9</v>
      </c>
      <c r="E129" s="154">
        <f>R18+R43+R68</f>
        <v>1.0709549219787942E-8</v>
      </c>
      <c r="F129" s="154">
        <f>R19+R44+R69</f>
        <v>0</v>
      </c>
      <c r="G129" s="154">
        <f>R20+R45+R70</f>
        <v>0</v>
      </c>
      <c r="H129" s="154">
        <f>R21+R46+R71</f>
        <v>0</v>
      </c>
      <c r="I129" s="154">
        <f>R22+R47+R72</f>
        <v>8.4738218292000015E-9</v>
      </c>
      <c r="J129" s="154">
        <f>R23+R48+R73</f>
        <v>0</v>
      </c>
      <c r="K129" s="154">
        <f>R24+R49+R74</f>
        <v>0</v>
      </c>
      <c r="L129" s="154">
        <f t="shared" si="21"/>
        <v>3.3063462219387944E-8</v>
      </c>
      <c r="M129" s="154">
        <f>'A2 - Transport'!R101</f>
        <v>1.7780488574807634E-10</v>
      </c>
      <c r="N129" s="154">
        <f>'A2 - Transport'!R102</f>
        <v>0</v>
      </c>
      <c r="O129" s="154">
        <f t="shared" si="20"/>
        <v>1.7780488574807634E-10</v>
      </c>
      <c r="P129" s="154">
        <f>'A2 - Transport'!R103</f>
        <v>0</v>
      </c>
      <c r="Q129" s="154">
        <f>'A2 - Transport'!R104</f>
        <v>0</v>
      </c>
      <c r="R129" s="154">
        <f t="shared" si="22"/>
        <v>0</v>
      </c>
      <c r="S129" s="154">
        <f>'A2 - Transport'!R105</f>
        <v>0</v>
      </c>
      <c r="T129" s="154">
        <f>'A2 - Transport'!R106</f>
        <v>0</v>
      </c>
      <c r="U129" s="154">
        <f t="shared" si="23"/>
        <v>0</v>
      </c>
      <c r="V129" s="154">
        <f>'A2 - Transport'!R107</f>
        <v>4.6818708736799992E-9</v>
      </c>
      <c r="W129" s="154">
        <f>'A2 - Transport'!R108</f>
        <v>0</v>
      </c>
      <c r="X129" s="154">
        <f>'A2 - Transport'!R109</f>
        <v>0</v>
      </c>
      <c r="Y129" s="154">
        <f t="shared" si="24"/>
        <v>4.6818708736799992E-9</v>
      </c>
      <c r="Z129" s="154">
        <f t="shared" si="25"/>
        <v>4.4559999112992024E-8</v>
      </c>
      <c r="AB129" s="87"/>
    </row>
    <row r="130" spans="1:28" x14ac:dyDescent="0.35">
      <c r="A130" s="1" t="s">
        <v>291</v>
      </c>
      <c r="B130" s="154">
        <f>'A2 - Transport'!S91</f>
        <v>5.6166520099551996E-3</v>
      </c>
      <c r="C130" s="154">
        <f>S16+S41+S66</f>
        <v>6.7689893936400004E-3</v>
      </c>
      <c r="D130" s="154">
        <f>S17+S42+S67</f>
        <v>4.9774733384399996E-3</v>
      </c>
      <c r="E130" s="154">
        <f>S18+S43+S68</f>
        <v>0.1205151741033976</v>
      </c>
      <c r="F130" s="154">
        <f>S19+S44+S69</f>
        <v>0</v>
      </c>
      <c r="G130" s="154">
        <f>S20+S45+S70</f>
        <v>0</v>
      </c>
      <c r="H130" s="154">
        <f>S21+S46+S71</f>
        <v>0</v>
      </c>
      <c r="I130" s="154">
        <f>S22+S47+S72</f>
        <v>7.1712376448400004E-3</v>
      </c>
      <c r="J130" s="154">
        <f>S23+S48+S73</f>
        <v>0</v>
      </c>
      <c r="K130" s="154">
        <f>S24+S49+S74</f>
        <v>0</v>
      </c>
      <c r="L130" s="154">
        <f t="shared" si="21"/>
        <v>0.1394328744803176</v>
      </c>
      <c r="M130" s="154">
        <f>'A2 - Transport'!S101</f>
        <v>2.0008486186114597E-3</v>
      </c>
      <c r="N130" s="154">
        <f>'A2 - Transport'!S102</f>
        <v>0</v>
      </c>
      <c r="O130" s="154">
        <f t="shared" si="20"/>
        <v>2.0008486186114597E-3</v>
      </c>
      <c r="P130" s="154">
        <f>'A2 - Transport'!S103</f>
        <v>0</v>
      </c>
      <c r="Q130" s="154">
        <f>'A2 - Transport'!S104</f>
        <v>0</v>
      </c>
      <c r="R130" s="154">
        <f t="shared" si="22"/>
        <v>0</v>
      </c>
      <c r="S130" s="154">
        <f>'A2 - Transport'!S105</f>
        <v>0</v>
      </c>
      <c r="T130" s="154">
        <f>'A2 - Transport'!S106</f>
        <v>0</v>
      </c>
      <c r="U130" s="154">
        <f t="shared" si="23"/>
        <v>0</v>
      </c>
      <c r="V130" s="154">
        <f>'A2 - Transport'!S107</f>
        <v>3.9621801513360002E-3</v>
      </c>
      <c r="W130" s="154">
        <f>'A2 - Transport'!S108</f>
        <v>0</v>
      </c>
      <c r="X130" s="154">
        <f>'A2 - Transport'!S109</f>
        <v>0</v>
      </c>
      <c r="Y130" s="154">
        <f t="shared" si="24"/>
        <v>3.9621801513360002E-3</v>
      </c>
      <c r="Z130" s="154">
        <f t="shared" si="25"/>
        <v>0.15101255526022028</v>
      </c>
      <c r="AB130" s="87"/>
    </row>
    <row r="131" spans="1:28" x14ac:dyDescent="0.35">
      <c r="A131" s="1" t="s">
        <v>292</v>
      </c>
      <c r="B131" s="154">
        <f>'A2 - Transport'!T91</f>
        <v>0.78130875710178882</v>
      </c>
      <c r="C131" s="154">
        <f>T16+T41+T66</f>
        <v>0.94160554732716006</v>
      </c>
      <c r="D131" s="154">
        <f>T17+T42+T67</f>
        <v>0.69239530963835993</v>
      </c>
      <c r="E131" s="154">
        <f>T18+T43+T68</f>
        <v>29.406766437286251</v>
      </c>
      <c r="F131" s="154">
        <f>T19+T44+T69</f>
        <v>0</v>
      </c>
      <c r="G131" s="154">
        <f>T20+T45+T70</f>
        <v>0</v>
      </c>
      <c r="H131" s="154">
        <f>T21+T46+T71</f>
        <v>0</v>
      </c>
      <c r="I131" s="154">
        <f>T22+T47+T72</f>
        <v>0.99756060393996004</v>
      </c>
      <c r="J131" s="154">
        <f>T23+T48+T73</f>
        <v>0</v>
      </c>
      <c r="K131" s="154">
        <f>T24+T49+T74</f>
        <v>0</v>
      </c>
      <c r="L131" s="154">
        <f t="shared" si="21"/>
        <v>32.038327898191731</v>
      </c>
      <c r="M131" s="154">
        <f>'A2 - Transport'!T101</f>
        <v>0.48822472723138388</v>
      </c>
      <c r="N131" s="154">
        <f>'A2 - Transport'!T102</f>
        <v>0</v>
      </c>
      <c r="O131" s="154">
        <f t="shared" si="20"/>
        <v>0.48822472723138388</v>
      </c>
      <c r="P131" s="154">
        <f>'A2 - Transport'!T103</f>
        <v>0</v>
      </c>
      <c r="Q131" s="154">
        <f>'A2 - Transport'!T104</f>
        <v>0</v>
      </c>
      <c r="R131" s="154">
        <f t="shared" si="22"/>
        <v>0</v>
      </c>
      <c r="S131" s="154">
        <f>'A2 - Transport'!T105</f>
        <v>0</v>
      </c>
      <c r="T131" s="154">
        <f>'A2 - Transport'!T106</f>
        <v>0</v>
      </c>
      <c r="U131" s="154">
        <f t="shared" si="23"/>
        <v>0</v>
      </c>
      <c r="V131" s="154">
        <f>'A2 - Transport'!T107</f>
        <v>0.55116215923058398</v>
      </c>
      <c r="W131" s="154">
        <f>'A2 - Transport'!T108</f>
        <v>0</v>
      </c>
      <c r="X131" s="154">
        <f>'A2 - Transport'!T109</f>
        <v>0</v>
      </c>
      <c r="Y131" s="154">
        <f t="shared" si="24"/>
        <v>0.55116215923058398</v>
      </c>
      <c r="Z131" s="154">
        <f t="shared" si="25"/>
        <v>33.859023541755491</v>
      </c>
      <c r="AB131" s="87"/>
    </row>
    <row r="132" spans="1:28" x14ac:dyDescent="0.35">
      <c r="A132" s="1" t="s">
        <v>293</v>
      </c>
      <c r="B132" s="154">
        <f>'A2 - Transport'!U91</f>
        <v>1.0153566173903999E-6</v>
      </c>
      <c r="C132" s="154">
        <f>U16+U41+U66</f>
        <v>1.2236717107799999E-6</v>
      </c>
      <c r="D132" s="154">
        <f>U17+U42+U67</f>
        <v>8.9980837037999986E-7</v>
      </c>
      <c r="E132" s="154">
        <f>U18+U43+U68</f>
        <v>4.9487579166225347E-6</v>
      </c>
      <c r="F132" s="154">
        <f>U19+U44+U69</f>
        <v>0</v>
      </c>
      <c r="G132" s="154">
        <f>U20+U45+U70</f>
        <v>0</v>
      </c>
      <c r="H132" s="154">
        <f>U21+U46+U71</f>
        <v>0</v>
      </c>
      <c r="I132" s="154">
        <f>U22+U47+U72</f>
        <v>1.29638859318E-6</v>
      </c>
      <c r="J132" s="154">
        <f>U23+U48+U73</f>
        <v>0</v>
      </c>
      <c r="K132" s="154">
        <f>U24+U49+U74</f>
        <v>0</v>
      </c>
      <c r="L132" s="154">
        <f t="shared" si="21"/>
        <v>8.3686265909625351E-6</v>
      </c>
      <c r="M132" s="154">
        <f>'A2 - Transport'!U101</f>
        <v>8.2161566084793734E-8</v>
      </c>
      <c r="N132" s="154">
        <f>'A2 - Transport'!U102</f>
        <v>0</v>
      </c>
      <c r="O132" s="154">
        <f t="shared" si="20"/>
        <v>8.2161566084793734E-8</v>
      </c>
      <c r="P132" s="154">
        <f>'A2 - Transport'!U103</f>
        <v>0</v>
      </c>
      <c r="Q132" s="154">
        <f>'A2 - Transport'!U104</f>
        <v>0</v>
      </c>
      <c r="R132" s="154">
        <f t="shared" si="22"/>
        <v>0</v>
      </c>
      <c r="S132" s="154">
        <f>'A2 - Transport'!U105</f>
        <v>0</v>
      </c>
      <c r="T132" s="154">
        <f>'A2 - Transport'!U106</f>
        <v>0</v>
      </c>
      <c r="U132" s="154">
        <f t="shared" si="23"/>
        <v>0</v>
      </c>
      <c r="V132" s="154">
        <f>'A2 - Transport'!U107</f>
        <v>7.1626759657199998E-7</v>
      </c>
      <c r="W132" s="154">
        <f>'A2 - Transport'!U108</f>
        <v>0</v>
      </c>
      <c r="X132" s="154">
        <f>'A2 - Transport'!U109</f>
        <v>0</v>
      </c>
      <c r="Y132" s="154">
        <f t="shared" si="24"/>
        <v>7.1626759657199998E-7</v>
      </c>
      <c r="Z132" s="154">
        <f t="shared" si="25"/>
        <v>1.0182412371009728E-5</v>
      </c>
      <c r="AB132" s="87"/>
    </row>
    <row r="133" spans="1:28" x14ac:dyDescent="0.35">
      <c r="A133" s="1" t="s">
        <v>294</v>
      </c>
      <c r="B133" s="154">
        <f>'A2 - Transport'!V91</f>
        <v>2.0464128626144001E-8</v>
      </c>
      <c r="C133" s="154">
        <f>V16+V41+V66</f>
        <v>2.4662640550800004E-8</v>
      </c>
      <c r="D133" s="154">
        <f>V17+V42+V67</f>
        <v>1.8135297406799999E-8</v>
      </c>
      <c r="E133" s="154">
        <f>V18+V43+V68</f>
        <v>6.650041308733804E-8</v>
      </c>
      <c r="F133" s="154">
        <f>V19+V44+V69</f>
        <v>0</v>
      </c>
      <c r="G133" s="154">
        <f>V20+V45+V70</f>
        <v>0</v>
      </c>
      <c r="H133" s="154">
        <f>V21+V46+V71</f>
        <v>0</v>
      </c>
      <c r="I133" s="154">
        <f>V22+V47+V72</f>
        <v>2.61282218148E-8</v>
      </c>
      <c r="J133" s="154">
        <f>V23+V48+V73</f>
        <v>0</v>
      </c>
      <c r="K133" s="154">
        <f>V24+V49+V74</f>
        <v>0</v>
      </c>
      <c r="L133" s="154">
        <f t="shared" si="21"/>
        <v>1.3542657285973804E-7</v>
      </c>
      <c r="M133" s="154">
        <f>'A2 - Transport'!V101</f>
        <v>1.1040705923781306E-9</v>
      </c>
      <c r="N133" s="154">
        <f>'A2 - Transport'!V102</f>
        <v>0</v>
      </c>
      <c r="O133" s="154">
        <f t="shared" si="20"/>
        <v>1.1040705923781306E-9</v>
      </c>
      <c r="P133" s="154">
        <f>'A2 - Transport'!V103</f>
        <v>0</v>
      </c>
      <c r="Q133" s="154">
        <f>'A2 - Transport'!V104</f>
        <v>0</v>
      </c>
      <c r="R133" s="154">
        <f t="shared" si="22"/>
        <v>0</v>
      </c>
      <c r="S133" s="154">
        <f>'A2 - Transport'!V105</f>
        <v>0</v>
      </c>
      <c r="T133" s="154">
        <f>'A2 - Transport'!V106</f>
        <v>0</v>
      </c>
      <c r="U133" s="154">
        <f t="shared" si="23"/>
        <v>0</v>
      </c>
      <c r="V133" s="154">
        <f>'A2 - Transport'!V107</f>
        <v>1.4436102523919999E-8</v>
      </c>
      <c r="W133" s="154">
        <f>'A2 - Transport'!V108</f>
        <v>0</v>
      </c>
      <c r="X133" s="154">
        <f>'A2 - Transport'!V109</f>
        <v>0</v>
      </c>
      <c r="Y133" s="154">
        <f t="shared" si="24"/>
        <v>1.4436102523919999E-8</v>
      </c>
      <c r="Z133" s="154">
        <f t="shared" si="25"/>
        <v>1.7143087460218017E-7</v>
      </c>
      <c r="AB133" s="87"/>
    </row>
    <row r="134" spans="1:28" x14ac:dyDescent="0.35">
      <c r="A134" s="1" t="s">
        <v>295</v>
      </c>
      <c r="B134" s="154">
        <f>'A2 - Transport'!W91</f>
        <v>5.7044899203343993E-8</v>
      </c>
      <c r="C134" s="154">
        <f>W16+W41+W66</f>
        <v>6.87484852158E-8</v>
      </c>
      <c r="D134" s="154">
        <f>W17+W42+W67</f>
        <v>5.0553152371799989E-8</v>
      </c>
      <c r="E134" s="154">
        <f>W18+W43+W68</f>
        <v>7.5838608732924615E-8</v>
      </c>
      <c r="F134" s="154">
        <f>W19+W44+W69</f>
        <v>0</v>
      </c>
      <c r="G134" s="154">
        <f>W20+W45+W70</f>
        <v>0</v>
      </c>
      <c r="H134" s="154">
        <f>W21+W46+W71</f>
        <v>0</v>
      </c>
      <c r="I134" s="154">
        <f>W22+W47+W72</f>
        <v>7.2833874679799998E-8</v>
      </c>
      <c r="J134" s="154">
        <f>W23+W48+W73</f>
        <v>0</v>
      </c>
      <c r="K134" s="154">
        <f>W24+W49+W74</f>
        <v>0</v>
      </c>
      <c r="L134" s="154">
        <f t="shared" si="21"/>
        <v>2.6797412100032458E-7</v>
      </c>
      <c r="M134" s="154">
        <f>'A2 - Transport'!W101</f>
        <v>1.2591076322928305E-9</v>
      </c>
      <c r="N134" s="154">
        <f>'A2 - Transport'!W102</f>
        <v>0</v>
      </c>
      <c r="O134" s="154">
        <f t="shared" si="20"/>
        <v>1.2591076322928305E-9</v>
      </c>
      <c r="P134" s="154">
        <f>'A2 - Transport'!W103</f>
        <v>0</v>
      </c>
      <c r="Q134" s="154">
        <f>'A2 - Transport'!W104</f>
        <v>0</v>
      </c>
      <c r="R134" s="154">
        <f t="shared" si="22"/>
        <v>0</v>
      </c>
      <c r="S134" s="154">
        <f>'A2 - Transport'!W105</f>
        <v>0</v>
      </c>
      <c r="T134" s="154">
        <f>'A2 - Transport'!W106</f>
        <v>0</v>
      </c>
      <c r="U134" s="154">
        <f t="shared" si="23"/>
        <v>0</v>
      </c>
      <c r="V134" s="154">
        <f>'A2 - Transport'!W107</f>
        <v>4.0241440444919994E-8</v>
      </c>
      <c r="W134" s="154">
        <f>'A2 - Transport'!W108</f>
        <v>0</v>
      </c>
      <c r="X134" s="154">
        <f>'A2 - Transport'!W109</f>
        <v>0</v>
      </c>
      <c r="Y134" s="154">
        <f t="shared" si="24"/>
        <v>4.0241440444919994E-8</v>
      </c>
      <c r="Z134" s="154">
        <f t="shared" si="25"/>
        <v>3.6651956828088136E-7</v>
      </c>
      <c r="AB134" s="87"/>
    </row>
    <row r="135" spans="1:28" x14ac:dyDescent="0.35">
      <c r="A135" s="1" t="s">
        <v>296</v>
      </c>
      <c r="B135" s="154">
        <f>'A2 - Transport'!X91</f>
        <v>2.3927206798272003E-3</v>
      </c>
      <c r="C135" s="154">
        <f>X16+X41+X66</f>
        <v>2.8836219290399997E-3</v>
      </c>
      <c r="D135" s="154">
        <f>X17+X42+X67</f>
        <v>2.1204275018399995E-3</v>
      </c>
      <c r="E135" s="154">
        <f>X18+X43+X68</f>
        <v>4.3672712080046978E-2</v>
      </c>
      <c r="F135" s="154">
        <f>X19+X44+X69</f>
        <v>0</v>
      </c>
      <c r="G135" s="154">
        <f>X20+X45+X70</f>
        <v>0</v>
      </c>
      <c r="H135" s="154">
        <f>X21+X46+X71</f>
        <v>0</v>
      </c>
      <c r="I135" s="154">
        <f>X22+X47+X72</f>
        <v>3.05498161224E-3</v>
      </c>
      <c r="J135" s="154">
        <f>X23+X48+X73</f>
        <v>0</v>
      </c>
      <c r="K135" s="154">
        <f>X24+X49+X74</f>
        <v>0</v>
      </c>
      <c r="L135" s="154">
        <f t="shared" si="21"/>
        <v>5.173174312316698E-2</v>
      </c>
      <c r="M135" s="154">
        <f>'A2 - Transport'!X101</f>
        <v>7.2507455004302635E-4</v>
      </c>
      <c r="N135" s="154">
        <f>'A2 - Transport'!X102</f>
        <v>0</v>
      </c>
      <c r="O135" s="154">
        <f t="shared" si="20"/>
        <v>7.2507455004302635E-4</v>
      </c>
      <c r="P135" s="154">
        <f>'A2 - Transport'!X103</f>
        <v>0</v>
      </c>
      <c r="Q135" s="154">
        <f>'A2 - Transport'!X104</f>
        <v>0</v>
      </c>
      <c r="R135" s="154">
        <f t="shared" si="22"/>
        <v>0</v>
      </c>
      <c r="S135" s="154">
        <f>'A2 - Transport'!X105</f>
        <v>0</v>
      </c>
      <c r="T135" s="154">
        <f>'A2 - Transport'!X106</f>
        <v>0</v>
      </c>
      <c r="U135" s="154">
        <f t="shared" si="23"/>
        <v>0</v>
      </c>
      <c r="V135" s="154">
        <f>'A2 - Transport'!X107</f>
        <v>1.6879077372959999E-3</v>
      </c>
      <c r="W135" s="154">
        <f>'A2 - Transport'!X108</f>
        <v>0</v>
      </c>
      <c r="X135" s="154">
        <f>'A2 - Transport'!X109</f>
        <v>0</v>
      </c>
      <c r="Y135" s="154">
        <f t="shared" si="24"/>
        <v>1.6879077372959999E-3</v>
      </c>
      <c r="Z135" s="154">
        <f t="shared" si="25"/>
        <v>5.6537446090333204E-2</v>
      </c>
      <c r="AB135" s="87"/>
    </row>
    <row r="136" spans="1:28" x14ac:dyDescent="0.35">
      <c r="A136" s="1" t="s">
        <v>297</v>
      </c>
      <c r="B136" s="154">
        <f>'A2 - Transport'!Y91</f>
        <v>2.8211726834548801E-2</v>
      </c>
      <c r="C136" s="154">
        <f>Y16+Y41+Y66</f>
        <v>3.3999770571660003E-2</v>
      </c>
      <c r="D136" s="154">
        <f>Y17+Y42+Y67</f>
        <v>2.5001213872859997E-2</v>
      </c>
      <c r="E136" s="154">
        <f>Y18+Y43+Y68</f>
        <v>0.34062482881971756</v>
      </c>
      <c r="F136" s="154">
        <f>Y19+Y44+Y69</f>
        <v>0</v>
      </c>
      <c r="G136" s="154">
        <f>Y20+Y45+Y70</f>
        <v>0</v>
      </c>
      <c r="H136" s="154">
        <f>Y21+Y46+Y71</f>
        <v>0</v>
      </c>
      <c r="I136" s="154">
        <f>Y22+Y47+Y72</f>
        <v>3.6020212244459997E-2</v>
      </c>
      <c r="J136" s="154">
        <f>Y23+Y48+Y73</f>
        <v>0</v>
      </c>
      <c r="K136" s="154">
        <f>Y24+Y49+Y74</f>
        <v>0</v>
      </c>
      <c r="L136" s="154">
        <f t="shared" si="21"/>
        <v>0.43564602550869758</v>
      </c>
      <c r="M136" s="154">
        <f>'A2 - Transport'!Y101</f>
        <v>5.655210833649559E-3</v>
      </c>
      <c r="N136" s="154">
        <f>'A2 - Transport'!Y102</f>
        <v>0</v>
      </c>
      <c r="O136" s="154">
        <f t="shared" si="20"/>
        <v>5.655210833649559E-3</v>
      </c>
      <c r="P136" s="154">
        <f>'A2 - Transport'!Y103</f>
        <v>0</v>
      </c>
      <c r="Q136" s="154">
        <f>'A2 - Transport'!Y104</f>
        <v>0</v>
      </c>
      <c r="R136" s="154">
        <f t="shared" si="22"/>
        <v>0</v>
      </c>
      <c r="S136" s="154">
        <f>'A2 - Transport'!Y105</f>
        <v>0</v>
      </c>
      <c r="T136" s="154">
        <f>'A2 - Transport'!Y106</f>
        <v>0</v>
      </c>
      <c r="U136" s="154">
        <f t="shared" si="23"/>
        <v>0</v>
      </c>
      <c r="V136" s="154">
        <f>'A2 - Transport'!Y107</f>
        <v>1.9901525659883998E-2</v>
      </c>
      <c r="W136" s="154">
        <f>'A2 - Transport'!Y108</f>
        <v>0</v>
      </c>
      <c r="X136" s="154">
        <f>'A2 - Transport'!Y109</f>
        <v>0</v>
      </c>
      <c r="Y136" s="154">
        <f t="shared" si="24"/>
        <v>1.9901525659883998E-2</v>
      </c>
      <c r="Z136" s="154">
        <f t="shared" si="25"/>
        <v>0.48941448883677996</v>
      </c>
      <c r="AB136" s="87"/>
    </row>
    <row r="140" spans="1:28" x14ac:dyDescent="0.35">
      <c r="B140" t="s">
        <v>352</v>
      </c>
    </row>
    <row r="141" spans="1:28" x14ac:dyDescent="0.35">
      <c r="A141" s="95" t="s">
        <v>326</v>
      </c>
      <c r="B141" s="1">
        <f>SUM(G110:Y110)</f>
        <v>166.76904256419229</v>
      </c>
    </row>
    <row r="142" spans="1:28" x14ac:dyDescent="0.35">
      <c r="A142" s="95" t="s">
        <v>327</v>
      </c>
      <c r="B142" s="1">
        <f>SUM(B118:K136)+SUM(M118:N136)+SUM(P118:Q136)+SUM(S118:T136)+SUM(V118:X136)</f>
        <v>166.76904256419232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141</v>
      </c>
      <c r="E15" s="158" t="str">
        <f>Input!$J51</f>
        <v>Truck</v>
      </c>
      <c r="F15" s="158" t="str">
        <f>Input!$K51</f>
        <v>Diesel_Euro6</v>
      </c>
      <c r="G15" s="158" cm="1">
        <f t="array" ref="G15">INDEX(LCI!H$2:H$73, MATCH($E15&amp;$F15, LCI!$B$2:$B$73&amp;LCI!$D$2:$D$73, 0))* IF(AND($E15="Truck", OR($F15="Electric", $F15="Electric_green")), $B$6, 1)* $C15* $D15</f>
        <v>1.00133406E-2</v>
      </c>
      <c r="H15" s="158" cm="1">
        <f t="array" ref="H15">INDEX(LCI!I$2:I$73, MATCH($E15&amp;$F15, LCI!$B$2:$B$73&amp;LCI!$D$2:$D$73, 0))* IF(AND($E15="Truck", OR($F15="Electric", $F15="Electric_green")), $B$6, 1)* $C15* $D15</f>
        <v>6.7149075356999992</v>
      </c>
      <c r="I15" s="158" cm="1">
        <f t="array" ref="I15">INDEX(LCI!J$2:J$73, MATCH($E15&amp;$F15, LCI!$B$2:$B$73&amp;LCI!$D$2:$D$73, 0))* IF(AND($E15="Truck", OR($F15="Electric", $F15="Electric_green")), $B$6, 1)* $C15* $D15</f>
        <v>3.1382496899999999E-3</v>
      </c>
      <c r="J15" s="158" cm="1">
        <f t="array" ref="J15">INDEX(LCI!K$2:K$73, MATCH($E15&amp;$F15, LCI!$B$2:$B$73&amp;LCI!$D$2:$D$73, 0))* IF(AND($E15="Truck", OR($F15="Electric", $F15="Electric_green")), $B$6, 1)* $C15* $D15</f>
        <v>6.7112351765999998</v>
      </c>
      <c r="K15" s="158" cm="1">
        <f t="array" ref="K15">INDEX(LCI!L$2:L$73, MATCH($E15&amp;$F15, LCI!$B$2:$B$73&amp;LCI!$D$2:$D$73, 0))* IF(AND($E15="Truck", OR($F15="Electric", $F15="Electric_green")), $B$6, 1)* $C15* $D15</f>
        <v>5.3410095000000002E-4</v>
      </c>
      <c r="L15" s="158" cm="1">
        <f t="array" ref="L15">INDEX(LCI!M$2:M$73, MATCH($E15&amp;$F15, LCI!$B$2:$B$73&amp;LCI!$D$2:$D$73, 0))* IF(AND($E15="Truck", OR($F15="Electric", $F15="Electric_green")), $B$6, 1)* $C15* $D15</f>
        <v>5.7673490426999994</v>
      </c>
      <c r="M15" s="158" cm="1">
        <f t="array" ref="M15">INDEX(LCI!N$2:N$73, MATCH($E15&amp;$F15, LCI!$B$2:$B$73&amp;LCI!$D$2:$D$73, 0))* IF(AND($E15="Truck", OR($F15="Electric", $F15="Electric_green")), $B$6, 1)* $C15* $D15</f>
        <v>90.375674147999987</v>
      </c>
      <c r="N15" s="158" cm="1">
        <f t="array" ref="N15">INDEX(LCI!O$2:O$73, MATCH($E15&amp;$F15, LCI!$B$2:$B$73&amp;LCI!$D$2:$D$73, 0))* IF(AND($E15="Truck", OR($F15="Electric", $F15="Electric_green")), $B$6, 1)* $C15* $D15</f>
        <v>1.5662378699999999E-4</v>
      </c>
      <c r="O15" s="158" cm="1">
        <f t="array" ref="O15">INDEX(LCI!P$2:P$73, MATCH($E15&amp;$F15, LCI!$B$2:$B$73&amp;LCI!$D$2:$D$73, 0))* IF(AND($E15="Truck", OR($F15="Electric", $F15="Electric_green")), $B$6, 1)* $C15* $D15</f>
        <v>2.1825615599999999E-3</v>
      </c>
      <c r="P15" s="158" cm="1">
        <f t="array" ref="P15">INDEX(LCI!Q$2:Q$73, MATCH($E15&amp;$F15, LCI!$B$2:$B$73&amp;LCI!$D$2:$D$73, 0))* IF(AND($E15="Truck", OR($F15="Electric", $F15="Electric_green")), $B$6, 1)* $C15* $D15</f>
        <v>2.3624253899999999E-2</v>
      </c>
      <c r="Q15" s="158" cm="1">
        <f t="array" ref="Q15">INDEX(LCI!R$2:R$73, MATCH($E15&amp;$F15, LCI!$B$2:$B$73&amp;LCI!$D$2:$D$73, 0))* IF(AND($E15="Truck", OR($F15="Electric", $F15="Electric_green")), $B$6, 1)* $C15* $D15</f>
        <v>5.9514830999999998E-10</v>
      </c>
      <c r="R15" s="158" cm="1">
        <f t="array" ref="R15">INDEX(LCI!S$2:S$73, MATCH($E15&amp;$F15, LCI!$B$2:$B$73&amp;LCI!$D$2:$D$73, 0))* IF(AND($E15="Truck", OR($F15="Electric", $F15="Electric_green")), $B$6, 1)* $C15* $D15</f>
        <v>4.8424194E-8</v>
      </c>
      <c r="S15" s="158" cm="1">
        <f t="array" ref="S15">INDEX(LCI!T$2:T$73, MATCH($E15&amp;$F15, LCI!$B$2:$B$73&amp;LCI!$D$2:$D$73, 0))* IF(AND($E15="Truck", OR($F15="Electric", $F15="Electric_green")), $B$6, 1)* $C15* $D15</f>
        <v>4.0980493800000004E-2</v>
      </c>
      <c r="T15" s="158" cm="1">
        <f t="array" ref="T15">INDEX(LCI!U$2:U$73, MATCH($E15&amp;$F15, LCI!$B$2:$B$73&amp;LCI!$D$2:$D$73, 0))* IF(AND($E15="Truck", OR($F15="Electric", $F15="Electric_green")), $B$6, 1)* $C15* $D15</f>
        <v>5.7006235421999998</v>
      </c>
      <c r="U15" s="158" cm="1">
        <f t="array" ref="U15">INDEX(LCI!V$2:V$73, MATCH($E15&amp;$F15, LCI!$B$2:$B$73&amp;LCI!$D$2:$D$73, 0))* IF(AND($E15="Truck", OR($F15="Electric", $F15="Electric_green")), $B$6, 1)* $C15* $D15</f>
        <v>7.4082950999999986E-6</v>
      </c>
      <c r="V15" s="158" cm="1">
        <f t="array" ref="V15">INDEX(LCI!W$2:W$73, MATCH($E15&amp;$F15, LCI!$B$2:$B$73&amp;LCI!$D$2:$D$73, 0))* IF(AND($E15="Truck", OR($F15="Electric", $F15="Electric_green")), $B$6, 1)* $C15* $D15</f>
        <v>1.4931138599999998E-7</v>
      </c>
      <c r="W15" s="158" cm="1">
        <f t="array" ref="W15">INDEX(LCI!X$2:X$73, MATCH($E15&amp;$F15, LCI!$B$2:$B$73&amp;LCI!$D$2:$D$73, 0))* IF(AND($E15="Truck", OR($F15="Electric", $F15="Electric_green")), $B$6, 1)* $C15* $D15</f>
        <v>4.1621381099999995E-7</v>
      </c>
      <c r="X15" s="158" cm="1">
        <f t="array" ref="X15">INDEX(LCI!Y$2:Y$73, MATCH($E15&amp;$F15, LCI!$B$2:$B$73&amp;LCI!$D$2:$D$73, 0))* IF(AND($E15="Truck", OR($F15="Electric", $F15="Electric_green")), $B$6, 1)* $C15* $D15</f>
        <v>1.7457886799999996E-2</v>
      </c>
      <c r="Y15" s="158" cm="1">
        <f t="array" ref="Y15">INDEX(LCI!Z$2:Z$73, MATCH($E15&amp;$F15, LCI!$B$2:$B$73&amp;LCI!$D$2:$D$73, 0))* IF(AND($E15="Truck", OR($F15="Electric", $F15="Electric_green")), $B$6, 1)* $C15* $D15</f>
        <v>0.20583979469999997</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1.00133406E-2</v>
      </c>
      <c r="H19" s="139">
        <f t="shared" si="0"/>
        <v>6.7149075356999992</v>
      </c>
      <c r="I19" s="139">
        <f t="shared" si="0"/>
        <v>3.1382496899999999E-3</v>
      </c>
      <c r="J19" s="139">
        <f t="shared" si="0"/>
        <v>6.7112351765999998</v>
      </c>
      <c r="K19" s="139">
        <f t="shared" si="0"/>
        <v>5.3410095000000002E-4</v>
      </c>
      <c r="L19" s="139">
        <f t="shared" si="0"/>
        <v>5.7673490426999994</v>
      </c>
      <c r="M19" s="139">
        <f t="shared" si="0"/>
        <v>90.375674147999987</v>
      </c>
      <c r="N19" s="139">
        <f t="shared" si="0"/>
        <v>1.5662378699999999E-4</v>
      </c>
      <c r="O19" s="139">
        <f t="shared" si="0"/>
        <v>2.1825615599999999E-3</v>
      </c>
      <c r="P19" s="139">
        <f t="shared" si="0"/>
        <v>2.3624253899999999E-2</v>
      </c>
      <c r="Q19" s="139">
        <f t="shared" si="0"/>
        <v>5.9514830999999998E-10</v>
      </c>
      <c r="R19" s="139">
        <f t="shared" si="0"/>
        <v>4.8424194E-8</v>
      </c>
      <c r="S19" s="139">
        <f t="shared" si="0"/>
        <v>4.0980493800000004E-2</v>
      </c>
      <c r="T19" s="139">
        <f t="shared" si="0"/>
        <v>5.7006235421999998</v>
      </c>
      <c r="U19" s="139">
        <f t="shared" si="0"/>
        <v>7.4082950999999986E-6</v>
      </c>
      <c r="V19" s="139">
        <f t="shared" si="0"/>
        <v>1.4931138599999998E-7</v>
      </c>
      <c r="W19" s="139">
        <f t="shared" si="0"/>
        <v>4.1621381099999995E-7</v>
      </c>
      <c r="X19" s="139">
        <f t="shared" si="0"/>
        <v>1.7457886799999996E-2</v>
      </c>
      <c r="Y19" s="139">
        <f t="shared" si="0"/>
        <v>0.20583979469999997</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141</v>
      </c>
      <c r="E46" s="154" t="s">
        <v>346</v>
      </c>
      <c r="F46" s="154" t="s">
        <v>346</v>
      </c>
      <c r="G46" s="154">
        <f t="shared" ref="G46:Y46" si="3">G15+G25+G35</f>
        <v>1.00133406E-2</v>
      </c>
      <c r="H46" s="154">
        <f t="shared" si="3"/>
        <v>6.7149075356999992</v>
      </c>
      <c r="I46" s="154">
        <f t="shared" si="3"/>
        <v>3.1382496899999999E-3</v>
      </c>
      <c r="J46" s="154">
        <f t="shared" si="3"/>
        <v>6.7112351765999998</v>
      </c>
      <c r="K46" s="154">
        <f t="shared" si="3"/>
        <v>5.3410095000000002E-4</v>
      </c>
      <c r="L46" s="154">
        <f t="shared" si="3"/>
        <v>5.7673490426999994</v>
      </c>
      <c r="M46" s="154">
        <f t="shared" si="3"/>
        <v>90.375674147999987</v>
      </c>
      <c r="N46" s="154">
        <f t="shared" si="3"/>
        <v>1.5662378699999999E-4</v>
      </c>
      <c r="O46" s="154">
        <f t="shared" si="3"/>
        <v>2.1825615599999999E-3</v>
      </c>
      <c r="P46" s="154">
        <f t="shared" si="3"/>
        <v>2.3624253899999999E-2</v>
      </c>
      <c r="Q46" s="154">
        <f t="shared" si="3"/>
        <v>5.9514830999999998E-10</v>
      </c>
      <c r="R46" s="154">
        <f t="shared" si="3"/>
        <v>4.8424194E-8</v>
      </c>
      <c r="S46" s="154">
        <f t="shared" si="3"/>
        <v>4.0980493800000004E-2</v>
      </c>
      <c r="T46" s="154">
        <f t="shared" si="3"/>
        <v>5.7006235421999998</v>
      </c>
      <c r="U46" s="154">
        <f t="shared" si="3"/>
        <v>7.4082950999999986E-6</v>
      </c>
      <c r="V46" s="154">
        <f t="shared" si="3"/>
        <v>1.4931138599999998E-7</v>
      </c>
      <c r="W46" s="154">
        <f t="shared" si="3"/>
        <v>4.1621381099999995E-7</v>
      </c>
      <c r="X46" s="154">
        <f t="shared" si="3"/>
        <v>1.7457886799999996E-2</v>
      </c>
      <c r="Y46" s="154">
        <f t="shared" si="3"/>
        <v>0.20583979469999997</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1.00133406E-2</v>
      </c>
      <c r="H50" s="139">
        <f t="shared" si="7"/>
        <v>6.7149075356999992</v>
      </c>
      <c r="I50" s="139">
        <f t="shared" si="7"/>
        <v>3.1382496899999999E-3</v>
      </c>
      <c r="J50" s="139">
        <f t="shared" si="7"/>
        <v>6.7112351765999998</v>
      </c>
      <c r="K50" s="139">
        <f t="shared" si="7"/>
        <v>5.3410095000000002E-4</v>
      </c>
      <c r="L50" s="139">
        <f t="shared" si="7"/>
        <v>5.7673490426999994</v>
      </c>
      <c r="M50" s="139">
        <f t="shared" si="7"/>
        <v>90.375674147999987</v>
      </c>
      <c r="N50" s="139">
        <f t="shared" si="7"/>
        <v>1.5662378699999999E-4</v>
      </c>
      <c r="O50" s="139">
        <f t="shared" si="7"/>
        <v>2.1825615599999999E-3</v>
      </c>
      <c r="P50" s="139">
        <f t="shared" si="7"/>
        <v>2.3624253899999999E-2</v>
      </c>
      <c r="Q50" s="139">
        <f t="shared" si="7"/>
        <v>5.9514830999999998E-10</v>
      </c>
      <c r="R50" s="139">
        <f t="shared" si="7"/>
        <v>4.8424194E-8</v>
      </c>
      <c r="S50" s="139">
        <f t="shared" si="7"/>
        <v>4.0980493800000004E-2</v>
      </c>
      <c r="T50" s="139">
        <f t="shared" si="7"/>
        <v>5.7006235421999998</v>
      </c>
      <c r="U50" s="139">
        <f t="shared" si="7"/>
        <v>7.4082950999999986E-6</v>
      </c>
      <c r="V50" s="139">
        <f t="shared" si="7"/>
        <v>1.4931138599999998E-7</v>
      </c>
      <c r="W50" s="139">
        <f t="shared" si="7"/>
        <v>4.1621381099999995E-7</v>
      </c>
      <c r="X50" s="139">
        <f t="shared" si="7"/>
        <v>1.7457886799999996E-2</v>
      </c>
      <c r="Y50" s="139">
        <f t="shared" si="7"/>
        <v>0.20583979469999997</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1.00133406E-2</v>
      </c>
      <c r="C58" s="154">
        <f>'C2''- Transport Secondary'!G47</f>
        <v>0</v>
      </c>
      <c r="D58" s="154">
        <f>SUM(B58:C58)</f>
        <v>1.00133406E-2</v>
      </c>
      <c r="E58" s="154">
        <f>'C2''- Transport Secondary'!G48</f>
        <v>0</v>
      </c>
      <c r="F58" s="154">
        <f>'C2''- Transport Secondary'!G49</f>
        <v>0</v>
      </c>
      <c r="G58" s="154">
        <f>SUM(E58:F58)</f>
        <v>0</v>
      </c>
      <c r="H58" s="154">
        <f>+D58+G58</f>
        <v>1.00133406E-2</v>
      </c>
    </row>
    <row r="59" spans="1:25" x14ac:dyDescent="0.35">
      <c r="A59" s="1" t="s">
        <v>280</v>
      </c>
      <c r="B59" s="154">
        <f>'C2''- Transport Secondary'!H46</f>
        <v>6.7149075356999992</v>
      </c>
      <c r="C59" s="154">
        <f>'C2''- Transport Secondary'!H47</f>
        <v>0</v>
      </c>
      <c r="D59" s="154">
        <f t="shared" ref="D59:D76" si="8">SUM(B59:C59)</f>
        <v>6.7149075356999992</v>
      </c>
      <c r="E59" s="154">
        <f>'C2''- Transport Secondary'!H48</f>
        <v>0</v>
      </c>
      <c r="F59" s="154">
        <f>'C2''- Transport Secondary'!H49</f>
        <v>0</v>
      </c>
      <c r="G59" s="154">
        <f>SUM(E59:F59)</f>
        <v>0</v>
      </c>
      <c r="H59" s="154">
        <f t="shared" ref="H59:H76" si="9">+D59+G59</f>
        <v>6.7149075356999992</v>
      </c>
    </row>
    <row r="60" spans="1:25" x14ac:dyDescent="0.35">
      <c r="A60" s="1" t="s">
        <v>281</v>
      </c>
      <c r="B60" s="154">
        <f>'C2''- Transport Secondary'!I46</f>
        <v>3.1382496899999999E-3</v>
      </c>
      <c r="C60" s="154">
        <f>'C2''- Transport Secondary'!I47</f>
        <v>0</v>
      </c>
      <c r="D60" s="154">
        <f t="shared" si="8"/>
        <v>3.1382496899999999E-3</v>
      </c>
      <c r="E60" s="154">
        <f>'C2''- Transport Secondary'!I48</f>
        <v>0</v>
      </c>
      <c r="F60" s="154">
        <f>'C2''- Transport Secondary'!I49</f>
        <v>0</v>
      </c>
      <c r="G60" s="154">
        <f t="shared" ref="G60:G76" si="10">SUM(E60:F60)</f>
        <v>0</v>
      </c>
      <c r="H60" s="154">
        <f t="shared" si="9"/>
        <v>3.1382496899999999E-3</v>
      </c>
    </row>
    <row r="61" spans="1:25" x14ac:dyDescent="0.35">
      <c r="A61" s="1" t="s">
        <v>282</v>
      </c>
      <c r="B61" s="154">
        <f>'C2''- Transport Secondary'!J46</f>
        <v>6.7112351765999998</v>
      </c>
      <c r="C61" s="154">
        <f>'C2''- Transport Secondary'!J47</f>
        <v>0</v>
      </c>
      <c r="D61" s="154">
        <f t="shared" si="8"/>
        <v>6.7112351765999998</v>
      </c>
      <c r="E61" s="154">
        <f>'C2''- Transport Secondary'!J48</f>
        <v>0</v>
      </c>
      <c r="F61" s="154">
        <f>'C2''- Transport Secondary'!J49</f>
        <v>0</v>
      </c>
      <c r="G61" s="154">
        <f t="shared" si="10"/>
        <v>0</v>
      </c>
      <c r="H61" s="154">
        <f t="shared" si="9"/>
        <v>6.7112351765999998</v>
      </c>
    </row>
    <row r="62" spans="1:25" x14ac:dyDescent="0.35">
      <c r="A62" s="1" t="s">
        <v>283</v>
      </c>
      <c r="B62" s="154">
        <f>'C2''- Transport Secondary'!K46</f>
        <v>5.3410095000000002E-4</v>
      </c>
      <c r="C62" s="154">
        <f>'C2''- Transport Secondary'!K47</f>
        <v>0</v>
      </c>
      <c r="D62" s="154">
        <f t="shared" si="8"/>
        <v>5.3410095000000002E-4</v>
      </c>
      <c r="E62" s="154">
        <f>'C2''- Transport Secondary'!K48</f>
        <v>0</v>
      </c>
      <c r="F62" s="154">
        <f>'C2''- Transport Secondary'!K49</f>
        <v>0</v>
      </c>
      <c r="G62" s="154">
        <f t="shared" si="10"/>
        <v>0</v>
      </c>
      <c r="H62" s="154">
        <f t="shared" si="9"/>
        <v>5.3410095000000002E-4</v>
      </c>
    </row>
    <row r="63" spans="1:25" x14ac:dyDescent="0.35">
      <c r="A63" s="1" t="s">
        <v>284</v>
      </c>
      <c r="B63" s="154">
        <f>'C2''- Transport Secondary'!L46</f>
        <v>5.7673490426999994</v>
      </c>
      <c r="C63" s="154">
        <f>'C2''- Transport Secondary'!L47</f>
        <v>0</v>
      </c>
      <c r="D63" s="154">
        <f t="shared" si="8"/>
        <v>5.7673490426999994</v>
      </c>
      <c r="E63" s="154">
        <f>'C2''- Transport Secondary'!L48</f>
        <v>0</v>
      </c>
      <c r="F63" s="154">
        <f>'C2''- Transport Secondary'!L49</f>
        <v>0</v>
      </c>
      <c r="G63" s="154">
        <f t="shared" si="10"/>
        <v>0</v>
      </c>
      <c r="H63" s="154">
        <f t="shared" si="9"/>
        <v>5.7673490426999994</v>
      </c>
    </row>
    <row r="64" spans="1:25" x14ac:dyDescent="0.35">
      <c r="A64" s="1" t="s">
        <v>285</v>
      </c>
      <c r="B64" s="154">
        <f>'C2''- Transport Secondary'!M46</f>
        <v>90.375674147999987</v>
      </c>
      <c r="C64" s="154">
        <f>'C2''- Transport Secondary'!M47</f>
        <v>0</v>
      </c>
      <c r="D64" s="154">
        <f t="shared" si="8"/>
        <v>90.375674147999987</v>
      </c>
      <c r="E64" s="154">
        <f>'C2''- Transport Secondary'!M48</f>
        <v>0</v>
      </c>
      <c r="F64" s="154">
        <f>'C2''- Transport Secondary'!M49</f>
        <v>0</v>
      </c>
      <c r="G64" s="154">
        <f t="shared" si="10"/>
        <v>0</v>
      </c>
      <c r="H64" s="154">
        <f t="shared" si="9"/>
        <v>90.375674147999987</v>
      </c>
    </row>
    <row r="65" spans="1:8" x14ac:dyDescent="0.35">
      <c r="A65" s="1" t="s">
        <v>286</v>
      </c>
      <c r="B65" s="154">
        <f>'C2''- Transport Secondary'!N46</f>
        <v>1.5662378699999999E-4</v>
      </c>
      <c r="C65" s="154">
        <f>'C2''- Transport Secondary'!N47</f>
        <v>0</v>
      </c>
      <c r="D65" s="154">
        <f t="shared" si="8"/>
        <v>1.5662378699999999E-4</v>
      </c>
      <c r="E65" s="154">
        <f>'C2''- Transport Secondary'!N48</f>
        <v>0</v>
      </c>
      <c r="F65" s="154">
        <f>'C2''- Transport Secondary'!N49</f>
        <v>0</v>
      </c>
      <c r="G65" s="154">
        <f t="shared" si="10"/>
        <v>0</v>
      </c>
      <c r="H65" s="154">
        <f t="shared" si="9"/>
        <v>1.5662378699999999E-4</v>
      </c>
    </row>
    <row r="66" spans="1:8" x14ac:dyDescent="0.35">
      <c r="A66" s="1" t="s">
        <v>287</v>
      </c>
      <c r="B66" s="154">
        <f>'C2''- Transport Secondary'!O46</f>
        <v>2.1825615599999999E-3</v>
      </c>
      <c r="C66" s="154">
        <f>'C2''- Transport Secondary'!O47</f>
        <v>0</v>
      </c>
      <c r="D66" s="154">
        <f t="shared" si="8"/>
        <v>2.1825615599999999E-3</v>
      </c>
      <c r="E66" s="154">
        <f>'C2''- Transport Secondary'!O48</f>
        <v>0</v>
      </c>
      <c r="F66" s="154">
        <f>'C2''- Transport Secondary'!O49</f>
        <v>0</v>
      </c>
      <c r="G66" s="154">
        <f t="shared" si="10"/>
        <v>0</v>
      </c>
      <c r="H66" s="154">
        <f t="shared" si="9"/>
        <v>2.1825615599999999E-3</v>
      </c>
    </row>
    <row r="67" spans="1:8" x14ac:dyDescent="0.35">
      <c r="A67" s="1" t="s">
        <v>288</v>
      </c>
      <c r="B67" s="154">
        <f>'C2''- Transport Secondary'!P46</f>
        <v>2.3624253899999999E-2</v>
      </c>
      <c r="C67" s="154">
        <f>'C2''- Transport Secondary'!P47</f>
        <v>0</v>
      </c>
      <c r="D67" s="154">
        <f t="shared" si="8"/>
        <v>2.3624253899999999E-2</v>
      </c>
      <c r="E67" s="154">
        <f>'C2''- Transport Secondary'!P48</f>
        <v>0</v>
      </c>
      <c r="F67" s="154">
        <f>'C2''- Transport Secondary'!P49</f>
        <v>0</v>
      </c>
      <c r="G67" s="154">
        <f t="shared" si="10"/>
        <v>0</v>
      </c>
      <c r="H67" s="154">
        <f t="shared" si="9"/>
        <v>2.3624253899999999E-2</v>
      </c>
    </row>
    <row r="68" spans="1:8" x14ac:dyDescent="0.35">
      <c r="A68" s="1" t="s">
        <v>289</v>
      </c>
      <c r="B68" s="154">
        <f>'C2''- Transport Secondary'!Q46</f>
        <v>5.9514830999999998E-10</v>
      </c>
      <c r="C68" s="154">
        <f>'C2''- Transport Secondary'!Q47</f>
        <v>0</v>
      </c>
      <c r="D68" s="154">
        <f t="shared" si="8"/>
        <v>5.9514830999999998E-10</v>
      </c>
      <c r="E68" s="154">
        <f>'C2''- Transport Secondary'!Q48</f>
        <v>0</v>
      </c>
      <c r="F68" s="154">
        <f>'C2''- Transport Secondary'!Q49</f>
        <v>0</v>
      </c>
      <c r="G68" s="154">
        <f t="shared" si="10"/>
        <v>0</v>
      </c>
      <c r="H68" s="154">
        <f t="shared" si="9"/>
        <v>5.9514830999999998E-10</v>
      </c>
    </row>
    <row r="69" spans="1:8" x14ac:dyDescent="0.35">
      <c r="A69" s="1" t="s">
        <v>319</v>
      </c>
      <c r="B69" s="154">
        <f>'C2''- Transport Secondary'!R46</f>
        <v>4.8424194E-8</v>
      </c>
      <c r="C69" s="154">
        <f>'C2''- Transport Secondary'!R47</f>
        <v>0</v>
      </c>
      <c r="D69" s="154">
        <f t="shared" si="8"/>
        <v>4.8424194E-8</v>
      </c>
      <c r="E69" s="154">
        <f>'C2''- Transport Secondary'!R48</f>
        <v>0</v>
      </c>
      <c r="F69" s="154">
        <f>'C2''- Transport Secondary'!R49</f>
        <v>0</v>
      </c>
      <c r="G69" s="154">
        <f t="shared" si="10"/>
        <v>0</v>
      </c>
      <c r="H69" s="154">
        <f t="shared" si="9"/>
        <v>4.8424194E-8</v>
      </c>
    </row>
    <row r="70" spans="1:8" x14ac:dyDescent="0.35">
      <c r="A70" s="1" t="s">
        <v>291</v>
      </c>
      <c r="B70" s="154">
        <f>'C2''- Transport Secondary'!S46</f>
        <v>4.0980493800000004E-2</v>
      </c>
      <c r="C70" s="154">
        <f>'C2''- Transport Secondary'!S47</f>
        <v>0</v>
      </c>
      <c r="D70" s="154">
        <f t="shared" si="8"/>
        <v>4.0980493800000004E-2</v>
      </c>
      <c r="E70" s="154">
        <f>'C2''- Transport Secondary'!S48</f>
        <v>0</v>
      </c>
      <c r="F70" s="154">
        <f>'C2''- Transport Secondary'!S49</f>
        <v>0</v>
      </c>
      <c r="G70" s="154">
        <f t="shared" si="10"/>
        <v>0</v>
      </c>
      <c r="H70" s="154">
        <f t="shared" si="9"/>
        <v>4.0980493800000004E-2</v>
      </c>
    </row>
    <row r="71" spans="1:8" x14ac:dyDescent="0.35">
      <c r="A71" s="1" t="s">
        <v>292</v>
      </c>
      <c r="B71" s="154">
        <f>'C2''- Transport Secondary'!T46</f>
        <v>5.7006235421999998</v>
      </c>
      <c r="C71" s="154">
        <f>'C2''- Transport Secondary'!T47</f>
        <v>0</v>
      </c>
      <c r="D71" s="154">
        <f t="shared" si="8"/>
        <v>5.7006235421999998</v>
      </c>
      <c r="E71" s="154">
        <f>'C2''- Transport Secondary'!T48</f>
        <v>0</v>
      </c>
      <c r="F71" s="154">
        <f>'C2''- Transport Secondary'!T49</f>
        <v>0</v>
      </c>
      <c r="G71" s="154">
        <f t="shared" si="10"/>
        <v>0</v>
      </c>
      <c r="H71" s="154">
        <f t="shared" si="9"/>
        <v>5.7006235421999998</v>
      </c>
    </row>
    <row r="72" spans="1:8" x14ac:dyDescent="0.35">
      <c r="A72" s="1" t="s">
        <v>293</v>
      </c>
      <c r="B72" s="154">
        <f>'C2''- Transport Secondary'!U46</f>
        <v>7.4082950999999986E-6</v>
      </c>
      <c r="C72" s="154">
        <f>'C2''- Transport Secondary'!U47</f>
        <v>0</v>
      </c>
      <c r="D72" s="154">
        <f t="shared" si="8"/>
        <v>7.4082950999999986E-6</v>
      </c>
      <c r="E72" s="154">
        <f>'C2''- Transport Secondary'!U48</f>
        <v>0</v>
      </c>
      <c r="F72" s="154">
        <f>'C2''- Transport Secondary'!U49</f>
        <v>0</v>
      </c>
      <c r="G72" s="154">
        <f t="shared" si="10"/>
        <v>0</v>
      </c>
      <c r="H72" s="154">
        <f t="shared" si="9"/>
        <v>7.4082950999999986E-6</v>
      </c>
    </row>
    <row r="73" spans="1:8" x14ac:dyDescent="0.35">
      <c r="A73" s="1" t="s">
        <v>294</v>
      </c>
      <c r="B73" s="154">
        <f>'C2''- Transport Secondary'!V46</f>
        <v>1.4931138599999998E-7</v>
      </c>
      <c r="C73" s="154">
        <f>'C2''- Transport Secondary'!V47</f>
        <v>0</v>
      </c>
      <c r="D73" s="154">
        <f t="shared" si="8"/>
        <v>1.4931138599999998E-7</v>
      </c>
      <c r="E73" s="154">
        <f>'C2''- Transport Secondary'!V48</f>
        <v>0</v>
      </c>
      <c r="F73" s="154">
        <f>'C2''- Transport Secondary'!V49</f>
        <v>0</v>
      </c>
      <c r="G73" s="154">
        <f t="shared" si="10"/>
        <v>0</v>
      </c>
      <c r="H73" s="154">
        <f t="shared" si="9"/>
        <v>1.4931138599999998E-7</v>
      </c>
    </row>
    <row r="74" spans="1:8" ht="14" customHeight="1" x14ac:dyDescent="0.35">
      <c r="A74" s="1" t="s">
        <v>295</v>
      </c>
      <c r="B74" s="154">
        <f>'C2''- Transport Secondary'!W46</f>
        <v>4.1621381099999995E-7</v>
      </c>
      <c r="C74" s="154">
        <f>'C2''- Transport Secondary'!W47</f>
        <v>0</v>
      </c>
      <c r="D74" s="154">
        <f t="shared" si="8"/>
        <v>4.1621381099999995E-7</v>
      </c>
      <c r="E74" s="154">
        <f>'C2''- Transport Secondary'!W48</f>
        <v>0</v>
      </c>
      <c r="F74" s="154">
        <f>'C2''- Transport Secondary'!W49</f>
        <v>0</v>
      </c>
      <c r="G74" s="154">
        <f t="shared" si="10"/>
        <v>0</v>
      </c>
      <c r="H74" s="154">
        <f t="shared" si="9"/>
        <v>4.1621381099999995E-7</v>
      </c>
    </row>
    <row r="75" spans="1:8" x14ac:dyDescent="0.35">
      <c r="A75" s="1" t="s">
        <v>296</v>
      </c>
      <c r="B75" s="154">
        <f>'C2''- Transport Secondary'!X46</f>
        <v>1.7457886799999996E-2</v>
      </c>
      <c r="C75" s="154">
        <f>'C2''- Transport Secondary'!X47</f>
        <v>0</v>
      </c>
      <c r="D75" s="154">
        <f t="shared" si="8"/>
        <v>1.7457886799999996E-2</v>
      </c>
      <c r="E75" s="154">
        <f>'C2''- Transport Secondary'!X48</f>
        <v>0</v>
      </c>
      <c r="F75" s="154">
        <f>'C2''- Transport Secondary'!X49</f>
        <v>0</v>
      </c>
      <c r="G75" s="154">
        <f t="shared" si="10"/>
        <v>0</v>
      </c>
      <c r="H75" s="154">
        <f t="shared" si="9"/>
        <v>1.7457886799999996E-2</v>
      </c>
    </row>
    <row r="76" spans="1:8" x14ac:dyDescent="0.35">
      <c r="A76" s="1" t="s">
        <v>297</v>
      </c>
      <c r="B76" s="154">
        <f>'C2''- Transport Secondary'!Y46</f>
        <v>0.20583979469999997</v>
      </c>
      <c r="C76" s="154">
        <f>'C2''- Transport Secondary'!Y47</f>
        <v>0</v>
      </c>
      <c r="D76" s="154">
        <f t="shared" si="8"/>
        <v>0.20583979469999997</v>
      </c>
      <c r="E76" s="154">
        <f>'C2''- Transport Secondary'!Y48</f>
        <v>0</v>
      </c>
      <c r="F76" s="154">
        <f>'C2''- Transport Secondary'!Y49</f>
        <v>0</v>
      </c>
      <c r="G76" s="154">
        <f t="shared" si="10"/>
        <v>0</v>
      </c>
      <c r="H76" s="154">
        <f t="shared" si="9"/>
        <v>0.20583979469999997</v>
      </c>
    </row>
    <row r="79" spans="1:8" x14ac:dyDescent="0.35">
      <c r="B79" t="s">
        <v>354</v>
      </c>
    </row>
    <row r="80" spans="1:8" x14ac:dyDescent="0.35">
      <c r="A80" s="95" t="s">
        <v>326</v>
      </c>
      <c r="B80" s="1">
        <f>SUM(G50:Y50)</f>
        <v>115.57372477382665</v>
      </c>
    </row>
    <row r="81" spans="1:2" x14ac:dyDescent="0.35">
      <c r="A81" s="95" t="s">
        <v>327</v>
      </c>
      <c r="B81" s="1">
        <f>SUM(B58:C76)+SUM(E58:F76)</f>
        <v>115.57372477382665</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1.00133406E-2</v>
      </c>
      <c r="AB109" s="87" t="e">
        <f>+AA109-Z109</f>
        <v>#REF!</v>
      </c>
    </row>
    <row r="110" spans="26:28" x14ac:dyDescent="0.35">
      <c r="Z110" t="e">
        <f>+SUM(#REF!+#REF!+#REF!+D59+G59+#REF!)</f>
        <v>#REF!</v>
      </c>
      <c r="AA110">
        <f>+$H$50</f>
        <v>6.7149075356999992</v>
      </c>
      <c r="AB110" s="87" t="e">
        <f t="shared" ref="AB110:AB127" si="11">+AA110-Z110</f>
        <v>#REF!</v>
      </c>
    </row>
    <row r="111" spans="26:28" x14ac:dyDescent="0.35">
      <c r="Z111" t="e">
        <f>+SUM(#REF!+#REF!+#REF!+D60+G60+#REF!)</f>
        <v>#REF!</v>
      </c>
      <c r="AA111">
        <f>+$I$50</f>
        <v>3.1382496899999999E-3</v>
      </c>
      <c r="AB111" s="87" t="e">
        <f t="shared" si="11"/>
        <v>#REF!</v>
      </c>
    </row>
    <row r="112" spans="26:28" x14ac:dyDescent="0.35">
      <c r="Z112" t="e">
        <f>+SUM(#REF!+#REF!+#REF!+D61+G61+#REF!)</f>
        <v>#REF!</v>
      </c>
      <c r="AA112">
        <f>+$J$50</f>
        <v>6.7112351765999998</v>
      </c>
      <c r="AB112" s="87" t="e">
        <f t="shared" si="11"/>
        <v>#REF!</v>
      </c>
    </row>
    <row r="113" spans="26:28" x14ac:dyDescent="0.35">
      <c r="Z113" t="e">
        <f>+SUM(#REF!+#REF!+#REF!+D62+G62+#REF!)</f>
        <v>#REF!</v>
      </c>
      <c r="AA113">
        <f>+$K$50</f>
        <v>5.3410095000000002E-4</v>
      </c>
      <c r="AB113" s="87" t="e">
        <f t="shared" si="11"/>
        <v>#REF!</v>
      </c>
    </row>
    <row r="114" spans="26:28" x14ac:dyDescent="0.35">
      <c r="Z114" t="e">
        <f>+SUM(#REF!+#REF!+#REF!+D63+G63+#REF!)</f>
        <v>#REF!</v>
      </c>
      <c r="AA114">
        <f>+$L$50</f>
        <v>5.7673490426999994</v>
      </c>
      <c r="AB114" s="87" t="e">
        <f t="shared" si="11"/>
        <v>#REF!</v>
      </c>
    </row>
    <row r="115" spans="26:28" x14ac:dyDescent="0.35">
      <c r="Z115" t="e">
        <f>+SUM(#REF!+#REF!+#REF!+D64+G64+#REF!)</f>
        <v>#REF!</v>
      </c>
      <c r="AA115">
        <f>+$M$50</f>
        <v>90.375674147999987</v>
      </c>
      <c r="AB115" s="87" t="e">
        <f t="shared" si="11"/>
        <v>#REF!</v>
      </c>
    </row>
    <row r="116" spans="26:28" x14ac:dyDescent="0.35">
      <c r="Z116" t="e">
        <f>+SUM(#REF!+#REF!+#REF!+D65+G65+#REF!)</f>
        <v>#REF!</v>
      </c>
      <c r="AA116">
        <f>+N$50</f>
        <v>1.5662378699999999E-4</v>
      </c>
      <c r="AB116" s="87" t="e">
        <f t="shared" si="11"/>
        <v>#REF!</v>
      </c>
    </row>
    <row r="117" spans="26:28" x14ac:dyDescent="0.35">
      <c r="Z117" t="e">
        <f>+SUM(#REF!+#REF!+#REF!+D66+G66+#REF!)</f>
        <v>#REF!</v>
      </c>
      <c r="AA117">
        <f>+$O$50</f>
        <v>2.1825615599999999E-3</v>
      </c>
      <c r="AB117" s="87" t="e">
        <f t="shared" si="11"/>
        <v>#REF!</v>
      </c>
    </row>
    <row r="118" spans="26:28" x14ac:dyDescent="0.35">
      <c r="Z118" t="e">
        <f>+SUM(#REF!+#REF!+#REF!+D67+G67+#REF!)</f>
        <v>#REF!</v>
      </c>
      <c r="AA118">
        <f>+$P$50</f>
        <v>2.3624253899999999E-2</v>
      </c>
      <c r="AB118" s="87" t="e">
        <f t="shared" si="11"/>
        <v>#REF!</v>
      </c>
    </row>
    <row r="119" spans="26:28" x14ac:dyDescent="0.35">
      <c r="Z119" t="e">
        <f>+SUM(#REF!+#REF!+#REF!+D68+G68+#REF!)</f>
        <v>#REF!</v>
      </c>
      <c r="AA119">
        <f>+$Q$50</f>
        <v>5.9514830999999998E-10</v>
      </c>
      <c r="AB119" s="87" t="e">
        <f t="shared" si="11"/>
        <v>#REF!</v>
      </c>
    </row>
    <row r="120" spans="26:28" x14ac:dyDescent="0.35">
      <c r="Z120" t="e">
        <f>+SUM(#REF!+#REF!+#REF!+D69+G69+#REF!)</f>
        <v>#REF!</v>
      </c>
      <c r="AA120">
        <f>+$R$50</f>
        <v>4.8424194E-8</v>
      </c>
      <c r="AB120" s="87" t="e">
        <f t="shared" si="11"/>
        <v>#REF!</v>
      </c>
    </row>
    <row r="121" spans="26:28" x14ac:dyDescent="0.35">
      <c r="Z121" t="e">
        <f>+SUM(#REF!+#REF!+#REF!+D70+G70+#REF!)</f>
        <v>#REF!</v>
      </c>
      <c r="AA121">
        <f>+$S$50</f>
        <v>4.0980493800000004E-2</v>
      </c>
      <c r="AB121" s="87" t="e">
        <f t="shared" si="11"/>
        <v>#REF!</v>
      </c>
    </row>
    <row r="122" spans="26:28" x14ac:dyDescent="0.35">
      <c r="Z122" t="e">
        <f>+SUM(#REF!+#REF!+#REF!+D71+G71+#REF!)</f>
        <v>#REF!</v>
      </c>
      <c r="AA122">
        <f>+$T$50</f>
        <v>5.7006235421999998</v>
      </c>
      <c r="AB122" s="87" t="e">
        <f t="shared" si="11"/>
        <v>#REF!</v>
      </c>
    </row>
    <row r="123" spans="26:28" x14ac:dyDescent="0.35">
      <c r="Z123" t="e">
        <f>+SUM(#REF!+#REF!+#REF!+D72+G72+#REF!)</f>
        <v>#REF!</v>
      </c>
      <c r="AA123">
        <f>+$U$50</f>
        <v>7.4082950999999986E-6</v>
      </c>
      <c r="AB123" s="87" t="e">
        <f t="shared" si="11"/>
        <v>#REF!</v>
      </c>
    </row>
    <row r="124" spans="26:28" x14ac:dyDescent="0.35">
      <c r="Z124" t="e">
        <f>+SUM(#REF!+#REF!+#REF!+D73+G73+#REF!)</f>
        <v>#REF!</v>
      </c>
      <c r="AA124">
        <f>+$V$50</f>
        <v>1.4931138599999998E-7</v>
      </c>
      <c r="AB124" s="87" t="e">
        <f t="shared" si="11"/>
        <v>#REF!</v>
      </c>
    </row>
    <row r="125" spans="26:28" x14ac:dyDescent="0.35">
      <c r="Z125" t="e">
        <f>+SUM(#REF!+#REF!+#REF!+D74+G74+#REF!)</f>
        <v>#REF!</v>
      </c>
      <c r="AA125">
        <f>+$W$50</f>
        <v>4.1621381099999995E-7</v>
      </c>
      <c r="AB125" s="87" t="e">
        <f t="shared" si="11"/>
        <v>#REF!</v>
      </c>
    </row>
    <row r="126" spans="26:28" x14ac:dyDescent="0.35">
      <c r="Z126" t="e">
        <f>+SUM(#REF!+#REF!+#REF!+D75+G75+#REF!)</f>
        <v>#REF!</v>
      </c>
      <c r="AA126">
        <f>+$X$50</f>
        <v>1.7457886799999996E-2</v>
      </c>
      <c r="AB126" s="87" t="e">
        <f t="shared" si="11"/>
        <v>#REF!</v>
      </c>
    </row>
    <row r="127" spans="26:28" x14ac:dyDescent="0.35">
      <c r="Z127" t="e">
        <f>+SUM(#REF!+#REF!+#REF!+D76+G76+#REF!)</f>
        <v>#REF!</v>
      </c>
      <c r="AA127">
        <f>+$Y$50</f>
        <v>0.20583979469999997</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6.0999999999999999E-2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No</v>
      </c>
      <c r="E157" s="154">
        <f>+Input!B42</f>
        <v>0.35299999999999998</v>
      </c>
      <c r="F157" s="165" cm="1">
        <f t="array" ref="F157">INDEX($C$101:$C$150,MATCH($B157&amp;$D157,$A$101:$A$150&amp;$B$101:$B$150,0))</f>
        <v>0.02</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5.978E-2</v>
      </c>
      <c r="E178" s="166">
        <f>Input!$B$41*(1-$F$156)</f>
        <v>9.9959999999999993E-2</v>
      </c>
      <c r="F178" s="166">
        <f>Input!$B$42*(1-$F$157)</f>
        <v>0.34593999999999997</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1.2199999999999999E-3</v>
      </c>
      <c r="E182" s="166">
        <f>Input!$B$41*$F$156</f>
        <v>2.0399999999999997E-3</v>
      </c>
      <c r="F182" s="166">
        <f>Input!$B$42*$F$157</f>
        <v>7.0599999999999994E-3</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8.9106872400000015</v>
      </c>
      <c r="E183" s="174">
        <f t="shared" si="2"/>
        <v>14.899837679999999</v>
      </c>
      <c r="F183" s="174">
        <f t="shared" si="2"/>
        <v>51.565124519999998</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0.45392784000000003</v>
      </c>
      <c r="E184" s="174">
        <f t="shared" si="3"/>
        <v>0.75902687999999985</v>
      </c>
      <c r="F184" s="174">
        <f t="shared" si="3"/>
        <v>2.62682832</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2.7535400000000001</v>
      </c>
      <c r="E185" s="170">
        <f t="shared" si="4"/>
        <v>4.6042799999999993</v>
      </c>
      <c r="F185" s="170">
        <f t="shared" si="4"/>
        <v>15.934419999999999</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0.19169250000000002</v>
      </c>
      <c r="E186" s="170">
        <f t="shared" si="5"/>
        <v>0.32053499999999996</v>
      </c>
      <c r="F186" s="170">
        <f t="shared" si="5"/>
        <v>1.1093025000000001</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12.309847580000001</v>
      </c>
      <c r="E187" s="174">
        <f t="shared" si="6"/>
        <v>20.58367956</v>
      </c>
      <c r="F187" s="174">
        <f t="shared" si="6"/>
        <v>71.23567534</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294.24239452530003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0.40734258772759618</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6.0999999999999999E-2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0.99995999999999996</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1.7403661903619281E-2</v>
      </c>
      <c r="G196" s="154" cm="1">
        <f t="array" ref="G196">INDEX(LCI!I$2:I$137,MATCH('A3 - Production '!$A$196&amp;'A3 - Production '!$D$196,LCI!$B$2:$B$137&amp;LCI!$D$2:$D$137,0))*$C$188*IF(OR($D$196="Electricity", $D$196="Electricity_green"),$B$52, 1)*IF($D$196="Hydrogen (grey)",$B$53,1)*$E$196</f>
        <v>20.604374659401039</v>
      </c>
      <c r="H196" s="154" cm="1">
        <f t="array" ref="H196">INDEX(LCI!J$2:J$137,MATCH('A3 - Production '!$A$196&amp;'A3 - Production '!$D$196,LCI!$B$2:$B$137&amp;LCI!$D$2:$D$137,0))*$C$188*IF(OR($D$196="Electricity", $D$196="Electricity_green"),$B$52, 1)*IF($D$196="Hydrogen (grey)",$B$53,1)*$E$196</f>
        <v>5.3869361119391118E-3</v>
      </c>
      <c r="I196" s="154" cm="1">
        <f t="array" ref="I196">INDEX(LCI!K$2:K$137,MATCH('A3 - Production '!$A$196&amp;'A3 - Production '!$D$196,LCI!$B$2:$B$137&amp;LCI!$D$2:$D$137,0))*$C$188*IF(OR($D$196="Electricity", $D$196="Electricity_green"),$B$52, 1)*IF($D$196="Hydrogen (grey)",$B$53,1)*$E$196</f>
        <v>20.598147986989193</v>
      </c>
      <c r="J196" s="154" cm="1">
        <f t="array" ref="J196">INDEX(LCI!L$2:L$137,MATCH('A3 - Production '!$A$196&amp;'A3 - Production '!$D$196,LCI!$B$2:$B$137&amp;LCI!$D$2:$D$137,0))*$C$188*IF(OR($D$196="Electricity", $D$196="Electricity_green"),$B$52, 1)*IF($D$196="Hydrogen (grey)",$B$53,1)*$E$196</f>
        <v>8.3973629990864772E-4</v>
      </c>
      <c r="K196" s="154" cm="1">
        <f t="array" ref="K196">INDEX(LCI!M$2:M$137,MATCH('A3 - Production '!$A$196&amp;'A3 - Production '!$D$196,LCI!$B$2:$B$137&amp;LCI!$D$2:$D$137,0))*$C$188*IF(OR($D$196="Electricity", $D$196="Electricity_green"),$B$52, 1)*IF($D$196="Hydrogen (grey)",$B$53,1)*$E$196</f>
        <v>7.792424457019723</v>
      </c>
      <c r="L196" s="154" cm="1">
        <f t="array" ref="L196">INDEX(LCI!N$2:N$137,MATCH('A3 - Production '!$A$196&amp;'A3 - Production '!$D$196,LCI!$B$2:$B$137&amp;LCI!$D$2:$D$137,0))*$C$188*IF(OR($D$196="Electricity", $D$196="Electricity_green"),$B$52, 1)*IF($D$196="Hydrogen (grey)",$B$53,1)*$E$196</f>
        <v>348.43951793392358</v>
      </c>
      <c r="M196" s="154" cm="1">
        <f t="array" ref="M196">INDEX(LCI!O$2:O$137,MATCH('A3 - Production '!$A$196&amp;'A3 - Production '!$D$196,LCI!$B$2:$B$137&amp;LCI!$D$2:$D$137,0))*$C$188*IF(OR($D$196="Electricity", $D$196="Electricity_green"),$B$52, 1)*IF($D$196="Hydrogen (grey)",$B$53,1)*$E$196</f>
        <v>3.088833116858917E-4</v>
      </c>
      <c r="N196" s="154" cm="1">
        <f t="array" ref="N196">INDEX(LCI!P$2:P$137,MATCH('A3 - Production '!$A$196&amp;'A3 - Production '!$D$196,LCI!$B$2:$B$137&amp;LCI!$D$2:$D$137,0))*$C$188*IF(OR($D$196="Electricity", $D$196="Electricity_green"),$B$52, 1)*IF($D$196="Hydrogen (grey)",$B$53,1)*$E$196</f>
        <v>4.7868275111462273E-3</v>
      </c>
      <c r="O196" s="154" cm="1">
        <f t="array" ref="O196">INDEX(LCI!Q$2:Q$137,MATCH('A3 - Production '!$A$196&amp;'A3 - Production '!$D$196,LCI!$B$2:$B$137&amp;LCI!$D$2:$D$137,0))*$C$188*IF(OR($D$196="Electricity", $D$196="Electricity_green"),$B$52, 1)*IF($D$196="Hydrogen (grey)",$B$53,1)*$E$196</f>
        <v>5.2779567569636844E-2</v>
      </c>
      <c r="P196" s="154" cm="1">
        <f t="array" ref="P196">INDEX(LCI!R$2:R$137,MATCH('A3 - Production '!$A$196&amp;'A3 - Production '!$D$196,LCI!$B$2:$B$137&amp;LCI!$D$2:$D$137,0))*$C$188*IF(OR($D$196="Electricity", $D$196="Electricity_green"),$B$52, 1)*IF($D$196="Hydrogen (grey)",$B$53,1)*$E$196</f>
        <v>1.6639403487295141E-9</v>
      </c>
      <c r="Q196" s="154" cm="1">
        <f t="array" ref="Q196">INDEX(LCI!S$2:S$137,MATCH('A3 - Production '!$A$196&amp;'A3 - Production '!$D$196,LCI!$B$2:$B$137&amp;LCI!$D$2:$D$137,0))*$C$188*IF(OR($D$196="Electricity", $D$196="Electricity_green"),$B$52, 1)*IF($D$196="Hydrogen (grey)",$B$53,1)*$E$196</f>
        <v>1.4227668825945195E-8</v>
      </c>
      <c r="R196" s="154" cm="1">
        <f t="array" ref="R196">INDEX(LCI!T$2:T$137,MATCH('A3 - Production '!$A$196&amp;'A3 - Production '!$D$196,LCI!$B$2:$B$137&amp;LCI!$D$2:$D$137,0))*$C$188*IF(OR($D$196="Electricity", $D$196="Electricity_green"),$B$52, 1)*IF($D$196="Hydrogen (grey)",$B$53,1)*$E$196</f>
        <v>0.21931523441481232</v>
      </c>
      <c r="S196" s="154" cm="1">
        <f t="array" ref="S196">INDEX(LCI!U$2:U$137,MATCH('A3 - Production '!$A$196&amp;'A3 - Production '!$D$196,LCI!$B$2:$B$137&amp;LCI!$D$2:$D$137,0))*$C$188*IF(OR($D$196="Electricity", $D$196="Electricity_green"),$B$52, 1)*IF($D$196="Hydrogen (grey)",$B$53,1)*$E$196</f>
        <v>4.682126963417713</v>
      </c>
      <c r="T196" s="154" cm="1">
        <f t="array" ref="T196">INDEX(LCI!V$2:V$137,MATCH('A3 - Production '!$A$196&amp;'A3 - Production '!$D$196,LCI!$B$2:$B$137&amp;LCI!$D$2:$D$137,0))*$C$188*IF(OR($D$196="Electricity", $D$196="Electricity_green"),$B$52, 1)*IF($D$196="Hydrogen (grey)",$B$53,1)*$E$196</f>
        <v>1.1217956346529559E-6</v>
      </c>
      <c r="U196" s="154" cm="1">
        <f t="array" ref="U196">INDEX(LCI!W$2:W$137,MATCH('A3 - Production '!$A$196&amp;'A3 - Production '!$D$196,LCI!$B$2:$B$137&amp;LCI!$D$2:$D$137,0))*$C$188*IF(OR($D$196="Electricity", $D$196="Electricity_green"),$B$52, 1)*IF($D$196="Hydrogen (grey)",$B$53,1)*$E$196</f>
        <v>2.9019359061971119E-6</v>
      </c>
      <c r="V196" s="154" cm="1">
        <f t="array" ref="V196">INDEX(LCI!X$2:X$137,MATCH('A3 - Production '!$A$196&amp;'A3 - Production '!$D$196,LCI!$B$2:$B$137&amp;LCI!$D$2:$D$137,0))*$C$188*IF(OR($D$196="Electricity", $D$196="Electricity_green"),$B$52, 1)*IF($D$196="Hydrogen (grey)",$B$53,1)*$E$196</f>
        <v>6.3931014771179456E-8</v>
      </c>
      <c r="W196" s="154" cm="1">
        <f t="array" ref="W196">INDEX(LCI!Y$2:Y$137,MATCH('A3 - Production '!$A$196&amp;'A3 - Production '!$D$196,LCI!$B$2:$B$137&amp;LCI!$D$2:$D$137,0))*$C$188*IF(OR($D$196="Electricity", $D$196="Electricity_green"),$B$52, 1)*IF($D$196="Hydrogen (grey)",$B$53,1)*$E$196</f>
        <v>1.7859785367081722E-2</v>
      </c>
      <c r="X196" s="154" cm="1">
        <f t="array" ref="X196">INDEX(LCI!Z$2:Z$137,MATCH('A3 - Production '!$A$196&amp;'A3 - Production '!$D$196,LCI!$B$2:$B$137&amp;LCI!$D$2:$D$137,0))*$C$188*IF(OR($D$196="Electricity", $D$196="Electricity_green"),$B$52, 1)*IF($D$196="Hydrogen (grey)",$B$53,1)*$E$196</f>
        <v>0.20566031690440403</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2.1363628171930358E-2</v>
      </c>
      <c r="G199" s="139">
        <f t="shared" si="9"/>
        <v>21.69514319686019</v>
      </c>
      <c r="H199" s="139">
        <f t="shared" si="9"/>
        <v>7.1965752920149732E-3</v>
      </c>
      <c r="I199" s="139">
        <f t="shared" si="9"/>
        <v>21.684373820607266</v>
      </c>
      <c r="J199" s="139">
        <f t="shared" si="9"/>
        <v>3.5728009609106034E-3</v>
      </c>
      <c r="K199" s="139">
        <f t="shared" si="9"/>
        <v>11.607320924790372</v>
      </c>
      <c r="L199" s="139">
        <f t="shared" si="9"/>
        <v>401.87934539217343</v>
      </c>
      <c r="M199" s="139">
        <f t="shared" si="9"/>
        <v>7.1659019475899021E-4</v>
      </c>
      <c r="N199" s="139">
        <f t="shared" si="9"/>
        <v>5.6011893846035828E-3</v>
      </c>
      <c r="O199" s="139">
        <f t="shared" si="9"/>
        <v>6.05100991074028E-2</v>
      </c>
      <c r="P199" s="139">
        <f t="shared" si="9"/>
        <v>2.1183211247136467E-9</v>
      </c>
      <c r="Q199" s="139">
        <f t="shared" si="9"/>
        <v>3.9352093726122409E-8</v>
      </c>
      <c r="R199" s="139">
        <f t="shared" si="9"/>
        <v>2.4641477914467593</v>
      </c>
      <c r="S199" s="139">
        <f t="shared" si="9"/>
        <v>13.115177298247055</v>
      </c>
      <c r="T199" s="139">
        <f t="shared" si="9"/>
        <v>3.0061068881965265E-5</v>
      </c>
      <c r="U199" s="139">
        <f t="shared" si="9"/>
        <v>2.9366381605378421E-6</v>
      </c>
      <c r="V199" s="139">
        <f t="shared" si="9"/>
        <v>9.3030626309514734E-8</v>
      </c>
      <c r="W199" s="139">
        <f t="shared" si="9"/>
        <v>2.0330154930103792E-2</v>
      </c>
      <c r="X199" s="139">
        <f t="shared" si="9"/>
        <v>0.84764128850620835</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2.1363628171930358E-2</v>
      </c>
      <c r="C206" s="154">
        <f>'A3 - Production '!H28</f>
        <v>1.0299559961337281E-4</v>
      </c>
      <c r="D206" s="154">
        <f>SUM(B206:C206)</f>
        <v>2.1466623771543732E-2</v>
      </c>
    </row>
    <row r="207" spans="1:24" x14ac:dyDescent="0.35">
      <c r="A207" s="1" t="s">
        <v>280</v>
      </c>
      <c r="B207" s="154">
        <f>SUM(G196:G198)</f>
        <v>21.69514319686019</v>
      </c>
      <c r="C207" s="154">
        <f>'A3 - Production '!I28</f>
        <v>8.056052481282612E-2</v>
      </c>
      <c r="D207" s="154">
        <f t="shared" ref="D207:D224" si="10">SUM(B207:C207)</f>
        <v>21.775703721673015</v>
      </c>
    </row>
    <row r="208" spans="1:24" x14ac:dyDescent="0.35">
      <c r="A208" s="1" t="s">
        <v>281</v>
      </c>
      <c r="B208" s="154">
        <f>SUM(H196:H198)</f>
        <v>7.1965752920149732E-3</v>
      </c>
      <c r="C208" s="154">
        <f>'A3 - Production '!J28</f>
        <v>1.66498170746065E-5</v>
      </c>
      <c r="D208" s="154">
        <f t="shared" si="10"/>
        <v>7.2132251090895796E-3</v>
      </c>
    </row>
    <row r="209" spans="1:4" x14ac:dyDescent="0.35">
      <c r="A209" s="1" t="s">
        <v>282</v>
      </c>
      <c r="B209" s="154">
        <f>SUM(I196:I198)</f>
        <v>21.684373820607266</v>
      </c>
      <c r="C209" s="154">
        <f>'A3 - Production '!K28</f>
        <v>8.0540312398878863E-2</v>
      </c>
      <c r="D209" s="154">
        <f t="shared" si="10"/>
        <v>21.764914133006144</v>
      </c>
    </row>
    <row r="210" spans="1:4" x14ac:dyDescent="0.35">
      <c r="A210" s="1" t="s">
        <v>283</v>
      </c>
      <c r="B210" s="154">
        <f>SUM(J196:J198)</f>
        <v>3.5728009609106034E-3</v>
      </c>
      <c r="C210" s="154">
        <f>'A3 - Production '!L28</f>
        <v>3.5625968726484402E-6</v>
      </c>
      <c r="D210" s="154">
        <f t="shared" si="10"/>
        <v>3.5763635577832518E-3</v>
      </c>
    </row>
    <row r="211" spans="1:4" x14ac:dyDescent="0.35">
      <c r="A211" s="1" t="s">
        <v>284</v>
      </c>
      <c r="B211" s="154">
        <f>SUM(K196:K198)</f>
        <v>11.607320924790372</v>
      </c>
      <c r="C211" s="154">
        <f>'A3 - Production '!M28</f>
        <v>3.5594107095916434E-2</v>
      </c>
      <c r="D211" s="154">
        <f t="shared" si="10"/>
        <v>11.642915031886288</v>
      </c>
    </row>
    <row r="212" spans="1:4" x14ac:dyDescent="0.35">
      <c r="A212" s="1" t="s">
        <v>285</v>
      </c>
      <c r="B212" s="154">
        <f>SUM(L196:L198)</f>
        <v>401.87934539217343</v>
      </c>
      <c r="C212" s="154">
        <f>'A3 - Production '!N28</f>
        <v>1.0700591183029562</v>
      </c>
      <c r="D212" s="154">
        <f t="shared" si="10"/>
        <v>402.94940451047637</v>
      </c>
    </row>
    <row r="213" spans="1:4" x14ac:dyDescent="0.35">
      <c r="A213" s="1" t="s">
        <v>286</v>
      </c>
      <c r="B213" s="154">
        <f>SUM(M196:M198)</f>
        <v>7.1659019475899021E-4</v>
      </c>
      <c r="C213" s="154">
        <f>'A3 - Production '!O28</f>
        <v>8.5163363126034537E-7</v>
      </c>
      <c r="D213" s="154">
        <f t="shared" si="10"/>
        <v>7.1744182839025058E-4</v>
      </c>
    </row>
    <row r="214" spans="1:4" x14ac:dyDescent="0.35">
      <c r="A214" s="1" t="s">
        <v>287</v>
      </c>
      <c r="B214" s="154">
        <f>SUM(N196:N198)</f>
        <v>5.6011893846035828E-3</v>
      </c>
      <c r="C214" s="154">
        <f>'A3 - Production '!P28</f>
        <v>2.3290660699942286E-5</v>
      </c>
      <c r="D214" s="154">
        <f t="shared" si="10"/>
        <v>5.6244800453035251E-3</v>
      </c>
    </row>
    <row r="215" spans="1:4" x14ac:dyDescent="0.35">
      <c r="A215" s="1" t="s">
        <v>288</v>
      </c>
      <c r="B215" s="154">
        <f>SUM(O196:O198)</f>
        <v>6.05100991074028E-2</v>
      </c>
      <c r="C215" s="154">
        <f>'A3 - Production '!Q28</f>
        <v>2.5319818156265738E-4</v>
      </c>
      <c r="D215" s="154">
        <f t="shared" si="10"/>
        <v>6.0763297288965457E-2</v>
      </c>
    </row>
    <row r="216" spans="1:4" x14ac:dyDescent="0.35">
      <c r="A216" s="1" t="s">
        <v>289</v>
      </c>
      <c r="B216" s="154">
        <f>SUM(P196:P198)</f>
        <v>2.1183211247136467E-9</v>
      </c>
      <c r="C216" s="154">
        <f>'A3 - Production '!R28</f>
        <v>4.9230968242214656E-12</v>
      </c>
      <c r="D216" s="154">
        <f t="shared" si="10"/>
        <v>2.1232442215378681E-9</v>
      </c>
    </row>
    <row r="217" spans="1:4" x14ac:dyDescent="0.35">
      <c r="A217" s="1" t="s">
        <v>319</v>
      </c>
      <c r="B217" s="154">
        <f>SUM(Q196:Q198)</f>
        <v>3.9352093726122409E-8</v>
      </c>
      <c r="C217" s="154">
        <f>'A3 - Production '!S28</f>
        <v>1.3122062216178557E-10</v>
      </c>
      <c r="D217" s="154">
        <f t="shared" si="10"/>
        <v>3.9483314348284196E-8</v>
      </c>
    </row>
    <row r="218" spans="1:4" x14ac:dyDescent="0.35">
      <c r="A218" s="1" t="s">
        <v>291</v>
      </c>
      <c r="B218" s="154">
        <f>SUM(R196:R198)</f>
        <v>2.4641477914467593</v>
      </c>
      <c r="C218" s="154">
        <f>'A3 - Production '!T28</f>
        <v>3.212941207975714E-4</v>
      </c>
      <c r="D218" s="154">
        <f t="shared" si="10"/>
        <v>2.4644690855675568</v>
      </c>
    </row>
    <row r="219" spans="1:4" x14ac:dyDescent="0.35">
      <c r="A219" s="1" t="s">
        <v>292</v>
      </c>
      <c r="B219" s="154">
        <f>SUM(S196:S198)</f>
        <v>13.115177298247055</v>
      </c>
      <c r="C219" s="154">
        <f>'A3 - Production '!U28</f>
        <v>5.5016478121274907E-2</v>
      </c>
      <c r="D219" s="154">
        <f t="shared" si="10"/>
        <v>13.170193776368329</v>
      </c>
    </row>
    <row r="220" spans="1:4" x14ac:dyDescent="0.35">
      <c r="A220" s="1" t="s">
        <v>293</v>
      </c>
      <c r="B220" s="154">
        <f>SUM(T196:T198)</f>
        <v>3.0061068881965265E-5</v>
      </c>
      <c r="C220" s="154">
        <f>'A3 - Production '!V28</f>
        <v>1.2561955879264319E-8</v>
      </c>
      <c r="D220" s="154">
        <f t="shared" si="10"/>
        <v>3.0073630837844529E-5</v>
      </c>
    </row>
    <row r="221" spans="1:4" x14ac:dyDescent="0.35">
      <c r="A221" s="1" t="s">
        <v>294</v>
      </c>
      <c r="B221" s="154">
        <f>SUM(U196:U198)</f>
        <v>2.9366381605378421E-6</v>
      </c>
      <c r="C221" s="154">
        <f>'A3 - Production '!W28</f>
        <v>1.8154006185482207E-9</v>
      </c>
      <c r="D221" s="154">
        <f t="shared" si="10"/>
        <v>2.9384535611563901E-6</v>
      </c>
    </row>
    <row r="222" spans="1:4" x14ac:dyDescent="0.35">
      <c r="A222" s="1" t="s">
        <v>295</v>
      </c>
      <c r="B222" s="154">
        <f>SUM(V196:V198)</f>
        <v>9.3030626309514734E-8</v>
      </c>
      <c r="C222" s="154">
        <f>'A3 - Production '!X28</f>
        <v>7.9346155235966147E-10</v>
      </c>
      <c r="D222" s="154">
        <f t="shared" si="10"/>
        <v>9.3824087861874399E-8</v>
      </c>
    </row>
    <row r="223" spans="1:4" x14ac:dyDescent="0.35">
      <c r="A223" s="1" t="s">
        <v>296</v>
      </c>
      <c r="B223" s="154">
        <f>SUM(W196:W198)</f>
        <v>2.0330154930103792E-2</v>
      </c>
      <c r="C223" s="154">
        <f>'A3 - Production '!Y28</f>
        <v>1.9843157737774877E-4</v>
      </c>
      <c r="D223" s="154">
        <f t="shared" si="10"/>
        <v>2.0528586507481541E-2</v>
      </c>
    </row>
    <row r="224" spans="1:4" x14ac:dyDescent="0.35">
      <c r="A224" s="1" t="s">
        <v>297</v>
      </c>
      <c r="B224" s="154">
        <f>SUM(X196:X198)</f>
        <v>0.84764128850620835</v>
      </c>
      <c r="C224" s="154">
        <f>'A3 - Production '!Z28</f>
        <v>1.4482440080436057E-3</v>
      </c>
      <c r="D224" s="154">
        <f t="shared" si="10"/>
        <v>0.8490895325142519</v>
      </c>
    </row>
    <row r="227" spans="1:3" x14ac:dyDescent="0.35">
      <c r="B227" t="s">
        <v>352</v>
      </c>
    </row>
    <row r="228" spans="1:3" x14ac:dyDescent="0.35">
      <c r="B228" s="205" t="s">
        <v>623</v>
      </c>
      <c r="C228" s="205" t="s">
        <v>622</v>
      </c>
    </row>
    <row r="229" spans="1:3" x14ac:dyDescent="0.35">
      <c r="A229" s="95" t="s">
        <v>624</v>
      </c>
      <c r="B229" s="1">
        <f>SUM($F$199:$X$199)+SUM($H$28:$Z$28)</f>
        <v>474.73661295711554</v>
      </c>
      <c r="C229" s="1">
        <f>+SUM(H28:Z28)</f>
        <v>1.3241390742344876</v>
      </c>
    </row>
    <row r="230" spans="1:3" x14ac:dyDescent="0.35">
      <c r="A230" s="95" t="s">
        <v>625</v>
      </c>
      <c r="B230" s="1">
        <f>SUM($D$206:$D$224)</f>
        <v>474.73661295711565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261.62</v>
      </c>
    </row>
    <row r="9" spans="1:6" x14ac:dyDescent="0.35">
      <c r="A9" s="73" t="s">
        <v>212</v>
      </c>
      <c r="B9" s="96" t="s">
        <v>69</v>
      </c>
      <c r="C9" s="96" t="s">
        <v>70</v>
      </c>
      <c r="D9" s="97">
        <f>Input!$L$49</f>
        <v>214.98</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141</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141</v>
      </c>
      <c r="E30" s="154" t="str">
        <f>$B$12</f>
        <v>Truck</v>
      </c>
      <c r="F30" s="154" t="str">
        <f>$C$12</f>
        <v>Diesel_Euro5</v>
      </c>
      <c r="G30" s="154" cm="1">
        <f t="array" ref="G30">INDEX(LCI!H$2:H$137,MATCH('D- Benefits &amp; Burdens'!$E$30&amp;'D- Benefits &amp; Burdens'!$F$30,LCI!$B$2:$B$137&amp;LCI!$D$2:$D$137,0))*IF(AND($E30="Truck",$F30="Electric"),$B$26,1)*$D$30*$C$30</f>
        <v>4.3698141900000001E-2</v>
      </c>
      <c r="H30" s="154" cm="1">
        <f t="array" ref="H30">INDEX(LCI!I$2:I$137,MATCH('D- Benefits &amp; Burdens'!$E$30&amp;'D- Benefits &amp; Burdens'!$F$30,LCI!$B$2:$B$137&amp;LCI!$D$2:$D$137,0))*IF(AND($E30="Truck",$F30="Electric"),$B$26,1)*$D$30*$C$30</f>
        <v>15.973208166299999</v>
      </c>
      <c r="I30" s="154" cm="1">
        <f t="array" ref="I30">INDEX(LCI!J$2:J$137,MATCH('D- Benefits &amp; Burdens'!$E$30&amp;'D- Benefits &amp; Burdens'!$F$30,LCI!$B$2:$B$137&amp;LCI!$D$2:$D$137,0))*IF(AND($E30="Truck",$F30="Electric"),$B$26,1)*$D$30*$C$30</f>
        <v>7.3826415599999992E-3</v>
      </c>
      <c r="J30" s="154" cm="1">
        <f t="array" ref="J30">INDEX(LCI!K$2:K$137,MATCH('D- Benefits &amp; Burdens'!$E$30&amp;'D- Benefits &amp; Burdens'!$F$30,LCI!$B$2:$B$137&amp;LCI!$D$2:$D$137,0))*IF(AND($E30="Truck",$F30="Electric"),$B$26,1)*$D$30*$C$30</f>
        <v>15.9645695475</v>
      </c>
      <c r="K30" s="154" cm="1">
        <f t="array" ref="K30">INDEX(LCI!L$2:L$137,MATCH('D- Benefits &amp; Burdens'!$E$30&amp;'D- Benefits &amp; Burdens'!$F$30,LCI!$B$2:$B$137&amp;LCI!$D$2:$D$137,0))*IF(AND($E30="Truck",$F30="Electric"),$B$26,1)*$D$30*$C$30</f>
        <v>1.25594763E-3</v>
      </c>
      <c r="L30" s="154" cm="1">
        <f t="array" ref="L30">INDEX(LCI!M$2:M$137,MATCH('D- Benefits &amp; Burdens'!$E$30&amp;'D- Benefits &amp; Burdens'!$F$30,LCI!$B$2:$B$137&amp;LCI!$D$2:$D$137,0))*IF(AND($E30="Truck",$F30="Electric"),$B$26,1)*$D$30*$C$30</f>
        <v>13.574884923600001</v>
      </c>
      <c r="M30" s="154" cm="1">
        <f t="array" ref="M30">INDEX(LCI!N$2:N$137,MATCH('D- Benefits &amp; Burdens'!$E$30&amp;'D- Benefits &amp; Burdens'!$F$30,LCI!$B$2:$B$137&amp;LCI!$D$2:$D$137,0))*IF(AND($E30="Truck",$F30="Electric"),$B$26,1)*$D$30*$C$30</f>
        <v>214.76523950699999</v>
      </c>
      <c r="N30" s="154" cm="1">
        <f t="array" ref="N30">INDEX(LCI!O$2:O$137,MATCH('D- Benefits &amp; Burdens'!$E$30&amp;'D- Benefits &amp; Burdens'!$F$30,LCI!$B$2:$B$137&amp;LCI!$D$2:$D$137,0))*IF(AND($E30="Truck",$F30="Electric"),$B$26,1)*$D$30*$C$30</f>
        <v>3.6746009999999999E-4</v>
      </c>
      <c r="O30" s="154" cm="1">
        <f t="array" ref="O30">INDEX(LCI!P$2:P$137,MATCH('D- Benefits &amp; Burdens'!$E$30&amp;'D- Benefits &amp; Burdens'!$F$30,LCI!$B$2:$B$137&amp;LCI!$D$2:$D$137,0))*IF(AND($E30="Truck",$F30="Electric"),$B$26,1)*$D$30*$C$30</f>
        <v>1.5678889799999998E-2</v>
      </c>
      <c r="P30" s="154" cm="1">
        <f t="array" ref="P30">INDEX(LCI!Q$2:Q$137,MATCH('D- Benefits &amp; Burdens'!$E$30&amp;'D- Benefits &amp; Burdens'!$F$30,LCI!$B$2:$B$137&amp;LCI!$D$2:$D$137,0))*IF(AND($E30="Truck",$F30="Electric"),$B$26,1)*$D$30*$C$30</f>
        <v>0.17103278849999998</v>
      </c>
      <c r="Q30" s="154" cm="1">
        <f t="array" ref="Q30">INDEX(LCI!R$2:R$137,MATCH('D- Benefits &amp; Burdens'!$E$30&amp;'D- Benefits &amp; Burdens'!$F$30,LCI!$B$2:$B$137&amp;LCI!$D$2:$D$137,0))*IF(AND($E30="Truck",$F30="Electric"),$B$26,1)*$D$30*$C$30</f>
        <v>1.49304477E-9</v>
      </c>
      <c r="R30" s="154" cm="1">
        <f t="array" ref="R30">INDEX(LCI!S$2:S$137,MATCH('D- Benefits &amp; Burdens'!$E$30&amp;'D- Benefits &amp; Burdens'!$F$30,LCI!$B$2:$B$137&amp;LCI!$D$2:$D$137,0))*IF(AND($E30="Truck",$F30="Electric"),$B$26,1)*$D$30*$C$30</f>
        <v>1.1447719499999999E-7</v>
      </c>
      <c r="S30" s="154" cm="1">
        <f t="array" ref="S30">INDEX(LCI!T$2:T$137,MATCH('D- Benefits &amp; Burdens'!$E$30&amp;'D- Benefits &amp; Burdens'!$F$30,LCI!$B$2:$B$137&amp;LCI!$D$2:$D$137,0))*IF(AND($E30="Truck",$F30="Electric"),$B$26,1)*$D$30*$C$30</f>
        <v>9.6689283599999981E-2</v>
      </c>
      <c r="T30" s="154" cm="1">
        <f t="array" ref="T30">INDEX(LCI!U$2:U$137,MATCH('D- Benefits &amp; Burdens'!$E$30&amp;'D- Benefits &amp; Burdens'!$F$30,LCI!$B$2:$B$137&amp;LCI!$D$2:$D$137,0))*IF(AND($E30="Truck",$F30="Electric"),$B$26,1)*$D$30*$C$30</f>
        <v>13.476679608</v>
      </c>
      <c r="U30" s="154" cm="1">
        <f t="array" ref="U30">INDEX(LCI!V$2:V$137,MATCH('D- Benefits &amp; Burdens'!$E$30&amp;'D- Benefits &amp; Burdens'!$F$30,LCI!$B$2:$B$137&amp;LCI!$D$2:$D$137,0))*IF(AND($E30="Truck",$F30="Electric"),$B$26,1)*$D$30*$C$30</f>
        <v>1.7314052699999997E-5</v>
      </c>
      <c r="V30" s="154" cm="1">
        <f t="array" ref="V30">INDEX(LCI!W$2:W$137,MATCH('D- Benefits &amp; Burdens'!$E$30&amp;'D- Benefits &amp; Burdens'!$F$30,LCI!$B$2:$B$137&amp;LCI!$D$2:$D$137,0))*IF(AND($E30="Truck",$F30="Electric"),$B$26,1)*$D$30*$C$30</f>
        <v>3.5530618199999999E-7</v>
      </c>
      <c r="W30" s="154" cm="1">
        <f t="array" ref="W30">INDEX(LCI!X$2:X$137,MATCH('D- Benefits &amp; Burdens'!$E$30&amp;'D- Benefits &amp; Burdens'!$F$30,LCI!$B$2:$B$137&amp;LCI!$D$2:$D$137,0))*IF(AND($E30="Truck",$F30="Electric"),$B$26,1)*$D$30*$C$30</f>
        <v>1.0800741000000001E-6</v>
      </c>
      <c r="X30" s="154" cm="1">
        <f t="array" ref="X30">INDEX(LCI!Y$2:Y$137,MATCH('D- Benefits &amp; Burdens'!$E$30&amp;'D- Benefits &amp; Burdens'!$F$30,LCI!$B$2:$B$137&amp;LCI!$D$2:$D$137,0))*IF(AND($E30="Truck",$F30="Electric"),$B$26,1)*$D$30*$C$30</f>
        <v>6.8799328499999993E-2</v>
      </c>
      <c r="Y30" s="154" cm="1">
        <f t="array" ref="Y30">INDEX(LCI!Z$2:Z$137,MATCH('D- Benefits &amp; Burdens'!$E$30&amp;'D- Benefits &amp; Burdens'!$F$30,LCI!$B$2:$B$137&amp;LCI!$D$2:$D$137,0))*IF(AND($E30="Truck",$F30="Electric"),$B$26,1)*$D$30*$C$30</f>
        <v>0.48473958539999995</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261.62</v>
      </c>
      <c r="E150" s="154" t="str">
        <f>$B$8</f>
        <v>Truck</v>
      </c>
      <c r="F150" s="154" t="str">
        <f>$C$8</f>
        <v>Diesel_Euro5</v>
      </c>
      <c r="G150" s="154" cm="1">
        <f t="array" ref="G150">INDEX(LCI!H$2:H$137,MATCH('D- Benefits &amp; Burdens'!$E150&amp;'D- Benefits &amp; Burdens'!$F150,LCI!$B$2:$B$137&amp;LCI!$D$2:$D$137,0))*$C150*$D150</f>
        <v>-2.7058083595799761E-3</v>
      </c>
      <c r="H150" s="154" cm="1">
        <f t="array" ref="H150">INDEX(LCI!I$2:I$137,MATCH('D- Benefits &amp; Burdens'!$E150&amp;'D- Benefits &amp; Burdens'!$F150,LCI!$B$2:$B$137&amp;LCI!$D$2:$D$137,0))*$C150*$D150</f>
        <v>-0.98906814583998781</v>
      </c>
      <c r="I150" s="154" cm="1">
        <f t="array" ref="I150">INDEX(LCI!J$2:J$137,MATCH('D- Benefits &amp; Burdens'!$E150&amp;'D- Benefits &amp; Burdens'!$F150,LCI!$B$2:$B$137&amp;LCI!$D$2:$D$137,0))*$C150*$D150</f>
        <v>-4.5713644517298238E-4</v>
      </c>
      <c r="J150" s="154" cm="1">
        <f t="array" ref="J150">INDEX(LCI!K$2:K$137,MATCH('D- Benefits &amp; Burdens'!$E150&amp;'D- Benefits &amp; Burdens'!$F150,LCI!$B$2:$B$137&amp;LCI!$D$2:$D$137,0))*$C150*$D150</f>
        <v>-0.98853323872613941</v>
      </c>
      <c r="K150" s="154" cm="1">
        <f t="array" ref="K150">INDEX(LCI!L$2:L$137,MATCH('D- Benefits &amp; Burdens'!$E150&amp;'D- Benefits &amp; Burdens'!$F150,LCI!$B$2:$B$137&amp;LCI!$D$2:$D$137,0))*$C150*$D150</f>
        <v>-7.7768835211015208E-5</v>
      </c>
      <c r="L150" s="154" cm="1">
        <f t="array" ref="L150">INDEX(LCI!M$2:M$137,MATCH('D- Benefits &amp; Burdens'!$E150&amp;'D- Benefits &amp; Burdens'!$F150,LCI!$B$2:$B$137&amp;LCI!$D$2:$D$137,0))*$C150*$D150</f>
        <v>-0.84056290518414611</v>
      </c>
      <c r="M150" s="154" cm="1">
        <f t="array" ref="M150">INDEX(LCI!N$2:N$137,MATCH('D- Benefits &amp; Burdens'!$E150&amp;'D- Benefits &amp; Burdens'!$F150,LCI!$B$2:$B$137&amp;LCI!$D$2:$D$137,0))*$C150*$D150</f>
        <v>-13.298359040873459</v>
      </c>
      <c r="N150" s="154" cm="1">
        <f t="array" ref="N150">INDEX(LCI!O$2:O$137,MATCH('D- Benefits &amp; Burdens'!$E150&amp;'D- Benefits &amp; Burdens'!$F150,LCI!$B$2:$B$137&amp;LCI!$D$2:$D$137,0))*$C150*$D150</f>
        <v>-2.2753292638104003E-5</v>
      </c>
      <c r="O150" s="154" cm="1">
        <f t="array" ref="O150">INDEX(LCI!P$2:P$137,MATCH('D- Benefits &amp; Burdens'!$E150&amp;'D- Benefits &amp; Burdens'!$F150,LCI!$B$2:$B$137&amp;LCI!$D$2:$D$137,0))*$C150*$D150</f>
        <v>-9.70843821846192E-4</v>
      </c>
      <c r="P150" s="154" cm="1">
        <f t="array" ref="P150">INDEX(LCI!Q$2:Q$137,MATCH('D- Benefits &amp; Burdens'!$E150&amp;'D- Benefits &amp; Burdens'!$F150,LCI!$B$2:$B$137&amp;LCI!$D$2:$D$137,0))*$C150*$D150</f>
        <v>-1.0590426246146039E-2</v>
      </c>
      <c r="Q150" s="154" cm="1">
        <f t="array" ref="Q150">INDEX(LCI!R$2:R$137,MATCH('D- Benefits &amp; Burdens'!$E150&amp;'D- Benefits &amp; Burdens'!$F150,LCI!$B$2:$B$137&amp;LCI!$D$2:$D$137,0))*$C150*$D150</f>
        <v>-9.2449995451480805E-11</v>
      </c>
      <c r="R150" s="154" cm="1">
        <f t="array" ref="R150">INDEX(LCI!S$2:S$137,MATCH('D- Benefits &amp; Burdens'!$E150&amp;'D- Benefits &amp; Burdens'!$F150,LCI!$B$2:$B$137&amp;LCI!$D$2:$D$137,0))*$C150*$D150</f>
        <v>-7.0884787715028007E-9</v>
      </c>
      <c r="S150" s="154" cm="1">
        <f t="array" ref="S150">INDEX(LCI!T$2:T$137,MATCH('D- Benefits &amp; Burdens'!$E150&amp;'D- Benefits &amp; Burdens'!$F150,LCI!$B$2:$B$137&amp;LCI!$D$2:$D$137,0))*$C150*$D150</f>
        <v>-5.9870433952405435E-3</v>
      </c>
      <c r="T150" s="154" cm="1">
        <f t="array" ref="T150">INDEX(LCI!U$2:U$137,MATCH('D- Benefits &amp; Burdens'!$E150&amp;'D- Benefits &amp; Burdens'!$F150,LCI!$B$2:$B$137&amp;LCI!$D$2:$D$137,0))*$C150*$D150</f>
        <v>-0.83448198841396026</v>
      </c>
      <c r="U150" s="154" cm="1">
        <f t="array" ref="U150">INDEX(LCI!V$2:V$137,MATCH('D- Benefits &amp; Burdens'!$E150&amp;'D- Benefits &amp; Burdens'!$F150,LCI!$B$2:$B$137&amp;LCI!$D$2:$D$137,0))*$C150*$D150</f>
        <v>-1.0720938350440079E-6</v>
      </c>
      <c r="V150" s="154" cm="1">
        <f t="array" ref="V150">INDEX(LCI!W$2:W$137,MATCH('D- Benefits &amp; Burdens'!$E150&amp;'D- Benefits &amp; Burdens'!$F150,LCI!$B$2:$B$137&amp;LCI!$D$2:$D$137,0))*$C150*$D150</f>
        <v>-2.2000716636101281E-8</v>
      </c>
      <c r="W150" s="154" cm="1">
        <f t="array" ref="W150">INDEX(LCI!X$2:X$137,MATCH('D- Benefits &amp; Burdens'!$E150&amp;'D- Benefits &amp; Burdens'!$F150,LCI!$B$2:$B$137&amp;LCI!$D$2:$D$137,0))*$C150*$D150</f>
        <v>-6.6878668100664016E-8</v>
      </c>
      <c r="X150" s="154" cm="1">
        <f t="array" ref="X150">INDEX(LCI!Y$2:Y$137,MATCH('D- Benefits &amp; Burdens'!$E150&amp;'D- Benefits &amp; Burdens'!$F150,LCI!$B$2:$B$137&amp;LCI!$D$2:$D$137,0))*$C150*$D150</f>
        <v>-4.2600849851876406E-3</v>
      </c>
      <c r="Y150" s="154" cm="1">
        <f t="array" ref="Y150">INDEX(LCI!Z$2:Z$137,MATCH('D- Benefits &amp; Burdens'!$E150&amp;'D- Benefits &amp; Burdens'!$F150,LCI!$B$2:$B$137&amp;LCI!$D$2:$D$137,0))*$C150*$D150</f>
        <v>-3.0015290476107213E-2</v>
      </c>
    </row>
    <row r="151" spans="1:25" ht="14" customHeight="1" x14ac:dyDescent="0.35">
      <c r="A151" s="1" t="s">
        <v>864</v>
      </c>
      <c r="B151" s="141" t="str">
        <f>Input!$C$49</f>
        <v>Limestone_residue</v>
      </c>
      <c r="C151" s="195">
        <f>$B$132</f>
        <v>-4.2827400000000002E-2</v>
      </c>
      <c r="D151" s="154">
        <f>$D$9</f>
        <v>214.98</v>
      </c>
      <c r="E151" s="154" t="str">
        <f>$B$9</f>
        <v>Truck</v>
      </c>
      <c r="F151" s="154" t="str">
        <f>$C$9</f>
        <v>Diesel_Euro5</v>
      </c>
      <c r="G151" s="154" cm="1">
        <f t="array" ref="G151">INDEX(LCI!H$2:H$137,MATCH('D- Benefits &amp; Burdens'!$E151&amp;'D- Benefits &amp; Burdens'!$F151,LCI!$B$2:$B$137&amp;LCI!$D$2:$D$137,0))*$C151*$D151</f>
        <v>-4.0762948121751243E-3</v>
      </c>
      <c r="H151" s="154" cm="1">
        <f t="array" ref="H151">INDEX(LCI!I$2:I$137,MATCH('D- Benefits &amp; Burdens'!$E151&amp;'D- Benefits &amp; Burdens'!$F151,LCI!$B$2:$B$137&amp;LCI!$D$2:$D$137,0))*$C151*$D151</f>
        <v>-1.4900291580151148</v>
      </c>
      <c r="I151" s="154" cm="1">
        <f t="array" ref="I151">INDEX(LCI!J$2:J$137,MATCH('D- Benefits &amp; Burdens'!$E151&amp;'D- Benefits &amp; Burdens'!$F151,LCI!$B$2:$B$137&amp;LCI!$D$2:$D$137,0))*$C151*$D151</f>
        <v>-6.8867512856825752E-4</v>
      </c>
      <c r="J151" s="154" cm="1">
        <f t="array" ref="J151">INDEX(LCI!K$2:K$137,MATCH('D- Benefits &amp; Burdens'!$E151&amp;'D- Benefits &amp; Burdens'!$F151,LCI!$B$2:$B$137&amp;LCI!$D$2:$D$137,0))*$C151*$D151</f>
        <v>-1.4892233215317381</v>
      </c>
      <c r="K151" s="154" cm="1">
        <f t="array" ref="K151">INDEX(LCI!L$2:L$137,MATCH('D- Benefits &amp; Burdens'!$E151&amp;'D- Benefits &amp; Burdens'!$F151,LCI!$B$2:$B$137&amp;LCI!$D$2:$D$137,0))*$C151*$D151</f>
        <v>-1.1715859269825481E-4</v>
      </c>
      <c r="L151" s="154" cm="1">
        <f t="array" ref="L151">INDEX(LCI!M$2:M$137,MATCH('D- Benefits &amp; Burdens'!$E151&amp;'D- Benefits &amp; Burdens'!$F151,LCI!$B$2:$B$137&amp;LCI!$D$2:$D$137,0))*$C151*$D151</f>
        <v>-1.2663063138147983</v>
      </c>
      <c r="M151" s="154" cm="1">
        <f t="array" ref="M151">INDEX(LCI!N$2:N$137,MATCH('D- Benefits &amp; Burdens'!$E151&amp;'D- Benefits &amp; Burdens'!$F151,LCI!$B$2:$B$137&amp;LCI!$D$2:$D$137,0))*$C151*$D151</f>
        <v>-20.033950954741442</v>
      </c>
      <c r="N151" s="154" cm="1">
        <f t="array" ref="N151">INDEX(LCI!O$2:O$137,MATCH('D- Benefits &amp; Burdens'!$E151&amp;'D- Benefits &amp; Burdens'!$F151,LCI!$B$2:$B$137&amp;LCI!$D$2:$D$137,0))*$C151*$D151</f>
        <v>-3.4277789264796E-5</v>
      </c>
      <c r="O151" s="154" cm="1">
        <f t="array" ref="O151">INDEX(LCI!P$2:P$137,MATCH('D- Benefits &amp; Burdens'!$E151&amp;'D- Benefits &amp; Burdens'!$F151,LCI!$B$2:$B$137&amp;LCI!$D$2:$D$137,0))*$C151*$D151</f>
        <v>-1.4625742508380078E-3</v>
      </c>
      <c r="P151" s="154" cm="1">
        <f t="array" ref="P151">INDEX(LCI!Q$2:Q$137,MATCH('D- Benefits &amp; Burdens'!$E151&amp;'D- Benefits &amp; Burdens'!$F151,LCI!$B$2:$B$137&amp;LCI!$D$2:$D$137,0))*$C151*$D151</f>
        <v>-1.5954455685320459E-2</v>
      </c>
      <c r="Q151" s="154" cm="1">
        <f t="array" ref="Q151">INDEX(LCI!R$2:R$137,MATCH('D- Benefits &amp; Burdens'!$E151&amp;'D- Benefits &amp; Burdens'!$F151,LCI!$B$2:$B$137&amp;LCI!$D$2:$D$137,0))*$C151*$D151</f>
        <v>-1.3927573085884921E-10</v>
      </c>
      <c r="R151" s="154" cm="1">
        <f t="array" ref="R151">INDEX(LCI!S$2:S$137,MATCH('D- Benefits &amp; Burdens'!$E151&amp;'D- Benefits &amp; Burdens'!$F151,LCI!$B$2:$B$137&amp;LCI!$D$2:$D$137,0))*$C151*$D151</f>
        <v>-1.0678778909152201E-8</v>
      </c>
      <c r="S151" s="154" cm="1">
        <f t="array" ref="S151">INDEX(LCI!T$2:T$137,MATCH('D- Benefits &amp; Burdens'!$E151&amp;'D- Benefits &amp; Burdens'!$F151,LCI!$B$2:$B$137&amp;LCI!$D$2:$D$137,0))*$C151*$D151</f>
        <v>-9.019468746143856E-3</v>
      </c>
      <c r="T151" s="154" cm="1">
        <f t="array" ref="T151">INDEX(LCI!U$2:U$137,MATCH('D- Benefits &amp; Burdens'!$E151&amp;'D- Benefits &amp; Burdens'!$F151,LCI!$B$2:$B$137&amp;LCI!$D$2:$D$137,0))*$C151*$D151</f>
        <v>-1.2571454250194716</v>
      </c>
      <c r="U151" s="154" cm="1">
        <f t="array" ref="U151">INDEX(LCI!V$2:V$137,MATCH('D- Benefits &amp; Burdens'!$E151&amp;'D- Benefits &amp; Burdens'!$F151,LCI!$B$2:$B$137&amp;LCI!$D$2:$D$137,0))*$C151*$D151</f>
        <v>-1.6151071906042918E-6</v>
      </c>
      <c r="V151" s="154" cm="1">
        <f t="array" ref="V151">INDEX(LCI!W$2:W$137,MATCH('D- Benefits &amp; Burdens'!$E151&amp;'D- Benefits &amp; Burdens'!$F151,LCI!$B$2:$B$137&amp;LCI!$D$2:$D$137,0))*$C151*$D151</f>
        <v>-3.3144035042376718E-8</v>
      </c>
      <c r="W151" s="154" cm="1">
        <f t="array" ref="W151">INDEX(LCI!X$2:X$137,MATCH('D- Benefits &amp; Burdens'!$E151&amp;'D- Benefits &amp; Burdens'!$F151,LCI!$B$2:$B$137&amp;LCI!$D$2:$D$137,0))*$C151*$D151</f>
        <v>-1.00752578008236E-7</v>
      </c>
      <c r="X151" s="154" cm="1">
        <f t="array" ref="X151">INDEX(LCI!Y$2:Y$137,MATCH('D- Benefits &amp; Burdens'!$E151&amp;'D- Benefits &amp; Burdens'!$F151,LCI!$B$2:$B$137&amp;LCI!$D$2:$D$137,0))*$C151*$D151</f>
        <v>-6.4178093999388598E-3</v>
      </c>
      <c r="Y151" s="154" cm="1">
        <f t="array" ref="Y151">INDEX(LCI!Z$2:Z$137,MATCH('D- Benefits &amp; Burdens'!$E151&amp;'D- Benefits &amp; Burdens'!$F151,LCI!$B$2:$B$137&amp;LCI!$D$2:$D$137,0))*$C151*$D151</f>
        <v>-4.5217974296109381E-2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-3.0209437312321508E-2</v>
      </c>
      <c r="H154" s="154">
        <f t="shared" ref="H154:Y154" si="3">SUM(H150:H153)</f>
        <v>-11.042612106500156</v>
      </c>
      <c r="I154" s="154">
        <f t="shared" si="3"/>
        <v>-5.1037741585566003E-3</v>
      </c>
      <c r="J154" s="154">
        <f t="shared" si="3"/>
        <v>-11.036640049068039</v>
      </c>
      <c r="K154" s="154">
        <f t="shared" si="3"/>
        <v>-8.6826280355055006E-4</v>
      </c>
      <c r="L154" s="154">
        <f t="shared" si="3"/>
        <v>-9.384601204781946</v>
      </c>
      <c r="M154" s="154">
        <f t="shared" si="3"/>
        <v>-148.47169141881588</v>
      </c>
      <c r="N154" s="154">
        <f t="shared" si="3"/>
        <v>-2.5403283464850001E-4</v>
      </c>
      <c r="O154" s="154">
        <f t="shared" si="3"/>
        <v>-1.0839143678553001E-2</v>
      </c>
      <c r="P154" s="154">
        <f t="shared" si="3"/>
        <v>-0.1182385355049225</v>
      </c>
      <c r="Q154" s="154">
        <f t="shared" si="3"/>
        <v>-1.03217300376345E-9</v>
      </c>
      <c r="R154" s="154">
        <f t="shared" si="3"/>
        <v>-7.9140473614575E-8</v>
      </c>
      <c r="S154" s="154">
        <f t="shared" si="3"/>
        <v>-6.6843319296545994E-2</v>
      </c>
      <c r="T154" s="154">
        <f t="shared" si="3"/>
        <v>-9.31670982092988</v>
      </c>
      <c r="U154" s="154">
        <f t="shared" si="3"/>
        <v>-1.1969565911059501E-5</v>
      </c>
      <c r="V154" s="154">
        <f t="shared" si="3"/>
        <v>-2.4563057752826998E-7</v>
      </c>
      <c r="W154" s="154">
        <f t="shared" si="3"/>
        <v>-7.4667776243850006E-7</v>
      </c>
      <c r="X154" s="154">
        <f t="shared" si="3"/>
        <v>-4.7562411376822503E-2</v>
      </c>
      <c r="Y154" s="154">
        <f t="shared" si="3"/>
        <v>-0.33511059008991895</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4.3698141900000001E-2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-2.7058083595799761E-3</v>
      </c>
      <c r="I161" s="154" cm="1">
        <f t="array" ref="I161">INDEX(LCI!H$2:H$137,MATCH('D- Benefits &amp; Burdens'!$E151&amp;'D- Benefits &amp; Burdens'!$F151,LCI!$B$2:$B$137&amp;LCI!$D$2:$D$137,0))*$C151*$D151</f>
        <v>-4.0762948121751243E-3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4.4670225126911899E-2</v>
      </c>
      <c r="M161" s="154">
        <f>SUM(D161:K161)</f>
        <v>-0.1012241666375133</v>
      </c>
      <c r="N161" s="154">
        <f>SUM(L161:M161)</f>
        <v>-5.6553941510601398E-2</v>
      </c>
    </row>
    <row r="162" spans="1:14" ht="14" customHeight="1" x14ac:dyDescent="0.35">
      <c r="A162" s="53" t="s">
        <v>280</v>
      </c>
      <c r="B162" s="154" cm="1">
        <f t="array" ref="B162">INDEX(LCI!I$2:I$137,MATCH('D- Benefits &amp; Burdens'!$E$30&amp;'D- Benefits &amp; Burdens'!$F$30,LCI!$B$2:$B$137&amp;LCI!$D$2:$D$137,0))*IF(AND($E30="Truck",$F30="Electric"),$B$26,1)*$D$30*$C$30</f>
        <v>15.973208166299999</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-0.98906814583998781</v>
      </c>
      <c r="I162" s="154" cm="1">
        <f t="array" ref="I162">INDEX(LCI!I$2:I$137,MATCH('D- Benefits &amp; Burdens'!$E151&amp;'D- Benefits &amp; Burdens'!$F151,LCI!$B$2:$B$137&amp;LCI!$D$2:$D$137,0))*$C151*$D151</f>
        <v>-1.4900291580151148</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16.733546813928985</v>
      </c>
      <c r="M162" s="154">
        <f t="shared" ref="M162:M179" si="5">SUM(D162:K162)</f>
        <v>-26.145622598550453</v>
      </c>
      <c r="N162" s="154">
        <f t="shared" ref="N162:N179" si="6">SUM(L162:M162)</f>
        <v>-9.412075784621468</v>
      </c>
    </row>
    <row r="163" spans="1:14" ht="14" customHeight="1" x14ac:dyDescent="0.35">
      <c r="A163" s="53" t="s">
        <v>281</v>
      </c>
      <c r="B163" s="154" cm="1">
        <f t="array" ref="B163">INDEX(LCI!J$2:J$137,MATCH('D- Benefits &amp; Burdens'!$E$30&amp;'D- Benefits &amp; Burdens'!$F$30,LCI!$B$2:$B$137&amp;LCI!$D$2:$D$137,0))*IF(AND($E30="Truck",$F30="Electric"),$B$26,1)*$D$30*$C$30</f>
        <v>7.3826415599999992E-3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-4.5713644517298238E-4</v>
      </c>
      <c r="I163" s="154" cm="1">
        <f t="array" ref="I163">INDEX(LCI!J$2:J$137,MATCH('D- Benefits &amp; Burdens'!$E151&amp;'D- Benefits &amp; Burdens'!$F151,LCI!$B$2:$B$137&amp;LCI!$D$2:$D$137,0))*$C151*$D151</f>
        <v>-6.8867512856825752E-4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7.5397842726025958E-3</v>
      </c>
      <c r="M163" s="154">
        <f t="shared" si="5"/>
        <v>-7.103909733224284E-2</v>
      </c>
      <c r="N163" s="154">
        <f t="shared" si="6"/>
        <v>-6.3499313059640239E-2</v>
      </c>
    </row>
    <row r="164" spans="1:14" ht="14" customHeight="1" x14ac:dyDescent="0.35">
      <c r="A164" s="53" t="s">
        <v>282</v>
      </c>
      <c r="B164" s="154" cm="1">
        <f t="array" ref="B164">INDEX(LCI!K$2:K$137,MATCH('D- Benefits &amp; Burdens'!$E$30&amp;'D- Benefits &amp; Burdens'!$F$30,LCI!$B$2:$B$137&amp;LCI!$D$2:$D$137,0))*IF(AND($E30="Truck",$F30="Electric"),$B$26,1)*$D$30*$C$30</f>
        <v>15.9645695475</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-0.98853323872613941</v>
      </c>
      <c r="I164" s="154" cm="1">
        <f t="array" ref="I164">INDEX(LCI!K$2:K$137,MATCH('D- Benefits &amp; Burdens'!$E151&amp;'D- Benefits &amp; Burdens'!$F151,LCI!$B$2:$B$137&amp;LCI!$D$2:$D$137,0))*$C151*$D151</f>
        <v>-1.4892233215317381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16.724717428254991</v>
      </c>
      <c r="M164" s="154">
        <f t="shared" si="5"/>
        <v>-26.074060369221638</v>
      </c>
      <c r="N164" s="154">
        <f t="shared" si="6"/>
        <v>-9.3493429409666469</v>
      </c>
    </row>
    <row r="165" spans="1:14" ht="14" customHeight="1" x14ac:dyDescent="0.35">
      <c r="A165" s="53" t="s">
        <v>283</v>
      </c>
      <c r="B165" s="154" cm="1">
        <f t="array" ref="B165">INDEX(LCI!L$2:L$137,MATCH('D- Benefits &amp; Burdens'!$E$30&amp;'D- Benefits &amp; Burdens'!$F$30,LCI!$B$2:$B$137&amp;LCI!$D$2:$D$137,0))*IF(AND($E30="Truck",$F30="Electric"),$B$26,1)*$D$30*$C$30</f>
        <v>1.25594763E-3</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-7.7768835211015208E-5</v>
      </c>
      <c r="I165" s="154" cm="1">
        <f t="array" ref="I165">INDEX(LCI!L$2:L$137,MATCH('D- Benefits &amp; Burdens'!$E151&amp;'D- Benefits &amp; Burdens'!$F151,LCI!$B$2:$B$137&amp;LCI!$D$2:$D$137,0))*$C151*$D151</f>
        <v>-1.1715859269825481E-4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1.2895717913928202E-3</v>
      </c>
      <c r="M165" s="154">
        <f t="shared" si="5"/>
        <v>-9.0496575265624369E-3</v>
      </c>
      <c r="N165" s="154">
        <f t="shared" si="6"/>
        <v>-7.7600857351696169E-3</v>
      </c>
    </row>
    <row r="166" spans="1:14" ht="14" customHeight="1" x14ac:dyDescent="0.35">
      <c r="A166" s="53" t="s">
        <v>284</v>
      </c>
      <c r="B166" s="154" cm="1">
        <f t="array" ref="B166">INDEX(LCI!M$2:M$137,MATCH('D- Benefits &amp; Burdens'!$E$30&amp;'D- Benefits &amp; Burdens'!$F$30,LCI!$B$2:$B$137&amp;LCI!$D$2:$D$137,0))*IF(AND($E30="Truck",$F30="Electric"),$B$26,1)*$D$30*$C$30</f>
        <v>13.574884923600001</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-0.84056290518414611</v>
      </c>
      <c r="I166" s="154" cm="1">
        <f t="array" ref="I166">INDEX(LCI!M$2:M$137,MATCH('D- Benefits &amp; Burdens'!$E151&amp;'D- Benefits &amp; Burdens'!$F151,LCI!$B$2:$B$137&amp;LCI!$D$2:$D$137,0))*$C151*$D151</f>
        <v>-1.2663063138147983</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13.910825824130995</v>
      </c>
      <c r="M166" s="154">
        <f t="shared" si="5"/>
        <v>-686.503947207446</v>
      </c>
      <c r="N166" s="154">
        <f t="shared" si="6"/>
        <v>-672.59312138331507</v>
      </c>
    </row>
    <row r="167" spans="1:14" ht="14" customHeight="1" x14ac:dyDescent="0.35">
      <c r="A167" s="53" t="s">
        <v>285</v>
      </c>
      <c r="B167" s="154" cm="1">
        <f t="array" ref="B167">INDEX(LCI!N$2:N$137,MATCH('D- Benefits &amp; Burdens'!$E$30&amp;'D- Benefits &amp; Burdens'!$F$30,LCI!$B$2:$B$137&amp;LCI!$D$2:$D$137,0))*IF(AND($E30="Truck",$F30="Electric"),$B$26,1)*$D$30*$C$30</f>
        <v>214.76523950699999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-13.298359040873459</v>
      </c>
      <c r="I167" s="154" cm="1">
        <f t="array" ref="I167">INDEX(LCI!N$2:N$137,MATCH('D- Benefits &amp; Burdens'!$E151&amp;'D- Benefits &amp; Burdens'!$F151,LCI!$B$2:$B$137&amp;LCI!$D$2:$D$137,0))*$C151*$D151</f>
        <v>-20.033950954741442</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224.86456923187285</v>
      </c>
      <c r="M167" s="154">
        <f t="shared" si="5"/>
        <v>-1258.2015227830905</v>
      </c>
      <c r="N167" s="154">
        <f t="shared" si="6"/>
        <v>-1033.3369535512177</v>
      </c>
    </row>
    <row r="168" spans="1:14" ht="14" customHeight="1" x14ac:dyDescent="0.35">
      <c r="A168" s="53" t="s">
        <v>286</v>
      </c>
      <c r="B168" s="154" cm="1">
        <f t="array" ref="B168">INDEX(LCI!O$2:O$137,MATCH('D- Benefits &amp; Burdens'!$E$30&amp;'D- Benefits &amp; Burdens'!$F$30,LCI!$B$2:$B$137&amp;LCI!$D$2:$D$137,0))*IF(AND($E30="Truck",$F30="Electric"),$B$26,1)*$D$30*$C$30</f>
        <v>3.6746009999999999E-4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-2.2753292638104003E-5</v>
      </c>
      <c r="I168" s="154" cm="1">
        <f t="array" ref="I168">INDEX(LCI!O$2:O$137,MATCH('D- Benefits &amp; Burdens'!$E151&amp;'D- Benefits &amp; Burdens'!$F151,LCI!$B$2:$B$137&amp;LCI!$D$2:$D$137,0))*$C151*$D151</f>
        <v>-3.4277789264796E-5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3.754979071638972E-4</v>
      </c>
      <c r="M168" s="154">
        <f t="shared" si="5"/>
        <v>-9.3565476556556218E-4</v>
      </c>
      <c r="N168" s="154">
        <f t="shared" si="6"/>
        <v>-5.6015685840166498E-4</v>
      </c>
    </row>
    <row r="169" spans="1:14" ht="14" customHeight="1" x14ac:dyDescent="0.35">
      <c r="A169" s="53" t="s">
        <v>287</v>
      </c>
      <c r="B169" s="154" cm="1">
        <f t="array" ref="B169">INDEX(LCI!P$2:P$137,MATCH('D- Benefits &amp; Burdens'!$E$30&amp;'D- Benefits &amp; Burdens'!$F$30,LCI!$B$2:$B$137&amp;LCI!$D$2:$D$137,0))*IF(AND($E30="Truck",$F30="Electric"),$B$26,1)*$D$30*$C$30</f>
        <v>1.5678889799999998E-2</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-9.70843821846192E-4</v>
      </c>
      <c r="I169" s="154" cm="1">
        <f t="array" ref="I169">INDEX(LCI!P$2:P$137,MATCH('D- Benefits &amp; Burdens'!$E151&amp;'D- Benefits &amp; Burdens'!$F151,LCI!$B$2:$B$137&amp;LCI!$D$2:$D$137,0))*$C151*$D151</f>
        <v>-1.4625742508380078E-3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1.5898709488366282E-2</v>
      </c>
      <c r="M169" s="154">
        <f t="shared" si="5"/>
        <v>-3.2215690546792485E-2</v>
      </c>
      <c r="N169" s="154">
        <f t="shared" si="6"/>
        <v>-1.6316981058426203E-2</v>
      </c>
    </row>
    <row r="170" spans="1:14" ht="14" customHeight="1" x14ac:dyDescent="0.35">
      <c r="A170" s="53" t="s">
        <v>288</v>
      </c>
      <c r="B170" s="154" cm="1">
        <f t="array" ref="B170">INDEX(LCI!Q$2:Q$137,MATCH('D- Benefits &amp; Burdens'!$E$30&amp;'D- Benefits &amp; Burdens'!$F$30,LCI!$B$2:$B$137&amp;LCI!$D$2:$D$137,0))*IF(AND($E30="Truck",$F30="Electric"),$B$26,1)*$D$30*$C$30</f>
        <v>0.17103278849999998</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-1.0590426246146039E-2</v>
      </c>
      <c r="I170" s="154" cm="1">
        <f t="array" ref="I170">INDEX(LCI!Q$2:Q$137,MATCH('D- Benefits &amp; Burdens'!$E151&amp;'D- Benefits &amp; Burdens'!$F151,LCI!$B$2:$B$137&amp;LCI!$D$2:$D$137,0))*$C151*$D151</f>
        <v>-1.5954455685320459E-2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0.17342249938382007</v>
      </c>
      <c r="M170" s="154">
        <f t="shared" si="5"/>
        <v>-0.36966842069972161</v>
      </c>
      <c r="N170" s="154">
        <f t="shared" si="6"/>
        <v>-0.19624592131590154</v>
      </c>
    </row>
    <row r="171" spans="1:14" ht="14" customHeight="1" x14ac:dyDescent="0.35">
      <c r="A171" s="53" t="s">
        <v>289</v>
      </c>
      <c r="B171" s="154" cm="1">
        <f t="array" ref="B171">INDEX(LCI!R$2:R$137,MATCH('D- Benefits &amp; Burdens'!$E$30&amp;'D- Benefits &amp; Burdens'!$F$30,LCI!$B$2:$B$137&amp;LCI!$D$2:$D$137,0))*IF(AND($E30="Truck",$F30="Electric"),$B$26,1)*$D$30*$C$30</f>
        <v>1.49304477E-9</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-9.2449995451480805E-11</v>
      </c>
      <c r="I171" s="154" cm="1">
        <f t="array" ref="I171">INDEX(LCI!R$2:R$137,MATCH('D- Benefits &amp; Burdens'!$E151&amp;'D- Benefits &amp; Burdens'!$F151,LCI!$B$2:$B$137&amp;LCI!$D$2:$D$137,0))*$C151*$D151</f>
        <v>-1.3927573085884921E-10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1.5395094720382759E-9</v>
      </c>
      <c r="M171" s="154">
        <f t="shared" si="5"/>
        <v>-1.3070578322503629E-8</v>
      </c>
      <c r="N171" s="154">
        <f t="shared" si="6"/>
        <v>-1.1531068850465352E-8</v>
      </c>
    </row>
    <row r="172" spans="1:14" ht="14" customHeight="1" x14ac:dyDescent="0.35">
      <c r="A172" s="53" t="s">
        <v>290</v>
      </c>
      <c r="B172" s="154" cm="1">
        <f t="array" ref="B172">INDEX(LCI!S$2:S$137,MATCH('D- Benefits &amp; Burdens'!$E$30&amp;'D- Benefits &amp; Burdens'!$F$30,LCI!$B$2:$B$137&amp;LCI!$D$2:$D$137,0))*IF(AND($E30="Truck",$F30="Electric"),$B$26,1)*$D$30*$C$30</f>
        <v>1.1447719499999999E-7</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-7.0884787715028007E-9</v>
      </c>
      <c r="I172" s="154" cm="1">
        <f t="array" ref="I172">INDEX(LCI!S$2:S$137,MATCH('D- Benefits &amp; Burdens'!$E151&amp;'D- Benefits &amp; Burdens'!$F151,LCI!$B$2:$B$137&amp;LCI!$D$2:$D$137,0))*$C151*$D151</f>
        <v>-1.0678778909152201E-8</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1.1571566893779193E-7</v>
      </c>
      <c r="M172" s="154">
        <f t="shared" si="5"/>
        <v>-4.2617631959876305E-7</v>
      </c>
      <c r="N172" s="154">
        <f t="shared" si="6"/>
        <v>-3.1046065066097111E-7</v>
      </c>
    </row>
    <row r="173" spans="1:14" ht="14" customHeight="1" x14ac:dyDescent="0.35">
      <c r="A173" s="53" t="s">
        <v>291</v>
      </c>
      <c r="B173" s="154" cm="1">
        <f t="array" ref="B173">INDEX(LCI!T$2:T$137,MATCH('D- Benefits &amp; Burdens'!$E$30&amp;'D- Benefits &amp; Burdens'!$F$30,LCI!$B$2:$B$137&amp;LCI!$D$2:$D$137,0))*IF(AND($E30="Truck",$F30="Electric"),$B$26,1)*$D$30*$C$30</f>
        <v>9.6689283599999981E-2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-5.9870433952405435E-3</v>
      </c>
      <c r="I173" s="154" cm="1">
        <f t="array" ref="I173">INDEX(LCI!T$2:T$137,MATCH('D- Benefits &amp; Burdens'!$E151&amp;'D- Benefits &amp; Burdens'!$F151,LCI!$B$2:$B$137&amp;LCI!$D$2:$D$137,0))*$C151*$D151</f>
        <v>-9.019468746143856E-3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9.9721691070854435E-2</v>
      </c>
      <c r="M173" s="154">
        <f t="shared" si="5"/>
        <v>-0.58520308620547346</v>
      </c>
      <c r="N173" s="154">
        <f t="shared" si="6"/>
        <v>-0.48548139513461902</v>
      </c>
    </row>
    <row r="174" spans="1:14" ht="14" customHeight="1" x14ac:dyDescent="0.35">
      <c r="A174" s="53" t="s">
        <v>292</v>
      </c>
      <c r="B174" s="154" cm="1">
        <f t="array" ref="B174">INDEX(LCI!U$2:U$137,MATCH('D- Benefits &amp; Burdens'!$E$30&amp;'D- Benefits &amp; Burdens'!$F$30,LCI!$B$2:$B$137&amp;LCI!$D$2:$D$137,0))*IF(AND($E30="Truck",$F30="Electric"),$B$26,1)*$D$30*$C$30</f>
        <v>13.476679608</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-0.83448198841396026</v>
      </c>
      <c r="I174" s="154" cm="1">
        <f t="array" ref="I174">INDEX(LCI!U$2:U$137,MATCH('D- Benefits &amp; Burdens'!$E151&amp;'D- Benefits &amp; Burdens'!$F151,LCI!$B$2:$B$137&amp;LCI!$D$2:$D$137,0))*$C151*$D151</f>
        <v>-1.2571454250194716</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13.995930874910563</v>
      </c>
      <c r="M174" s="154">
        <f t="shared" si="5"/>
        <v>-504.31763609519805</v>
      </c>
      <c r="N174" s="154">
        <f t="shared" si="6"/>
        <v>-490.32170522028747</v>
      </c>
    </row>
    <row r="175" spans="1:14" ht="14" customHeight="1" x14ac:dyDescent="0.35">
      <c r="A175" s="53" t="s">
        <v>293</v>
      </c>
      <c r="B175" s="154" cm="1">
        <f t="array" ref="B175">INDEX(LCI!V$2:V$137,MATCH('D- Benefits &amp; Burdens'!$E$30&amp;'D- Benefits &amp; Burdens'!$F$30,LCI!$B$2:$B$137&amp;LCI!$D$2:$D$137,0))*IF(AND($E30="Truck",$F30="Electric"),$B$26,1)*$D$30*$C$30</f>
        <v>1.7314052699999997E-5</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-1.0720938350440079E-6</v>
      </c>
      <c r="I175" s="154" cm="1">
        <f t="array" ref="I175">INDEX(LCI!V$2:V$137,MATCH('D- Benefits &amp; Burdens'!$E151&amp;'D- Benefits &amp; Burdens'!$F151,LCI!$B$2:$B$137&amp;LCI!$D$2:$D$137,0))*$C151*$D151</f>
        <v>-1.6151071906042918E-6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1.7432613751668993E-5</v>
      </c>
      <c r="M175" s="154">
        <f t="shared" si="5"/>
        <v>-1.9996442815488897E-5</v>
      </c>
      <c r="N175" s="154">
        <f t="shared" si="6"/>
        <v>-2.5638290638199042E-6</v>
      </c>
    </row>
    <row r="176" spans="1:14" ht="14" customHeight="1" x14ac:dyDescent="0.35">
      <c r="A176" s="53" t="s">
        <v>294</v>
      </c>
      <c r="B176" s="154" cm="1">
        <f t="array" ref="B176">INDEX(LCI!W$2:W$137,MATCH('D- Benefits &amp; Burdens'!$E$30&amp;'D- Benefits &amp; Burdens'!$F$30,LCI!$B$2:$B$137&amp;LCI!$D$2:$D$137,0))*IF(AND($E30="Truck",$F30="Electric"),$B$26,1)*$D$30*$C$30</f>
        <v>3.5530618199999999E-7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-2.2000716636101281E-8</v>
      </c>
      <c r="I176" s="154" cm="1">
        <f t="array" ref="I176">INDEX(LCI!W$2:W$137,MATCH('D- Benefits &amp; Burdens'!$E151&amp;'D- Benefits &amp; Burdens'!$F151,LCI!$B$2:$B$137&amp;LCI!$D$2:$D$137,0))*$C151*$D151</f>
        <v>-3.3144035042376718E-8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3.7244012265417031E-7</v>
      </c>
      <c r="M176" s="154">
        <f t="shared" si="5"/>
        <v>-2.8509950662286842E-7</v>
      </c>
      <c r="N176" s="154">
        <f t="shared" si="6"/>
        <v>8.7340616031301889E-8</v>
      </c>
    </row>
    <row r="177" spans="1:14" ht="14" customHeight="1" x14ac:dyDescent="0.35">
      <c r="A177" s="53" t="s">
        <v>295</v>
      </c>
      <c r="B177" s="154" cm="1">
        <f t="array" ref="B177">INDEX(LCI!X$2:X$137,MATCH('D- Benefits &amp; Burdens'!$E$30&amp;'D- Benefits &amp; Burdens'!$F$30,LCI!$B$2:$B$137&amp;LCI!$D$2:$D$137,0))*IF(AND($E30="Truck",$F30="Electric"),$B$26,1)*$D$30*$C$30</f>
        <v>1.0800741000000001E-6</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-6.6878668100664016E-8</v>
      </c>
      <c r="I177" s="154" cm="1">
        <f t="array" ref="I177">INDEX(LCI!X$2:X$137,MATCH('D- Benefits &amp; Burdens'!$E151&amp;'D- Benefits &amp; Burdens'!$F151,LCI!$B$2:$B$137&amp;LCI!$D$2:$D$137,0))*$C151*$D151</f>
        <v>-1.00752578008236E-7</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1.0875628730072323E-6</v>
      </c>
      <c r="M177" s="154">
        <f t="shared" si="5"/>
        <v>-1.9390225797375843E-6</v>
      </c>
      <c r="N177" s="154">
        <f t="shared" si="6"/>
        <v>-8.5145970673035201E-7</v>
      </c>
    </row>
    <row r="178" spans="1:14" ht="14" customHeight="1" x14ac:dyDescent="0.35">
      <c r="A178" s="53" t="s">
        <v>296</v>
      </c>
      <c r="B178" s="154" cm="1">
        <f t="array" ref="B178">INDEX(LCI!Y$2:Y$137,MATCH('D- Benefits &amp; Burdens'!$E$30&amp;'D- Benefits &amp; Burdens'!$F$30,LCI!$B$2:$B$137&amp;LCI!$D$2:$D$137,0))*IF(AND($E30="Truck",$F30="Electric"),$B$26,1)*$D$30*$C$30</f>
        <v>6.8799328499999993E-2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-4.2600849851876406E-3</v>
      </c>
      <c r="I178" s="154" cm="1">
        <f t="array" ref="I178">INDEX(LCI!Y$2:Y$137,MATCH('D- Benefits &amp; Burdens'!$E151&amp;'D- Benefits &amp; Burdens'!$F151,LCI!$B$2:$B$137&amp;LCI!$D$2:$D$137,0))*$C151*$D151</f>
        <v>-6.4178093999388598E-3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7.0672146453219967E-2</v>
      </c>
      <c r="M178" s="154">
        <f t="shared" si="5"/>
        <v>-0.13013604367176912</v>
      </c>
      <c r="N178" s="154">
        <f t="shared" si="6"/>
        <v>-5.9463897218549153E-2</v>
      </c>
    </row>
    <row r="179" spans="1:14" ht="14" customHeight="1" x14ac:dyDescent="0.35">
      <c r="A179" s="53" t="s">
        <v>297</v>
      </c>
      <c r="B179" s="154" cm="1">
        <f t="array" ref="B179">INDEX(LCI!Z$2:Z$137,MATCH('D- Benefits &amp; Burdens'!$E$30&amp;'D- Benefits &amp; Burdens'!$F$30,LCI!$B$2:$B$137&amp;LCI!$D$2:$D$137,0))*IF(AND($E30="Truck",$F30="Electric"),$B$26,1)*$D$30*$C$30</f>
        <v>0.48473958539999995</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-3.0015290476107213E-2</v>
      </c>
      <c r="I179" s="154" cm="1">
        <f t="array" ref="I179">INDEX(LCI!Z$2:Z$137,MATCH('D- Benefits &amp; Burdens'!$E151&amp;'D- Benefits &amp; Burdens'!$F151,LCI!$B$2:$B$137&amp;LCI!$D$2:$D$137,0))*$C151*$D151</f>
        <v>-4.5217974296109381E-2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0.49840826361518131</v>
      </c>
      <c r="M179" s="154">
        <f t="shared" si="5"/>
        <v>-4.8605981377331782</v>
      </c>
      <c r="N179" s="154">
        <f t="shared" si="6"/>
        <v>-4.3621898741179965</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8.3900432447999995E-3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-5.1951520503935541E-4</v>
      </c>
      <c r="I187" s="154">
        <f>I161*Input!$C$31</f>
        <v>-7.8264860393762392E-4</v>
      </c>
      <c r="J187" s="154">
        <f>J161*Input!$C$31</f>
        <v>-2.9293293824114693E-3</v>
      </c>
      <c r="K187" s="154">
        <f>K161*Input!$C$31</f>
        <v>-1.5687187725772801E-3</v>
      </c>
      <c r="L187" s="154">
        <f>SUM(B187:C187)</f>
        <v>8.5766832243670838E-3</v>
      </c>
      <c r="M187" s="154">
        <f>SUM(D187:K187)</f>
        <v>-1.9435039994402551E-2</v>
      </c>
      <c r="N187" s="154">
        <f>SUM(L187:M187)</f>
        <v>-1.0858356770035467E-2</v>
      </c>
    </row>
    <row r="188" spans="1:14" ht="14" customHeight="1" x14ac:dyDescent="0.35">
      <c r="A188" s="53" t="s">
        <v>280</v>
      </c>
      <c r="B188" s="154">
        <f>B162*Input!$C$31</f>
        <v>3.0668559679295999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-0.18990108400127767</v>
      </c>
      <c r="I188" s="154">
        <f>I162*Input!$C$31</f>
        <v>-0.28608559833890207</v>
      </c>
      <c r="J188" s="154">
        <f>J162*Input!$C$31</f>
        <v>-1.0707729431607118</v>
      </c>
      <c r="K188" s="154">
        <f>K162*Input!$C$31</f>
        <v>-0.57342189894713858</v>
      </c>
      <c r="L188" s="154">
        <f t="shared" ref="L188:L205" si="7">SUM(B188:C188)</f>
        <v>3.2128409882743649</v>
      </c>
      <c r="M188" s="154">
        <f t="shared" ref="M188:M205" si="8">SUM(D188:K188)</f>
        <v>-5.0199595389216878</v>
      </c>
      <c r="N188" s="154">
        <f t="shared" ref="N188:N205" si="9">SUM(L188:M188)</f>
        <v>-1.8071185506473229</v>
      </c>
    </row>
    <row r="189" spans="1:14" ht="14" customHeight="1" x14ac:dyDescent="0.35">
      <c r="A189" s="53" t="s">
        <v>281</v>
      </c>
      <c r="B189" s="154">
        <f>B163*Input!$C$31</f>
        <v>1.4174671795199999E-3</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-8.7770197473212622E-5</v>
      </c>
      <c r="I189" s="154">
        <f>I163*Input!$C$31</f>
        <v>-1.3222562468510546E-4</v>
      </c>
      <c r="J189" s="154">
        <f>J163*Input!$C$31</f>
        <v>-4.9489950604787714E-4</v>
      </c>
      <c r="K189" s="154">
        <f>K163*Input!$C$31</f>
        <v>-2.6502931023667198E-4</v>
      </c>
      <c r="L189" s="154">
        <f t="shared" si="7"/>
        <v>1.4476385803396984E-3</v>
      </c>
      <c r="M189" s="154">
        <f t="shared" si="8"/>
        <v>-1.3639506687790626E-2</v>
      </c>
      <c r="N189" s="154">
        <f t="shared" si="9"/>
        <v>-1.2191868107450928E-2</v>
      </c>
    </row>
    <row r="190" spans="1:14" ht="14" customHeight="1" x14ac:dyDescent="0.35">
      <c r="A190" s="53" t="s">
        <v>282</v>
      </c>
      <c r="B190" s="154">
        <f>B164*Input!$C$31</f>
        <v>3.0651973531199999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-0.18979838183541878</v>
      </c>
      <c r="I190" s="154">
        <f>I164*Input!$C$31</f>
        <v>-0.2859308777340937</v>
      </c>
      <c r="J190" s="154">
        <f>J164*Input!$C$31</f>
        <v>-1.070193848517919</v>
      </c>
      <c r="K190" s="154">
        <f>K164*Input!$C$31</f>
        <v>-0.57311178133363194</v>
      </c>
      <c r="L190" s="154">
        <f t="shared" si="7"/>
        <v>3.211145746224958</v>
      </c>
      <c r="M190" s="154">
        <f t="shared" si="8"/>
        <v>-5.006219590890554</v>
      </c>
      <c r="N190" s="154">
        <f t="shared" si="9"/>
        <v>-1.7950738446655961</v>
      </c>
    </row>
    <row r="191" spans="1:14" ht="14" customHeight="1" x14ac:dyDescent="0.35">
      <c r="A191" s="53" t="s">
        <v>283</v>
      </c>
      <c r="B191" s="154">
        <f>B165*Input!$C$31</f>
        <v>2.4114194496000001E-4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-1.493161636051492E-5</v>
      </c>
      <c r="I191" s="154">
        <f>I165*Input!$C$31</f>
        <v>-2.2494449798064922E-5</v>
      </c>
      <c r="J191" s="154">
        <f>J165*Input!$C$31</f>
        <v>-8.4193151822069766E-5</v>
      </c>
      <c r="K191" s="154">
        <f>K165*Input!$C$31</f>
        <v>-4.5087240301056001E-5</v>
      </c>
      <c r="L191" s="154">
        <f t="shared" si="7"/>
        <v>2.4759778394742147E-4</v>
      </c>
      <c r="M191" s="154">
        <f t="shared" si="8"/>
        <v>-1.7375342450999878E-3</v>
      </c>
      <c r="N191" s="154">
        <f t="shared" si="9"/>
        <v>-1.4899364611525663E-3</v>
      </c>
    </row>
    <row r="192" spans="1:14" ht="14" customHeight="1" x14ac:dyDescent="0.35">
      <c r="A192" s="53" t="s">
        <v>284</v>
      </c>
      <c r="B192" s="154">
        <f>B166*Input!$C$31</f>
        <v>2.6063779053312004</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-0.16138807779535605</v>
      </c>
      <c r="I192" s="154">
        <f>I166*Input!$C$31</f>
        <v>-0.24313081225244129</v>
      </c>
      <c r="J192" s="154">
        <f>J166*Input!$C$31</f>
        <v>-0.91000000321652019</v>
      </c>
      <c r="K192" s="154">
        <f>K166*Input!$C$31</f>
        <v>-0.48732453805381631</v>
      </c>
      <c r="L192" s="154">
        <f t="shared" si="7"/>
        <v>2.6708785582331513</v>
      </c>
      <c r="M192" s="154">
        <f t="shared" si="8"/>
        <v>-131.80875786382964</v>
      </c>
      <c r="N192" s="154">
        <f t="shared" si="9"/>
        <v>-129.1378793055965</v>
      </c>
    </row>
    <row r="193" spans="1:14" ht="14" customHeight="1" x14ac:dyDescent="0.35">
      <c r="A193" s="53" t="s">
        <v>285</v>
      </c>
      <c r="B193" s="154">
        <f>B167*Input!$C$31</f>
        <v>41.234925985343999</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-2.5532849358477043</v>
      </c>
      <c r="I193" s="154">
        <f>I167*Input!$C$31</f>
        <v>-3.846518583310357</v>
      </c>
      <c r="J193" s="154">
        <f>J167*Input!$C$31</f>
        <v>-14.396907947440475</v>
      </c>
      <c r="K193" s="154">
        <f>K167*Input!$C$31</f>
        <v>-7.7098532858141171</v>
      </c>
      <c r="L193" s="154">
        <f t="shared" si="7"/>
        <v>43.173997292519587</v>
      </c>
      <c r="M193" s="154">
        <f t="shared" si="8"/>
        <v>-241.57469237435339</v>
      </c>
      <c r="N193" s="154">
        <f t="shared" si="9"/>
        <v>-198.40069508183382</v>
      </c>
    </row>
    <row r="194" spans="1:14" ht="14" customHeight="1" x14ac:dyDescent="0.35">
      <c r="A194" s="53" t="s">
        <v>286</v>
      </c>
      <c r="B194" s="154">
        <f>B168*Input!$C$31</f>
        <v>7.0552339199999995E-5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-4.3686321865159689E-6</v>
      </c>
      <c r="I194" s="154">
        <f>I168*Input!$C$31</f>
        <v>-6.5813355388408318E-6</v>
      </c>
      <c r="J194" s="154">
        <f>J168*Input!$C$31</f>
        <v>-2.4632893322035205E-5</v>
      </c>
      <c r="K194" s="154">
        <f>K168*Input!$C$31</f>
        <v>-1.319144320512E-5</v>
      </c>
      <c r="L194" s="154">
        <f t="shared" si="7"/>
        <v>7.2095598175468258E-5</v>
      </c>
      <c r="M194" s="154">
        <f t="shared" si="8"/>
        <v>-1.7964571498858795E-4</v>
      </c>
      <c r="N194" s="154">
        <f t="shared" si="9"/>
        <v>-1.075501168131197E-4</v>
      </c>
    </row>
    <row r="195" spans="1:14" ht="14" customHeight="1" x14ac:dyDescent="0.35">
      <c r="A195" s="53" t="s">
        <v>287</v>
      </c>
      <c r="B195" s="154">
        <f>B169*Input!$C$31</f>
        <v>3.0103468415999999E-3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-1.8640201379446886E-4</v>
      </c>
      <c r="I195" s="154">
        <f>I169*Input!$C$31</f>
        <v>-2.8081425616089751E-4</v>
      </c>
      <c r="J195" s="154">
        <f>J169*Input!$C$31</f>
        <v>-1.0510431468650496E-3</v>
      </c>
      <c r="K195" s="154">
        <f>K169*Input!$C$31</f>
        <v>-5.6285616946175998E-4</v>
      </c>
      <c r="L195" s="154">
        <f t="shared" si="7"/>
        <v>3.0525522217663263E-3</v>
      </c>
      <c r="M195" s="154">
        <f t="shared" si="8"/>
        <v>-6.185412584984157E-3</v>
      </c>
      <c r="N195" s="154">
        <f t="shared" si="9"/>
        <v>-3.1328603632178307E-3</v>
      </c>
    </row>
    <row r="196" spans="1:14" ht="14" customHeight="1" x14ac:dyDescent="0.35">
      <c r="A196" s="53" t="s">
        <v>288</v>
      </c>
      <c r="B196" s="154">
        <f>B170*Input!$C$31</f>
        <v>3.2838295391999998E-2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-2.0333618392600395E-3</v>
      </c>
      <c r="I196" s="154">
        <f>I170*Input!$C$31</f>
        <v>-3.0632554915815281E-3</v>
      </c>
      <c r="J196" s="154">
        <f>J170*Input!$C$31</f>
        <v>-1.1465278634852354E-2</v>
      </c>
      <c r="K196" s="154">
        <f>K170*Input!$C$31</f>
        <v>-6.1399028512511989E-3</v>
      </c>
      <c r="L196" s="154">
        <f t="shared" si="7"/>
        <v>3.3297119881693454E-2</v>
      </c>
      <c r="M196" s="154">
        <f t="shared" si="8"/>
        <v>-7.0976336774346546E-2</v>
      </c>
      <c r="N196" s="154">
        <f t="shared" si="9"/>
        <v>-3.7679216892653092E-2</v>
      </c>
    </row>
    <row r="197" spans="1:14" ht="14" customHeight="1" x14ac:dyDescent="0.35">
      <c r="A197" s="53" t="s">
        <v>289</v>
      </c>
      <c r="B197" s="154">
        <f>B171*Input!$C$31</f>
        <v>2.8666459584000002E-10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-1.7750399126684314E-11</v>
      </c>
      <c r="I197" s="154">
        <f>I171*Input!$C$31</f>
        <v>-2.6740940324899047E-11</v>
      </c>
      <c r="J197" s="154">
        <f>J171*Input!$C$31</f>
        <v>-1.0008709120917505E-10</v>
      </c>
      <c r="K197" s="154">
        <f>K171*Input!$C$31</f>
        <v>-5.3598786061824001E-11</v>
      </c>
      <c r="L197" s="154">
        <f t="shared" si="7"/>
        <v>2.9558581863134898E-10</v>
      </c>
      <c r="M197" s="154">
        <f t="shared" si="8"/>
        <v>-2.5095510379206962E-9</v>
      </c>
      <c r="N197" s="154">
        <f t="shared" si="9"/>
        <v>-2.2139652192893474E-9</v>
      </c>
    </row>
    <row r="198" spans="1:14" ht="14" customHeight="1" x14ac:dyDescent="0.35">
      <c r="A198" s="53" t="s">
        <v>290</v>
      </c>
      <c r="B198" s="154">
        <f>B172*Input!$C$31</f>
        <v>2.197962144E-8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-1.3609879241285378E-9</v>
      </c>
      <c r="I198" s="154">
        <f>I172*Input!$C$31</f>
        <v>-2.0503255505572225E-9</v>
      </c>
      <c r="J198" s="154">
        <f>J172*Input!$C$31</f>
        <v>-7.6740427933286413E-9</v>
      </c>
      <c r="K198" s="154">
        <f>K172*Input!$C$31</f>
        <v>-4.1096146659840002E-9</v>
      </c>
      <c r="L198" s="154">
        <f t="shared" si="7"/>
        <v>2.2217408436056053E-8</v>
      </c>
      <c r="M198" s="154">
        <f t="shared" si="8"/>
        <v>-8.1825853362962502E-8</v>
      </c>
      <c r="N198" s="154">
        <f t="shared" si="9"/>
        <v>-5.9608444926906443E-8</v>
      </c>
    </row>
    <row r="199" spans="1:14" ht="14" customHeight="1" x14ac:dyDescent="0.35">
      <c r="A199" s="53" t="s">
        <v>291</v>
      </c>
      <c r="B199" s="154">
        <f>B173*Input!$C$31</f>
        <v>1.8564342451199995E-2</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-1.1495123318861844E-3</v>
      </c>
      <c r="I199" s="154">
        <f>I173*Input!$C$31</f>
        <v>-1.7317379992596205E-3</v>
      </c>
      <c r="J199" s="154">
        <f>J173*Input!$C$31</f>
        <v>-6.4816202039427069E-3</v>
      </c>
      <c r="K199" s="154">
        <f>K173*Input!$C$31</f>
        <v>-3.4710467698483198E-3</v>
      </c>
      <c r="L199" s="154">
        <f t="shared" si="7"/>
        <v>1.9146564685604051E-2</v>
      </c>
      <c r="M199" s="154">
        <f t="shared" si="8"/>
        <v>-0.11235899255145089</v>
      </c>
      <c r="N199" s="154">
        <f t="shared" si="9"/>
        <v>-9.3212427865846839E-2</v>
      </c>
    </row>
    <row r="200" spans="1:14" ht="14" customHeight="1" x14ac:dyDescent="0.35">
      <c r="A200" s="53" t="s">
        <v>292</v>
      </c>
      <c r="B200" s="154">
        <f>B174*Input!$C$31</f>
        <v>2.5875224847360001</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-0.16022054177548037</v>
      </c>
      <c r="I200" s="154">
        <f>I174*Input!$C$31</f>
        <v>-0.24137192160373855</v>
      </c>
      <c r="J200" s="154">
        <f>J174*Input!$C$31</f>
        <v>-0.90341675495954854</v>
      </c>
      <c r="K200" s="154">
        <f>K174*Input!$C$31</f>
        <v>-0.48379906727976957</v>
      </c>
      <c r="L200" s="154">
        <f t="shared" si="7"/>
        <v>2.6872187279828283</v>
      </c>
      <c r="M200" s="154">
        <f t="shared" si="8"/>
        <v>-96.828986130278054</v>
      </c>
      <c r="N200" s="154">
        <f t="shared" si="9"/>
        <v>-94.14176740229523</v>
      </c>
    </row>
    <row r="201" spans="1:14" ht="14" customHeight="1" x14ac:dyDescent="0.35">
      <c r="A201" s="53" t="s">
        <v>293</v>
      </c>
      <c r="B201" s="154">
        <f>B175*Input!$C$31</f>
        <v>3.3242981183999997E-6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-2.0584201632844952E-7</v>
      </c>
      <c r="I201" s="154">
        <f>I175*Input!$C$31</f>
        <v>-3.1010058059602404E-7</v>
      </c>
      <c r="J201" s="154">
        <f>J175*Input!$C$31</f>
        <v>-1.1606572064047106E-6</v>
      </c>
      <c r="K201" s="154">
        <f>K175*Input!$C$31</f>
        <v>-6.2155685159423996E-7</v>
      </c>
      <c r="L201" s="154">
        <f t="shared" si="7"/>
        <v>3.3470618403204467E-6</v>
      </c>
      <c r="M201" s="154">
        <f t="shared" si="8"/>
        <v>-3.8393170205738684E-6</v>
      </c>
      <c r="N201" s="154">
        <f t="shared" si="9"/>
        <v>-4.9225518025342164E-7</v>
      </c>
    </row>
    <row r="202" spans="1:14" ht="14" customHeight="1" x14ac:dyDescent="0.35">
      <c r="A202" s="53" t="s">
        <v>294</v>
      </c>
      <c r="B202" s="154">
        <f>B176*Input!$C$31</f>
        <v>6.8218786943999997E-8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-4.2241375941314459E-9</v>
      </c>
      <c r="I202" s="154">
        <f>I176*Input!$C$31</f>
        <v>-6.36365472813633E-9</v>
      </c>
      <c r="J202" s="154">
        <f>J176*Input!$C$31</f>
        <v>-2.3818148631281668E-8</v>
      </c>
      <c r="K202" s="154">
        <f>K176*Input!$C$31</f>
        <v>-1.2755129931878398E-8</v>
      </c>
      <c r="L202" s="154">
        <f t="shared" si="7"/>
        <v>7.1508503549600695E-8</v>
      </c>
      <c r="M202" s="154">
        <f t="shared" si="8"/>
        <v>-5.473910527159074E-8</v>
      </c>
      <c r="N202" s="154">
        <f t="shared" si="9"/>
        <v>1.6769398278009955E-8</v>
      </c>
    </row>
    <row r="203" spans="1:14" ht="14" customHeight="1" x14ac:dyDescent="0.35">
      <c r="A203" s="53" t="s">
        <v>295</v>
      </c>
      <c r="B203" s="154">
        <f>B177*Input!$C$31</f>
        <v>2.0737422720000003E-7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-1.2840704275327491E-8</v>
      </c>
      <c r="I203" s="154">
        <f>I177*Input!$C$31</f>
        <v>-1.9344494977581311E-8</v>
      </c>
      <c r="J203" s="154">
        <f>J177*Input!$C$31</f>
        <v>-7.2403371373363215E-8</v>
      </c>
      <c r="K203" s="154">
        <f>K177*Input!$C$31</f>
        <v>-3.8773559761920002E-8</v>
      </c>
      <c r="L203" s="154">
        <f t="shared" si="7"/>
        <v>2.0881207161738857E-7</v>
      </c>
      <c r="M203" s="154">
        <f t="shared" si="8"/>
        <v>-3.7229233530961628E-7</v>
      </c>
      <c r="N203" s="154">
        <f t="shared" si="9"/>
        <v>-1.634802636922277E-7</v>
      </c>
    </row>
    <row r="204" spans="1:14" ht="14" customHeight="1" x14ac:dyDescent="0.35">
      <c r="A204" s="53" t="s">
        <v>296</v>
      </c>
      <c r="B204" s="154">
        <f>B178*Input!$C$31</f>
        <v>1.3209471071999998E-2</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-8.1793631715602704E-4</v>
      </c>
      <c r="I204" s="154">
        <f>I178*Input!$C$31</f>
        <v>-1.2322194047882612E-3</v>
      </c>
      <c r="J204" s="154">
        <f>J178*Input!$C$31</f>
        <v>-4.6120014651064327E-3</v>
      </c>
      <c r="K204" s="154">
        <f>K178*Input!$C$31</f>
        <v>-2.4698257972991995E-3</v>
      </c>
      <c r="L204" s="154">
        <f t="shared" si="7"/>
        <v>1.3569052119018233E-2</v>
      </c>
      <c r="M204" s="154">
        <f t="shared" si="8"/>
        <v>-2.4986120384979674E-2</v>
      </c>
      <c r="N204" s="154">
        <f t="shared" si="9"/>
        <v>-1.1417068265961441E-2</v>
      </c>
    </row>
    <row r="205" spans="1:14" ht="14" customHeight="1" x14ac:dyDescent="0.35">
      <c r="A205" s="53" t="s">
        <v>297</v>
      </c>
      <c r="B205" s="154">
        <f>B179*Input!$C$31</f>
        <v>9.3070000396799996E-2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-5.7629357714125851E-3</v>
      </c>
      <c r="I205" s="154">
        <f>I179*Input!$C$31</f>
        <v>-8.6818510648530006E-3</v>
      </c>
      <c r="J205" s="154">
        <f>J179*Input!$C$31</f>
        <v>-3.2494789219634383E-2</v>
      </c>
      <c r="K205" s="154">
        <f>K179*Input!$C$31</f>
        <v>-1.7401657241364478E-2</v>
      </c>
      <c r="L205" s="154">
        <f t="shared" si="7"/>
        <v>9.5694386614114821E-2</v>
      </c>
      <c r="M205" s="154">
        <f t="shared" si="8"/>
        <v>-0.93323484244477006</v>
      </c>
      <c r="N205" s="154">
        <f t="shared" si="9"/>
        <v>-0.83754045583065528</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-2220.2612740963573</v>
      </c>
      <c r="C211" s="1">
        <f>+SUM(B161:N179)*Input!C31</f>
        <v>-1278.8704938795022</v>
      </c>
    </row>
    <row r="212" spans="1:3" ht="14" customHeight="1" x14ac:dyDescent="0.35">
      <c r="A212" s="95" t="s">
        <v>531</v>
      </c>
      <c r="B212" s="1">
        <f>SUM($B$161:$K$179)</f>
        <v>-2220.2612740963577</v>
      </c>
      <c r="C212" s="1">
        <f>+SUM(B187:N205)</f>
        <v>-1278.8704938795024</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2026-04-29T10:07:13Z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