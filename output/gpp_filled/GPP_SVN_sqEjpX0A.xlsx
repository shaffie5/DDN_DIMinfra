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55266D85-77D7-492A-A0A8-5064E8BC6C44}" xr6:coauthVersionLast="47" xr6:coauthVersionMax="47" xr10:uidLastSave="{00000000-0000-0000-0000-000000000000}"/>
  <bookViews>
    <workbookView xWindow="2660" yWindow="2660" windowWidth="17280" windowHeight="1069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C30" i="43" l="1"/>
  <c r="I92" i="20"/>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<sst xmlns="http://schemas.openxmlformats.org/spreadsheetml/2006/main" count="4829" uniqueCount="1051">
  <si>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</si>
  <si>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</si>
  <si>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</si>
  <si>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</si>
  <si>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</si>
  <si>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</si>
  <si>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</si>
  <si>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</si>
  <si>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</si>
  <si>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</si>
  <si>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</si>
  <si>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</si>
  <si>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</si>
  <si>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</si>
  <si>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</si>
  <si>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</si>
  <si>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</si>
  <si>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</si>
  <si>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</si>
  <si>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</si>
  <si>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</si>
  <si>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</si>
  <si>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</si>
  <si>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</si>
  <si>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</si>
  <si>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</si>
  <si>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</si>
  <si>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</si>
  <si>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</si>
  <si>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</si>
  <si>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</si>
  <si>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</si>
  <si>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</si>
  <si>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</si>
  <si>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</si>
  <si>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</si>
  <si>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</si>
  <si>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</si>
  <si>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</si>
  <si>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</si>
  <si>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</si>
  <si>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</si>
  <si>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</si>
  <si>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</si>
  <si>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</si>
  <si>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</si>
  <si>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</si>
  <si>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</si>
  <si>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</si>
  <si>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</si>
  <si>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</si>
  <si>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</si>
  <si>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</si>
  <si>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</si>
  <si>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</si>
  <si>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</si>
  <si>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</si>
  <si>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</si>
  <si>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</si>
  <si>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</si>
  <si>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</si>
  <si>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</si>
  <si>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</si>
  <si>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</si>
  <si>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</si>
  <si>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</si>
  <si>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</si>
  <si>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</si>
  <si>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</si>
  <si>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</si>
  <si>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</si>
  <si>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</si>
  <si>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</si>
  <si>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</si>
  <si>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</si>
  <si>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</si>
  <si>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</si>
  <si>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</si>
  <si>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</si>
  <si>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</si>
  <si>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</si>
  <si>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</si>
  <si>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</si>
  <si>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</si>
  <si>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</si>
  <si>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</si>
  <si>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</si>
  <si>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</si>
  <si>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</si>
  <si>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</si>
  <si>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</si>
  <si>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</si>
  <si>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</si>
  <si>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</si>
  <si>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</si>
  <si>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</si>
  <si>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</si>
  <si>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</si>
  <si>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</si>
  <si>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</si>
  <si>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</si>
  <si>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</si>
  <si>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</si>
  <si>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</si>
  <si>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</si>
  <si>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</si>
  <si>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</si>
  <si>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</si>
  <si>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</si>
  <si>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</si>
  <si>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</si>
  <si>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</si>
  <si>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</si>
  <si>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</si>
  <si>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</si>
  <si>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</si>
  <si>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</si>
  <si>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</si>
  <si>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</si>
  <si>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</si>
  <si>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</si>
  <si>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</si>
  <si>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</si>
  <si>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</si>
  <si>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</si>
  <si>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</si>
  <si>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</si>
  <si>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</si>
  <si>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</si>
  <si>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</si>
  <si>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</si>
  <si>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</si>
  <si>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</si>
  <si>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</si>
  <si>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</si>
  <si>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</si>
  <si>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</si>
  <si>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</si>
  <si>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</si>
  <si>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</si>
  <si>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</si>
  <si>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</si>
  <si>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</si>
  <si>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</si>
  <si>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</si>
  <si>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</si>
  <si>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</si>
  <si>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</si>
  <si>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</si>
  <si>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</si>
  <si>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</si>
  <si>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</si>
  <si>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</si>
  <si>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</si>
  <si>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</si>
  <si>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</si>
  <si>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</si>
  <si>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</si>
  <si>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</si>
  <si>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</si>
  <si>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</si>
  <si>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</si>
  <si>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</si>
  <si>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</si>
  <si>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</si>
  <si>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</si>
  <si>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</si>
  <si>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</si>
  <si>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</si>
  <si>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</si>
  <si>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</si>
  <si>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</si>
  <si>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</si>
  <si>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</si>
  <si>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</si>
  <si>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</si>
  <si>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</si>
  <si>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</si>
  <si>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</si>
  <si>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</si>
  <si>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</si>
  <si>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</si>
  <si>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</si>
  <si>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</si>
  <si>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</si>
  <si>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</si>
  <si>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</si>
  <si>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</si>
  <si>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</si>
  <si>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</si>
  <si>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</si>
  <si>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</si>
  <si>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</si>
  <si>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</si>
  <si>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</si>
  <si>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</si>
  <si>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</si>
  <si>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</si>
  <si>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</si>
  <si>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</si>
  <si>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</si>
  <si>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</si>
  <si>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</si>
  <si>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</si>
  <si>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</si>
  <si>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</si>
  <si>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</si>
  <si>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</si>
  <si>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</si>
  <si>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</si>
  <si>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</si>
  <si>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</si>
  <si>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</si>
  <si>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</si>
  <si>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</si>
  <si>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</si>
  <si>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</si>
  <si>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</si>
  <si>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</si>
  <si>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</si>
  <si>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</si>
  <si>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</si>
  <si>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</si>
  <si>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</si>
  <si>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</si>
  <si>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</si>
  <si>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</si>
  <si>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</si>
  <si>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</si>
  <si>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</si>
  <si>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</si>
  <si>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</si>
  <si>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</si>
  <si>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</si>
  <si>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</si>
  <si>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</si>
  <si>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</si>
  <si>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</si>
  <si>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</si>
  <si>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</si>
  <si>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</si>
  <si>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</si>
  <si>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</si>
  <si>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</si>
  <si>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</si>
  <si>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</si>
  <si>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</si>
  <si>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</si>
  <si>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</si>
  <si>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</si>
  <si>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</si>
  <si>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</si>
  <si>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</si>
  <si>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</si>
  <si>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</si>
  <si>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</si>
  <si>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</si>
  <si>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</si>
  <si>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</si>
  <si>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</si>
  <si>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</si>
  <si>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</si>
  <si>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</si>
  <si>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</si>
  <si>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</si>
  <si>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</si>
  <si>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</si>
  <si>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</si>
  <si>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</si>
  <si>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</si>
  <si>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</si>
  <si>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</si>
  <si>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</si>
  <si>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</si>
  <si>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</si>
  <si>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</si>
  <si>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</si>
  <si>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</si>
  <si>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</si>
  <si>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</si>
  <si>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</si>
  <si>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</si>
  <si>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</si>
  <si>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</si>
  <si>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</si>
  <si>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</si>
  <si>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</si>
  <si>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</si>
  <si>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</si>
  <si>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</si>
  <si>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</si>
  <si>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</si>
  <si>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</si>
  <si>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</si>
  <si>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</si>
  <si>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</si>
  <si>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</si>
  <si>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</si>
  <si>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</si>
  <si>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</si>
  <si>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</si>
  <si>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</si>
  <si>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</si>
  <si>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</si>
  <si>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</si>
  <si>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</si>
  <si>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</si>
  <si>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</si>
  <si>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</si>
  <si>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</si>
  <si>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</si>
  <si>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</si>
  <si>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</si>
  <si>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</si>
  <si>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</si>
  <si>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</si>
  <si>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</si>
  <si>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</si>
  <si>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</si>
  <si>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</si>
  <si>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</si>
  <si>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</si>
  <si>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</si>
  <si>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</si>
  <si>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</si>
  <si>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</si>
  <si>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</si>
  <si>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</si>
  <si>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</si>
  <si>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</si>
  <si>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</si>
  <si>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</si>
  <si>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</si>
  <si>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</si>
  <si>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</si>
  <si>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</si>
  <si>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</si>
  <si>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</si>
  <si>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</si>
  <si>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</si>
  <si>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</si>
  <si>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</si>
  <si>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</si>
  <si>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</si>
  <si>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</si>
  <si>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</si>
  <si>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</si>
  <si>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</si>
  <si>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</si>
  <si>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</si>
  <si>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</si>
  <si>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</si>
  <si>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</si>
  <si>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</si>
  <si>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</si>
  <si>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</si>
  <si>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</si>
  <si>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</si>
  <si>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</si>
  <si>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</si>
  <si>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</si>
  <si>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</si>
  <si>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</si>
  <si>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</si>
  <si>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</si>
  <si>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</si>
  <si>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</si>
  <si>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</si>
  <si>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</si>
  <si>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</si>
  <si>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</si>
  <si>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</si>
  <si>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</si>
  <si>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</si>
  <si>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</si>
  <si>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</si>
  <si>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</si>
  <si>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</si>
  <si>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</si>
  <si>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</si>
  <si>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</si>
  <si>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</si>
  <si>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</si>
  <si>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</si>
  <si>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</si>
  <si>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</si>
  <si>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</si>
  <si>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</si>
  <si>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</si>
  <si>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</si>
  <si>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</si>
  <si>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</si>
  <si>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</si>
  <si>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</si>
  <si>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</si>
  <si>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</si>
  <si>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</si>
  <si>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</si>
  <si>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</si>
  <si>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</si>
  <si>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</si>
  <si>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</si>
  <si>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</si>
  <si>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</si>
  <si>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</si>
  <si>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</si>
  <si>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</si>
  <si>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</si>
  <si>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</si>
  <si>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</si>
  <si>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</si>
  <si>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</si>
  <si>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</si>
  <si>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</si>
  <si>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</si>
  <si>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</si>
  <si>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</si>
  <si>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</si>
  <si>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</si>
  <si>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</si>
  <si>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</si>
  <si>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</si>
  <si>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</si>
  <si>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</si>
  <si>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</si>
  <si>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</si>
  <si>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</si>
  <si>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</si>
  <si>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</si>
  <si>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</si>
  <si>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</si>
  <si>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</si>
  <si>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</si>
  <si>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</si>
  <si>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</si>
  <si>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</si>
  <si>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</si>
  <si>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</si>
  <si>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</si>
  <si>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</si>
  <si>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</si>
  <si>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</si>
  <si>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</si>
  <si>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</si>
  <si>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</si>
  <si>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</si>
  <si>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</si>
  <si>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</si>
  <si>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</si>
  <si>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</si>
  <si>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</si>
  <si>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</si>
  <si>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</si>
  <si>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</si>
  <si>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</si>
  <si>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</si>
  <si>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</si>
  <si>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</si>
  <si>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</si>
  <si>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</si>
  <si>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</si>
  <si>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</si>
  <si>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</si>
  <si>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</si>
  <si>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</si>
  <si>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</si>
  <si>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</si>
  <si>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</si>
  <si>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</si>
  <si>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</si>
  <si>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</si>
  <si>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</si>
  <si>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</si>
  <si>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</si>
  <si>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</si>
  <si>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</si>
  <si>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</si>
  <si>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</si>
  <si>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</si>
  <si>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</si>
  <si>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</si>
  <si>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</si>
  <si>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</si>
  <si>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</si>
  <si>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</si>
  <si>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</si>
  <si>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</si>
  <si>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</si>
  <si>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</si>
  <si>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</si>
  <si>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</si>
  <si>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</si>
  <si>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</si>
  <si>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</si>
  <si>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</si>
  <si>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</si>
  <si>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</si>
  <si>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</si>
  <si>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</si>
  <si>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</si>
  <si>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</si>
  <si>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</si>
  <si>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</si>
  <si>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</si>
  <si>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</si>
  <si>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</si>
  <si>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</si>
  <si>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</si>
  <si>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</si>
  <si>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</si>
  <si>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</si>
  <si>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</si>
  <si>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</si>
  <si>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</si>
  <si>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</si>
  <si>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</si>
  <si>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</si>
  <si>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</si>
  <si>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</si>
  <si>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</si>
  <si>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</si>
  <si>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</si>
  <si>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</si>
  <si>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</si>
  <si>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</si>
  <si>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</si>
  <si>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</si>
  <si>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</si>
  <si>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</si>
  <si>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</si>
  <si>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</si>
  <si>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</si>
  <si>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</si>
  <si>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</si>
  <si>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</si>
  <si>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</si>
  <si>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</si>
  <si>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</si>
  <si>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</si>
  <si>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</si>
  <si>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</si>
  <si>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</si>
  <si>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</si>
  <si>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</si>
  <si>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</si>
  <si>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</si>
  <si>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</si>
  <si>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</si>
  <si>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</si>
  <si>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</si>
  <si>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</si>
  <si>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</si>
  <si>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</si>
  <si>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</si>
  <si>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</si>
  <si>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</si>
  <si>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</si>
  <si>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</si>
  <si>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</si>
  <si>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</si>
  <si>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</si>
  <si>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</si>
  <si>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</si>
  <si>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</si>
  <si>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</si>
  <si>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</si>
  <si>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</si>
  <si>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</si>
  <si>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</si>
  <si>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</si>
  <si>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</si>
  <si>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</si>
  <si>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</si>
  <si>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</si>
  <si>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</si>
  <si>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</si>
  <si>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</si>
  <si>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</si>
  <si>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</si>
  <si>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</si>
  <si>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</si>
  <si>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</si>
  <si>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</si>
  <si>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</si>
  <si>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</si>
  <si>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</si>
  <si>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</si>
  <si>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</si>
  <si>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</si>
  <si>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</si>
  <si>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</si>
  <si>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</si>
  <si>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</si>
  <si>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</si>
  <si>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</si>
  <si>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</si>
  <si>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</si>
  <si>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</si>
  <si>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</si>
  <si>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</si>
  <si>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</si>
  <si>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</si>
  <si>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</si>
  <si>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</si>
  <si>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</si>
  <si>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</si>
  <si>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</si>
  <si>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</si>
  <si>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</si>
  <si>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</si>
  <si>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</si>
  <si>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</si>
  <si>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</si>
  <si>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</si>
  <si>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</si>
  <si>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</si>
  <si>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</si>
  <si>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</si>
  <si>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</si>
  <si>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</si>
  <si>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</si>
  <si>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</si>
  <si>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</si>
  <si>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</si>
  <si>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</si>
  <si>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</si>
  <si>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</si>
  <si>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</si>
  <si>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</si>
  <si>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</si>
  <si>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</si>
  <si>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</si>
  <si>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</si>
  <si>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</si>
  <si>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</si>
  <si>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</si>
  <si>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</si>
  <si>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</si>
  <si>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</si>
  <si>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</si>
  <si>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</si>
  <si>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</si>
  <si>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</si>
  <si>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</si>
  <si>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</si>
  <si>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</si>
  <si>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</si>
  <si>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</si>
  <si>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</si>
  <si>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</si>
  <si>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</si>
  <si>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</si>
  <si>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</si>
  <si>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</si>
  <si>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</si>
  <si>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</si>
  <si>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</si>
  <si>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</si>
  <si>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</si>
  <si>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</si>
  <si>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</si>
  <si>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</si>
  <si>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</si>
  <si>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</si>
  <si>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</si>
  <si>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</si>
  <si>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</si>
  <si>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</si>
  <si>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</si>
  <si>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</si>
  <si>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</si>
  <si>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</si>
  <si>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</si>
  <si>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</si>
  <si>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</si>
  <si>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</si>
  <si>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</si>
  <si>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</si>
  <si>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</si>
  <si>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</si>
  <si>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</si>
  <si>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</si>
  <si>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</si>
  <si>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</si>
  <si>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</si>
  <si>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</si>
  <si>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</si>
  <si>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</si>
  <si>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</si>
  <si>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</si>
  <si>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</si>
  <si>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</si>
  <si>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</si>
  <si>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</si>
  <si>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</si>
  <si>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</si>
  <si>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</si>
  <si>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</si>
  <si>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</si>
  <si>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</si>
  <si>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</si>
  <si>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</si>
  <si>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</si>
  <si>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</si>
  <si>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</si>
  <si>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</si>
  <si>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</si>
  <si>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</si>
  <si>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</si>
  <si>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</si>
  <si>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</si>
  <si>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</si>
  <si>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</si>
  <si>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</si>
  <si>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</si>
  <si>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</si>
  <si>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</si>
  <si>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</si>
  <si>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</si>
  <si>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</si>
  <si>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</si>
  <si>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</si>
  <si>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</si>
  <si>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</si>
  <si>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</si>
  <si>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</si>
  <si>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</si>
  <si>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</si>
  <si>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</si>
  <si>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</si>
  <si>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</si>
  <si>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</si>
  <si>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</si>
  <si>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</si>
  <si>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</si>
  <si>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</si>
  <si>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</si>
  <si>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</si>
  <si>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</si>
  <si>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</si>
  <si>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</si>
  <si>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</si>
  <si>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</si>
  <si>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</si>
  <si>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</si>
  <si>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</si>
  <si>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</si>
  <si>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</si>
  <si>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</si>
  <si>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</si>
  <si>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</si>
  <si>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</si>
  <si>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</si>
  <si>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</si>
  <si>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</si>
  <si>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</si>
  <si>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</si>
  <si>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</si>
  <si>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</si>
  <si>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</si>
  <si>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</si>
  <si>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</si>
  <si>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</si>
  <si>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</si>
  <si>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</si>
  <si>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</si>
  <si>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</si>
  <si>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</si>
  <si>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</si>
  <si>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</si>
  <si>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</si>
  <si>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</si>
  <si>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</si>
  <si>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</si>
  <si>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</si>
  <si>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</si>
  <si>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</si>
  <si>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</si>
  <si>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</si>
  <si>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</si>
  <si>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</si>
  <si>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</si>
  <si>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</si>
  <si>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</si>
  <si>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</si>
  <si>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</si>
  <si>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</si>
  <si>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</si>
  <si>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</si>
  <si>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</si>
  <si>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</si>
  <si>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</si>
  <si>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</si>
  <si>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</si>
  <si>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</si>
  <si>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</si>
  <si>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</si>
  <si>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</si>
  <si>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</si>
  <si>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</si>
  <si>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</si>
  <si>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</si>
  <si>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</si>
  <si>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</si>
  <si>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</si>
  <si>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</si>
  <si>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</si>
  <si>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</si>
  <si>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</si>
  <si>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</si>
  <si>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</si>
  <si>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</si>
  <si>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</si>
  <si>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</si>
  <si>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</si>
  <si>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</si>
  <si>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</si>
  <si>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</si>
  <si>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</si>
  <si>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</si>
  <si>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</si>
  <si>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</si>
  <si>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</si>
  <si>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</si>
  <si>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</si>
  <si>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</si>
  <si>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</si>
  <si>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</si>
  <si>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</si>
  <si>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</si>
  <si>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</si>
  <si>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</si>
  <si>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</si>
  <si>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</si>
  <si>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</si>
  <si>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</si>
  <si>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</si>
  <si>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</si>
  <si>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</si>
  <si>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</si>
  <si>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</si>
  <si>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</si>
  <si>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</si>
  <si>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</si>
  <si>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</si>
  <si>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</si>
  <si>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</si>
  <si>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</si>
  <si>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</si>
  <si>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</si>
  <si>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</si>
  <si>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</si>
  <si>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</si>
  <si>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</si>
  <si>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</si>
  <si>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</si>
  <si>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</si>
  <si>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</si>
  <si>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</si>
  <si>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</si>
  <si>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</si>
  <si>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</si>
  <si>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</si>
  <si>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</si>
  <si>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</si>
  <si>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</si>
  <si>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</si>
  <si>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</si>
  <si>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</si>
  <si>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</si>
  <si>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</si>
  <si>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</si>
  <si>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</si>
  <si>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</si>
  <si>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</si>
  <si>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</si>
  <si>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</si>
  <si>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</si>
  <si>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</si>
  <si>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</si>
  <si>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</si>
  <si>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</si>
  <si>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</si>
  <si>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</si>
  <si>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</si>
  <si>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</si>
  <si>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</si>
  <si>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</si>
  <si>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</si>
  <si>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</si>
  <si>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</si>
  <si>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</si>
  <si>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</si>
  <si>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</si>
  <si>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</si>
  <si>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</si>
  <si>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</si>
  <si>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</si>
  <si>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</si>
  <si>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</si>
  <si>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</si>
  <si>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</si>
  <si>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</si>
  <si>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</si>
  <si>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</si>
  <si>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</si>
  <si>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</si>
  <si>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</si>
  <si>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</si>
  <si>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</si>
  <si>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</si>
  <si>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</si>
  <si>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</si>
  <si>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</si>
  <si>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</si>
  <si>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</si>
  <si>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</si>
  <si>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</si>
  <si>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</si>
  <si>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</si>
  <si>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</si>
  <si>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</si>
  <si>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</si>
  <si>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</si>
  <si>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</si>
  <si>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</si>
  <si>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</si>
  <si>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</si>
  <si>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</si>
  <si>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</si>
  <si>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</si>
  <si>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</si>
  <si>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</si>
  <si>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</si>
  <si>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</si>
  <si>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</si>
  <si>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</si>
  <si>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</si>
  <si>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</si>
  <si>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</si>
  <si>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</si>
  <si>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</si>
  <si>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</si>
  <si>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</si>
  <si>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</si>
  <si>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</si>
  <si>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</si>
  <si>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</si>
  <si>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</si>
  <si>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</si>
  <si>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</si>
  <si>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</si>
  <si>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</si>
  <si>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</si>
  <si>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</si>
  <si>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</si>
  <si>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</si>
  <si>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</si>
  <si>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</si>
  <si>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</si>
  <si>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</si>
  <si>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</si>
  <si>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</si>
  <si>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</si>
  <si>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</si>
  <si>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</si>
  <si>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</si>
  <si>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</si>
  <si>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</si>
  <si>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</si>
  <si>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</si>
  <si>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</si>
  <si>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</si>
  <si>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</si>
  <si>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</si>
  <si>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</si>
  <si>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</si>
  <si>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</si>
  <si>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</si>
  <si>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</si>
  <si>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</si>
  <si>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</si>
  <si>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</si>
  <si>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</si>
  <si>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</si>
  <si>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</si>
  <si>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</si>
  <si>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</si>
  <si>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</si>
  <si>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</si>
  <si>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</si>
  <si>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</si>
  <si>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</si>
  <si>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</si>
  <si>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</si>
  <si>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</si>
  <si>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</si>
  <si>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</si>
  <si>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</si>
  <si>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</si>
  <si>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</si>
  <si>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</si>
  <si>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</si>
  <si>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</si>
  <si>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</si>
  <si>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</si>
  <si>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</si>
  <si>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</si>
  <si>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</si>
  <si>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</si>
  <si>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</si>
  <si>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</si>
  <si>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</si>
  <si>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</si>
  <si>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</si>
  <si>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</si>
  <si>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</si>
  <si>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</si>
  <si>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</si>
  <si>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</si>
  <si>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</si>
  <si>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</si>
  <si>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</si>
  <si>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</si>
  <si>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</si>
  <si>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</si>
  <si>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</si>
  <si>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</si>
  <si>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</si>
  <si>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</si>
  <si>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</si>
  <si>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</si>
  <si>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</si>
  <si>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</si>
  <si>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</si>
  <si>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</si>
  <si>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</si>
  <si>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</si>
  <si>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</si>
  <si>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</si>
  <si>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</si>
  <si>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</si>
  <si>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</si>
  <si>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</si>
  <si>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Productieproces</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</si>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</sst>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2.4866621586045565</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0.77406938404047987</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0.19325055043302664</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1.0409457594906979</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-2.732462462520592</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0.13810383419778327</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1.2971977235511201</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0.3024766893809776</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1.8903469769564969</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2.57517405829609E-2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5.4153193140103653E-2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8.70511397428545E-2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1.8970474000947785E-2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3.9400394566432372E-2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3.4650146505858841E-2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4.162446737783964E-2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3.2618066542140758E-7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3.4656355239485515E-3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0.35196125876491269</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0.18131773750826929</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3.6661817078716852E-2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14.605726870846587</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12.873445204608315</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3.2860185812999996</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18.960239141872904</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-17.396907521375994</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2.9811014561327998</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2.0850272267950576</c:v>
                </c:pt>
                <c:pt idx="1">
                  <c:v>11.136836770194735</c:v>
                </c:pt>
                <c:pt idx="2">
                  <c:v>11.7448</c:v>
                </c:pt>
                <c:pt idx="3">
                  <c:v>0.92165995176527982</c:v>
                </c:pt>
                <c:pt idx="4">
                  <c:v>0.12166438176342087</c:v>
                </c:pt>
                <c:pt idx="5">
                  <c:v>0.16588837765499997</c:v>
                </c:pt>
                <c:pt idx="6">
                  <c:v>0.16679033795373477</c:v>
                </c:pt>
                <c:pt idx="7">
                  <c:v>3.2860185812999996</c:v>
                </c:pt>
                <c:pt idx="8">
                  <c:v>0</c:v>
                </c:pt>
                <c:pt idx="9">
                  <c:v>0</c:v>
                </c:pt>
                <c:pt idx="10">
                  <c:v>0.65423526228811013</c:v>
                </c:pt>
                <c:pt idx="11">
                  <c:v>0.64906010499329991</c:v>
                </c:pt>
                <c:pt idx="12">
                  <c:v>18.960239141872904</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2.4866621586045565</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0.77406938404047987</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0.19325055043302664</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1.0409457594906979</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0.17531839307690317</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-2.732462462520592</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0.14596015777013444</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1.4275792880313469</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0.3040319908238428</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1.9683254982829821</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2.7334891588724267E-2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5.6516450892275742E-2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9.0589156212896177E-2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1.9460109972752763E-2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4.1385228961530067E-2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3.4962425841572872E-2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4.2004460642207406E-2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3.3079638616160239E-7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3.5976193104717458E-3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0.38280300226571717</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0.19633994371006647</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3.76085796367873E-2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2.0850272267950576</c:v>
                </c:pt>
                <c:pt idx="1">
                  <c:v>11.136836770194735</c:v>
                </c:pt>
                <c:pt idx="2">
                  <c:v>11.7448</c:v>
                </c:pt>
                <c:pt idx="3">
                  <c:v>0.92165995176527982</c:v>
                </c:pt>
                <c:pt idx="4">
                  <c:v>0.12166438176342087</c:v>
                </c:pt>
                <c:pt idx="5">
                  <c:v>0.16588837765499997</c:v>
                </c:pt>
                <c:pt idx="6">
                  <c:v>0.16679033795373477</c:v>
                </c:pt>
                <c:pt idx="7">
                  <c:v>3.2860185812999991</c:v>
                </c:pt>
                <c:pt idx="8">
                  <c:v>0</c:v>
                </c:pt>
                <c:pt idx="9">
                  <c:v>0</c:v>
                </c:pt>
                <c:pt idx="10">
                  <c:v>0.65423526228811013</c:v>
                </c:pt>
                <c:pt idx="11">
                  <c:v>0.64906010499329991</c:v>
                </c:pt>
                <c:pt idx="12">
                  <c:v>18.960239141872904</c:v>
                </c:pt>
                <c:pt idx="13">
                  <c:v>2.9811014561327998</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14.605726870846587</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12.873445204608315</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3.2860185812999996</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18.960239141872904</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2.9811014561327998</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-17.396907521375994</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0.47743913445207481</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0.14862132173577211</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3.7104105683141132E-2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0.19986158582221403</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3.366113147076541E-2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-0.52463279280395358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2.8042995592025446</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2.4717014792847962</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0.63091556760959988</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3.6403659152395975</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0.57237147957749757</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-3.3402062441041909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2.8024350291865809E-2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0.27409522330201869</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5.8374142238177822E-2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0.37791849567033264</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5.2482991850350599E-3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1.0851158571316941E-2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1.7393117992876066E-2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3.73634111476853E-3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7.9459639606137712E-3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6.7127857615819908E-3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8.0648564433038195E-3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6.3512906143027665E-8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6.9074290761057518E-4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7.3498176435017701E-2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3.7697269192332759E-2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7.2208472902631641E-3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0.40032522754465105</c:v>
                </c:pt>
                <c:pt idx="1">
                  <c:v>2.1382726598773893</c:v>
                </c:pt>
                <c:pt idx="2">
                  <c:v>2.2550015999999999</c:v>
                </c:pt>
                <c:pt idx="3">
                  <c:v>0.17695871073893374</c:v>
                </c:pt>
                <c:pt idx="4">
                  <c:v>2.3359561298576807E-2</c:v>
                </c:pt>
                <c:pt idx="5">
                  <c:v>3.1850568509759994E-2</c:v>
                </c:pt>
                <c:pt idx="6">
                  <c:v>3.2023744887117074E-2</c:v>
                </c:pt>
                <c:pt idx="7">
                  <c:v>0.63091556760959988</c:v>
                </c:pt>
                <c:pt idx="8">
                  <c:v>0</c:v>
                </c:pt>
                <c:pt idx="9">
                  <c:v>0</c:v>
                </c:pt>
                <c:pt idx="10">
                  <c:v>0.12561317035931716</c:v>
                </c:pt>
                <c:pt idx="11">
                  <c:v>0.12461954015871358</c:v>
                </c:pt>
                <c:pt idx="12">
                  <c:v>3.6403659152395975</c:v>
                </c:pt>
                <c:pt idx="13">
                  <c:v>0.57237147957749757</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9.914312464345322E-2</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1.5501727571890558</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2.3025883611975342E-2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0.93207714804138309</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2.4185584712347816E-2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2.941645383785025E-2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4.3966860990029381E-2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6.6601624001325424E-3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3.4396884121599997E-2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4.3198550802062557E-3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4.9071086980434367E-3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8.4196678410239993E-8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1.5607171833755219E-3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0.55651163239604706</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0.18249890023850243</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1.3524704197382397E-2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59.589422046527993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0</v>
      </c>
      <c r="C40" s="1"/>
      <c r="D40" s="9"/>
      <c r="E40" s="9"/>
      <c r="F40" s="9"/>
      <c r="G40" s="232" t="s">
        <v>27</v>
      </c>
      <c r="H40" s="1" t="s">
        <v>1044</v>
      </c>
      <c r="I40" s="154" t="str">
        <f t="shared" ref="I40:I57" si="0">IF($B40=0%,"Do not fill Transport", "Fill Transport")</f>
        <v>Do not fill Transport</v>
      </c>
      <c r="J40" s="232" t="s">
        <v>69</v>
      </c>
      <c r="K40" s="232" t="s">
        <v>489</v>
      </c>
      <c r="L40" s="240">
        <v>0</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t="s">
        <v>1049</v>
      </c>
      <c r="I51" s="154" t="str">
        <f t="shared" si="0"/>
        <v>Fill Transport</v>
      </c>
      <c r="J51" s="232" t="s">
        <v>69</v>
      </c>
      <c r="K51" s="232" t="s">
        <v>489</v>
      </c>
      <c r="L51" s="240">
        <v>69</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0.93895999999999991</v>
      </c>
      <c r="C58" s="149"/>
      <c r="D58" s="357" t="s">
        <v>97</v>
      </c>
      <c r="E58" s="357"/>
      <c r="F58" s="357"/>
      <c r="G58" s="166">
        <f>+'A3 - Production '!C189</f>
        <v>0.35375639016242372</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Error: Percentage weight of Mixture</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1</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3.694822225952521E-13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1.0000000000003695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7.6066029597278415E-2</v>
      </c>
      <c r="D4" s="1">
        <f>'C3'' - Secondary Raw Material '!F320</f>
        <v>2.132393117742819E-4</v>
      </c>
      <c r="E4" s="1">
        <f>'A2 - Transport'!Z118</f>
        <v>2.3580022780549954E-2</v>
      </c>
      <c r="F4" s="1">
        <f>'C2''- Transport Secondary'!H58</f>
        <v>4.9001454E-3</v>
      </c>
      <c r="G4" s="1">
        <f>'A3 - Production '!D206</f>
        <v>1.9088517449054591E-2</v>
      </c>
      <c r="H4" s="1">
        <f>'A4 - Transport'!B17</f>
        <v>4.4454497823999996E-3</v>
      </c>
      <c r="I4" s="1">
        <f>'A5 - Construction'!E139</f>
        <v>1.4781911191886577E-3</v>
      </c>
      <c r="J4" s="1">
        <f>'C1 - Deconstruction'!B87</f>
        <v>1.1217073342617407E-3</v>
      </c>
      <c r="K4" s="1">
        <f>'D- Benefits &amp; Burdens'!N161</f>
        <v>-7.8398163826345874E-2</v>
      </c>
      <c r="L4" s="1">
        <f>+SUM(C4:G4)</f>
        <v>0.12384795453865724</v>
      </c>
      <c r="M4" s="1">
        <f t="shared" ref="M4:M22" si="0">SUM(C4:J4)</f>
        <v>0.13089330277450761</v>
      </c>
      <c r="Q4" s="67"/>
    </row>
    <row r="5" spans="1:17" x14ac:dyDescent="0.35">
      <c r="A5" s="39" t="s">
        <v>164</v>
      </c>
      <c r="B5" s="39" t="s">
        <v>165</v>
      </c>
      <c r="C5" s="1">
        <f>'A1 - Raw Material Supply'!Z115</f>
        <v>14.605726870846587</v>
      </c>
      <c r="D5" s="1">
        <f>'C3'' - Secondary Raw Material '!F321</f>
        <v>0.16679033795373477</v>
      </c>
      <c r="E5" s="1">
        <f>'A2 - Transport'!Z119</f>
        <v>12.873445204608315</v>
      </c>
      <c r="F5" s="1">
        <f>'C2''- Transport Secondary'!H59</f>
        <v>3.2860185812999996</v>
      </c>
      <c r="G5" s="1">
        <f>'A3 - Production '!D207</f>
        <v>18.960239141872904</v>
      </c>
      <c r="H5" s="1">
        <f>'A4 - Transport'!B18</f>
        <v>2.9811014561327998</v>
      </c>
      <c r="I5" s="1">
        <f>'A5 - Construction'!E140</f>
        <v>1.1562033017188762</v>
      </c>
      <c r="J5" s="1">
        <f>'C1 - Deconstruction'!B88</f>
        <v>0.87737079908012983</v>
      </c>
      <c r="K5" s="1">
        <f>'D- Benefits &amp; Burdens'!N162</f>
        <v>-17.396907521375994</v>
      </c>
      <c r="L5" s="1">
        <f t="shared" ref="L5:L22" si="1">+SUM(C5:G5)</f>
        <v>49.892220136581543</v>
      </c>
      <c r="M5" s="1">
        <f t="shared" si="0"/>
        <v>54.906895693513349</v>
      </c>
      <c r="Q5" s="67"/>
    </row>
    <row r="6" spans="1:17" x14ac:dyDescent="0.35">
      <c r="A6" s="39" t="s">
        <v>166</v>
      </c>
      <c r="B6" s="39" t="s">
        <v>165</v>
      </c>
      <c r="C6" s="1">
        <f>'A1 - Raw Material Supply'!Z116</f>
        <v>0.15907702438719223</v>
      </c>
      <c r="D6" s="1">
        <f>'C3'' - Secondary Raw Material '!F322</f>
        <v>3.4471332246079752E-5</v>
      </c>
      <c r="E6" s="1">
        <f>'A2 - Transport'!Z120</f>
        <v>5.9009660693908287E-3</v>
      </c>
      <c r="F6" s="1">
        <f>'C2''- Transport Secondary'!H60</f>
        <v>1.53573921E-3</v>
      </c>
      <c r="G6" s="1">
        <f>'A3 - Production '!D208</f>
        <v>6.4771325041198544E-3</v>
      </c>
      <c r="H6" s="1">
        <f>'A4 - Transport'!B19</f>
        <v>1.3932344817599999E-3</v>
      </c>
      <c r="I6" s="1">
        <f>'A5 - Construction'!E141</f>
        <v>2.3895789556239896E-4</v>
      </c>
      <c r="J6" s="1">
        <f>'C1 - Deconstruction'!B89</f>
        <v>1.8133028980664895E-4</v>
      </c>
      <c r="K6" s="1">
        <f>'D- Benefits &amp; Burdens'!N163</f>
        <v>-6.718981468058205E-2</v>
      </c>
      <c r="L6" s="1">
        <f t="shared" si="1"/>
        <v>0.17302533350294899</v>
      </c>
      <c r="M6" s="1">
        <f t="shared" si="0"/>
        <v>0.17483885617007802</v>
      </c>
      <c r="Q6" s="67"/>
    </row>
    <row r="7" spans="1:17" x14ac:dyDescent="0.35">
      <c r="A7" s="39" t="s">
        <v>167</v>
      </c>
      <c r="B7" s="39" t="s">
        <v>165</v>
      </c>
      <c r="C7" s="1">
        <f>'A1 - Raw Material Supply'!Z117</f>
        <v>14.44767637336863</v>
      </c>
      <c r="D7" s="1">
        <f>'C3'' - Secondary Raw Material '!F323</f>
        <v>0.16674849071700243</v>
      </c>
      <c r="E7" s="1">
        <f>'A2 - Transport'!Z121</f>
        <v>12.866009911147771</v>
      </c>
      <c r="F7" s="1">
        <f>'C2''- Transport Secondary'!H61</f>
        <v>3.2842214693999998</v>
      </c>
      <c r="G7" s="1">
        <f>'A3 - Production '!D209</f>
        <v>18.950300390754627</v>
      </c>
      <c r="H7" s="1">
        <f>'A4 - Transport'!B20</f>
        <v>2.9794711023263996</v>
      </c>
      <c r="I7" s="1">
        <f>'A5 - Construction'!E142</f>
        <v>1.1559132134927155</v>
      </c>
      <c r="J7" s="1">
        <f>'C1 - Deconstruction'!B90</f>
        <v>0.87715066916144513</v>
      </c>
      <c r="K7" s="1">
        <f>'D- Benefits &amp; Burdens'!N164</f>
        <v>-17.329856326840261</v>
      </c>
      <c r="L7" s="1">
        <f t="shared" si="1"/>
        <v>49.714956635388035</v>
      </c>
      <c r="M7" s="1">
        <f t="shared" si="0"/>
        <v>54.727491620368596</v>
      </c>
      <c r="Q7" s="67"/>
    </row>
    <row r="8" spans="1:17" x14ac:dyDescent="0.35">
      <c r="A8" s="39" t="s">
        <v>168</v>
      </c>
      <c r="B8" s="39" t="s">
        <v>165</v>
      </c>
      <c r="C8" s="1">
        <f>'A1 - Raw Material Supply'!Z118</f>
        <v>7.0618730907651599E-3</v>
      </c>
      <c r="D8" s="1">
        <f>'C3'' - Secondary Raw Material '!F324</f>
        <v>7.375904486254632E-6</v>
      </c>
      <c r="E8" s="1">
        <f>'A2 - Transport'!Z122</f>
        <v>1.534311930429544E-3</v>
      </c>
      <c r="F8" s="1">
        <f>'C2''- Transport Secondary'!H62</f>
        <v>2.6136854999999997E-4</v>
      </c>
      <c r="G8" s="1">
        <f>'A3 - Production '!D210</f>
        <v>3.4616186141561236E-3</v>
      </c>
      <c r="H8" s="1">
        <f>'A4 - Transport'!B21</f>
        <v>2.3711556879999998E-4</v>
      </c>
      <c r="I8" s="1">
        <f>'A5 - Construction'!E143</f>
        <v>5.1130330598264246E-5</v>
      </c>
      <c r="J8" s="1">
        <f>'C1 - Deconstruction'!B91</f>
        <v>3.8799628878016996E-5</v>
      </c>
      <c r="K8" s="1">
        <f>'D- Benefits &amp; Burdens'!N165</f>
        <v>-8.3879201934272674E-3</v>
      </c>
      <c r="L8" s="1">
        <f t="shared" si="1"/>
        <v>1.2326548089837082E-2</v>
      </c>
      <c r="M8" s="1">
        <f t="shared" si="0"/>
        <v>1.2653593618113362E-2</v>
      </c>
      <c r="Q8" s="67"/>
    </row>
    <row r="9" spans="1:17" x14ac:dyDescent="0.35">
      <c r="A9" s="39" t="s">
        <v>169</v>
      </c>
      <c r="B9" s="39" t="s">
        <v>170</v>
      </c>
      <c r="C9" s="1">
        <f>'A1 - Raw Material Supply'!Z119</f>
        <v>648.07215698135099</v>
      </c>
      <c r="D9" s="1">
        <f>'C3'' - Secondary Raw Material '!F325</f>
        <v>7.3693079401887573E-2</v>
      </c>
      <c r="E9" s="1">
        <f>'A2 - Transport'!Z123</f>
        <v>11.149257353089808</v>
      </c>
      <c r="F9" s="1">
        <f>'C2''- Transport Secondary'!H63</f>
        <v>2.8223197442999997</v>
      </c>
      <c r="G9" s="1">
        <f>'A3 - Production '!D211</f>
        <v>10.578126829760627</v>
      </c>
      <c r="H9" s="1">
        <f>'A4 - Transport'!B22</f>
        <v>2.5604302870607998</v>
      </c>
      <c r="I9" s="1">
        <f>'A5 - Construction'!E144</f>
        <v>0.51084602839481119</v>
      </c>
      <c r="J9" s="1">
        <f>'C1 - Deconstruction'!B92</f>
        <v>0.38764928924986203</v>
      </c>
      <c r="K9" s="1">
        <f>'D- Benefits &amp; Burdens'!N166</f>
        <v>-679.37905761054333</v>
      </c>
      <c r="L9" s="1">
        <f t="shared" si="1"/>
        <v>672.69555398790339</v>
      </c>
      <c r="M9" s="1">
        <f t="shared" si="0"/>
        <v>676.15447959260894</v>
      </c>
      <c r="Q9" s="67"/>
    </row>
    <row r="10" spans="1:17" ht="29" x14ac:dyDescent="0.35">
      <c r="A10" s="39" t="s">
        <v>171</v>
      </c>
      <c r="B10" s="39" t="s">
        <v>172</v>
      </c>
      <c r="C10" s="1">
        <f>'A1 - Raw Material Supply'!Z120</f>
        <v>1053.1269249514166</v>
      </c>
      <c r="D10" s="1">
        <f>'C3'' - Secondary Raw Material '!F326</f>
        <v>2.2154215403498743</v>
      </c>
      <c r="E10" s="1">
        <f>'A2 - Transport'!Z124</f>
        <v>172.54507143207945</v>
      </c>
      <c r="F10" s="1">
        <f>'C2''- Transport Secondary'!H64</f>
        <v>44.226393731999991</v>
      </c>
      <c r="G10" s="1">
        <f>'A3 - Production '!D212</f>
        <v>355.33722810802567</v>
      </c>
      <c r="H10" s="1">
        <f>'A4 - Transport'!B23</f>
        <v>40.122526240191988</v>
      </c>
      <c r="I10" s="1">
        <f>'A5 - Construction'!E145</f>
        <v>15.357470529031247</v>
      </c>
      <c r="J10" s="1">
        <f>'C1 - Deconstruction'!B93</f>
        <v>11.65382953834693</v>
      </c>
      <c r="K10" s="1">
        <f>'D- Benefits &amp; Burdens'!N167</f>
        <v>-1140.6957435020788</v>
      </c>
      <c r="L10" s="1">
        <f t="shared" si="1"/>
        <v>1627.4510397638714</v>
      </c>
      <c r="M10" s="1">
        <f t="shared" si="0"/>
        <v>1694.5848660714414</v>
      </c>
      <c r="Q10" s="67"/>
    </row>
    <row r="11" spans="1:17" ht="29" x14ac:dyDescent="0.35">
      <c r="A11" s="39" t="s">
        <v>173</v>
      </c>
      <c r="B11" s="39" t="s">
        <v>174</v>
      </c>
      <c r="C11" s="1">
        <f>'A1 - Raw Material Supply'!Z121</f>
        <v>3.8657617773710099E-4</v>
      </c>
      <c r="D11" s="1">
        <f>'C3'' - Secondary Raw Material '!F327</f>
        <v>1.7631993026448645E-6</v>
      </c>
      <c r="E11" s="1">
        <f>'A2 - Transport'!Z125</f>
        <v>3.4050525246125872E-4</v>
      </c>
      <c r="F11" s="1">
        <f>'C2''- Transport Secondary'!H65</f>
        <v>7.6645683000000004E-5</v>
      </c>
      <c r="G11" s="1">
        <f>'A3 - Production '!D213</f>
        <v>6.752347710192474E-4</v>
      </c>
      <c r="H11" s="1">
        <f>'A4 - Transport'!B24</f>
        <v>6.9533556047999989E-5</v>
      </c>
      <c r="I11" s="1">
        <f>'A5 - Construction'!E146</f>
        <v>1.2222631600350229E-5</v>
      </c>
      <c r="J11" s="1">
        <f>'C1 - Deconstruction'!B94</f>
        <v>9.2749951830432911E-6</v>
      </c>
      <c r="K11" s="1">
        <f>'D- Benefits &amp; Burdens'!N168</f>
        <v>-7.4384613596716509E-4</v>
      </c>
      <c r="L11" s="1">
        <f t="shared" si="1"/>
        <v>1.4807250835202519E-3</v>
      </c>
      <c r="M11" s="1">
        <f t="shared" si="0"/>
        <v>1.5717562663516455E-3</v>
      </c>
      <c r="Q11" s="67"/>
    </row>
    <row r="12" spans="1:17" ht="29" x14ac:dyDescent="0.35">
      <c r="A12" s="39" t="s">
        <v>175</v>
      </c>
      <c r="B12" s="39" t="s">
        <v>176</v>
      </c>
      <c r="C12" s="1">
        <f>'A1 - Raw Material Supply'!Z122</f>
        <v>2.3205910529194244E-2</v>
      </c>
      <c r="D12" s="1">
        <f>'C3'' - Secondary Raw Material '!F328</f>
        <v>4.8220355792551409E-5</v>
      </c>
      <c r="E12" s="1">
        <f>'A2 - Transport'!Z126</f>
        <v>6.3826638639365683E-3</v>
      </c>
      <c r="F12" s="1">
        <f>'C2''- Transport Secondary'!H66</f>
        <v>1.0680620399999999E-3</v>
      </c>
      <c r="G12" s="1">
        <f>'A3 - Production '!D214</f>
        <v>4.9703886918881571E-3</v>
      </c>
      <c r="H12" s="1">
        <f>'A4 - Transport'!B25</f>
        <v>9.689541382399998E-4</v>
      </c>
      <c r="I12" s="1">
        <f>'A5 - Construction'!E147</f>
        <v>3.3426717195615875E-4</v>
      </c>
      <c r="J12" s="1">
        <f>'C1 - Deconstruction'!B95</f>
        <v>2.5365457383613185E-4</v>
      </c>
      <c r="K12" s="1">
        <f>'D- Benefits &amp; Burdens'!N169</f>
        <v>-2.4154686268845205E-2</v>
      </c>
      <c r="L12" s="1">
        <f t="shared" si="1"/>
        <v>3.5675245480811524E-2</v>
      </c>
      <c r="M12" s="1">
        <f t="shared" si="0"/>
        <v>3.7232121364843808E-2</v>
      </c>
      <c r="Q12" s="67"/>
    </row>
    <row r="13" spans="1:17" x14ac:dyDescent="0.35">
      <c r="A13" s="39" t="s">
        <v>177</v>
      </c>
      <c r="B13" s="39" t="s">
        <v>178</v>
      </c>
      <c r="C13" s="1">
        <f>'A1 - Raw Material Supply'!Z123</f>
        <v>0.28032577254967794</v>
      </c>
      <c r="D13" s="1">
        <f>'C3'' - Secondary Raw Material '!F329</f>
        <v>5.2421468666230769E-4</v>
      </c>
      <c r="E13" s="1">
        <f>'A2 - Transport'!Z127</f>
        <v>6.934929015929564E-2</v>
      </c>
      <c r="F13" s="1">
        <f>'C2''- Transport Secondary'!H67</f>
        <v>1.15608051E-2</v>
      </c>
      <c r="G13" s="1">
        <f>'A3 - Production '!D215</f>
        <v>5.355128501070499E-2</v>
      </c>
      <c r="H13" s="1">
        <f>'A4 - Transport'!B26</f>
        <v>1.0488051745599998E-2</v>
      </c>
      <c r="I13" s="1">
        <f>'A5 - Construction'!E148</f>
        <v>3.6338960575558604E-3</v>
      </c>
      <c r="J13" s="1">
        <f>'C1 - Deconstruction'!B96</f>
        <v>2.7575377816790978E-3</v>
      </c>
      <c r="K13" s="1">
        <f>'D- Benefits &amp; Burdens'!N170</f>
        <v>-0.28174333820436909</v>
      </c>
      <c r="L13" s="1">
        <f t="shared" si="1"/>
        <v>0.4153113675063409</v>
      </c>
      <c r="M13" s="1">
        <f t="shared" si="0"/>
        <v>0.43219085309117589</v>
      </c>
      <c r="Q13" s="67"/>
    </row>
    <row r="14" spans="1:17" x14ac:dyDescent="0.35">
      <c r="A14" s="39" t="s">
        <v>179</v>
      </c>
      <c r="B14" s="39" t="s">
        <v>180</v>
      </c>
      <c r="C14" s="1">
        <f>'A1 - Raw Material Supply'!Z124</f>
        <v>1.1685485929878964E-8</v>
      </c>
      <c r="D14" s="1">
        <f>'C3'' - Secondary Raw Material '!F330</f>
        <v>1.0192646894973112E-11</v>
      </c>
      <c r="E14" s="1">
        <f>'A2 - Transport'!Z128</f>
        <v>1.1688925489662656E-9</v>
      </c>
      <c r="F14" s="1">
        <f>'C2''- Transport Secondary'!H68</f>
        <v>2.9124278999999999E-10</v>
      </c>
      <c r="G14" s="1">
        <f>'A3 - Production '!D216</f>
        <v>1.8958767235094483E-9</v>
      </c>
      <c r="H14" s="1">
        <f>'A4 - Transport'!B27</f>
        <v>2.6421771023999997E-10</v>
      </c>
      <c r="I14" s="1">
        <f>'A5 - Construction'!E149</f>
        <v>7.0656203097876641E-11</v>
      </c>
      <c r="J14" s="1">
        <f>'C1 - Deconstruction'!B97</f>
        <v>5.3616599502692708E-11</v>
      </c>
      <c r="K14" s="1">
        <f>'D- Benefits &amp; Burdens'!N171</f>
        <v>-1.2277425571029703E-8</v>
      </c>
      <c r="L14" s="1">
        <f t="shared" si="1"/>
        <v>1.5051690639249653E-8</v>
      </c>
      <c r="M14" s="1">
        <f t="shared" si="0"/>
        <v>1.5440181152090224E-8</v>
      </c>
      <c r="Q14" s="67"/>
    </row>
    <row r="15" spans="1:17" x14ac:dyDescent="0.35">
      <c r="A15" s="39" t="s">
        <v>181</v>
      </c>
      <c r="B15" s="39" t="s">
        <v>180</v>
      </c>
      <c r="C15" s="1">
        <f>'A1 - Raw Material Supply'!Z125</f>
        <v>3.4070687842926792E-7</v>
      </c>
      <c r="D15" s="1">
        <f>'C3'' - Secondary Raw Material '!F331</f>
        <v>2.7167563726420761E-10</v>
      </c>
      <c r="E15" s="1">
        <f>'A2 - Transport'!Z129</f>
        <v>9.029024352695233E-8</v>
      </c>
      <c r="F15" s="1">
        <f>'C2''- Transport Secondary'!H69</f>
        <v>2.3696946E-8</v>
      </c>
      <c r="G15" s="1">
        <f>'A3 - Production '!D217</f>
        <v>3.7539188486920175E-8</v>
      </c>
      <c r="H15" s="1">
        <f>'A4 - Transport'!B28</f>
        <v>2.1498052575999998E-8</v>
      </c>
      <c r="I15" s="1">
        <f>'A5 - Construction'!E150</f>
        <v>1.8832761696818848E-9</v>
      </c>
      <c r="J15" s="1">
        <f>'C1 - Deconstruction'!B98</f>
        <v>1.4291011930392459E-9</v>
      </c>
      <c r="K15" s="1">
        <f>'D- Benefits &amp; Burdens'!N172</f>
        <v>-3.6768654606369619E-7</v>
      </c>
      <c r="L15" s="1">
        <f t="shared" si="1"/>
        <v>4.9250493208040465E-7</v>
      </c>
      <c r="M15" s="1">
        <f t="shared" si="0"/>
        <v>5.1731536201912583E-7</v>
      </c>
      <c r="Q15" s="67"/>
    </row>
    <row r="16" spans="1:17" ht="29" x14ac:dyDescent="0.35">
      <c r="A16" s="39" t="s">
        <v>182</v>
      </c>
      <c r="B16" s="39" t="s">
        <v>183</v>
      </c>
      <c r="C16" s="1">
        <f>'A1 - Raw Material Supply'!Z126</f>
        <v>0.36832763264442137</v>
      </c>
      <c r="D16" s="1">
        <f>'C3'' - Secondary Raw Material '!F332</f>
        <v>6.6519868279014841E-4</v>
      </c>
      <c r="E16" s="1">
        <f>'A2 - Transport'!Z130</f>
        <v>9.5087009053033716E-2</v>
      </c>
      <c r="F16" s="1">
        <f>'C2''- Transport Secondary'!H70</f>
        <v>2.0054284200000001E-2</v>
      </c>
      <c r="G16" s="1">
        <f>'A3 - Production '!D218</f>
        <v>2.4345009703244314</v>
      </c>
      <c r="H16" s="1">
        <f>'A4 - Transport'!B29</f>
        <v>1.8193401635199998E-2</v>
      </c>
      <c r="I16" s="1">
        <f>'A5 - Construction'!E151</f>
        <v>4.6112078359980043E-3</v>
      </c>
      <c r="J16" s="1">
        <f>'C1 - Deconstruction'!B99</f>
        <v>3.4991589262714472E-3</v>
      </c>
      <c r="K16" s="1">
        <f>'D- Benefits &amp; Burdens'!N173</f>
        <v>-0.53381530853857695</v>
      </c>
      <c r="L16" s="1">
        <f t="shared" si="1"/>
        <v>2.9186350949046767</v>
      </c>
      <c r="M16" s="1">
        <f t="shared" si="0"/>
        <v>2.9449388633021458</v>
      </c>
      <c r="Q16" s="67"/>
    </row>
    <row r="17" spans="1:17" x14ac:dyDescent="0.35">
      <c r="A17" s="39" t="s">
        <v>184</v>
      </c>
      <c r="B17" s="39" t="s">
        <v>185</v>
      </c>
      <c r="C17" s="1">
        <f>'A1 - Raw Material Supply'!Z127</f>
        <v>398.57098536000211</v>
      </c>
      <c r="D17" s="1">
        <f>'C3'' - Secondary Raw Material '!F333</f>
        <v>0.11390463257521803</v>
      </c>
      <c r="E17" s="1">
        <f>'A2 - Transport'!Z131</f>
        <v>15.3456484294957</v>
      </c>
      <c r="F17" s="1">
        <f>'C2''- Transport Secondary'!H71</f>
        <v>2.7896668398000002</v>
      </c>
      <c r="G17" s="1">
        <f>'A3 - Production '!D219</f>
        <v>12.530409126674289</v>
      </c>
      <c r="H17" s="1">
        <f>'A4 - Transport'!B30</f>
        <v>2.5308073197088001</v>
      </c>
      <c r="I17" s="1">
        <f>'A5 - Construction'!E152</f>
        <v>0.78959557178350104</v>
      </c>
      <c r="J17" s="1">
        <f>'C1 - Deconstruction'!B100</f>
        <v>0.59917498655808599</v>
      </c>
      <c r="K17" s="1">
        <f>'D- Benefits &amp; Burdens'!N174</f>
        <v>-497.05854968632673</v>
      </c>
      <c r="L17" s="1">
        <f t="shared" si="1"/>
        <v>429.35061438854734</v>
      </c>
      <c r="M17" s="1">
        <f t="shared" si="0"/>
        <v>433.27019226659769</v>
      </c>
      <c r="Q17" s="67"/>
    </row>
    <row r="18" spans="1:17" ht="29" x14ac:dyDescent="0.35">
      <c r="A18" s="39" t="s">
        <v>186</v>
      </c>
      <c r="B18" s="39" t="s">
        <v>187</v>
      </c>
      <c r="C18" s="1">
        <f>'A1 - Raw Material Supply'!Z128</f>
        <v>2.0688896649994371E-4</v>
      </c>
      <c r="D18" s="1">
        <f>'C3'' - Secondary Raw Material '!F334</f>
        <v>2.6007934671855809E-8</v>
      </c>
      <c r="E18" s="1">
        <f>'A2 - Transport'!Z132</f>
        <v>1.4367990352975264E-5</v>
      </c>
      <c r="F18" s="1">
        <f>'C2''- Transport Secondary'!H72</f>
        <v>3.6253358999999996E-6</v>
      </c>
      <c r="G18" s="1">
        <f>'A3 - Production '!D220</f>
        <v>2.9920344172883855E-5</v>
      </c>
      <c r="H18" s="1">
        <f>'A4 - Transport'!B31</f>
        <v>3.2889327503999994E-6</v>
      </c>
      <c r="I18" s="1">
        <f>'A5 - Construction'!E153</f>
        <v>1.8028898020957092E-7</v>
      </c>
      <c r="J18" s="1">
        <f>'C1 - Deconstruction'!B101</f>
        <v>1.3681009766764487E-7</v>
      </c>
      <c r="K18" s="1">
        <f>'D- Benefits &amp; Burdens'!N175</f>
        <v>-1.1218934290738403E-5</v>
      </c>
      <c r="L18" s="1">
        <f t="shared" si="1"/>
        <v>2.5482864486047466E-4</v>
      </c>
      <c r="M18" s="1">
        <f t="shared" si="0"/>
        <v>2.5843467668875184E-4</v>
      </c>
      <c r="Q18" s="67"/>
    </row>
    <row r="19" spans="1:17" x14ac:dyDescent="0.35">
      <c r="A19" s="39" t="s">
        <v>188</v>
      </c>
      <c r="B19" s="39" t="s">
        <v>189</v>
      </c>
      <c r="C19" s="1">
        <f>'A1 - Raw Material Supply'!Z129</f>
        <v>4.1109312425785028E-8</v>
      </c>
      <c r="D19" s="1">
        <f>'C3'' - Secondary Raw Material '!F335</f>
        <v>3.7585564815097762E-9</v>
      </c>
      <c r="E19" s="1">
        <f>'A2 - Transport'!Z133</f>
        <v>2.8401137704428265E-7</v>
      </c>
      <c r="F19" s="1">
        <f>'C2''- Transport Secondary'!H73</f>
        <v>7.306727399999999E-8</v>
      </c>
      <c r="G19" s="1">
        <f>'A3 - Production '!D221</f>
        <v>2.5419213736085242E-6</v>
      </c>
      <c r="H19" s="1">
        <f>'A4 - Transport'!B32</f>
        <v>6.6287195743999988E-8</v>
      </c>
      <c r="I19" s="1">
        <f>'A5 - Construction'!E154</f>
        <v>2.6054599246773572E-8</v>
      </c>
      <c r="J19" s="1">
        <f>'C1 - Deconstruction'!B102</f>
        <v>1.9771215431464347E-8</v>
      </c>
      <c r="K19" s="1">
        <f>'D- Benefits &amp; Burdens'!N176</f>
        <v>-9.0273051101908152E-8</v>
      </c>
      <c r="L19" s="1">
        <f t="shared" si="1"/>
        <v>2.9438678935601016E-6</v>
      </c>
      <c r="M19" s="1">
        <f t="shared" si="0"/>
        <v>3.0559809039823392E-6</v>
      </c>
      <c r="Q19" s="67"/>
    </row>
    <row r="20" spans="1:17" x14ac:dyDescent="0.35">
      <c r="A20" s="39" t="s">
        <v>190</v>
      </c>
      <c r="B20" s="39" t="s">
        <v>191</v>
      </c>
      <c r="C20" s="1">
        <f>'A1 - Raw Material Supply'!Z130</f>
        <v>1.2734898763329554E-6</v>
      </c>
      <c r="D20" s="1">
        <f>'C3'' - Secondary Raw Material '!F336</f>
        <v>1.6427613993186483E-9</v>
      </c>
      <c r="E20" s="1">
        <f>'A2 - Transport'!Z134</f>
        <v>7.7334270024253948E-7</v>
      </c>
      <c r="F20" s="1">
        <f>'C2''- Transport Secondary'!H74</f>
        <v>2.0367909899999997E-7</v>
      </c>
      <c r="G20" s="1">
        <f>'A3 - Production '!D222</f>
        <v>8.50882970109345E-8</v>
      </c>
      <c r="H20" s="1">
        <f>'A4 - Transport'!B33</f>
        <v>1.8477925294399999E-7</v>
      </c>
      <c r="I20" s="1">
        <f>'A5 - Construction'!E155</f>
        <v>1.138774689907637E-8</v>
      </c>
      <c r="J20" s="1">
        <f>'C1 - Deconstruction'!B103</f>
        <v>8.6414530919530463E-9</v>
      </c>
      <c r="K20" s="1">
        <f>'D- Benefits &amp; Burdens'!N177</f>
        <v>-1.3913769144658523E-6</v>
      </c>
      <c r="L20" s="1">
        <f t="shared" si="1"/>
        <v>2.3372427339857479E-6</v>
      </c>
      <c r="M20" s="1">
        <f t="shared" si="0"/>
        <v>2.5420511869207773E-6</v>
      </c>
      <c r="Q20" s="67"/>
    </row>
    <row r="21" spans="1:17" ht="29" x14ac:dyDescent="0.35">
      <c r="A21" s="39" t="s">
        <v>192</v>
      </c>
      <c r="B21" s="39" t="s">
        <v>193</v>
      </c>
      <c r="C21" s="1">
        <f>'A1 - Raw Material Supply'!Z131</f>
        <v>8.7741374185691778E-2</v>
      </c>
      <c r="D21" s="1">
        <f>'C3'' - Secondary Raw Material '!F337</f>
        <v>4.1082738634614822E-4</v>
      </c>
      <c r="E21" s="1">
        <f>'A2 - Transport'!Z135</f>
        <v>3.9222702725384487E-2</v>
      </c>
      <c r="F21" s="1">
        <f>'C2''- Transport Secondary'!H75</f>
        <v>8.5432211999999993E-3</v>
      </c>
      <c r="G21" s="1">
        <f>'A3 - Production '!D223</f>
        <v>1.8088153641400439E-2</v>
      </c>
      <c r="H21" s="1">
        <f>'A4 - Transport'!B34</f>
        <v>7.7504763071999981E-3</v>
      </c>
      <c r="I21" s="1">
        <f>'A5 - Construction'!E156</f>
        <v>2.8478866723185801E-3</v>
      </c>
      <c r="J21" s="1">
        <f>'C1 - Deconstruction'!B104</f>
        <v>2.1610841291208631E-3</v>
      </c>
      <c r="K21" s="1">
        <f>'D- Benefits &amp; Burdens'!N178</f>
        <v>-9.3855927670716655E-2</v>
      </c>
      <c r="L21" s="1">
        <f t="shared" si="1"/>
        <v>0.15400627913882287</v>
      </c>
      <c r="M21" s="1">
        <f t="shared" si="0"/>
        <v>0.1667657262474623</v>
      </c>
      <c r="Q21" s="67"/>
    </row>
    <row r="22" spans="1:17" ht="29" x14ac:dyDescent="0.35">
      <c r="A22" s="39" t="s">
        <v>194</v>
      </c>
      <c r="B22" s="39" t="s">
        <v>195</v>
      </c>
      <c r="C22" s="1">
        <f>'A1 - Raw Material Supply'!Z132</f>
        <v>3.596331080512662</v>
      </c>
      <c r="D22" s="1">
        <f>'C3'' - Secondary Raw Material '!F338</f>
        <v>2.9984053368853725E-3</v>
      </c>
      <c r="E22" s="1">
        <f>'A2 - Transport'!Z136</f>
        <v>0.43325272699209499</v>
      </c>
      <c r="F22" s="1">
        <f>'C2''- Transport Secondary'!H76</f>
        <v>0.10073011229999999</v>
      </c>
      <c r="G22" s="1">
        <f>'A3 - Production '!D224</f>
        <v>0.82098728009036559</v>
      </c>
      <c r="H22" s="1">
        <f>'A4 - Transport'!B35</f>
        <v>9.1383136468799989E-2</v>
      </c>
      <c r="I22" s="1">
        <f>'A5 - Construction'!E157</f>
        <v>2.0785173727269492E-2</v>
      </c>
      <c r="J22" s="1">
        <f>'C1 - Deconstruction'!B105</f>
        <v>1.5772576029667661E-2</v>
      </c>
      <c r="K22" s="1">
        <f>'D- Benefits &amp; Burdens'!N179</f>
        <v>-4.6045058813512343</v>
      </c>
      <c r="L22" s="1">
        <f t="shared" si="1"/>
        <v>4.9542996052320083</v>
      </c>
      <c r="M22" s="1">
        <f t="shared" si="0"/>
        <v>5.0822404914577453</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8.482183156531046E-5</v>
      </c>
      <c r="E28" s="1">
        <f t="shared" ref="E28" si="3">(D4/$B28)*$C28</f>
        <v>2.3778484406484672E-7</v>
      </c>
      <c r="F28" s="1">
        <f t="shared" ref="F28" si="4">(E4/$B28)*$C28</f>
        <v>2.6294270007088078E-5</v>
      </c>
      <c r="G28" s="1">
        <f t="shared" ref="G28" si="5">(F4/$B28)*$C28</f>
        <v>5.4641909136690651E-6</v>
      </c>
      <c r="H28" s="1">
        <f t="shared" ref="H28" si="6">(G4/$B28)*$C28</f>
        <v>2.1285756867650805E-5</v>
      </c>
      <c r="I28" s="1">
        <f t="shared" ref="I28" si="7">(H4/$B28)*$C28</f>
        <v>4.9571562321726611E-6</v>
      </c>
      <c r="J28" s="1">
        <f t="shared" ref="J28" si="8">(I4/$B28)*$C28</f>
        <v>1.6483426149226037E-6</v>
      </c>
      <c r="K28" s="1">
        <f t="shared" ref="K28" si="9">(J4/$B28)*$C28</f>
        <v>1.2508247252558979E-6</v>
      </c>
      <c r="L28" s="1">
        <f t="shared" ref="L28" si="10">(K4/$B28)*$C28</f>
        <v>-8.7422412899882082E-5</v>
      </c>
      <c r="M28" s="1">
        <f>SUM(D28:H28)*1000</f>
        <v>0.13810383419778327</v>
      </c>
      <c r="N28" s="1">
        <f>SUM(D28:K28)*1000</f>
        <v>0.14596015777013444</v>
      </c>
      <c r="O28" s="1">
        <f>SUM(D28:L28)*1000</f>
        <v>5.8537744870252352E-2</v>
      </c>
    </row>
    <row r="29" spans="1:17" x14ac:dyDescent="0.35">
      <c r="A29" s="39" t="s">
        <v>164</v>
      </c>
      <c r="B29" s="154">
        <v>8100</v>
      </c>
      <c r="C29" s="154">
        <v>0.21059999999999998</v>
      </c>
      <c r="D29" s="1">
        <f t="shared" ref="D29:D46" si="11">(C5/$B29)*$C29</f>
        <v>3.7974889864201124E-4</v>
      </c>
      <c r="E29" s="1">
        <f t="shared" ref="E29:E46" si="12">(D5/$B29)*$C29</f>
        <v>4.3365487867971042E-6</v>
      </c>
      <c r="F29" s="1">
        <f t="shared" ref="F29:F46" si="13">(E5/$B29)*$C29</f>
        <v>3.3470957531981618E-4</v>
      </c>
      <c r="G29" s="1">
        <f t="shared" ref="G29:G46" si="14">(F5/$B29)*$C29</f>
        <v>8.5436483113799982E-5</v>
      </c>
      <c r="H29" s="1">
        <f t="shared" ref="H29:H46" si="15">(G5/$B29)*$C29</f>
        <v>4.9296621768869548E-4</v>
      </c>
      <c r="I29" s="1">
        <f t="shared" ref="I29:I46" si="16">(H5/$B29)*$C29</f>
        <v>7.7508637859452788E-5</v>
      </c>
      <c r="J29" s="1">
        <f t="shared" ref="J29:J46" si="17">(I5/$B29)*$C29</f>
        <v>3.0061285844690778E-5</v>
      </c>
      <c r="K29" s="1">
        <f t="shared" ref="K29:K46" si="18">(J5/$B29)*$C29</f>
        <v>2.2811640776083373E-5</v>
      </c>
      <c r="L29" s="1">
        <f t="shared" ref="L29:L46" si="19">(K5/$B29)*$C29</f>
        <v>-4.5231959555577583E-4</v>
      </c>
      <c r="M29" s="1">
        <f>SUM(D29:H29)*1000</f>
        <v>1.2971977235511201</v>
      </c>
      <c r="N29" s="1">
        <f t="shared" ref="N29:N46" si="20">SUM(D29:K29)*1000</f>
        <v>1.4275792880313469</v>
      </c>
      <c r="O29" s="1">
        <f>SUM(D29:L29)*1000</f>
        <v>0.97525969247557132</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2.9140481063330066E-4</v>
      </c>
      <c r="E33" s="1">
        <f t="shared" si="12"/>
        <v>3.3135998232230473E-8</v>
      </c>
      <c r="F33" s="1">
        <f t="shared" si="13"/>
        <v>5.013249207946705E-6</v>
      </c>
      <c r="G33" s="1">
        <f t="shared" si="14"/>
        <v>1.2690524377180326E-6</v>
      </c>
      <c r="H33" s="1">
        <f t="shared" si="15"/>
        <v>4.7564411037799543E-6</v>
      </c>
      <c r="I33" s="1">
        <f t="shared" si="16"/>
        <v>1.1512941805987671E-6</v>
      </c>
      <c r="J33" s="1">
        <f t="shared" si="17"/>
        <v>2.2970125866932963E-7</v>
      </c>
      <c r="K33" s="1">
        <f t="shared" si="18"/>
        <v>1.7430600359712764E-7</v>
      </c>
      <c r="L33" s="1">
        <f t="shared" si="19"/>
        <v>-3.0548191817616934E-4</v>
      </c>
      <c r="M33" s="1">
        <f t="shared" ref="M33:M46" si="21">SUM(D33:H33)*1000</f>
        <v>0.3024766893809776</v>
      </c>
      <c r="N33" s="1">
        <f t="shared" si="20"/>
        <v>0.3040319908238428</v>
      </c>
      <c r="O33" s="1">
        <f t="shared" ref="O33:O46" si="22">SUM(D33:L33)*1000</f>
        <v>-1.4499273523265409E-3</v>
      </c>
    </row>
    <row r="34" spans="1:15" x14ac:dyDescent="0.35">
      <c r="A34" s="39" t="s">
        <v>171</v>
      </c>
      <c r="B34" s="154">
        <v>65000</v>
      </c>
      <c r="C34" s="154">
        <v>7.5499999999999998E-2</v>
      </c>
      <c r="D34" s="1">
        <f t="shared" si="11"/>
        <v>1.2232474282127992E-3</v>
      </c>
      <c r="E34" s="1">
        <f t="shared" si="12"/>
        <v>2.5732973276371616E-6</v>
      </c>
      <c r="F34" s="1">
        <f t="shared" si="13"/>
        <v>2.0041773681726152E-4</v>
      </c>
      <c r="G34" s="1">
        <f t="shared" si="14"/>
        <v>5.1370657334861521E-5</v>
      </c>
      <c r="H34" s="1">
        <f t="shared" si="15"/>
        <v>4.1273785726393751E-4</v>
      </c>
      <c r="I34" s="1">
        <f t="shared" si="16"/>
        <v>4.6603857402069157E-5</v>
      </c>
      <c r="J34" s="1">
        <f t="shared" si="17"/>
        <v>1.7838292691413218E-5</v>
      </c>
      <c r="K34" s="1">
        <f t="shared" si="18"/>
        <v>1.3536371233002972E-5</v>
      </c>
      <c r="L34" s="1">
        <f t="shared" si="19"/>
        <v>-1.3249619789908761E-3</v>
      </c>
      <c r="M34" s="1">
        <f t="shared" si="21"/>
        <v>1.8903469769564969</v>
      </c>
      <c r="N34" s="1">
        <f t="shared" si="20"/>
        <v>1.9683254982829821</v>
      </c>
      <c r="O34" s="1">
        <f t="shared" si="22"/>
        <v>0.64336351929210589</v>
      </c>
    </row>
    <row r="35" spans="1:15" x14ac:dyDescent="0.35">
      <c r="A35" s="39" t="s">
        <v>173</v>
      </c>
      <c r="B35" s="154">
        <v>1.61</v>
      </c>
      <c r="C35" s="154">
        <v>2.7999999999999997E-2</v>
      </c>
      <c r="D35" s="1">
        <f t="shared" si="11"/>
        <v>6.723063960645233E-6</v>
      </c>
      <c r="E35" s="1">
        <f t="shared" si="12"/>
        <v>3.0664335698171552E-8</v>
      </c>
      <c r="F35" s="1">
        <f t="shared" si="13"/>
        <v>5.9218304775871075E-6</v>
      </c>
      <c r="G35" s="1">
        <f t="shared" si="14"/>
        <v>1.3329683999999999E-6</v>
      </c>
      <c r="H35" s="1">
        <f t="shared" si="15"/>
        <v>1.1743213409030388E-5</v>
      </c>
      <c r="I35" s="1">
        <f t="shared" si="16"/>
        <v>1.2092792356173908E-6</v>
      </c>
      <c r="J35" s="1">
        <f t="shared" si="17"/>
        <v>2.1256750609304743E-7</v>
      </c>
      <c r="K35" s="1">
        <f t="shared" si="18"/>
        <v>1.6130426405292678E-7</v>
      </c>
      <c r="L35" s="1">
        <f t="shared" si="19"/>
        <v>-1.293645453855939E-5</v>
      </c>
      <c r="M35" s="1">
        <f t="shared" si="21"/>
        <v>2.57517405829609E-2</v>
      </c>
      <c r="N35" s="1">
        <f t="shared" si="20"/>
        <v>2.7334891588724267E-2</v>
      </c>
      <c r="O35" s="1">
        <f t="shared" si="22"/>
        <v>1.4398437050164876E-2</v>
      </c>
    </row>
    <row r="36" spans="1:15" x14ac:dyDescent="0.35">
      <c r="A36" s="39" t="s">
        <v>175</v>
      </c>
      <c r="B36" s="154">
        <v>19.5</v>
      </c>
      <c r="C36" s="154">
        <v>2.9600000000000001E-2</v>
      </c>
      <c r="D36" s="1">
        <f t="shared" si="11"/>
        <v>3.5225382136623061E-5</v>
      </c>
      <c r="E36" s="1">
        <f t="shared" si="12"/>
        <v>7.3196027254334448E-8</v>
      </c>
      <c r="F36" s="1">
        <f t="shared" si="13"/>
        <v>9.6885564293601238E-6</v>
      </c>
      <c r="G36" s="1">
        <f t="shared" si="14"/>
        <v>1.6212634043076922E-6</v>
      </c>
      <c r="H36" s="1">
        <f t="shared" si="15"/>
        <v>7.5447951425584341E-6</v>
      </c>
      <c r="I36" s="1">
        <f t="shared" si="16"/>
        <v>1.4708226918925125E-6</v>
      </c>
      <c r="J36" s="1">
        <f t="shared" si="17"/>
        <v>5.0740042512319476E-7</v>
      </c>
      <c r="K36" s="1">
        <f t="shared" si="18"/>
        <v>3.8503463515638476E-7</v>
      </c>
      <c r="L36" s="1">
        <f t="shared" si="19"/>
        <v>-3.6665575054247082E-5</v>
      </c>
      <c r="M36" s="1">
        <f t="shared" si="21"/>
        <v>5.4153193140103653E-2</v>
      </c>
      <c r="N36" s="1">
        <f t="shared" si="20"/>
        <v>5.6516450892275742E-2</v>
      </c>
      <c r="O36" s="1">
        <f t="shared" si="22"/>
        <v>1.9850875838028664E-2</v>
      </c>
    </row>
    <row r="37" spans="1:15" x14ac:dyDescent="0.35">
      <c r="A37" s="39" t="s">
        <v>177</v>
      </c>
      <c r="B37" s="154">
        <v>177</v>
      </c>
      <c r="C37" s="154">
        <v>3.7100000000000001E-2</v>
      </c>
      <c r="D37" s="1">
        <f t="shared" si="11"/>
        <v>5.8757548935553968E-5</v>
      </c>
      <c r="E37" s="1">
        <f t="shared" si="12"/>
        <v>1.0987776765633682E-7</v>
      </c>
      <c r="F37" s="1">
        <f t="shared" si="13"/>
        <v>1.453592466050773E-5</v>
      </c>
      <c r="G37" s="1">
        <f t="shared" si="14"/>
        <v>2.4231970011864408E-6</v>
      </c>
      <c r="H37" s="1">
        <f t="shared" si="15"/>
        <v>1.1224591377950029E-5</v>
      </c>
      <c r="I37" s="1">
        <f t="shared" si="16"/>
        <v>2.1983430495014689E-6</v>
      </c>
      <c r="J37" s="1">
        <f t="shared" si="17"/>
        <v>7.6168103805266902E-7</v>
      </c>
      <c r="K37" s="1">
        <f t="shared" si="18"/>
        <v>5.7799238248753979E-7</v>
      </c>
      <c r="L37" s="1">
        <f t="shared" si="19"/>
        <v>-5.9054677103853632E-5</v>
      </c>
      <c r="M37" s="1">
        <f t="shared" si="21"/>
        <v>8.70511397428545E-2</v>
      </c>
      <c r="N37" s="1">
        <f t="shared" si="20"/>
        <v>9.0589156212896177E-2</v>
      </c>
      <c r="O37" s="1">
        <f t="shared" si="22"/>
        <v>3.1534479109042536E-2</v>
      </c>
    </row>
    <row r="38" spans="1:15" x14ac:dyDescent="0.35">
      <c r="A38" s="39" t="s">
        <v>179</v>
      </c>
      <c r="B38" s="154">
        <v>1.6900000000000001E-5</v>
      </c>
      <c r="C38" s="154">
        <v>2.1299999999999999E-2</v>
      </c>
      <c r="D38" s="1">
        <f t="shared" si="11"/>
        <v>1.4727860964877037E-5</v>
      </c>
      <c r="E38" s="1">
        <f t="shared" si="12"/>
        <v>1.2846353778871438E-8</v>
      </c>
      <c r="F38" s="1">
        <f t="shared" si="13"/>
        <v>1.4732196031349976E-6</v>
      </c>
      <c r="G38" s="1">
        <f t="shared" si="14"/>
        <v>3.6706931520710053E-7</v>
      </c>
      <c r="H38" s="1">
        <f t="shared" si="15"/>
        <v>2.3894777639497777E-6</v>
      </c>
      <c r="I38" s="1">
        <f t="shared" si="16"/>
        <v>3.3300812000662713E-7</v>
      </c>
      <c r="J38" s="1">
        <f t="shared" si="17"/>
        <v>8.9051900945844519E-8</v>
      </c>
      <c r="K38" s="1">
        <f t="shared" si="18"/>
        <v>6.7575950852506183E-8</v>
      </c>
      <c r="L38" s="1">
        <f t="shared" si="19"/>
        <v>-1.5473915068812583E-5</v>
      </c>
      <c r="M38" s="1">
        <f t="shared" si="21"/>
        <v>1.8970474000947785E-2</v>
      </c>
      <c r="N38" s="1">
        <f t="shared" si="20"/>
        <v>1.9460109972752763E-2</v>
      </c>
      <c r="O38" s="1">
        <f t="shared" si="22"/>
        <v>3.9861949039401807E-3</v>
      </c>
    </row>
    <row r="39" spans="1:15" x14ac:dyDescent="0.35">
      <c r="A39" s="39" t="s">
        <v>181</v>
      </c>
      <c r="B39" s="154">
        <v>2.3000000000000001E-4</v>
      </c>
      <c r="C39" s="154">
        <v>1.84E-2</v>
      </c>
      <c r="D39" s="1">
        <f t="shared" si="11"/>
        <v>2.7256550274341431E-5</v>
      </c>
      <c r="E39" s="1">
        <f t="shared" si="12"/>
        <v>2.1734050981136607E-8</v>
      </c>
      <c r="F39" s="1">
        <f t="shared" si="13"/>
        <v>7.223219482156186E-6</v>
      </c>
      <c r="G39" s="1">
        <f t="shared" si="14"/>
        <v>1.8957556799999999E-6</v>
      </c>
      <c r="H39" s="1">
        <f t="shared" si="15"/>
        <v>3.0031350789536139E-6</v>
      </c>
      <c r="I39" s="1">
        <f t="shared" si="16"/>
        <v>1.7198442060799998E-6</v>
      </c>
      <c r="J39" s="1">
        <f t="shared" si="17"/>
        <v>1.5066209357455078E-7</v>
      </c>
      <c r="K39" s="1">
        <f t="shared" si="18"/>
        <v>1.1432809544313966E-7</v>
      </c>
      <c r="L39" s="1">
        <f t="shared" si="19"/>
        <v>-2.9414923685095696E-5</v>
      </c>
      <c r="M39" s="1">
        <f t="shared" si="21"/>
        <v>3.9400394566432372E-2</v>
      </c>
      <c r="N39" s="1">
        <f t="shared" si="20"/>
        <v>4.1385228961530067E-2</v>
      </c>
      <c r="O39" s="1">
        <f t="shared" si="22"/>
        <v>1.1970305276434369E-2</v>
      </c>
    </row>
    <row r="40" spans="1:15" x14ac:dyDescent="0.35">
      <c r="A40" s="39" t="s">
        <v>182</v>
      </c>
      <c r="B40" s="154">
        <v>4220</v>
      </c>
      <c r="C40" s="154">
        <v>5.0099999999999999E-2</v>
      </c>
      <c r="D40" s="1">
        <f t="shared" si="11"/>
        <v>4.3727996197832966E-6</v>
      </c>
      <c r="E40" s="1">
        <f t="shared" si="12"/>
        <v>7.8972639828877798E-9</v>
      </c>
      <c r="F40" s="1">
        <f t="shared" si="13"/>
        <v>1.1288765766722723E-6</v>
      </c>
      <c r="G40" s="1">
        <f t="shared" si="14"/>
        <v>2.3808522237440761E-7</v>
      </c>
      <c r="H40" s="1">
        <f t="shared" si="15"/>
        <v>2.8902487823045975E-5</v>
      </c>
      <c r="I40" s="1">
        <f t="shared" si="16"/>
        <v>2.1599275401031279E-7</v>
      </c>
      <c r="J40" s="1">
        <f t="shared" si="17"/>
        <v>5.4744434261492891E-8</v>
      </c>
      <c r="K40" s="1">
        <f t="shared" si="18"/>
        <v>4.1542147442227365E-8</v>
      </c>
      <c r="L40" s="1">
        <f t="shared" si="19"/>
        <v>-6.3374755824129637E-6</v>
      </c>
      <c r="M40" s="1">
        <f t="shared" si="21"/>
        <v>3.4650146505858841E-2</v>
      </c>
      <c r="N40" s="1">
        <f t="shared" si="20"/>
        <v>3.4962425841572872E-2</v>
      </c>
      <c r="O40" s="1">
        <f t="shared" si="22"/>
        <v>2.8624950259159912E-2</v>
      </c>
    </row>
    <row r="41" spans="1:15" x14ac:dyDescent="0.35">
      <c r="A41" s="39" t="s">
        <v>184</v>
      </c>
      <c r="B41" s="154">
        <v>819000</v>
      </c>
      <c r="C41" s="154">
        <v>7.9399999999999998E-2</v>
      </c>
      <c r="D41" s="1">
        <f t="shared" si="11"/>
        <v>3.8640459386549657E-5</v>
      </c>
      <c r="E41" s="1">
        <f t="shared" si="12"/>
        <v>1.1042769018891711E-8</v>
      </c>
      <c r="F41" s="1">
        <f t="shared" si="13"/>
        <v>1.4877222042758956E-6</v>
      </c>
      <c r="G41" s="1">
        <f t="shared" si="14"/>
        <v>2.70451217436044E-7</v>
      </c>
      <c r="H41" s="1">
        <f t="shared" si="15"/>
        <v>1.2147918005591435E-6</v>
      </c>
      <c r="I41" s="1">
        <f t="shared" si="16"/>
        <v>2.4535543490217186E-7</v>
      </c>
      <c r="J41" s="1">
        <f t="shared" si="17"/>
        <v>7.6549314285238074E-8</v>
      </c>
      <c r="K41" s="1">
        <f t="shared" si="18"/>
        <v>5.8088515180356561E-8</v>
      </c>
      <c r="L41" s="1">
        <f t="shared" si="19"/>
        <v>-4.818858222844242E-5</v>
      </c>
      <c r="M41" s="1">
        <f t="shared" si="21"/>
        <v>4.162446737783964E-2</v>
      </c>
      <c r="N41" s="1">
        <f t="shared" si="20"/>
        <v>4.2004460642207406E-2</v>
      </c>
      <c r="O41" s="1">
        <f t="shared" si="22"/>
        <v>-6.1841215862350109E-3</v>
      </c>
    </row>
    <row r="42" spans="1:15" x14ac:dyDescent="0.35">
      <c r="A42" s="39" t="s">
        <v>186</v>
      </c>
      <c r="B42" s="154">
        <v>65000</v>
      </c>
      <c r="C42" s="154">
        <v>8.3199999999999996E-2</v>
      </c>
      <c r="D42" s="1">
        <f t="shared" si="11"/>
        <v>2.6481787711992796E-10</v>
      </c>
      <c r="E42" s="1">
        <f t="shared" si="12"/>
        <v>3.3290156379975435E-14</v>
      </c>
      <c r="F42" s="1">
        <f t="shared" si="13"/>
        <v>1.8391027651808337E-11</v>
      </c>
      <c r="G42" s="1">
        <f t="shared" si="14"/>
        <v>4.6404299519999989E-12</v>
      </c>
      <c r="H42" s="1">
        <f t="shared" si="15"/>
        <v>3.8298040541291334E-11</v>
      </c>
      <c r="I42" s="1">
        <f t="shared" si="16"/>
        <v>4.2098339205119994E-12</v>
      </c>
      <c r="J42" s="1">
        <f t="shared" si="17"/>
        <v>2.3076989466825078E-13</v>
      </c>
      <c r="K42" s="1">
        <f t="shared" si="18"/>
        <v>1.7511692501458543E-13</v>
      </c>
      <c r="L42" s="1">
        <f t="shared" si="19"/>
        <v>-1.4360235892145154E-11</v>
      </c>
      <c r="M42" s="1">
        <f t="shared" si="21"/>
        <v>3.2618066542140758E-7</v>
      </c>
      <c r="N42" s="1">
        <f t="shared" si="20"/>
        <v>3.3079638616160239E-7</v>
      </c>
      <c r="O42" s="1">
        <f t="shared" si="22"/>
        <v>3.1643615026945722E-7</v>
      </c>
    </row>
    <row r="43" spans="1:15" x14ac:dyDescent="0.35">
      <c r="A43" s="39" t="s">
        <v>188</v>
      </c>
      <c r="B43" s="154">
        <v>5.3600000000000002E-2</v>
      </c>
      <c r="C43" s="154">
        <v>6.3099999999999989E-2</v>
      </c>
      <c r="D43" s="1">
        <f t="shared" si="11"/>
        <v>4.8395477874384979E-8</v>
      </c>
      <c r="E43" s="1">
        <f t="shared" si="12"/>
        <v>4.4247185444639328E-9</v>
      </c>
      <c r="F43" s="1">
        <f t="shared" si="13"/>
        <v>3.3434921439354906E-7</v>
      </c>
      <c r="G43" s="1">
        <f t="shared" si="14"/>
        <v>8.6017630399253695E-8</v>
      </c>
      <c r="H43" s="1">
        <f t="shared" si="15"/>
        <v>2.9924484827368999E-6</v>
      </c>
      <c r="I43" s="1">
        <f t="shared" si="16"/>
        <v>7.8035859168776095E-8</v>
      </c>
      <c r="J43" s="1">
        <f t="shared" si="17"/>
        <v>3.0672485307302459E-8</v>
      </c>
      <c r="K43" s="1">
        <f t="shared" si="18"/>
        <v>2.3275442047115675E-8</v>
      </c>
      <c r="L43" s="1">
        <f t="shared" si="19"/>
        <v>-1.0627293889049259E-7</v>
      </c>
      <c r="M43" s="1">
        <f t="shared" si="21"/>
        <v>3.4656355239485515E-3</v>
      </c>
      <c r="N43" s="1">
        <f t="shared" si="20"/>
        <v>3.5976193104717458E-3</v>
      </c>
      <c r="O43" s="1">
        <f t="shared" si="22"/>
        <v>3.4913463715812534E-3</v>
      </c>
    </row>
    <row r="44" spans="1:15" x14ac:dyDescent="0.35">
      <c r="A44" s="39" t="s">
        <v>190</v>
      </c>
      <c r="B44" s="154">
        <v>5.9500000000000004E-4</v>
      </c>
      <c r="C44" s="154">
        <v>8.9600000000000013E-2</v>
      </c>
      <c r="D44" s="1">
        <f t="shared" si="11"/>
        <v>1.9177259314190391E-4</v>
      </c>
      <c r="E44" s="1">
        <f t="shared" si="12"/>
        <v>2.4738054013269055E-7</v>
      </c>
      <c r="F44" s="1">
        <f t="shared" si="13"/>
        <v>1.1645631250711183E-4</v>
      </c>
      <c r="G44" s="1">
        <f t="shared" si="14"/>
        <v>3.0671676084705877E-5</v>
      </c>
      <c r="H44" s="1">
        <f t="shared" si="15"/>
        <v>1.2813296491058373E-5</v>
      </c>
      <c r="I44" s="1">
        <f t="shared" si="16"/>
        <v>2.7825581619802354E-5</v>
      </c>
      <c r="J44" s="1">
        <f t="shared" si="17"/>
        <v>1.7148607095079711E-6</v>
      </c>
      <c r="K44" s="1">
        <f t="shared" si="18"/>
        <v>1.3013011714941059E-6</v>
      </c>
      <c r="L44" s="1">
        <f t="shared" si="19"/>
        <v>-2.0952499417838718E-4</v>
      </c>
      <c r="M44" s="1">
        <f t="shared" si="21"/>
        <v>0.35196125876491269</v>
      </c>
      <c r="N44" s="1">
        <f t="shared" si="20"/>
        <v>0.38280300226571717</v>
      </c>
      <c r="O44" s="1">
        <f t="shared" si="22"/>
        <v>0.17327800808732999</v>
      </c>
    </row>
    <row r="45" spans="1:15" x14ac:dyDescent="0.35">
      <c r="A45" s="39" t="s">
        <v>192</v>
      </c>
      <c r="B45" s="154">
        <v>40.6</v>
      </c>
      <c r="C45" s="154">
        <v>4.7800000000000002E-2</v>
      </c>
      <c r="D45" s="1">
        <f t="shared" si="11"/>
        <v>1.03301420839312E-4</v>
      </c>
      <c r="E45" s="1">
        <f t="shared" si="12"/>
        <v>4.8368347456516961E-7</v>
      </c>
      <c r="F45" s="1">
        <f t="shared" si="13"/>
        <v>4.617845296239849E-5</v>
      </c>
      <c r="G45" s="1">
        <f t="shared" si="14"/>
        <v>1.0058275205911329E-5</v>
      </c>
      <c r="H45" s="1">
        <f t="shared" si="15"/>
        <v>2.129590502608229E-5</v>
      </c>
      <c r="I45" s="1">
        <f t="shared" si="16"/>
        <v>9.1249450119251205E-6</v>
      </c>
      <c r="J45" s="1">
        <f t="shared" si="17"/>
        <v>3.3529306142075896E-6</v>
      </c>
      <c r="K45" s="1">
        <f t="shared" si="18"/>
        <v>2.5443305756644643E-6</v>
      </c>
      <c r="L45" s="1">
        <f t="shared" si="19"/>
        <v>-1.1050032863695211E-4</v>
      </c>
      <c r="M45" s="1">
        <f t="shared" si="21"/>
        <v>0.18131773750826929</v>
      </c>
      <c r="N45" s="1">
        <f t="shared" si="20"/>
        <v>0.19633994371006647</v>
      </c>
      <c r="O45" s="1">
        <f t="shared" si="22"/>
        <v>8.5839615073114356E-2</v>
      </c>
    </row>
    <row r="46" spans="1:15" x14ac:dyDescent="0.35">
      <c r="A46" s="39" t="s">
        <v>194</v>
      </c>
      <c r="B46" s="154">
        <v>11500</v>
      </c>
      <c r="C46" s="154">
        <v>8.5099999999999995E-2</v>
      </c>
      <c r="D46" s="1">
        <f t="shared" si="11"/>
        <v>2.6612849995793696E-5</v>
      </c>
      <c r="E46" s="1">
        <f t="shared" si="12"/>
        <v>2.2188199492951758E-8</v>
      </c>
      <c r="F46" s="1">
        <f t="shared" si="13"/>
        <v>3.2060701797415028E-6</v>
      </c>
      <c r="G46" s="1">
        <f t="shared" si="14"/>
        <v>7.4540283101999992E-7</v>
      </c>
      <c r="H46" s="1">
        <f t="shared" si="15"/>
        <v>6.0753058726687048E-6</v>
      </c>
      <c r="I46" s="1">
        <f t="shared" si="16"/>
        <v>6.7623520986911987E-7</v>
      </c>
      <c r="J46" s="1">
        <f t="shared" si="17"/>
        <v>1.5381028558179424E-7</v>
      </c>
      <c r="K46" s="1">
        <f t="shared" si="18"/>
        <v>1.1671706261954069E-7</v>
      </c>
      <c r="L46" s="1">
        <f t="shared" si="19"/>
        <v>-3.4073343521999133E-5</v>
      </c>
      <c r="M46" s="1">
        <f t="shared" si="21"/>
        <v>3.6661817078716852E-2</v>
      </c>
      <c r="N46" s="1">
        <f t="shared" si="20"/>
        <v>3.76085796367873E-2</v>
      </c>
      <c r="O46" s="1">
        <f t="shared" si="22"/>
        <v>3.5352361147881683E-3</v>
      </c>
    </row>
    <row r="47" spans="1:15" x14ac:dyDescent="0.35">
      <c r="A47" s="376" t="s">
        <v>200</v>
      </c>
      <c r="B47" s="377"/>
      <c r="C47" s="330">
        <f>SUM(C28:C46)</f>
        <v>1</v>
      </c>
      <c r="D47" s="88">
        <f>SUM(D28:D46)*1000</f>
        <v>2.4866621586045565</v>
      </c>
      <c r="E47" s="88">
        <f>SUM(E28:E46)*1000</f>
        <v>8.2057024911274066E-3</v>
      </c>
      <c r="F47" s="88">
        <f t="shared" ref="F47:L47" si="23">SUM(F28:F46)*1000</f>
        <v>0.77406938404047987</v>
      </c>
      <c r="G47" s="88">
        <f t="shared" si="23"/>
        <v>0.19325055043302664</v>
      </c>
      <c r="H47" s="88">
        <f t="shared" si="23"/>
        <v>1.0409457594906979</v>
      </c>
      <c r="I47" s="88">
        <f t="shared" si="23"/>
        <v>0.17531839307690317</v>
      </c>
      <c r="J47" s="88">
        <f t="shared" si="23"/>
        <v>5.688255344740651E-2</v>
      </c>
      <c r="K47" s="88">
        <f t="shared" si="23"/>
        <v>4.3164633155496616E-2</v>
      </c>
      <c r="L47" s="88">
        <f t="shared" si="23"/>
        <v>-2.732462462520592</v>
      </c>
      <c r="M47" s="1">
        <f>+SUM(M28:M46)</f>
        <v>4.5031335550598888</v>
      </c>
      <c r="N47" s="1">
        <f>+SUM(N28:N46)</f>
        <v>4.7784991347396941</v>
      </c>
      <c r="O47" s="1">
        <f>SUM(O28:O46)</f>
        <v>2.0460366722191026</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14.605726870846587</v>
      </c>
      <c r="D53" s="88">
        <f>'C3'' - Secondary Raw Material '!F321</f>
        <v>0.16679033795373477</v>
      </c>
      <c r="E53" s="88">
        <f>+'A2 - Transport'!Z119</f>
        <v>12.873445204608315</v>
      </c>
      <c r="F53" s="88">
        <f>+'C2''- Transport Secondary'!H59</f>
        <v>3.2860185812999996</v>
      </c>
      <c r="G53" s="88">
        <f>'A3 - Production '!D207</f>
        <v>18.960239141872904</v>
      </c>
      <c r="H53" s="88">
        <f>'A4 - Transport'!B18</f>
        <v>2.9811014561327998</v>
      </c>
      <c r="I53" s="88">
        <f>'A5 - Construction'!E140</f>
        <v>1.1562033017188762</v>
      </c>
      <c r="J53" s="88">
        <f>'C1 - Deconstruction'!B88</f>
        <v>0.87737079908012983</v>
      </c>
      <c r="K53" s="1">
        <f>'D- Benefits &amp; Burdens'!N162</f>
        <v>-17.396907521375994</v>
      </c>
      <c r="L53" s="1">
        <f>SUM(C53:G53)</f>
        <v>49.892220136581543</v>
      </c>
      <c r="M53" s="1">
        <f>SUM(C53:J53)</f>
        <v>54.906895693513349</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2.0850272267950576</v>
      </c>
      <c r="D60" s="244">
        <f>'A2 - Transport'!L119</f>
        <v>11.136836770194735</v>
      </c>
      <c r="E60" s="245">
        <f>'A1 - Raw Material Supply'!O115</f>
        <v>11.7448</v>
      </c>
      <c r="F60" s="245">
        <f>'A2 - Transport'!B119</f>
        <v>0.92165995176527982</v>
      </c>
      <c r="G60" s="245">
        <f>'A1 - Raw Material Supply'!N115</f>
        <v>0.12166438176342087</v>
      </c>
      <c r="H60" s="245">
        <f>'A2 - Transport'!O119</f>
        <v>0.16588837765499997</v>
      </c>
      <c r="I60" s="245">
        <f>'C3'' - Secondary Raw Material '!B321</f>
        <v>0.16679033795373477</v>
      </c>
      <c r="J60" s="245">
        <f>'C2''- Transport Secondary'!$D$59</f>
        <v>3.2860185812999996</v>
      </c>
      <c r="K60" s="245">
        <f>'C3'' - Secondary Raw Material '!C321+'C3'' - Secondary Raw Material '!D321+'C3'' - Secondary Raw Material '!E321</f>
        <v>0</v>
      </c>
      <c r="L60" s="245">
        <f>'C2''- Transport Secondary'!$G$59</f>
        <v>0</v>
      </c>
      <c r="M60" s="245">
        <f>'A1 - Raw Material Supply'!Y$115</f>
        <v>0.65423526228811013</v>
      </c>
      <c r="N60" s="245">
        <f>'A2 - Transport'!$Y$119</f>
        <v>0.64906010499329991</v>
      </c>
      <c r="O60" s="245">
        <f>'A3 - Production '!D207</f>
        <v>18.960239141872904</v>
      </c>
      <c r="P60" s="245">
        <f>'D- Benefits &amp; Burdens'!N162</f>
        <v>-17.396907521375994</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3.1803157476393562E-2</v>
      </c>
      <c r="D67" s="1">
        <f>'A2 - Transport'!L118</f>
        <v>2.0990374054909954E-2</v>
      </c>
      <c r="E67" s="62">
        <f>SUM(C67:D67)</f>
        <v>5.279353153130352E-2</v>
      </c>
      <c r="F67" s="1">
        <f>'A1 - Raw Material Supply'!O114</f>
        <v>3.8115199999999995E-2</v>
      </c>
      <c r="G67" s="1">
        <f>'A2 - Transport'!B118</f>
        <v>1.3743889942399998E-3</v>
      </c>
      <c r="H67" s="62">
        <f>SUM(F67:G67)</f>
        <v>3.9489588994239995E-2</v>
      </c>
      <c r="I67" s="1">
        <f>'A1 - Raw Material Supply'!N114</f>
        <v>9.3081697010435698E-4</v>
      </c>
      <c r="J67" s="1">
        <f>'A2 - Transport'!O118</f>
        <v>2.4737449000000001E-4</v>
      </c>
      <c r="K67" s="62">
        <f>SUM(I67:J67)</f>
        <v>1.178191460104357E-3</v>
      </c>
      <c r="L67" s="1">
        <f>'C3'' - Secondary Raw Material '!B320</f>
        <v>2.132393117742819E-4</v>
      </c>
      <c r="M67" s="1">
        <f>'C2''- Transport Secondary'!D58</f>
        <v>4.9001454E-3</v>
      </c>
      <c r="N67" s="62">
        <f t="shared" ref="N67" si="25">SUM(L67:M67)</f>
        <v>5.1133847117742822E-3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9.6788524140000007E-4</v>
      </c>
      <c r="T67" s="62">
        <f>SUM(R67:S67)</f>
        <v>6.1847403921805027E-3</v>
      </c>
      <c r="U67" s="62">
        <f>'A3 - Production '!D206</f>
        <v>1.9088517449054591E-2</v>
      </c>
      <c r="V67" s="62">
        <f>'A4 - Transport'!B17</f>
        <v>4.4454497823999996E-3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2.1384197099999998E-2</v>
      </c>
      <c r="AC67" s="1">
        <f>'D- Benefits &amp; Burdens'!C161</f>
        <v>9.7208322691190062E-4</v>
      </c>
      <c r="AD67" s="62">
        <f>SUM(AB67:AC67)</f>
        <v>2.23562803269119E-2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-7.8398163826345874E-2</v>
      </c>
    </row>
    <row r="68" spans="1:40" x14ac:dyDescent="0.35">
      <c r="A68" s="39" t="s">
        <v>164</v>
      </c>
      <c r="B68" s="39" t="s">
        <v>165</v>
      </c>
      <c r="C68" s="13">
        <f>'A1 - Raw Material Supply'!K115</f>
        <v>2.0850272267950576</v>
      </c>
      <c r="D68" s="1">
        <f>'A2 - Transport'!L119</f>
        <v>11.136836770194735</v>
      </c>
      <c r="E68" s="62">
        <f t="shared" ref="E68:E85" si="27">SUM(C68:D68)</f>
        <v>13.221863996989793</v>
      </c>
      <c r="F68" s="1">
        <f>'A1 - Raw Material Supply'!O115</f>
        <v>11.7448</v>
      </c>
      <c r="G68" s="1">
        <f>'A2 - Transport'!B119</f>
        <v>0.92165995176527982</v>
      </c>
      <c r="H68" s="62">
        <f t="shared" ref="H68:H85" si="28">SUM(F68:G68)</f>
        <v>12.66645995176528</v>
      </c>
      <c r="I68" s="1">
        <f>'A1 - Raw Material Supply'!N115</f>
        <v>0.12166438176342087</v>
      </c>
      <c r="J68" s="1">
        <f>'A2 - Transport'!O119</f>
        <v>0.16588837765499997</v>
      </c>
      <c r="K68" s="62">
        <f t="shared" ref="K68:K85" si="29">SUM(I68:J68)</f>
        <v>0.28755275941842084</v>
      </c>
      <c r="L68" s="1">
        <f>'C3'' - Secondary Raw Material '!B321</f>
        <v>0.16679033795373477</v>
      </c>
      <c r="M68" s="1">
        <f>'C2''- Transport Secondary'!D59</f>
        <v>3.2860185812999996</v>
      </c>
      <c r="N68" s="62">
        <f t="shared" ref="N68:N85" si="30">SUM(L68:M68)</f>
        <v>3.4528089192537346</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0.64906010499329991</v>
      </c>
      <c r="T68" s="62">
        <f t="shared" ref="T68:T85" si="32">SUM(R68:S68)</f>
        <v>1.30329536728141</v>
      </c>
      <c r="U68" s="62">
        <f>'A3 - Production '!D207</f>
        <v>18.960239141872904</v>
      </c>
      <c r="V68" s="62">
        <f>'A4 - Transport'!B18</f>
        <v>2.9811014561327998</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7.8166763366999996</v>
      </c>
      <c r="AC68" s="1">
        <f>'D- Benefits &amp; Burdens'!C162</f>
        <v>0.76033864762898462</v>
      </c>
      <c r="AD68" s="62">
        <f t="shared" ref="AD68:AD85" si="34">SUM(AB68:AC68)</f>
        <v>8.5770149843289847</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-17.396907521375994</v>
      </c>
    </row>
    <row r="69" spans="1:40" x14ac:dyDescent="0.35">
      <c r="A69" s="39" t="s">
        <v>166</v>
      </c>
      <c r="B69" s="39" t="s">
        <v>165</v>
      </c>
      <c r="C69" s="13">
        <f>'A1 - Raw Material Supply'!K116</f>
        <v>3.7755165310223359E-3</v>
      </c>
      <c r="D69" s="1">
        <f>'A2 - Transport'!L120</f>
        <v>5.0893523797048285E-3</v>
      </c>
      <c r="E69" s="62">
        <f t="shared" si="27"/>
        <v>8.8648689107271653E-3</v>
      </c>
      <c r="F69" s="1">
        <f>'A1 - Raw Material Supply'!O116</f>
        <v>4.6536000000000001E-2</v>
      </c>
      <c r="G69" s="1">
        <f>'A2 - Transport'!B120</f>
        <v>4.30742946576E-4</v>
      </c>
      <c r="H69" s="62">
        <f t="shared" si="28"/>
        <v>4.6966742946576004E-2</v>
      </c>
      <c r="I69" s="1">
        <f>'A1 - Raw Material Supply'!N116</f>
        <v>1.8973973943732778E-3</v>
      </c>
      <c r="J69" s="1">
        <f>'A2 - Transport'!O120</f>
        <v>7.7528863499999999E-5</v>
      </c>
      <c r="K69" s="62">
        <f t="shared" si="29"/>
        <v>1.974926257873278E-3</v>
      </c>
      <c r="L69" s="1">
        <f>'C3'' - Secondary Raw Material '!B322</f>
        <v>3.4471332246079752E-5</v>
      </c>
      <c r="M69" s="1">
        <f>'C2''- Transport Secondary'!D60</f>
        <v>1.53573921E-3</v>
      </c>
      <c r="N69" s="62">
        <f t="shared" si="30"/>
        <v>1.5702105422460797E-3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3.0334187961000001E-4</v>
      </c>
      <c r="T69" s="62">
        <f t="shared" si="32"/>
        <v>0.1071714523414066</v>
      </c>
      <c r="U69" s="62">
        <f>'A3 - Production '!D208</f>
        <v>6.4771325041198544E-3</v>
      </c>
      <c r="V69" s="62">
        <f>'A4 - Transport'!B19</f>
        <v>1.3932344817599999E-3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3.6127820399999996E-3</v>
      </c>
      <c r="AC69" s="1">
        <f>'D- Benefits &amp; Burdens'!C163</f>
        <v>1.5714271260259654E-4</v>
      </c>
      <c r="AD69" s="62">
        <f t="shared" si="34"/>
        <v>3.7699247526025961E-3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-6.718981468058205E-2</v>
      </c>
    </row>
    <row r="70" spans="1:40" x14ac:dyDescent="0.35">
      <c r="A70" s="39" t="s">
        <v>167</v>
      </c>
      <c r="B70" s="39" t="s">
        <v>165</v>
      </c>
      <c r="C70" s="13">
        <f>'A1 - Raw Material Supply'!K117</f>
        <v>2.0807187874350417</v>
      </c>
      <c r="D70" s="1">
        <f>'A2 - Transport'!L121</f>
        <v>11.13035122172373</v>
      </c>
      <c r="E70" s="62">
        <f t="shared" si="27"/>
        <v>13.211070009158771</v>
      </c>
      <c r="F70" s="1">
        <f>'A1 - Raw Material Supply'!O117</f>
        <v>11.700479999999999</v>
      </c>
      <c r="G70" s="1">
        <f>'A2 - Transport'!B121</f>
        <v>0.92115589920863994</v>
      </c>
      <c r="H70" s="62">
        <f t="shared" si="28"/>
        <v>12.621635899208639</v>
      </c>
      <c r="I70" s="1">
        <f>'A1 - Raw Material Supply'!N117</f>
        <v>0.11956136434225269</v>
      </c>
      <c r="J70" s="1">
        <f>'A2 - Transport'!O121</f>
        <v>0.16579765389000001</v>
      </c>
      <c r="K70" s="62">
        <f t="shared" si="29"/>
        <v>0.28535901823225268</v>
      </c>
      <c r="L70" s="1">
        <f>'C3'' - Secondary Raw Material '!B323</f>
        <v>0.16674849071700243</v>
      </c>
      <c r="M70" s="1">
        <f>'C2''- Transport Secondary'!D61</f>
        <v>3.2842214693999998</v>
      </c>
      <c r="N70" s="62">
        <f t="shared" si="30"/>
        <v>3.4509699601170021</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0.64870513632540006</v>
      </c>
      <c r="T70" s="62">
        <f t="shared" si="32"/>
        <v>1.195621357916737</v>
      </c>
      <c r="U70" s="62">
        <f>'A3 - Production '!D209</f>
        <v>18.950300390754627</v>
      </c>
      <c r="V70" s="62">
        <f>'A4 - Transport'!B20</f>
        <v>2.9794711023263996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7.8124489274999993</v>
      </c>
      <c r="AC70" s="1">
        <f>'D- Benefits &amp; Burdens'!C164</f>
        <v>0.76014788075498918</v>
      </c>
      <c r="AD70" s="62">
        <f t="shared" si="34"/>
        <v>8.572596808254989</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-17.329856326840261</v>
      </c>
    </row>
    <row r="71" spans="1:40" x14ac:dyDescent="0.35">
      <c r="A71" s="39" t="s">
        <v>168</v>
      </c>
      <c r="B71" s="39" t="s">
        <v>165</v>
      </c>
      <c r="C71" s="13">
        <f>'A1 - Raw Material Supply'!K118</f>
        <v>5.3292282899384614E-4</v>
      </c>
      <c r="D71" s="1">
        <f>'A2 - Transport'!L122</f>
        <v>1.3961828184995439E-3</v>
      </c>
      <c r="E71" s="62">
        <f t="shared" si="27"/>
        <v>1.92910564749339E-3</v>
      </c>
      <c r="F71" s="1">
        <f>'A1 - Raw Material Supply'!O118</f>
        <v>5.8723999999999998E-3</v>
      </c>
      <c r="G71" s="1">
        <f>'A2 - Transport'!B122</f>
        <v>7.3308448880000007E-5</v>
      </c>
      <c r="H71" s="62">
        <f t="shared" si="28"/>
        <v>5.9457084488800001E-3</v>
      </c>
      <c r="I71" s="1">
        <f>'A1 - Raw Material Supply'!N118</f>
        <v>2.0562002679489535E-4</v>
      </c>
      <c r="J71" s="1">
        <f>'A2 - Transport'!O122</f>
        <v>1.3194692499999999E-5</v>
      </c>
      <c r="K71" s="62">
        <f t="shared" si="29"/>
        <v>2.1881471929489536E-4</v>
      </c>
      <c r="L71" s="1">
        <f>'C3'' - Secondary Raw Material '!B324</f>
        <v>7.375904486254632E-6</v>
      </c>
      <c r="M71" s="1">
        <f>'C2''- Transport Secondary'!D62</f>
        <v>2.6136854999999997E-4</v>
      </c>
      <c r="N71" s="62">
        <f t="shared" si="30"/>
        <v>2.6874445448625458E-4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5.1625970550000002E-5</v>
      </c>
      <c r="T71" s="62">
        <f t="shared" si="32"/>
        <v>5.0255620552641829E-4</v>
      </c>
      <c r="U71" s="62">
        <f>'A3 - Production '!D210</f>
        <v>3.4616186141561236E-3</v>
      </c>
      <c r="V71" s="62">
        <f>'A4 - Transport'!B21</f>
        <v>2.3711556879999998E-4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6.1461266999999998E-4</v>
      </c>
      <c r="AC71" s="1">
        <f>'D- Benefits &amp; Burdens'!C165</f>
        <v>3.3624161392820239E-5</v>
      </c>
      <c r="AD71" s="62">
        <f t="shared" si="34"/>
        <v>6.4823683139282021E-4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-8.3879201934272674E-3</v>
      </c>
    </row>
    <row r="72" spans="1:40" x14ac:dyDescent="0.35">
      <c r="A72" s="39" t="s">
        <v>169</v>
      </c>
      <c r="B72" s="39" t="s">
        <v>170</v>
      </c>
      <c r="C72" s="13">
        <f>'A1 - Raw Material Supply'!K119</f>
        <v>13.399996813071043</v>
      </c>
      <c r="D72" s="1">
        <f>'A2 - Transport'!L123</f>
        <v>9.657706361730428</v>
      </c>
      <c r="E72" s="62">
        <f t="shared" si="27"/>
        <v>23.057703174801471</v>
      </c>
      <c r="F72" s="1">
        <f>'A1 - Raw Material Supply'!O119</f>
        <v>631.55999999999995</v>
      </c>
      <c r="G72" s="1">
        <f>'A2 - Transport'!B123</f>
        <v>0.79160206037808001</v>
      </c>
      <c r="H72" s="62">
        <f t="shared" si="28"/>
        <v>632.35160206037801</v>
      </c>
      <c r="I72" s="1">
        <f>'A1 - Raw Material Supply'!N119</f>
        <v>0.37977548705269193</v>
      </c>
      <c r="J72" s="1">
        <f>'A2 - Transport'!O123</f>
        <v>0.14247942670499997</v>
      </c>
      <c r="K72" s="62">
        <f t="shared" si="29"/>
        <v>0.52225491375769195</v>
      </c>
      <c r="L72" s="1">
        <f>'C3'' - Secondary Raw Material '!B325</f>
        <v>7.3693079401887573E-2</v>
      </c>
      <c r="M72" s="1">
        <f>'C2''- Transport Secondary'!D63</f>
        <v>2.8223197442999997</v>
      </c>
      <c r="N72" s="62">
        <f t="shared" si="30"/>
        <v>2.8960128237018874</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0.55746950427629993</v>
      </c>
      <c r="T72" s="62">
        <f t="shared" si="32"/>
        <v>3.2898541855036751</v>
      </c>
      <c r="U72" s="62">
        <f>'A3 - Production '!D211</f>
        <v>10.578126829760627</v>
      </c>
      <c r="V72" s="62">
        <f>'A4 - Transport'!B22</f>
        <v>2.5604302870607998</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6.6430287924</v>
      </c>
      <c r="AC72" s="1">
        <f>'D- Benefits &amp; Burdens'!C166</f>
        <v>0.33594090053099462</v>
      </c>
      <c r="AD72" s="62">
        <f t="shared" si="34"/>
        <v>6.9789696929309946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-679.37905761054333</v>
      </c>
    </row>
    <row r="73" spans="1:40" ht="29" x14ac:dyDescent="0.35">
      <c r="A73" s="39" t="s">
        <v>171</v>
      </c>
      <c r="B73" s="39" t="s">
        <v>172</v>
      </c>
      <c r="C73" s="13">
        <f>'A1 - Raw Material Supply'!K120</f>
        <v>28.609609980043139</v>
      </c>
      <c r="D73" s="1">
        <f>'A2 - Transport'!L124</f>
        <v>149.17212740316825</v>
      </c>
      <c r="E73" s="62">
        <f t="shared" si="27"/>
        <v>177.78173738321138</v>
      </c>
      <c r="F73" s="1">
        <f>'A1 - Raw Material Supply'!O120</f>
        <v>1014.928</v>
      </c>
      <c r="G73" s="1">
        <f>'A2 - Transport'!B124</f>
        <v>12.4045847292992</v>
      </c>
      <c r="H73" s="62">
        <f t="shared" si="28"/>
        <v>1027.3325847292992</v>
      </c>
      <c r="I73" s="1">
        <f>'A1 - Raw Material Supply'!N120</f>
        <v>2.0373321039625885</v>
      </c>
      <c r="J73" s="1">
        <f>'A2 - Transport'!O124</f>
        <v>2.2326850941999998</v>
      </c>
      <c r="K73" s="62">
        <f t="shared" si="29"/>
        <v>4.2700171981625878</v>
      </c>
      <c r="L73" s="1">
        <f>'C3'' - Secondary Raw Material '!B326</f>
        <v>2.2154215403498743</v>
      </c>
      <c r="M73" s="1">
        <f>'C2''- Transport Secondary'!D64</f>
        <v>44.226393731999991</v>
      </c>
      <c r="N73" s="62">
        <f t="shared" si="30"/>
        <v>46.441815272349864</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8.7356742054119998</v>
      </c>
      <c r="T73" s="62">
        <f t="shared" si="32"/>
        <v>16.28765707282308</v>
      </c>
      <c r="U73" s="62">
        <f>'A3 - Production '!D212</f>
        <v>355.33722810802567</v>
      </c>
      <c r="V73" s="62">
        <f>'A4 - Transport'!B23</f>
        <v>40.122526240191988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105.09788316299999</v>
      </c>
      <c r="AC73" s="1">
        <f>'D- Benefits &amp; Burdens'!C167</f>
        <v>10.099329724872872</v>
      </c>
      <c r="AD73" s="62">
        <f t="shared" si="34"/>
        <v>115.19721288787287</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-1140.6957435020788</v>
      </c>
    </row>
    <row r="74" spans="1:40" ht="29" x14ac:dyDescent="0.35">
      <c r="A74" s="39" t="s">
        <v>173</v>
      </c>
      <c r="B74" s="39" t="s">
        <v>174</v>
      </c>
      <c r="C74" s="13">
        <f>'A1 - Raw Material Supply'!K121</f>
        <v>1.3109460644189578E-4</v>
      </c>
      <c r="D74" s="1">
        <f>'A2 - Transport'!L125</f>
        <v>2.9999923088345874E-4</v>
      </c>
      <c r="E74" s="62">
        <f t="shared" si="27"/>
        <v>4.3109383732535452E-4</v>
      </c>
      <c r="F74" s="1">
        <f>'A1 - Raw Material Supply'!O121</f>
        <v>9.8611999999999997E-6</v>
      </c>
      <c r="G74" s="1">
        <f>'A2 - Transport'!B125</f>
        <v>2.1497521924799997E-5</v>
      </c>
      <c r="H74" s="62">
        <f t="shared" si="28"/>
        <v>3.1358721924799997E-5</v>
      </c>
      <c r="I74" s="1">
        <f>'A1 - Raw Material Supply'!N121</f>
        <v>7.3105915013882289E-5</v>
      </c>
      <c r="J74" s="1">
        <f>'A2 - Transport'!O125</f>
        <v>3.8693110499999996E-6</v>
      </c>
      <c r="K74" s="62">
        <f t="shared" si="29"/>
        <v>7.6975226063882282E-5</v>
      </c>
      <c r="L74" s="1">
        <f>'C3'' - Secondary Raw Material '!B327</f>
        <v>1.7631993026448645E-6</v>
      </c>
      <c r="M74" s="1">
        <f>'C2''- Transport Secondary'!D65</f>
        <v>7.6645683000000004E-5</v>
      </c>
      <c r="N74" s="62">
        <f t="shared" si="30"/>
        <v>7.840888230264487E-5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1.5139188602999998E-5</v>
      </c>
      <c r="T74" s="62">
        <f t="shared" si="32"/>
        <v>1.8765364488432297E-4</v>
      </c>
      <c r="U74" s="62">
        <f>'A3 - Production '!D213</f>
        <v>6.752347710192474E-4</v>
      </c>
      <c r="V74" s="62">
        <f>'A4 - Transport'!B24</f>
        <v>6.9533556047999989E-5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1.798209E-4</v>
      </c>
      <c r="AC74" s="1">
        <f>'D- Benefits &amp; Burdens'!C168</f>
        <v>8.0378071638972046E-6</v>
      </c>
      <c r="AD74" s="62">
        <f t="shared" si="34"/>
        <v>1.8785870716389721E-4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-7.4384613596716509E-4</v>
      </c>
    </row>
    <row r="75" spans="1:40" ht="29" x14ac:dyDescent="0.35">
      <c r="A75" s="39" t="s">
        <v>175</v>
      </c>
      <c r="B75" s="39" t="s">
        <v>176</v>
      </c>
      <c r="C75" s="13">
        <f>'A1 - Raw Material Supply'!K122</f>
        <v>1.212529992357929E-2</v>
      </c>
      <c r="D75" s="1">
        <f>'A2 - Transport'!L126</f>
        <v>5.818210102872568E-3</v>
      </c>
      <c r="E75" s="62">
        <f t="shared" si="27"/>
        <v>1.7943510026451857E-2</v>
      </c>
      <c r="F75" s="1">
        <f>'A1 - Raw Material Supply'!O122</f>
        <v>9.8390400000000003E-3</v>
      </c>
      <c r="G75" s="1">
        <f>'A2 - Transport'!B126</f>
        <v>2.99569215424E-4</v>
      </c>
      <c r="H75" s="62">
        <f t="shared" si="28"/>
        <v>1.0138609215424E-2</v>
      </c>
      <c r="I75" s="1">
        <f>'A1 - Raw Material Supply'!N122</f>
        <v>2.1080260603251652E-4</v>
      </c>
      <c r="J75" s="1">
        <f>'A2 - Transport'!O126</f>
        <v>5.3919073999999992E-5</v>
      </c>
      <c r="K75" s="62">
        <f t="shared" si="29"/>
        <v>2.6472168003251651E-4</v>
      </c>
      <c r="L75" s="1">
        <f>'C3'' - Secondary Raw Material '!B328</f>
        <v>4.8220355792551409E-5</v>
      </c>
      <c r="M75" s="1">
        <f>'C2''- Transport Secondary'!D66</f>
        <v>1.0680620399999999E-3</v>
      </c>
      <c r="N75" s="62">
        <f t="shared" si="30"/>
        <v>1.1162823957925512E-3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2.1096547164E-4</v>
      </c>
      <c r="T75" s="62">
        <f t="shared" si="32"/>
        <v>1.2417334712224359E-3</v>
      </c>
      <c r="U75" s="62">
        <f>'A3 - Production '!D214</f>
        <v>4.9703886918881571E-3</v>
      </c>
      <c r="V75" s="62">
        <f>'A4 - Transport'!B25</f>
        <v>9.689541382399998E-4</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7.672648199999999E-3</v>
      </c>
      <c r="AC75" s="1">
        <f>'D- Benefits &amp; Burdens'!C169</f>
        <v>2.1981968836628309E-4</v>
      </c>
      <c r="AD75" s="62">
        <f t="shared" si="34"/>
        <v>7.8924678883662818E-3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-2.4154686268845205E-2</v>
      </c>
    </row>
    <row r="76" spans="1:40" x14ac:dyDescent="0.35">
      <c r="A76" s="39" t="s">
        <v>177</v>
      </c>
      <c r="B76" s="39" t="s">
        <v>178</v>
      </c>
      <c r="C76" s="13">
        <f>'A1 - Raw Material Supply'!K123</f>
        <v>0.15955034336566215</v>
      </c>
      <c r="D76" s="1">
        <f>'A2 - Transport'!L127</f>
        <v>6.3239588966635632E-2</v>
      </c>
      <c r="E76" s="62">
        <f t="shared" si="27"/>
        <v>0.22278993233229777</v>
      </c>
      <c r="F76" s="1">
        <f>'A1 - Raw Material Supply'!O123</f>
        <v>0.1076976</v>
      </c>
      <c r="G76" s="1">
        <f>'A2 - Transport'!B127</f>
        <v>3.2425656785599996E-3</v>
      </c>
      <c r="H76" s="62">
        <f t="shared" si="28"/>
        <v>0.11094016567856001</v>
      </c>
      <c r="I76" s="1">
        <f>'A1 - Raw Material Supply'!N123</f>
        <v>2.49859756171603E-3</v>
      </c>
      <c r="J76" s="1">
        <f>'A2 - Transport'!O127</f>
        <v>5.8362518499999996E-4</v>
      </c>
      <c r="K76" s="62">
        <f t="shared" si="29"/>
        <v>3.0822227467160301E-3</v>
      </c>
      <c r="L76" s="1">
        <f>'C3'' - Secondary Raw Material '!B329</f>
        <v>5.2421468666230769E-4</v>
      </c>
      <c r="M76" s="1">
        <f>'C2''- Transport Secondary'!D67</f>
        <v>1.15608051E-2</v>
      </c>
      <c r="N76" s="62">
        <f t="shared" si="30"/>
        <v>1.2085019786662307E-2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2.2835103290999997E-3</v>
      </c>
      <c r="T76" s="62">
        <f t="shared" si="32"/>
        <v>1.2862741951399768E-2</v>
      </c>
      <c r="U76" s="62">
        <f>'A3 - Production '!D215</f>
        <v>5.355128501070499E-2</v>
      </c>
      <c r="V76" s="62">
        <f>'A4 - Transport'!B26</f>
        <v>1.0488051745599998E-2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8.3696896499999993E-2</v>
      </c>
      <c r="AC76" s="1">
        <f>'D- Benefits &amp; Burdens'!C170</f>
        <v>2.3897108838200898E-3</v>
      </c>
      <c r="AD76" s="62">
        <f t="shared" si="34"/>
        <v>8.6086607383820082E-2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-0.28174333820436909</v>
      </c>
    </row>
    <row r="77" spans="1:40" x14ac:dyDescent="0.35">
      <c r="A77" s="39" t="s">
        <v>179</v>
      </c>
      <c r="B77" s="39" t="s">
        <v>180</v>
      </c>
      <c r="C77" s="13">
        <f>'A1 - Raw Material Supply'!K124</f>
        <v>3.2582670446333587E-10</v>
      </c>
      <c r="D77" s="1">
        <f>'A2 - Transport'!L128</f>
        <v>1.0149753774522656E-9</v>
      </c>
      <c r="E77" s="62">
        <f t="shared" si="27"/>
        <v>1.3408020819156013E-9</v>
      </c>
      <c r="F77" s="1">
        <f>'A1 - Raw Material Supply'!O124</f>
        <v>1.099136E-8</v>
      </c>
      <c r="G77" s="1">
        <f>'A2 - Transport'!B128</f>
        <v>8.168755262399998E-11</v>
      </c>
      <c r="H77" s="62">
        <f t="shared" si="28"/>
        <v>1.1073047552623999E-8</v>
      </c>
      <c r="I77" s="1">
        <f>'A1 - Raw Material Supply'!N124</f>
        <v>2.5071044568388908E-11</v>
      </c>
      <c r="J77" s="1">
        <f>'A2 - Transport'!O128</f>
        <v>1.4702836500000001E-11</v>
      </c>
      <c r="K77" s="62">
        <f t="shared" si="29"/>
        <v>3.9773881068388908E-11</v>
      </c>
      <c r="L77" s="1">
        <f>'C3'' - Secondary Raw Material '!B330</f>
        <v>1.0192646894973112E-11</v>
      </c>
      <c r="M77" s="1">
        <f>'C2''- Transport Secondary'!D68</f>
        <v>2.9124278999999999E-10</v>
      </c>
      <c r="N77" s="62">
        <f t="shared" si="30"/>
        <v>3.014354368949731E-10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5.7526782389999992E-11</v>
      </c>
      <c r="T77" s="62">
        <f t="shared" si="32"/>
        <v>4.0075496323723973E-10</v>
      </c>
      <c r="U77" s="62">
        <f>'A3 - Production '!D216</f>
        <v>1.8958767235094483E-9</v>
      </c>
      <c r="V77" s="62">
        <f>'A4 - Transport'!B27</f>
        <v>2.6421771023999997E-10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7.3063892999999996E-10</v>
      </c>
      <c r="AC77" s="1">
        <f>'D- Benefits &amp; Burdens'!C171</f>
        <v>4.6464702038275903E-11</v>
      </c>
      <c r="AD77" s="62">
        <f t="shared" si="34"/>
        <v>7.7710363203827588E-10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-1.2277425571029703E-8</v>
      </c>
    </row>
    <row r="78" spans="1:40" x14ac:dyDescent="0.35">
      <c r="A78" s="39" t="s">
        <v>181</v>
      </c>
      <c r="B78" s="39" t="s">
        <v>180</v>
      </c>
      <c r="C78" s="13">
        <f>'A1 - Raw Material Supply'!K125</f>
        <v>7.6706463395738171E-9</v>
      </c>
      <c r="D78" s="1">
        <f>'A2 - Transport'!L129</f>
        <v>7.7766785343352321E-8</v>
      </c>
      <c r="E78" s="62">
        <f t="shared" si="27"/>
        <v>8.5437431682926138E-8</v>
      </c>
      <c r="F78" s="1">
        <f>'A1 - Raw Material Supply'!O125</f>
        <v>3.1688799999999997E-7</v>
      </c>
      <c r="G78" s="1">
        <f>'A2 - Transport'!B129</f>
        <v>6.6465010976000005E-9</v>
      </c>
      <c r="H78" s="62">
        <f t="shared" si="28"/>
        <v>3.2353450109759996E-7</v>
      </c>
      <c r="I78" s="1">
        <f>'A1 - Raw Material Supply'!N125</f>
        <v>9.5260510567475159E-10</v>
      </c>
      <c r="J78" s="1">
        <f>'A2 - Transport'!O129</f>
        <v>1.1962951E-9</v>
      </c>
      <c r="K78" s="62">
        <f t="shared" si="29"/>
        <v>2.1489002056747514E-9</v>
      </c>
      <c r="L78" s="1">
        <f>'C3'' - Secondary Raw Material '!B331</f>
        <v>2.7167563726420761E-10</v>
      </c>
      <c r="M78" s="1">
        <f>'C2''- Transport Secondary'!D69</f>
        <v>2.3696946E-8</v>
      </c>
      <c r="N78" s="62">
        <f t="shared" si="30"/>
        <v>2.3968621637264208E-8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4.680661986E-9</v>
      </c>
      <c r="T78" s="62">
        <f t="shared" si="32"/>
        <v>1.987628897001938E-8</v>
      </c>
      <c r="U78" s="62">
        <f>'A3 - Production '!D217</f>
        <v>3.7539188486920175E-8</v>
      </c>
      <c r="V78" s="62">
        <f>'A4 - Transport'!B28</f>
        <v>2.1498052575999998E-8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5.6020755E-8</v>
      </c>
      <c r="AC78" s="1">
        <f>'D- Benefits &amp; Burdens'!C172</f>
        <v>1.2384739377919393E-9</v>
      </c>
      <c r="AD78" s="62">
        <f t="shared" si="34"/>
        <v>5.7259228937791942E-8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-3.6768654606369619E-7</v>
      </c>
    </row>
    <row r="79" spans="1:40" ht="29" x14ac:dyDescent="0.35">
      <c r="A79" s="39" t="s">
        <v>182</v>
      </c>
      <c r="B79" s="39" t="s">
        <v>183</v>
      </c>
      <c r="C79" s="13">
        <f>'A1 - Raw Material Supply'!K126</f>
        <v>5.5476381592288244E-2</v>
      </c>
      <c r="D79" s="1">
        <f>'A2 - Transport'!L130</f>
        <v>8.4488639559313711E-2</v>
      </c>
      <c r="E79" s="62">
        <f t="shared" si="27"/>
        <v>0.13996502115160195</v>
      </c>
      <c r="F79" s="1">
        <f>'A1 - Raw Material Supply'!O126</f>
        <v>0.16730799999999998</v>
      </c>
      <c r="G79" s="1">
        <f>'A2 - Transport'!B130</f>
        <v>5.6248101315199998E-3</v>
      </c>
      <c r="H79" s="62">
        <f t="shared" si="28"/>
        <v>0.17293281013151998</v>
      </c>
      <c r="I79" s="1">
        <f>'A1 - Raw Material Supply'!N126</f>
        <v>3.9110006778906019E-2</v>
      </c>
      <c r="J79" s="1">
        <f>'A2 - Transport'!O130</f>
        <v>1.0124022699999999E-3</v>
      </c>
      <c r="K79" s="62">
        <f t="shared" si="29"/>
        <v>4.0122409048906016E-2</v>
      </c>
      <c r="L79" s="1">
        <f>'C3'' - Secondary Raw Material '!B332</f>
        <v>6.6519868279014841E-4</v>
      </c>
      <c r="M79" s="1">
        <f>'C2''- Transport Secondary'!D70</f>
        <v>2.0054284200000001E-2</v>
      </c>
      <c r="N79" s="62">
        <f t="shared" si="30"/>
        <v>2.0719482882790151E-2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3.9611570922000001E-3</v>
      </c>
      <c r="T79" s="62">
        <f t="shared" si="32"/>
        <v>0.11039440136542707</v>
      </c>
      <c r="U79" s="62">
        <f>'A3 - Production '!D218</f>
        <v>2.4345009703244314</v>
      </c>
      <c r="V79" s="62">
        <f>'A4 - Transport'!B29</f>
        <v>1.8193401635199998E-2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4.7316032399999992E-2</v>
      </c>
      <c r="AC79" s="1">
        <f>'D- Benefits &amp; Burdens'!C173</f>
        <v>3.0324074708544474E-3</v>
      </c>
      <c r="AD79" s="62">
        <f t="shared" si="34"/>
        <v>5.0348439870854439E-2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-0.53381530853857695</v>
      </c>
    </row>
    <row r="80" spans="1:40" x14ac:dyDescent="0.35">
      <c r="A80" s="39" t="s">
        <v>184</v>
      </c>
      <c r="B80" s="39" t="s">
        <v>185</v>
      </c>
      <c r="C80" s="13">
        <f>'A1 - Raw Material Supply'!K127</f>
        <v>389.19083924533231</v>
      </c>
      <c r="D80" s="1">
        <f>'A2 - Transport'!L131</f>
        <v>13.871353977611021</v>
      </c>
      <c r="E80" s="62">
        <f t="shared" si="27"/>
        <v>403.06219322294334</v>
      </c>
      <c r="F80" s="1">
        <f>'A1 - Raw Material Supply'!O127</f>
        <v>5.8280799999999999</v>
      </c>
      <c r="G80" s="1">
        <f>'A2 - Transport'!B131</f>
        <v>0.78244359896287996</v>
      </c>
      <c r="H80" s="62">
        <f t="shared" si="28"/>
        <v>6.6105235989628799</v>
      </c>
      <c r="I80" s="1">
        <f>'A1 - Raw Material Supply'!N127</f>
        <v>0.6282499716687221</v>
      </c>
      <c r="J80" s="1">
        <f>'A2 - Transport'!O131</f>
        <v>0.14083100712999999</v>
      </c>
      <c r="K80" s="62">
        <f t="shared" si="29"/>
        <v>0.76908097879872206</v>
      </c>
      <c r="L80" s="1">
        <f>'C3'' - Secondary Raw Material '!B333</f>
        <v>0.11390463257521803</v>
      </c>
      <c r="M80" s="1">
        <f>'C2''- Transport Secondary'!D71</f>
        <v>2.7896668398000002</v>
      </c>
      <c r="N80" s="62">
        <f t="shared" si="30"/>
        <v>2.9035714723752184</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0.55101984579180008</v>
      </c>
      <c r="T80" s="62">
        <f t="shared" si="32"/>
        <v>3.474835988792905</v>
      </c>
      <c r="U80" s="62">
        <f>'A3 - Production '!D219</f>
        <v>12.530409126674289</v>
      </c>
      <c r="V80" s="62">
        <f>'A4 - Transport'!B30</f>
        <v>2.5308073197088001</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6.5949708719999993</v>
      </c>
      <c r="AC80" s="1">
        <f>'D- Benefits &amp; Burdens'!C174</f>
        <v>0.51925126691056267</v>
      </c>
      <c r="AD80" s="62">
        <f t="shared" si="34"/>
        <v>7.114222138910562</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-497.05854968632673</v>
      </c>
    </row>
    <row r="81" spans="1:40" ht="29" x14ac:dyDescent="0.35">
      <c r="A81" s="39" t="s">
        <v>186</v>
      </c>
      <c r="B81" s="39" t="s">
        <v>187</v>
      </c>
      <c r="C81" s="13">
        <f>'A1 - Raw Material Supply'!K128</f>
        <v>4.2425474444881156E-6</v>
      </c>
      <c r="D81" s="1">
        <f>'A2 - Transport'!L132</f>
        <v>1.2452058125035266E-5</v>
      </c>
      <c r="E81" s="62">
        <f t="shared" si="27"/>
        <v>1.669460556952338E-5</v>
      </c>
      <c r="F81" s="1">
        <f>'A1 - Raw Material Supply'!O128</f>
        <v>2.2603199999999999E-6</v>
      </c>
      <c r="G81" s="1">
        <f>'A2 - Transport'!B132</f>
        <v>1.0168314110399999E-6</v>
      </c>
      <c r="H81" s="62">
        <f t="shared" si="28"/>
        <v>3.27715141104E-6</v>
      </c>
      <c r="I81" s="1">
        <f>'A1 - Raw Material Supply'!N128</f>
        <v>3.5788766674713027E-7</v>
      </c>
      <c r="J81" s="1">
        <f>'A2 - Transport'!O132</f>
        <v>1.8301816499999997E-7</v>
      </c>
      <c r="K81" s="62">
        <f t="shared" si="29"/>
        <v>5.4090583174713024E-7</v>
      </c>
      <c r="L81" s="1">
        <f>'C3'' - Secondary Raw Material '!B334</f>
        <v>2.6007934671855809E-8</v>
      </c>
      <c r="M81" s="1">
        <f>'C2''- Transport Secondary'!D72</f>
        <v>3.6253358999999996E-6</v>
      </c>
      <c r="N81" s="62">
        <f t="shared" si="30"/>
        <v>3.6513438346718556E-6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7.1608265190000001E-7</v>
      </c>
      <c r="T81" s="62">
        <f t="shared" si="32"/>
        <v>2.0074429404060845E-4</v>
      </c>
      <c r="U81" s="62">
        <f>'A3 - Production '!D220</f>
        <v>2.9920344172883855E-5</v>
      </c>
      <c r="V81" s="62">
        <f>'A4 - Transport'!B31</f>
        <v>3.2889327503999994E-6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8.4728342999999991E-6</v>
      </c>
      <c r="AC81" s="1">
        <f>'D- Benefits &amp; Burdens'!C175</f>
        <v>1.1856105166899467E-7</v>
      </c>
      <c r="AD81" s="62">
        <f t="shared" si="34"/>
        <v>8.5913953516689945E-6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-1.1218934290738403E-5</v>
      </c>
    </row>
    <row r="82" spans="1:40" x14ac:dyDescent="0.35">
      <c r="A82" s="39" t="s">
        <v>188</v>
      </c>
      <c r="B82" s="39" t="s">
        <v>189</v>
      </c>
      <c r="C82" s="13">
        <f>'A1 - Raw Material Supply'!K129</f>
        <v>3.2857807318549104E-8</v>
      </c>
      <c r="D82" s="1">
        <f>'A2 - Transport'!L133</f>
        <v>2.4539648757588264E-7</v>
      </c>
      <c r="E82" s="62">
        <f t="shared" si="27"/>
        <v>2.7825429489443175E-7</v>
      </c>
      <c r="F82" s="1">
        <f>'A1 - Raw Material Supply'!O129</f>
        <v>7.3571199999999993E-12</v>
      </c>
      <c r="G82" s="1">
        <f>'A2 - Transport'!B133</f>
        <v>2.0493852534400002E-8</v>
      </c>
      <c r="H82" s="62">
        <f t="shared" si="28"/>
        <v>2.0501209654400003E-8</v>
      </c>
      <c r="I82" s="1">
        <f>'A1 - Raw Material Supply'!N129</f>
        <v>1.5574157254795618E-9</v>
      </c>
      <c r="J82" s="1">
        <f>'A2 - Transport'!O133</f>
        <v>3.6886618999999997E-9</v>
      </c>
      <c r="K82" s="62">
        <f t="shared" si="29"/>
        <v>5.2460776254795611E-9</v>
      </c>
      <c r="L82" s="1">
        <f>'C3'' - Secondary Raw Material '!B335</f>
        <v>3.7585564815097762E-9</v>
      </c>
      <c r="M82" s="1">
        <f>'C2''- Transport Secondary'!D73</f>
        <v>7.306727399999999E-8</v>
      </c>
      <c r="N82" s="62">
        <f t="shared" si="30"/>
        <v>7.682583048150977E-8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1.4432375034E-8</v>
      </c>
      <c r="T82" s="62">
        <f t="shared" si="32"/>
        <v>2.111910729575637E-8</v>
      </c>
      <c r="U82" s="62">
        <f>'A3 - Production '!D221</f>
        <v>2.5419213736085242E-6</v>
      </c>
      <c r="V82" s="62">
        <f>'A4 - Transport'!B32</f>
        <v>6.6287195743999988E-8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1.7387323799999997E-7</v>
      </c>
      <c r="AC82" s="1">
        <f>'D- Benefits &amp; Burdens'!C176</f>
        <v>1.7133940654170295E-8</v>
      </c>
      <c r="AD82" s="62">
        <f t="shared" si="34"/>
        <v>1.9100717865417026E-7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-9.0273051101908152E-8</v>
      </c>
    </row>
    <row r="83" spans="1:40" x14ac:dyDescent="0.35">
      <c r="A83" s="39" t="s">
        <v>190</v>
      </c>
      <c r="B83" s="39" t="s">
        <v>191</v>
      </c>
      <c r="C83" s="13">
        <f>'A1 - Raw Material Supply'!K130</f>
        <v>5.9982367039222798E-7</v>
      </c>
      <c r="D83" s="1">
        <f>'A2 - Transport'!L134</f>
        <v>6.6570154347913946E-7</v>
      </c>
      <c r="E83" s="62">
        <f t="shared" si="27"/>
        <v>1.2655252138713674E-6</v>
      </c>
      <c r="F83" s="1">
        <f>'A1 - Raw Material Supply'!O130</f>
        <v>5.9388800000000003E-7</v>
      </c>
      <c r="G83" s="1">
        <f>'A2 - Transport'!B134</f>
        <v>5.7127756254399995E-8</v>
      </c>
      <c r="H83" s="62">
        <f t="shared" si="28"/>
        <v>6.5101575625440007E-7</v>
      </c>
      <c r="I83" s="1">
        <f>'A1 - Raw Material Supply'!N130</f>
        <v>9.8472396783713966E-9</v>
      </c>
      <c r="J83" s="1">
        <f>'A2 - Transport'!O134</f>
        <v>1.0282350649999999E-8</v>
      </c>
      <c r="K83" s="62">
        <f t="shared" si="29"/>
        <v>2.0129590328371397E-8</v>
      </c>
      <c r="L83" s="1">
        <f>'C3'' - Secondary Raw Material '!B336</f>
        <v>1.6427613993186483E-9</v>
      </c>
      <c r="M83" s="1">
        <f>'C2''- Transport Secondary'!D74</f>
        <v>2.0367909899999997E-7</v>
      </c>
      <c r="N83" s="62">
        <f t="shared" si="30"/>
        <v>2.0532186039931861E-7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4.0231049858999998E-8</v>
      </c>
      <c r="T83" s="62">
        <f t="shared" si="32"/>
        <v>1.1016201612135611E-7</v>
      </c>
      <c r="U83" s="62">
        <f>'A3 - Production '!D222</f>
        <v>8.50882970109345E-8</v>
      </c>
      <c r="V83" s="62">
        <f>'A4 - Transport'!B33</f>
        <v>1.8477925294399999E-7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5.2854689999999998E-7</v>
      </c>
      <c r="AC83" s="1">
        <f>'D- Benefits &amp; Burdens'!C177</f>
        <v>7.4887730072320456E-9</v>
      </c>
      <c r="AD83" s="62">
        <f t="shared" si="34"/>
        <v>5.3603567300723202E-7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-1.3913769144658523E-6</v>
      </c>
    </row>
    <row r="84" spans="1:40" ht="29" x14ac:dyDescent="0.35">
      <c r="A84" s="39" t="s">
        <v>192</v>
      </c>
      <c r="B84" s="39" t="s">
        <v>193</v>
      </c>
      <c r="C84" s="13">
        <f>'A1 - Raw Material Supply'!K131</f>
        <v>3.860405371243953E-2</v>
      </c>
      <c r="D84" s="1">
        <f>'A2 - Transport'!L135</f>
        <v>3.4707746517464486E-2</v>
      </c>
      <c r="E84" s="62">
        <f t="shared" si="27"/>
        <v>7.3311800229904023E-2</v>
      </c>
      <c r="F84" s="1">
        <f>'A1 - Raw Material Supply'!O131</f>
        <v>4.4984799999999991E-2</v>
      </c>
      <c r="G84" s="1">
        <f>'A2 - Transport'!B135</f>
        <v>2.3961960787199999E-3</v>
      </c>
      <c r="H84" s="62">
        <f t="shared" si="28"/>
        <v>4.738099607871999E-2</v>
      </c>
      <c r="I84" s="1">
        <f>'A1 - Raw Material Supply'!N131</f>
        <v>6.5993967225239786E-4</v>
      </c>
      <c r="J84" s="1">
        <f>'A2 - Transport'!O135</f>
        <v>4.3128821999999998E-4</v>
      </c>
      <c r="K84" s="62">
        <f t="shared" si="29"/>
        <v>1.0912278922523978E-3</v>
      </c>
      <c r="L84" s="1">
        <f>'C3'' - Secondary Raw Material '!B337</f>
        <v>4.1082738634614822E-4</v>
      </c>
      <c r="M84" s="1">
        <f>'C2''- Transport Secondary'!D75</f>
        <v>8.5432211999999993E-3</v>
      </c>
      <c r="N84" s="62">
        <f t="shared" si="30"/>
        <v>8.9540485863461479E-3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1.6874719092000001E-3</v>
      </c>
      <c r="T84" s="62">
        <f t="shared" si="32"/>
        <v>5.180052710199853E-3</v>
      </c>
      <c r="U84" s="62">
        <f>'A3 - Production '!D223</f>
        <v>1.8088153641400439E-2</v>
      </c>
      <c r="V84" s="62">
        <f>'A4 - Transport'!B34</f>
        <v>7.7504763071999981E-3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3.36677565E-2</v>
      </c>
      <c r="AC84" s="1">
        <f>'D- Benefits &amp; Burdens'!C178</f>
        <v>1.872817953219971E-3</v>
      </c>
      <c r="AD84" s="62">
        <f t="shared" si="34"/>
        <v>3.5540574453219974E-2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-9.3855927670716655E-2</v>
      </c>
    </row>
    <row r="85" spans="1:40" ht="29" x14ac:dyDescent="0.35">
      <c r="A85" s="39" t="s">
        <v>194</v>
      </c>
      <c r="B85" s="39" t="s">
        <v>195</v>
      </c>
      <c r="C85" s="13">
        <f>'A1 - Raw Material Supply'!K132</f>
        <v>2.8524174130674984</v>
      </c>
      <c r="D85" s="1">
        <f>'A2 - Transport'!L136</f>
        <v>0.38001846848391496</v>
      </c>
      <c r="E85" s="62">
        <f t="shared" si="27"/>
        <v>3.2324358815514134</v>
      </c>
      <c r="F85" s="1">
        <f>'A1 - Raw Material Supply'!O132</f>
        <v>0.15977359999999999</v>
      </c>
      <c r="G85" s="1">
        <f>'A2 - Transport'!B136</f>
        <v>2.825270403888E-2</v>
      </c>
      <c r="H85" s="62">
        <f t="shared" si="28"/>
        <v>0.18802630403887999</v>
      </c>
      <c r="I85" s="1">
        <f>'A1 - Raw Material Supply'!N132</f>
        <v>0.25392572768492161</v>
      </c>
      <c r="J85" s="1">
        <f>'A2 - Transport'!O136</f>
        <v>5.085167505E-3</v>
      </c>
      <c r="K85" s="62">
        <f t="shared" si="29"/>
        <v>0.2590108951899216</v>
      </c>
      <c r="L85" s="1">
        <f>'C3'' - Secondary Raw Material '!B338</f>
        <v>2.9984053368853725E-3</v>
      </c>
      <c r="M85" s="1">
        <f>'C2''- Transport Secondary'!D76</f>
        <v>0.10073011229999999</v>
      </c>
      <c r="N85" s="62">
        <f t="shared" si="30"/>
        <v>0.10372851763688537</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1.98963869643E-2</v>
      </c>
      <c r="T85" s="62">
        <f t="shared" si="32"/>
        <v>0.35011072672454208</v>
      </c>
      <c r="U85" s="62">
        <f>'A3 - Production '!D224</f>
        <v>0.82098728009036559</v>
      </c>
      <c r="V85" s="62">
        <f>'A4 - Transport'!B35</f>
        <v>9.1383136468799989E-2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0.23721298859999998</v>
      </c>
      <c r="AC85" s="1">
        <f>'D- Benefits &amp; Burdens'!C179</f>
        <v>1.366867821518138E-2</v>
      </c>
      <c r="AD85" s="62">
        <f t="shared" si="34"/>
        <v>0.25088166681518137</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-4.6045058813512343</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1.6285791660539607E-5</v>
      </c>
      <c r="E92" s="1">
        <f>((D4/$B92)*$C92)*Input!$C$31</f>
        <v>4.5654690060450572E-8</v>
      </c>
      <c r="F92" s="1">
        <f>((E4/$B92)*$C92)*Input!$C$31</f>
        <v>5.0484998413609112E-6</v>
      </c>
      <c r="G92" s="1">
        <f>((F4/$B92)*$C92)*Input!$C$31</f>
        <v>1.0491246554244605E-6</v>
      </c>
      <c r="H92" s="1">
        <f>((G4/$B92)*$C92)*Input!$C$31</f>
        <v>4.0868653185889543E-6</v>
      </c>
      <c r="I92" s="1">
        <f>((H4/$B92)*$C92)*Input!$C$31</f>
        <v>9.5177399657715093E-7</v>
      </c>
      <c r="J92" s="1">
        <f>((I4/$B92)*$C92)*Input!$C$31</f>
        <v>3.164817820651399E-7</v>
      </c>
      <c r="K92" s="1">
        <f>((J4/$B92)*$C92)*Input!$C$31</f>
        <v>2.4015834724913239E-7</v>
      </c>
      <c r="L92" s="1">
        <f>((K4/$B92)*$C92)*Input!$C$31</f>
        <v>-1.6785103276777361E-5</v>
      </c>
      <c r="M92" s="1">
        <f>(SUM(D92:H92))*1000</f>
        <v>2.6515936165974384E-2</v>
      </c>
      <c r="N92" s="1">
        <f>SUM(D92:K92)*1000</f>
        <v>2.8024350291865809E-2</v>
      </c>
      <c r="O92" s="1">
        <f>SUM(D92:L92)*1000</f>
        <v>1.123924701508845E-2</v>
      </c>
    </row>
    <row r="93" spans="1:40" x14ac:dyDescent="0.35">
      <c r="A93" s="39" t="s">
        <v>164</v>
      </c>
      <c r="B93" s="154">
        <v>8100</v>
      </c>
      <c r="C93" s="154">
        <v>0.21059999999999998</v>
      </c>
      <c r="D93" s="1">
        <f>((C5/$B93)*$C93)*Input!$C$31</f>
        <v>7.2911788539266158E-5</v>
      </c>
      <c r="E93" s="1">
        <f>((D5/$B93)*$C93)*Input!$C$31</f>
        <v>8.3261736706504406E-7</v>
      </c>
      <c r="F93" s="1">
        <f>((E5/$B93)*$C93)*Input!$C$31</f>
        <v>6.4264238461404709E-5</v>
      </c>
      <c r="G93" s="1">
        <f>((F5/$B93)*$C93)*Input!$C$31</f>
        <v>1.6403804757849598E-5</v>
      </c>
      <c r="H93" s="1">
        <f>((G5/$B93)*$C93)*Input!$C$31</f>
        <v>9.4649513796229528E-5</v>
      </c>
      <c r="I93" s="1">
        <f>((H5/$B93)*$C93)*Input!$C$31</f>
        <v>1.4881658469014935E-5</v>
      </c>
      <c r="J93" s="1">
        <f>((I5/$B93)*$C93)*Input!$C$31</f>
        <v>5.7717668821806292E-6</v>
      </c>
      <c r="K93" s="1">
        <f>((J5/$B93)*$C93)*Input!$C$31</f>
        <v>4.3798350290080077E-6</v>
      </c>
      <c r="L93" s="1">
        <f>((K5/$B93)*$C93)*Input!$C$31</f>
        <v>-8.6845362346708966E-5</v>
      </c>
      <c r="M93" s="1">
        <f>(SUM(D93:H93))*1000</f>
        <v>0.24906196292181507</v>
      </c>
      <c r="N93" s="1">
        <f>SUM(D93:K93)*1000</f>
        <v>0.27409522330201869</v>
      </c>
      <c r="O93" s="1">
        <f>SUM(D93:L93)*1000</f>
        <v>0.18724986095530971</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5.5949723641593726E-5</v>
      </c>
      <c r="E97" s="1">
        <f>((D9/$B97)*$C97)*Input!$C$31</f>
        <v>6.3621116605882512E-9</v>
      </c>
      <c r="F97" s="1">
        <f>((E9/$B97)*$C97)*Input!$C$31</f>
        <v>9.6254384792576743E-7</v>
      </c>
      <c r="G97" s="1">
        <f>((F9/$B97)*$C97)*Input!$C$31</f>
        <v>2.4365806804186225E-7</v>
      </c>
      <c r="H97" s="1">
        <f>((G9/$B97)*$C97)*Input!$C$31</f>
        <v>9.1323669192575122E-7</v>
      </c>
      <c r="I97" s="1">
        <f>((H9/$B97)*$C97)*Input!$C$31</f>
        <v>2.210484826749633E-7</v>
      </c>
      <c r="J97" s="1">
        <f>((I9/$B97)*$C97)*Input!$C$31</f>
        <v>4.4102641664511286E-8</v>
      </c>
      <c r="K97" s="1">
        <f>((J9/$B97)*$C97)*Input!$C$31</f>
        <v>3.3466752690648508E-8</v>
      </c>
      <c r="L97" s="1">
        <f>((K9/$B97)*$C97)*Input!$C$31</f>
        <v>-5.8652528289824518E-5</v>
      </c>
      <c r="M97" s="1">
        <f t="shared" ref="M97:M110" si="37">(SUM(D97:H97))*1000</f>
        <v>5.8075524361147698E-2</v>
      </c>
      <c r="N97" s="1">
        <f t="shared" ref="N97:N110" si="38">SUM(D97:K97)*1000</f>
        <v>5.8374142238177822E-2</v>
      </c>
      <c r="O97" s="1">
        <f t="shared" ref="O97:O110" si="39">SUM(D97:L97)*1000</f>
        <v>-2.7838605164669786E-4</v>
      </c>
    </row>
    <row r="98" spans="1:18" x14ac:dyDescent="0.35">
      <c r="A98" s="39" t="s">
        <v>171</v>
      </c>
      <c r="B98" s="154">
        <v>65000</v>
      </c>
      <c r="C98" s="154">
        <v>7.5499999999999998E-2</v>
      </c>
      <c r="D98" s="1">
        <f>((C10/$B98)*$C98)*Input!$C$31</f>
        <v>2.3486350621685744E-4</v>
      </c>
      <c r="E98" s="1">
        <f>((D10/$B98)*$C98)*Input!$C$31</f>
        <v>4.9407308690633505E-7</v>
      </c>
      <c r="F98" s="1">
        <f>((E10/$B98)*$C98)*Input!$C$31</f>
        <v>3.8480205468914212E-5</v>
      </c>
      <c r="G98" s="1">
        <f>((F10/$B98)*$C98)*Input!$C$31</f>
        <v>9.8631662082934123E-6</v>
      </c>
      <c r="H98" s="1">
        <f>((G10/$B98)*$C98)*Input!$C$31</f>
        <v>7.9245668594676006E-5</v>
      </c>
      <c r="I98" s="1">
        <f>((H10/$B98)*$C98)*Input!$C$31</f>
        <v>8.9479406211972793E-6</v>
      </c>
      <c r="J98" s="1">
        <f>((I10/$B98)*$C98)*Input!$C$31</f>
        <v>3.4249521967513378E-6</v>
      </c>
      <c r="K98" s="1">
        <f>((J10/$B98)*$C98)*Input!$C$31</f>
        <v>2.5989832767365709E-6</v>
      </c>
      <c r="L98" s="1">
        <f>((K10/$B98)*$C98)*Input!$C$31</f>
        <v>-2.5439269996624825E-4</v>
      </c>
      <c r="M98" s="1">
        <f t="shared" si="37"/>
        <v>0.36294661957564744</v>
      </c>
      <c r="N98" s="1">
        <f t="shared" si="38"/>
        <v>0.37791849567033264</v>
      </c>
      <c r="O98" s="1">
        <f t="shared" si="39"/>
        <v>0.12352579570408442</v>
      </c>
    </row>
    <row r="99" spans="1:18" x14ac:dyDescent="0.35">
      <c r="A99" s="39" t="s">
        <v>173</v>
      </c>
      <c r="B99" s="154">
        <v>1.61</v>
      </c>
      <c r="C99" s="154">
        <v>2.7999999999999997E-2</v>
      </c>
      <c r="D99" s="1">
        <f>((C11/$B99)*$C99)*Input!$C$31</f>
        <v>1.2908282804438847E-6</v>
      </c>
      <c r="E99" s="1">
        <f>((D11/$B99)*$C99)*Input!$C$31</f>
        <v>5.8875524540489382E-9</v>
      </c>
      <c r="F99" s="1">
        <f>((E11/$B99)*$C99)*Input!$C$31</f>
        <v>1.1369914516967247E-6</v>
      </c>
      <c r="G99" s="1">
        <f>((F11/$B99)*$C99)*Input!$C$31</f>
        <v>2.5592993279999997E-7</v>
      </c>
      <c r="H99" s="1">
        <f>((G11/$B99)*$C99)*Input!$C$31</f>
        <v>2.2546969745338345E-6</v>
      </c>
      <c r="I99" s="1">
        <f>((H11/$B99)*$C99)*Input!$C$31</f>
        <v>2.3218161323853904E-7</v>
      </c>
      <c r="J99" s="1">
        <f>((I11/$B99)*$C99)*Input!$C$31</f>
        <v>4.0812961169865106E-8</v>
      </c>
      <c r="K99" s="1">
        <f>((J11/$B99)*$C99)*Input!$C$31</f>
        <v>3.0970418698161943E-8</v>
      </c>
      <c r="L99" s="1">
        <f>((K11/$B99)*$C99)*Input!$C$31</f>
        <v>-2.4837992714034031E-6</v>
      </c>
      <c r="M99" s="1">
        <f t="shared" si="37"/>
        <v>4.9443341919284929E-3</v>
      </c>
      <c r="N99" s="1">
        <f t="shared" si="38"/>
        <v>5.2482991850350599E-3</v>
      </c>
      <c r="O99" s="1">
        <f t="shared" si="39"/>
        <v>2.7644999136316566E-3</v>
      </c>
    </row>
    <row r="100" spans="1:18" x14ac:dyDescent="0.35">
      <c r="A100" s="39" t="s">
        <v>175</v>
      </c>
      <c r="B100" s="154">
        <v>19.5</v>
      </c>
      <c r="C100" s="154">
        <v>2.9600000000000001E-2</v>
      </c>
      <c r="D100" s="1">
        <f>((C12/$B100)*$C100)*Input!$C$31</f>
        <v>6.7632733702316278E-6</v>
      </c>
      <c r="E100" s="1">
        <f>((D12/$B100)*$C100)*Input!$C$31</f>
        <v>1.4053637232832214E-8</v>
      </c>
      <c r="F100" s="1">
        <f>((E12/$B100)*$C100)*Input!$C$31</f>
        <v>1.8602028344371439E-6</v>
      </c>
      <c r="G100" s="1">
        <f>((F12/$B100)*$C100)*Input!$C$31</f>
        <v>3.112825736270769E-7</v>
      </c>
      <c r="H100" s="1">
        <f>((G12/$B100)*$C100)*Input!$C$31</f>
        <v>1.4486006673712194E-6</v>
      </c>
      <c r="I100" s="1">
        <f>((H12/$B100)*$C100)*Input!$C$31</f>
        <v>2.8239795684336242E-7</v>
      </c>
      <c r="J100" s="1">
        <f>((I12/$B100)*$C100)*Input!$C$31</f>
        <v>9.7420881623653393E-8</v>
      </c>
      <c r="K100" s="1">
        <f>((J12/$B100)*$C100)*Input!$C$31</f>
        <v>7.3926649950025875E-8</v>
      </c>
      <c r="L100" s="1">
        <f>((K12/$B100)*$C100)*Input!$C$31</f>
        <v>-7.0397904104154397E-6</v>
      </c>
      <c r="M100" s="1">
        <f t="shared" si="37"/>
        <v>1.0397413082899902E-2</v>
      </c>
      <c r="N100" s="1">
        <f t="shared" si="38"/>
        <v>1.0851158571316941E-2</v>
      </c>
      <c r="O100" s="1">
        <f t="shared" si="39"/>
        <v>3.8113681609015025E-3</v>
      </c>
    </row>
    <row r="101" spans="1:18" x14ac:dyDescent="0.35">
      <c r="A101" s="39" t="s">
        <v>177</v>
      </c>
      <c r="B101" s="154">
        <v>177</v>
      </c>
      <c r="C101" s="154">
        <v>3.7100000000000001E-2</v>
      </c>
      <c r="D101" s="1">
        <f>((C13/$B101)*$C101)*Input!$C$31</f>
        <v>1.1281449395626361E-5</v>
      </c>
      <c r="E101" s="1">
        <f>((D13/$B101)*$C101)*Input!$C$31</f>
        <v>2.1096531390016671E-8</v>
      </c>
      <c r="F101" s="1">
        <f>((E13/$B101)*$C101)*Input!$C$31</f>
        <v>2.7908975348174842E-6</v>
      </c>
      <c r="G101" s="1">
        <f>((F13/$B101)*$C101)*Input!$C$31</f>
        <v>4.6525382422779666E-7</v>
      </c>
      <c r="H101" s="1">
        <f>((G13/$B101)*$C101)*Input!$C$31</f>
        <v>2.1551215445664056E-6</v>
      </c>
      <c r="I101" s="1">
        <f>((H13/$B101)*$C101)*Input!$C$31</f>
        <v>4.2208186550428204E-7</v>
      </c>
      <c r="J101" s="1">
        <f>((I13/$B101)*$C101)*Input!$C$31</f>
        <v>1.4624275930611246E-7</v>
      </c>
      <c r="K101" s="1">
        <f>((J13/$B101)*$C101)*Input!$C$31</f>
        <v>1.1097453743760765E-7</v>
      </c>
      <c r="L101" s="1">
        <f>((K13/$B101)*$C101)*Input!$C$31</f>
        <v>-1.1338498003939897E-5</v>
      </c>
      <c r="M101" s="1">
        <f t="shared" si="37"/>
        <v>1.6713818830628065E-2</v>
      </c>
      <c r="N101" s="1">
        <f t="shared" si="38"/>
        <v>1.7393117992876066E-2</v>
      </c>
      <c r="O101" s="1">
        <f t="shared" si="39"/>
        <v>6.0546199889361697E-3</v>
      </c>
      <c r="R101" s="87">
        <f>+Results!B23+Results!B54+Results!B61+Results!B86+Results!B112+Results!B119+Results!B126+Results!B152+Results!B160</f>
        <v>3.694822225952521E-13</v>
      </c>
    </row>
    <row r="102" spans="1:18" x14ac:dyDescent="0.35">
      <c r="A102" s="39" t="s">
        <v>179</v>
      </c>
      <c r="B102" s="154">
        <v>1.6900000000000001E-5</v>
      </c>
      <c r="C102" s="154">
        <v>2.1299999999999999E-2</v>
      </c>
      <c r="D102" s="1">
        <f>((C14/$B102)*$C102)*Input!$C$31</f>
        <v>2.827749305256391E-6</v>
      </c>
      <c r="E102" s="1">
        <f>((D14/$B102)*$C102)*Input!$C$31</f>
        <v>2.4664999255433163E-9</v>
      </c>
      <c r="F102" s="1">
        <f>((E14/$B102)*$C102)*Input!$C$31</f>
        <v>2.8285816380191954E-7</v>
      </c>
      <c r="G102" s="1">
        <f>((F14/$B102)*$C102)*Input!$C$31</f>
        <v>7.0477308519763301E-8</v>
      </c>
      <c r="H102" s="1">
        <f>((G14/$B102)*$C102)*Input!$C$31</f>
        <v>4.587797306783573E-7</v>
      </c>
      <c r="I102" s="1">
        <f>((H14/$B102)*$C102)*Input!$C$31</f>
        <v>6.393755904127241E-8</v>
      </c>
      <c r="J102" s="1">
        <f>((I14/$B102)*$C102)*Input!$C$31</f>
        <v>1.7097964981602147E-8</v>
      </c>
      <c r="K102" s="1">
        <f>((J14/$B102)*$C102)*Input!$C$31</f>
        <v>1.2974582563681187E-8</v>
      </c>
      <c r="L102" s="1">
        <f>((K14/$B102)*$C102)*Input!$C$31</f>
        <v>-2.970991693212016E-6</v>
      </c>
      <c r="M102" s="1">
        <f t="shared" si="37"/>
        <v>3.6423310081819746E-3</v>
      </c>
      <c r="N102" s="1">
        <f t="shared" si="38"/>
        <v>3.73634111476853E-3</v>
      </c>
      <c r="O102" s="1">
        <f t="shared" si="39"/>
        <v>7.6534942155651389E-4</v>
      </c>
    </row>
    <row r="103" spans="1:18" x14ac:dyDescent="0.35">
      <c r="A103" s="39" t="s">
        <v>181</v>
      </c>
      <c r="B103" s="154">
        <v>2.3000000000000001E-4</v>
      </c>
      <c r="C103" s="154">
        <v>1.84E-2</v>
      </c>
      <c r="D103" s="1">
        <f>((C15/$B103)*$C103)*Input!$C$31</f>
        <v>5.2332576526735552E-6</v>
      </c>
      <c r="E103" s="1">
        <f>((D15/$B103)*$C103)*Input!$C$31</f>
        <v>4.1729377883782286E-9</v>
      </c>
      <c r="F103" s="1">
        <f>((E15/$B103)*$C103)*Input!$C$31</f>
        <v>1.3868581405739876E-6</v>
      </c>
      <c r="G103" s="1">
        <f>((F15/$B103)*$C103)*Input!$C$31</f>
        <v>3.6398509056E-7</v>
      </c>
      <c r="H103" s="1">
        <f>((G15/$B103)*$C103)*Input!$C$31</f>
        <v>5.766019351590939E-7</v>
      </c>
      <c r="I103" s="1">
        <f>((H15/$B103)*$C103)*Input!$C$31</f>
        <v>3.3021008756735997E-7</v>
      </c>
      <c r="J103" s="1">
        <f>((I15/$B103)*$C103)*Input!$C$31</f>
        <v>2.8927121966313752E-8</v>
      </c>
      <c r="K103" s="1">
        <f>((J15/$B103)*$C103)*Input!$C$31</f>
        <v>2.1950994325082815E-8</v>
      </c>
      <c r="L103" s="1">
        <f>((K15/$B103)*$C103)*Input!$C$31</f>
        <v>-5.6476653475383741E-6</v>
      </c>
      <c r="M103" s="1">
        <f t="shared" si="37"/>
        <v>7.564875756755015E-3</v>
      </c>
      <c r="N103" s="1">
        <f t="shared" si="38"/>
        <v>7.9459639606137712E-3</v>
      </c>
      <c r="O103" s="1">
        <f t="shared" si="39"/>
        <v>2.2982986130753967E-3</v>
      </c>
    </row>
    <row r="104" spans="1:18" x14ac:dyDescent="0.35">
      <c r="A104" s="39" t="s">
        <v>182</v>
      </c>
      <c r="B104" s="154">
        <v>4220</v>
      </c>
      <c r="C104" s="154">
        <v>5.0099999999999999E-2</v>
      </c>
      <c r="D104" s="1">
        <f>((C16/$B104)*$C104)*Input!$C$31</f>
        <v>8.3957752699839295E-7</v>
      </c>
      <c r="E104" s="1">
        <f>((D16/$B104)*$C104)*Input!$C$31</f>
        <v>1.5162746847144538E-9</v>
      </c>
      <c r="F104" s="1">
        <f>((E16/$B104)*$C104)*Input!$C$31</f>
        <v>2.167443027210763E-7</v>
      </c>
      <c r="G104" s="1">
        <f>((F16/$B104)*$C104)*Input!$C$31</f>
        <v>4.571236269588626E-8</v>
      </c>
      <c r="H104" s="1">
        <f>((G16/$B104)*$C104)*Input!$C$31</f>
        <v>5.5492776620248274E-6</v>
      </c>
      <c r="I104" s="1">
        <f>((H16/$B104)*$C104)*Input!$C$31</f>
        <v>4.1470608769980056E-8</v>
      </c>
      <c r="J104" s="1">
        <f>((I16/$B104)*$C104)*Input!$C$31</f>
        <v>1.0510931378206635E-8</v>
      </c>
      <c r="K104" s="1">
        <f>((J16/$B104)*$C104)*Input!$C$31</f>
        <v>7.9760923089076543E-9</v>
      </c>
      <c r="L104" s="1">
        <f>((K16/$B104)*$C104)*Input!$C$31</f>
        <v>-1.2167953118232891E-6</v>
      </c>
      <c r="M104" s="1">
        <f t="shared" si="37"/>
        <v>6.6528281291248978E-3</v>
      </c>
      <c r="N104" s="1">
        <f t="shared" si="38"/>
        <v>6.7127857615819908E-3</v>
      </c>
      <c r="O104" s="1">
        <f t="shared" si="39"/>
        <v>5.4959904497587017E-3</v>
      </c>
    </row>
    <row r="105" spans="1:18" x14ac:dyDescent="0.35">
      <c r="A105" s="39" t="s">
        <v>184</v>
      </c>
      <c r="B105" s="154">
        <v>819000</v>
      </c>
      <c r="C105" s="154">
        <v>7.9399999999999998E-2</v>
      </c>
      <c r="D105" s="1">
        <f>((C17/$B105)*$C105)*Input!$C$31</f>
        <v>7.4189682022175342E-6</v>
      </c>
      <c r="E105" s="1">
        <f>((D17/$B105)*$C105)*Input!$C$31</f>
        <v>2.1202116516272084E-9</v>
      </c>
      <c r="F105" s="1">
        <f>((E17/$B105)*$C105)*Input!$C$31</f>
        <v>2.8564266322097198E-7</v>
      </c>
      <c r="G105" s="1">
        <f>((F17/$B105)*$C105)*Input!$C$31</f>
        <v>5.192663374772045E-8</v>
      </c>
      <c r="H105" s="1">
        <f>((G17/$B105)*$C105)*Input!$C$31</f>
        <v>2.3324002570735555E-7</v>
      </c>
      <c r="I105" s="1">
        <f>((H17/$B105)*$C105)*Input!$C$31</f>
        <v>4.7108243501216998E-8</v>
      </c>
      <c r="J105" s="1">
        <f>((I17/$B105)*$C105)*Input!$C$31</f>
        <v>1.469746834276571E-8</v>
      </c>
      <c r="K105" s="1">
        <f>((J17/$B105)*$C105)*Input!$C$31</f>
        <v>1.115299491462846E-8</v>
      </c>
      <c r="L105" s="1">
        <f>((K17/$B105)*$C105)*Input!$C$31</f>
        <v>-9.2522077878609451E-6</v>
      </c>
      <c r="M105" s="1">
        <f t="shared" si="37"/>
        <v>7.9918977365452098E-3</v>
      </c>
      <c r="N105" s="1">
        <f t="shared" si="38"/>
        <v>8.0648564433038195E-3</v>
      </c>
      <c r="O105" s="1">
        <f t="shared" si="39"/>
        <v>-1.1873513445571254E-3</v>
      </c>
    </row>
    <row r="106" spans="1:18" x14ac:dyDescent="0.35">
      <c r="A106" s="39" t="s">
        <v>186</v>
      </c>
      <c r="B106" s="154">
        <v>65000</v>
      </c>
      <c r="C106" s="154">
        <v>8.3199999999999996E-2</v>
      </c>
      <c r="D106" s="1">
        <f>((C18/$B106)*$C106)*Input!$C$31</f>
        <v>5.0845032407026168E-11</v>
      </c>
      <c r="E106" s="1">
        <f>((D18/$B106)*$C106)*Input!$C$31</f>
        <v>6.3917100249552833E-15</v>
      </c>
      <c r="F106" s="1">
        <f>((E18/$B106)*$C106)*Input!$C$31</f>
        <v>3.5310773091472007E-12</v>
      </c>
      <c r="G106" s="1">
        <f>((F18/$B106)*$C106)*Input!$C$31</f>
        <v>8.9096255078399984E-13</v>
      </c>
      <c r="H106" s="1">
        <f>((G18/$B106)*$C106)*Input!$C$31</f>
        <v>7.3532237839279363E-12</v>
      </c>
      <c r="I106" s="1">
        <f>((H18/$B106)*$C106)*Input!$C$31</f>
        <v>8.0828811273830395E-13</v>
      </c>
      <c r="J106" s="1">
        <f>((I18/$B106)*$C106)*Input!$C$31</f>
        <v>4.4307819776304149E-14</v>
      </c>
      <c r="K106" s="1">
        <f>((J18/$B106)*$C106)*Input!$C$31</f>
        <v>3.36224496028004E-14</v>
      </c>
      <c r="L106" s="1">
        <f>((K18/$B106)*$C106)*Input!$C$31</f>
        <v>-2.7571652912918696E-12</v>
      </c>
      <c r="M106" s="1">
        <f t="shared" si="37"/>
        <v>6.2626687760910249E-8</v>
      </c>
      <c r="N106" s="1">
        <f t="shared" si="38"/>
        <v>6.3512906143027665E-8</v>
      </c>
      <c r="O106" s="1">
        <f t="shared" si="39"/>
        <v>6.0755740851735795E-8</v>
      </c>
    </row>
    <row r="107" spans="1:18" x14ac:dyDescent="0.35">
      <c r="A107" s="39" t="s">
        <v>188</v>
      </c>
      <c r="B107" s="154">
        <v>5.3600000000000002E-2</v>
      </c>
      <c r="C107" s="154">
        <v>6.3099999999999989E-2</v>
      </c>
      <c r="D107" s="1">
        <f>((C19/$B107)*$C107)*Input!$C$31</f>
        <v>9.2919317518819156E-9</v>
      </c>
      <c r="E107" s="1">
        <f>((D19/$B107)*$C107)*Input!$C$31</f>
        <v>8.4954596053707516E-10</v>
      </c>
      <c r="F107" s="1">
        <f>((E19/$B107)*$C107)*Input!$C$31</f>
        <v>6.4195049163561419E-8</v>
      </c>
      <c r="G107" s="1">
        <f>((F19/$B107)*$C107)*Input!$C$31</f>
        <v>1.651538503665671E-8</v>
      </c>
      <c r="H107" s="1">
        <f>((G19/$B107)*$C107)*Input!$C$31</f>
        <v>5.7455010868548475E-7</v>
      </c>
      <c r="I107" s="1">
        <f>((H19/$B107)*$C107)*Input!$C$31</f>
        <v>1.498288496040501E-8</v>
      </c>
      <c r="J107" s="1">
        <f>((I19/$B107)*$C107)*Input!$C$31</f>
        <v>5.8891171790020722E-9</v>
      </c>
      <c r="K107" s="1">
        <f>((J19/$B107)*$C107)*Input!$C$31</f>
        <v>4.4688848730462096E-9</v>
      </c>
      <c r="L107" s="1">
        <f>((K19/$B107)*$C107)*Input!$C$31</f>
        <v>-2.0404404266974579E-8</v>
      </c>
      <c r="M107" s="1">
        <f t="shared" si="37"/>
        <v>6.6540202059812189E-4</v>
      </c>
      <c r="N107" s="1">
        <f t="shared" si="38"/>
        <v>6.9074290761057518E-4</v>
      </c>
      <c r="O107" s="1">
        <f t="shared" si="39"/>
        <v>6.7033850334360056E-4</v>
      </c>
    </row>
    <row r="108" spans="1:18" x14ac:dyDescent="0.35">
      <c r="A108" s="39" t="s">
        <v>190</v>
      </c>
      <c r="B108" s="154">
        <v>5.9500000000000004E-4</v>
      </c>
      <c r="C108" s="154">
        <v>8.9600000000000013E-2</v>
      </c>
      <c r="D108" s="1">
        <f>((C20/$B108)*$C108)*Input!$C$31</f>
        <v>3.6820337883245549E-5</v>
      </c>
      <c r="E108" s="1">
        <f>((D20/$B108)*$C108)*Input!$C$31</f>
        <v>4.7497063705476585E-8</v>
      </c>
      <c r="F108" s="1">
        <f>((E20/$B108)*$C108)*Input!$C$31</f>
        <v>2.2359612001365473E-5</v>
      </c>
      <c r="G108" s="1">
        <f>((F20/$B108)*$C108)*Input!$C$31</f>
        <v>5.8889618082635283E-6</v>
      </c>
      <c r="H108" s="1">
        <f>((G20/$B108)*$C108)*Input!$C$31</f>
        <v>2.4601529262832079E-6</v>
      </c>
      <c r="I108" s="1">
        <f>((H20/$B108)*$C108)*Input!$C$31</f>
        <v>5.3425116710020521E-6</v>
      </c>
      <c r="J108" s="1">
        <f>((I20/$B108)*$C108)*Input!$C$31</f>
        <v>3.2925325622553048E-7</v>
      </c>
      <c r="K108" s="1">
        <f>((J20/$B108)*$C108)*Input!$C$31</f>
        <v>2.4984982492686832E-7</v>
      </c>
      <c r="L108" s="1">
        <f>((K20/$B108)*$C108)*Input!$C$31</f>
        <v>-4.0228798882250339E-5</v>
      </c>
      <c r="M108" s="1">
        <f t="shared" si="37"/>
        <v>6.7576561682863245E-2</v>
      </c>
      <c r="N108" s="1">
        <f t="shared" si="38"/>
        <v>7.3498176435017701E-2</v>
      </c>
      <c r="O108" s="1">
        <f t="shared" si="39"/>
        <v>3.3269377552767362E-2</v>
      </c>
    </row>
    <row r="109" spans="1:18" x14ac:dyDescent="0.35">
      <c r="A109" s="39" t="s">
        <v>192</v>
      </c>
      <c r="B109" s="154">
        <v>40.6</v>
      </c>
      <c r="C109" s="154">
        <v>4.7800000000000002E-2</v>
      </c>
      <c r="D109" s="1">
        <f>((C21/$B109)*$C109)*Input!$C$31</f>
        <v>1.9833872801147905E-5</v>
      </c>
      <c r="E109" s="1">
        <f>((D21/$B109)*$C109)*Input!$C$31</f>
        <v>9.2867227116512568E-8</v>
      </c>
      <c r="F109" s="1">
        <f>((E21/$B109)*$C109)*Input!$C$31</f>
        <v>8.8662629687805108E-6</v>
      </c>
      <c r="G109" s="1">
        <f>((F21/$B109)*$C109)*Input!$C$31</f>
        <v>1.9311888395349751E-6</v>
      </c>
      <c r="H109" s="1">
        <f>((G21/$B109)*$C109)*Input!$C$31</f>
        <v>4.0888137650077999E-6</v>
      </c>
      <c r="I109" s="1">
        <f>((H21/$B109)*$C109)*Input!$C$31</f>
        <v>1.7519894422896232E-6</v>
      </c>
      <c r="J109" s="1">
        <f>((I21/$B109)*$C109)*Input!$C$31</f>
        <v>6.4376267792785716E-7</v>
      </c>
      <c r="K109" s="1">
        <f>((J21/$B109)*$C109)*Input!$C$31</f>
        <v>4.8851147052757718E-7</v>
      </c>
      <c r="L109" s="1">
        <f>((K21/$B109)*$C109)*Input!$C$31</f>
        <v>-2.1216063098294806E-5</v>
      </c>
      <c r="M109" s="1">
        <f t="shared" si="37"/>
        <v>3.4813005601587704E-2</v>
      </c>
      <c r="N109" s="1">
        <f t="shared" si="38"/>
        <v>3.7697269192332759E-2</v>
      </c>
      <c r="O109" s="1">
        <f t="shared" si="39"/>
        <v>1.6481206094037953E-2</v>
      </c>
    </row>
    <row r="110" spans="1:18" x14ac:dyDescent="0.35">
      <c r="A110" s="39" t="s">
        <v>194</v>
      </c>
      <c r="B110" s="154">
        <v>11500</v>
      </c>
      <c r="C110" s="154">
        <v>8.5099999999999995E-2</v>
      </c>
      <c r="D110" s="1">
        <f>((C22/$B110)*$C110)*Input!$C$31</f>
        <v>5.1096671991923897E-6</v>
      </c>
      <c r="E110" s="1">
        <f>((D22/$B110)*$C110)*Input!$C$31</f>
        <v>4.2601343026467376E-9</v>
      </c>
      <c r="F110" s="1">
        <f>((E22/$B110)*$C110)*Input!$C$31</f>
        <v>6.1556547451036858E-7</v>
      </c>
      <c r="G110" s="1">
        <f>((F22/$B110)*$C110)*Input!$C$31</f>
        <v>1.4311734355583998E-7</v>
      </c>
      <c r="H110" s="1">
        <f>((G22/$B110)*$C110)*Input!$C$31</f>
        <v>1.1664587275523913E-6</v>
      </c>
      <c r="I110" s="1">
        <f>((H22/$B110)*$C110)*Input!$C$31</f>
        <v>1.2983716029487101E-7</v>
      </c>
      <c r="J110" s="1">
        <f>((I22/$B110)*$C110)*Input!$C$31</f>
        <v>2.9531574831704496E-8</v>
      </c>
      <c r="K110" s="1">
        <f>((J22/$B110)*$C110)*Input!$C$31</f>
        <v>2.2409676022951813E-8</v>
      </c>
      <c r="L110" s="1">
        <f>((K22/$B110)*$C110)*Input!$C$31</f>
        <v>-6.5420819562238333E-6</v>
      </c>
      <c r="M110" s="1">
        <f t="shared" si="37"/>
        <v>7.0390688791136368E-3</v>
      </c>
      <c r="N110" s="1">
        <f t="shared" si="38"/>
        <v>7.2208472902631641E-3</v>
      </c>
      <c r="O110" s="1">
        <f t="shared" si="39"/>
        <v>6.7876533403933115E-4</v>
      </c>
    </row>
    <row r="111" spans="1:18" x14ac:dyDescent="0.35">
      <c r="A111" s="376" t="s">
        <v>200</v>
      </c>
      <c r="B111" s="377"/>
      <c r="C111" s="330">
        <f>SUM(C92:C110)</f>
        <v>1</v>
      </c>
      <c r="D111" s="13">
        <f>SUM(D92:D110)*1000</f>
        <v>0.47743913445207481</v>
      </c>
      <c r="E111" s="13">
        <f t="shared" ref="E111:L111" si="40">SUM(E92:E110)*1000</f>
        <v>1.575494878296462E-3</v>
      </c>
      <c r="F111" s="13">
        <f t="shared" si="40"/>
        <v>0.14862132173577211</v>
      </c>
      <c r="G111" s="13">
        <f>SUM(G92:G110)*1000</f>
        <v>3.7104105683141132E-2</v>
      </c>
      <c r="H111" s="13">
        <f t="shared" si="40"/>
        <v>0.19986158582221403</v>
      </c>
      <c r="I111" s="13">
        <f t="shared" si="40"/>
        <v>3.366113147076541E-2</v>
      </c>
      <c r="J111" s="13">
        <f t="shared" si="40"/>
        <v>1.0921450261902051E-2</v>
      </c>
      <c r="K111" s="13">
        <f t="shared" si="40"/>
        <v>8.2876095658553448E-3</v>
      </c>
      <c r="L111" s="13">
        <f t="shared" si="40"/>
        <v>-0.52463279280395358</v>
      </c>
      <c r="M111" s="1">
        <f>SUM(M92:M110)</f>
        <v>0.86460164257149885</v>
      </c>
      <c r="N111" s="1">
        <f>SUM(N92:N110)</f>
        <v>0.9174718338700214</v>
      </c>
      <c r="O111" s="1">
        <f>SUM(O92:O110)</f>
        <v>0.39283904106606776</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2.8042995592025446</v>
      </c>
      <c r="D118" s="1">
        <f>'C3'' - Secondary Raw Material '!$F$321*Input!$C$31</f>
        <v>3.2023744887117074E-2</v>
      </c>
      <c r="E118" s="1">
        <f>'A2 - Transport'!$Z$119*Input!$C$31</f>
        <v>2.4717014792847962</v>
      </c>
      <c r="F118" s="1">
        <f>('C2''- Transport Secondary'!$D$59+'C2''- Transport Secondary'!$G$59)*Input!$C$31</f>
        <v>0.63091556760959988</v>
      </c>
      <c r="G118" s="1">
        <f>'A3 - Production '!$D$207*Input!$C$31</f>
        <v>3.6403659152395975</v>
      </c>
      <c r="H118" s="1">
        <f>'A4 - Transport'!$B$18*Input!$C$31</f>
        <v>0.57237147957749757</v>
      </c>
      <c r="I118" s="1">
        <f>'A5 - Construction'!$E$140*Input!$C$31</f>
        <v>0.22199103393002423</v>
      </c>
      <c r="J118" s="1">
        <f>'C1 - Deconstruction'!$B$88*Input!$C$31</f>
        <v>0.16845519342338494</v>
      </c>
      <c r="K118" s="1">
        <f>'D- Benefits &amp; Burdens'!$N$162*Input!$C$31</f>
        <v>-3.3402062441041909</v>
      </c>
      <c r="L118" s="1">
        <f>SUM(C118:G118)</f>
        <v>9.5793062662236554</v>
      </c>
      <c r="M118" s="1">
        <f>SUM(C118:J118)</f>
        <v>10.542123973154563</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0.40032522754465105</v>
      </c>
      <c r="D125" s="1">
        <f>D68*Input!$C$31</f>
        <v>2.1382726598773893</v>
      </c>
      <c r="E125" s="1">
        <f>F68*Input!$C$31</f>
        <v>2.2550015999999999</v>
      </c>
      <c r="F125" s="1">
        <f>G68*Input!$C$31</f>
        <v>0.17695871073893374</v>
      </c>
      <c r="G125" s="1">
        <f>I68*Input!$C$31</f>
        <v>2.3359561298576807E-2</v>
      </c>
      <c r="H125" s="1">
        <f>J68*Input!$C$31</f>
        <v>3.1850568509759994E-2</v>
      </c>
      <c r="I125" s="1">
        <f>L68*Input!C31</f>
        <v>3.2023744887117074E-2</v>
      </c>
      <c r="J125" s="1">
        <f>M68*Input!C31</f>
        <v>0.63091556760959988</v>
      </c>
      <c r="K125" s="1">
        <f>O68*Input!$C$31</f>
        <v>0</v>
      </c>
      <c r="L125" s="1">
        <f>P68*Input!$C$31</f>
        <v>0</v>
      </c>
      <c r="M125" s="1">
        <f>R68*Input!$C$31</f>
        <v>0.12561317035931716</v>
      </c>
      <c r="N125" s="1">
        <f>S68*Input!$C$31</f>
        <v>0.12461954015871358</v>
      </c>
      <c r="O125" s="1">
        <f>U68*Input!$C$31</f>
        <v>3.6403659152395975</v>
      </c>
      <c r="P125" s="1">
        <f>V68*Input!$C$31</f>
        <v>0.57237147957749757</v>
      </c>
      <c r="Q125" s="1">
        <f>Z68*Input!$C$31</f>
        <v>0.22199103393002423</v>
      </c>
      <c r="R125" s="1">
        <f>AA68*Input!$C$31</f>
        <v>0.16845519342338494</v>
      </c>
      <c r="S125" s="1">
        <f>$AC$68*Input!$C$31</f>
        <v>0.14598502034476504</v>
      </c>
      <c r="T125" s="1">
        <f>$AB$68*Input!$C$31</f>
        <v>1.5008018566463999</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6.1062062354675642E-3</v>
      </c>
      <c r="D133" s="1">
        <f>D67*Input!$C$31</f>
        <v>4.0301518185427111E-3</v>
      </c>
      <c r="E133" s="62">
        <f>E67*Input!$C$31</f>
        <v>1.0136358054010275E-2</v>
      </c>
      <c r="F133" s="1">
        <f>F67*Input!$C$31</f>
        <v>7.3181183999999995E-3</v>
      </c>
      <c r="G133" s="1">
        <f>G67*Input!$C$31</f>
        <v>2.6388268689407998E-4</v>
      </c>
      <c r="H133" s="62">
        <f>H67*Input!$C$31</f>
        <v>7.5820010868940793E-3</v>
      </c>
      <c r="I133" s="1">
        <f>I67*Input!$C$31</f>
        <v>1.7871685826003654E-4</v>
      </c>
      <c r="J133" s="1">
        <f>J67*Input!$C$31</f>
        <v>4.7495902080000005E-5</v>
      </c>
      <c r="K133" s="62">
        <f>K67*Input!$C$31</f>
        <v>2.2621276034003656E-4</v>
      </c>
      <c r="L133" s="1">
        <f>L67*Input!$C$31</f>
        <v>4.0941947860662124E-5</v>
      </c>
      <c r="M133" s="1">
        <f>M67*Input!$C$31</f>
        <v>9.4082791680000005E-4</v>
      </c>
      <c r="N133" s="62">
        <f>N67*Input!$C$31</f>
        <v>9.8176986466066225E-4</v>
      </c>
      <c r="O133" s="1">
        <f>O67*Input!$C$31</f>
        <v>0</v>
      </c>
      <c r="P133" s="1">
        <f>P67*Input!$C$31</f>
        <v>0</v>
      </c>
      <c r="Q133" s="62">
        <f>Q67*Input!$C$31</f>
        <v>0</v>
      </c>
      <c r="R133" s="1">
        <f>R67*Input!$C$31</f>
        <v>1.0016361889498566E-3</v>
      </c>
      <c r="S133" s="1">
        <f>S67*Input!$C$31</f>
        <v>1.8583396634880002E-4</v>
      </c>
      <c r="T133" s="62">
        <f>T67*Input!$C$31</f>
        <v>1.1874701552986565E-3</v>
      </c>
      <c r="U133" s="62">
        <f>U67*Input!$C$31</f>
        <v>3.6649953502184817E-3</v>
      </c>
      <c r="V133" s="62">
        <f>V67*Input!$C$31</f>
        <v>8.5352635822079999E-4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4.1057658432000002E-3</v>
      </c>
      <c r="AC133" s="89">
        <f>AC67*Input!$C$31</f>
        <v>1.8663997956708492E-4</v>
      </c>
      <c r="AD133" s="250">
        <f>AD67*Input!$C$31</f>
        <v>4.2924058227670845E-3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-1.5052447454658408E-2</v>
      </c>
    </row>
    <row r="134" spans="1:40" x14ac:dyDescent="0.35">
      <c r="A134" s="39" t="s">
        <v>164</v>
      </c>
      <c r="B134" s="39" t="s">
        <v>165</v>
      </c>
      <c r="C134" s="1">
        <f>C68*Input!$C$31</f>
        <v>0.40032522754465105</v>
      </c>
      <c r="D134" s="1">
        <f>D68*Input!$C$31</f>
        <v>2.1382726598773893</v>
      </c>
      <c r="E134" s="62">
        <f>E68*Input!$C$31</f>
        <v>2.5385978874220401</v>
      </c>
      <c r="F134" s="1">
        <f>F68*Input!$C$31</f>
        <v>2.2550015999999999</v>
      </c>
      <c r="G134" s="1">
        <f>G68*Input!$C$31</f>
        <v>0.17695871073893374</v>
      </c>
      <c r="H134" s="62">
        <f>H68*Input!$C$31</f>
        <v>2.4319603107389338</v>
      </c>
      <c r="I134" s="1">
        <f>I68*Input!$C$31</f>
        <v>2.3359561298576807E-2</v>
      </c>
      <c r="J134" s="1">
        <f>J68*Input!$C$31</f>
        <v>3.1850568509759994E-2</v>
      </c>
      <c r="K134" s="62">
        <f>K68*Input!$C$31</f>
        <v>5.5210129808336804E-2</v>
      </c>
      <c r="L134" s="1">
        <f>L68*Input!$C$31</f>
        <v>3.2023744887117074E-2</v>
      </c>
      <c r="M134" s="1">
        <f>M68*Input!$C$31</f>
        <v>0.63091556760959988</v>
      </c>
      <c r="N134" s="62">
        <f>N68*Input!$C$31</f>
        <v>0.662939312496717</v>
      </c>
      <c r="O134" s="1">
        <f>O68*Input!$C$31</f>
        <v>0</v>
      </c>
      <c r="P134" s="1">
        <f>P68*Input!$C$31</f>
        <v>0</v>
      </c>
      <c r="Q134" s="62">
        <f>Q68*Input!$C$31</f>
        <v>0</v>
      </c>
      <c r="R134" s="1">
        <f>R68*Input!$C$31</f>
        <v>0.12561317035931716</v>
      </c>
      <c r="S134" s="1">
        <f>S68*Input!$C$31</f>
        <v>0.12461954015871358</v>
      </c>
      <c r="T134" s="62">
        <f>T68*Input!$C$31</f>
        <v>0.25023271051803075</v>
      </c>
      <c r="U134" s="62">
        <f>U68*Input!$C$31</f>
        <v>3.6403659152395975</v>
      </c>
      <c r="V134" s="62">
        <f>V68*Input!$C$31</f>
        <v>0.57237147957749757</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1.5008018566463999</v>
      </c>
      <c r="AC134" s="1">
        <f>AC68*Input!$C$31</f>
        <v>0.14598502034476504</v>
      </c>
      <c r="AD134" s="62">
        <f>AD68*Input!$C$31</f>
        <v>1.6467868769911651</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-3.3402062441041909</v>
      </c>
    </row>
    <row r="135" spans="1:40" x14ac:dyDescent="0.35">
      <c r="A135" s="39" t="s">
        <v>166</v>
      </c>
      <c r="B135" s="39" t="s">
        <v>165</v>
      </c>
      <c r="C135" s="1">
        <f>C69*Input!$C$31</f>
        <v>7.2489917395628849E-4</v>
      </c>
      <c r="D135" s="1">
        <f>D69*Input!$C$31</f>
        <v>9.7715565690332704E-4</v>
      </c>
      <c r="E135" s="62">
        <f>E69*Input!$C$31</f>
        <v>1.7020548308596159E-3</v>
      </c>
      <c r="F135" s="1">
        <f>F69*Input!$C$31</f>
        <v>8.9349119999999997E-3</v>
      </c>
      <c r="G135" s="1">
        <f>G69*Input!$C$31</f>
        <v>8.2702645742592002E-5</v>
      </c>
      <c r="H135" s="62">
        <f>H69*Input!$C$31</f>
        <v>9.0176146457425933E-3</v>
      </c>
      <c r="I135" s="1">
        <f>I69*Input!$C$31</f>
        <v>3.6430029971966935E-4</v>
      </c>
      <c r="J135" s="1">
        <f>J69*Input!$C$31</f>
        <v>1.4885541792000001E-5</v>
      </c>
      <c r="K135" s="62">
        <f>K69*Input!$C$31</f>
        <v>3.7918584151166936E-4</v>
      </c>
      <c r="L135" s="1">
        <f>L69*Input!$C$31</f>
        <v>6.6184957912473123E-6</v>
      </c>
      <c r="M135" s="1">
        <f>M69*Input!$C$31</f>
        <v>2.9486192832000002E-4</v>
      </c>
      <c r="N135" s="62">
        <f>N69*Input!$C$31</f>
        <v>3.0148042411124728E-4</v>
      </c>
      <c r="O135" s="1">
        <f>O69*Input!$C$31</f>
        <v>0</v>
      </c>
      <c r="P135" s="1">
        <f>P69*Input!$C$31</f>
        <v>0</v>
      </c>
      <c r="Q135" s="62">
        <f>Q69*Input!$C$31</f>
        <v>0</v>
      </c>
      <c r="R135" s="1">
        <f>R69*Input!$C$31</f>
        <v>2.0518677208664949E-2</v>
      </c>
      <c r="S135" s="1">
        <f>S69*Input!$C$31</f>
        <v>5.8241640885120005E-5</v>
      </c>
      <c r="T135" s="62">
        <f>T69*Input!$C$31</f>
        <v>2.0576918849550069E-2</v>
      </c>
      <c r="U135" s="62">
        <f>U69*Input!$C$31</f>
        <v>1.2436094407910121E-3</v>
      </c>
      <c r="V135" s="62">
        <f>V69*Input!$C$31</f>
        <v>2.6750102049792E-4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6.9365415167999998E-4</v>
      </c>
      <c r="AC135" s="1">
        <f>AC69*Input!$C$31</f>
        <v>3.0171400819698537E-5</v>
      </c>
      <c r="AD135" s="62">
        <f>AD69*Input!$C$31</f>
        <v>7.2382555249969843E-4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-1.2900444418671754E-2</v>
      </c>
    </row>
    <row r="136" spans="1:40" x14ac:dyDescent="0.35">
      <c r="A136" s="39" t="s">
        <v>167</v>
      </c>
      <c r="B136" s="39" t="s">
        <v>165</v>
      </c>
      <c r="C136" s="1">
        <f>C70*Input!$C$31</f>
        <v>0.39949800718752804</v>
      </c>
      <c r="D136" s="1">
        <f>D70*Input!$C$31</f>
        <v>2.1370274345709563</v>
      </c>
      <c r="E136" s="62">
        <f>E70*Input!$C$31</f>
        <v>2.5365254417584842</v>
      </c>
      <c r="F136" s="1">
        <f>F70*Input!$C$31</f>
        <v>2.2464921599999998</v>
      </c>
      <c r="G136" s="1">
        <f>G70*Input!$C$31</f>
        <v>0.17686193264805888</v>
      </c>
      <c r="H136" s="62">
        <f>H70*Input!$C$31</f>
        <v>2.4233540926480588</v>
      </c>
      <c r="I136" s="1">
        <f>I70*Input!$C$31</f>
        <v>2.2955781953712517E-2</v>
      </c>
      <c r="J136" s="1">
        <f>J70*Input!$C$31</f>
        <v>3.1833149546880005E-2</v>
      </c>
      <c r="K136" s="62">
        <f>K70*Input!$C$31</f>
        <v>5.4788931500592518E-2</v>
      </c>
      <c r="L136" s="1">
        <f>L70*Input!$C$31</f>
        <v>3.2015710217664466E-2</v>
      </c>
      <c r="M136" s="1">
        <f>M70*Input!$C$31</f>
        <v>0.63057052212480003</v>
      </c>
      <c r="N136" s="62">
        <f>N70*Input!$C$31</f>
        <v>0.66258623234246439</v>
      </c>
      <c r="O136" s="1">
        <f>O70*Input!$C$31</f>
        <v>0</v>
      </c>
      <c r="P136" s="1">
        <f>P70*Input!$C$31</f>
        <v>0</v>
      </c>
      <c r="Q136" s="62">
        <f>Q70*Input!$C$31</f>
        <v>0</v>
      </c>
      <c r="R136" s="1">
        <f>R70*Input!$C$31</f>
        <v>0.10500791454553669</v>
      </c>
      <c r="S136" s="1">
        <f>S70*Input!$C$31</f>
        <v>0.12455138617447681</v>
      </c>
      <c r="T136" s="62">
        <f>T70*Input!$C$31</f>
        <v>0.22955930072001351</v>
      </c>
      <c r="U136" s="62">
        <f>U70*Input!$C$31</f>
        <v>3.6384576750248887</v>
      </c>
      <c r="V136" s="62">
        <f>V70*Input!$C$31</f>
        <v>0.57205845164666869</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1.49999019408</v>
      </c>
      <c r="AC136" s="1">
        <f>AC70*Input!$C$31</f>
        <v>0.14594839310495791</v>
      </c>
      <c r="AD136" s="62">
        <f>AD70*Input!$C$31</f>
        <v>1.6459385871849579</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-3.3273324147533301</v>
      </c>
    </row>
    <row r="137" spans="1:40" x14ac:dyDescent="0.35">
      <c r="A137" s="39" t="s">
        <v>168</v>
      </c>
      <c r="B137" s="39" t="s">
        <v>165</v>
      </c>
      <c r="C137" s="1">
        <f>C71*Input!$C$31</f>
        <v>1.0232118316681846E-4</v>
      </c>
      <c r="D137" s="1">
        <f>D71*Input!$C$31</f>
        <v>2.6806710115191246E-4</v>
      </c>
      <c r="E137" s="62">
        <f>E71*Input!$C$31</f>
        <v>3.7038828431873092E-4</v>
      </c>
      <c r="F137" s="1">
        <f>F71*Input!$C$31</f>
        <v>1.1275008000000001E-3</v>
      </c>
      <c r="G137" s="1">
        <f>G71*Input!$C$31</f>
        <v>1.4075222184960002E-5</v>
      </c>
      <c r="H137" s="62">
        <f>H71*Input!$C$31</f>
        <v>1.1415760221849601E-3</v>
      </c>
      <c r="I137" s="1">
        <f>I71*Input!$C$31</f>
        <v>3.9479045144619907E-5</v>
      </c>
      <c r="J137" s="1">
        <f>J71*Input!$C$31</f>
        <v>2.5333809599999997E-6</v>
      </c>
      <c r="K137" s="62">
        <f>K71*Input!$C$31</f>
        <v>4.2012426104619908E-5</v>
      </c>
      <c r="L137" s="1">
        <f>L71*Input!$C$31</f>
        <v>1.4161736613608893E-6</v>
      </c>
      <c r="M137" s="1">
        <f>M71*Input!$C$31</f>
        <v>5.0182761599999993E-5</v>
      </c>
      <c r="N137" s="62">
        <f>N71*Input!$C$31</f>
        <v>5.159893526136088E-5</v>
      </c>
      <c r="O137" s="1">
        <f>O71*Input!$C$31</f>
        <v>0</v>
      </c>
      <c r="P137" s="1">
        <f>P71*Input!$C$31</f>
        <v>0</v>
      </c>
      <c r="Q137" s="62">
        <f>Q71*Input!$C$31</f>
        <v>0</v>
      </c>
      <c r="R137" s="1">
        <f>R71*Input!$C$31</f>
        <v>8.6578605115472321E-5</v>
      </c>
      <c r="S137" s="1">
        <f>S71*Input!$C$31</f>
        <v>9.9121863456000014E-6</v>
      </c>
      <c r="T137" s="62">
        <f>T71*Input!$C$31</f>
        <v>9.6490791461072319E-5</v>
      </c>
      <c r="U137" s="62">
        <f>U71*Input!$C$31</f>
        <v>6.6463077391797575E-4</v>
      </c>
      <c r="V137" s="62">
        <f>V71*Input!$C$31</f>
        <v>4.5526189209599998E-5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1.1800563264E-4</v>
      </c>
      <c r="AC137" s="1">
        <f>AC71*Input!$C$31</f>
        <v>6.4558389874214863E-6</v>
      </c>
      <c r="AD137" s="62">
        <f>AD71*Input!$C$31</f>
        <v>1.2446147162742147E-4</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-1.6104806771380354E-3</v>
      </c>
    </row>
    <row r="138" spans="1:40" x14ac:dyDescent="0.35">
      <c r="A138" s="39" t="s">
        <v>169</v>
      </c>
      <c r="B138" s="39" t="s">
        <v>170</v>
      </c>
      <c r="C138" s="1">
        <f>C72*Input!$C$31</f>
        <v>2.5727993881096403</v>
      </c>
      <c r="D138" s="1">
        <f>D72*Input!$C$31</f>
        <v>1.8542796214522421</v>
      </c>
      <c r="E138" s="62">
        <f>E72*Input!$C$31</f>
        <v>4.4270790095618828</v>
      </c>
      <c r="F138" s="1">
        <f>F72*Input!$C$31</f>
        <v>121.25951999999999</v>
      </c>
      <c r="G138" s="1">
        <f>G72*Input!$C$31</f>
        <v>0.15198759559259137</v>
      </c>
      <c r="H138" s="62">
        <f>H72*Input!$C$31</f>
        <v>121.41150759559258</v>
      </c>
      <c r="I138" s="1">
        <f>I72*Input!$C$31</f>
        <v>7.2916893514116857E-2</v>
      </c>
      <c r="J138" s="1">
        <f>J72*Input!$C$31</f>
        <v>2.7356049927359995E-2</v>
      </c>
      <c r="K138" s="62">
        <f>K72*Input!$C$31</f>
        <v>0.10027294344147686</v>
      </c>
      <c r="L138" s="1">
        <f>L72*Input!$C$31</f>
        <v>1.4149071245162414E-2</v>
      </c>
      <c r="M138" s="1">
        <f>M72*Input!$C$31</f>
        <v>0.54188539090559995</v>
      </c>
      <c r="N138" s="62">
        <f>N72*Input!$C$31</f>
        <v>0.55603446215076235</v>
      </c>
      <c r="O138" s="1">
        <f>O72*Input!$C$31</f>
        <v>0</v>
      </c>
      <c r="P138" s="1">
        <f>P72*Input!$C$31</f>
        <v>0</v>
      </c>
      <c r="Q138" s="62">
        <f>Q72*Input!$C$31</f>
        <v>0</v>
      </c>
      <c r="R138" s="1">
        <f>R72*Input!$C$31</f>
        <v>0.52461785879565603</v>
      </c>
      <c r="S138" s="1">
        <f>S72*Input!$C$31</f>
        <v>0.10703414482104959</v>
      </c>
      <c r="T138" s="62">
        <f>T72*Input!$C$31</f>
        <v>0.63165200361670559</v>
      </c>
      <c r="U138" s="62">
        <f>U72*Input!$C$31</f>
        <v>2.0310003513140407</v>
      </c>
      <c r="V138" s="62">
        <f>V72*Input!$C$31</f>
        <v>0.49160261511567355</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1.2754615281407999</v>
      </c>
      <c r="AC138" s="1">
        <f>AC72*Input!$C$31</f>
        <v>6.4500652901950964E-2</v>
      </c>
      <c r="AD138" s="62">
        <f>AD72*Input!$C$31</f>
        <v>1.3399621810427509</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-130.44077906122433</v>
      </c>
    </row>
    <row r="139" spans="1:40" ht="29" x14ac:dyDescent="0.35">
      <c r="A139" s="39" t="s">
        <v>171</v>
      </c>
      <c r="B139" s="39" t="s">
        <v>172</v>
      </c>
      <c r="C139" s="1">
        <f>C73*Input!$C$31</f>
        <v>5.4930451161682825</v>
      </c>
      <c r="D139" s="1">
        <f>D73*Input!$C$31</f>
        <v>28.641048461408303</v>
      </c>
      <c r="E139" s="62">
        <f>E73*Input!$C$31</f>
        <v>34.134093577576586</v>
      </c>
      <c r="F139" s="1">
        <f>F73*Input!$C$31</f>
        <v>194.866176</v>
      </c>
      <c r="G139" s="1">
        <f>G73*Input!$C$31</f>
        <v>2.3816802680254465</v>
      </c>
      <c r="H139" s="62">
        <f>H73*Input!$C$31</f>
        <v>197.24785626802546</v>
      </c>
      <c r="I139" s="1">
        <f>I73*Input!$C$31</f>
        <v>0.39116776396081698</v>
      </c>
      <c r="J139" s="1">
        <f>J73*Input!$C$31</f>
        <v>0.42867553808639997</v>
      </c>
      <c r="K139" s="62">
        <f>K73*Input!$C$31</f>
        <v>0.81984330204721689</v>
      </c>
      <c r="L139" s="1">
        <f>L73*Input!$C$31</f>
        <v>0.42536093574717587</v>
      </c>
      <c r="M139" s="1">
        <f>M73*Input!$C$31</f>
        <v>8.4914675965439983</v>
      </c>
      <c r="N139" s="62">
        <f>N73*Input!$C$31</f>
        <v>8.9168285322911736</v>
      </c>
      <c r="O139" s="1">
        <f>O73*Input!$C$31</f>
        <v>0</v>
      </c>
      <c r="P139" s="1">
        <f>P73*Input!$C$31</f>
        <v>0</v>
      </c>
      <c r="Q139" s="62">
        <f>Q73*Input!$C$31</f>
        <v>0</v>
      </c>
      <c r="R139" s="1">
        <f>R73*Input!$C$31</f>
        <v>1.4499807105429279</v>
      </c>
      <c r="S139" s="1">
        <f>S73*Input!$C$31</f>
        <v>1.677249447439104</v>
      </c>
      <c r="T139" s="62">
        <f>T73*Input!$C$31</f>
        <v>3.1272301579820314</v>
      </c>
      <c r="U139" s="62">
        <f>U73*Input!$C$31</f>
        <v>68.224747796740928</v>
      </c>
      <c r="V139" s="62">
        <f>V73*Input!$C$31</f>
        <v>7.7035250381168616</v>
      </c>
      <c r="W139" s="1">
        <f>W73*Input!$C$31</f>
        <v>1.0398912984946673</v>
      </c>
      <c r="X139" s="1">
        <f>X73*Input!$C$31</f>
        <v>1.3983556416476195</v>
      </c>
      <c r="Y139" s="1">
        <f>Y73*Input!$C$31</f>
        <v>0.51038740143171268</v>
      </c>
      <c r="Z139" s="250">
        <f>Z73*Input!$C$31</f>
        <v>2.9486343415739995</v>
      </c>
      <c r="AA139" s="250">
        <f>AA73*Input!$C$31</f>
        <v>2.2375352713626104</v>
      </c>
      <c r="AB139" s="89">
        <f>AB73*Input!$C$31</f>
        <v>20.178793567295997</v>
      </c>
      <c r="AC139" s="1">
        <f>AC73*Input!$C$31</f>
        <v>1.9390713071755914</v>
      </c>
      <c r="AD139" s="62">
        <f>AD73*Input!$C$31</f>
        <v>22.117864874471589</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-219.01358275239915</v>
      </c>
    </row>
    <row r="140" spans="1:40" ht="29" x14ac:dyDescent="0.35">
      <c r="A140" s="39" t="s">
        <v>173</v>
      </c>
      <c r="B140" s="39" t="s">
        <v>174</v>
      </c>
      <c r="C140" s="1">
        <f>C74*Input!$C$31</f>
        <v>2.5170164436843991E-5</v>
      </c>
      <c r="D140" s="1">
        <f>D74*Input!$C$31</f>
        <v>5.7599852329624077E-5</v>
      </c>
      <c r="E140" s="62">
        <f>E74*Input!$C$31</f>
        <v>8.2770016766468065E-5</v>
      </c>
      <c r="F140" s="1">
        <f>F74*Input!$C$31</f>
        <v>1.8933504E-6</v>
      </c>
      <c r="G140" s="1">
        <f>G74*Input!$C$31</f>
        <v>4.1275242095615997E-6</v>
      </c>
      <c r="H140" s="62">
        <f>H74*Input!$C$31</f>
        <v>6.0208746095615997E-6</v>
      </c>
      <c r="I140" s="1">
        <f>I74*Input!$C$31</f>
        <v>1.40363356826654E-5</v>
      </c>
      <c r="J140" s="1">
        <f>J74*Input!$C$31</f>
        <v>7.4290772159999999E-7</v>
      </c>
      <c r="K140" s="62">
        <f>K74*Input!$C$31</f>
        <v>1.4779243404265399E-5</v>
      </c>
      <c r="L140" s="1">
        <f>L74*Input!$C$31</f>
        <v>3.3853426610781397E-7</v>
      </c>
      <c r="M140" s="1">
        <f>M74*Input!$C$31</f>
        <v>1.4715971136000001E-5</v>
      </c>
      <c r="N140" s="62">
        <f>N74*Input!$C$31</f>
        <v>1.5054505402107816E-5</v>
      </c>
      <c r="O140" s="1">
        <f>O74*Input!$C$31</f>
        <v>0</v>
      </c>
      <c r="P140" s="1">
        <f>P74*Input!$C$31</f>
        <v>0</v>
      </c>
      <c r="Q140" s="62">
        <f>Q74*Input!$C$31</f>
        <v>0</v>
      </c>
      <c r="R140" s="1">
        <f>R74*Input!$C$31</f>
        <v>3.312277560601401E-5</v>
      </c>
      <c r="S140" s="1">
        <f>S74*Input!$C$31</f>
        <v>2.9067242117759998E-6</v>
      </c>
      <c r="T140" s="62">
        <f>T74*Input!$C$31</f>
        <v>3.6029499817790011E-5</v>
      </c>
      <c r="U140" s="62">
        <f>U74*Input!$C$31</f>
        <v>1.2964507603569549E-4</v>
      </c>
      <c r="V140" s="62">
        <f>V74*Input!$C$31</f>
        <v>1.3350442761215999E-5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3.4525612799999999E-5</v>
      </c>
      <c r="AC140" s="1">
        <f>AC74*Input!$C$31</f>
        <v>1.5432589754682634E-6</v>
      </c>
      <c r="AD140" s="62">
        <f>AD74*Input!$C$31</f>
        <v>3.6068871775468269E-5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-1.428184581056957E-4</v>
      </c>
    </row>
    <row r="141" spans="1:40" ht="29" x14ac:dyDescent="0.35">
      <c r="A141" s="39" t="s">
        <v>175</v>
      </c>
      <c r="B141" s="39" t="s">
        <v>176</v>
      </c>
      <c r="C141" s="1">
        <f>C75*Input!$C$31</f>
        <v>2.3280575853272239E-3</v>
      </c>
      <c r="D141" s="1">
        <f>D75*Input!$C$31</f>
        <v>1.117096339751533E-3</v>
      </c>
      <c r="E141" s="62">
        <f>E75*Input!$C$31</f>
        <v>3.4451539250787565E-3</v>
      </c>
      <c r="F141" s="1">
        <f>F75*Input!$C$31</f>
        <v>1.88909568E-3</v>
      </c>
      <c r="G141" s="1">
        <f>G75*Input!$C$31</f>
        <v>5.7517289361408002E-5</v>
      </c>
      <c r="H141" s="62">
        <f>H75*Input!$C$31</f>
        <v>1.9466129693614079E-3</v>
      </c>
      <c r="I141" s="1">
        <f>I75*Input!$C$31</f>
        <v>4.0474100358243172E-5</v>
      </c>
      <c r="J141" s="1">
        <f>J75*Input!$C$31</f>
        <v>1.0352462207999998E-5</v>
      </c>
      <c r="K141" s="62">
        <f>K75*Input!$C$31</f>
        <v>5.0826562566243173E-5</v>
      </c>
      <c r="L141" s="1">
        <f>L75*Input!$C$31</f>
        <v>9.2583083121698704E-6</v>
      </c>
      <c r="M141" s="1">
        <f>M75*Input!$C$31</f>
        <v>2.0506791167999999E-4</v>
      </c>
      <c r="N141" s="62">
        <f>N75*Input!$C$31</f>
        <v>2.1432621999216983E-4</v>
      </c>
      <c r="O141" s="1">
        <f>O75*Input!$C$31</f>
        <v>0</v>
      </c>
      <c r="P141" s="1">
        <f>P75*Input!$C$31</f>
        <v>0</v>
      </c>
      <c r="Q141" s="62">
        <f>Q75*Input!$C$31</f>
        <v>0</v>
      </c>
      <c r="R141" s="1">
        <f>R75*Input!$C$31</f>
        <v>1.9790745591982768E-4</v>
      </c>
      <c r="S141" s="1">
        <f>S75*Input!$C$31</f>
        <v>4.0505370554879999E-5</v>
      </c>
      <c r="T141" s="62">
        <f>T75*Input!$C$31</f>
        <v>2.384128264747077E-4</v>
      </c>
      <c r="U141" s="62">
        <f>U75*Input!$C$31</f>
        <v>9.5431462884252617E-4</v>
      </c>
      <c r="V141" s="62">
        <f>V75*Input!$C$31</f>
        <v>1.8603919454207997E-4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1.4731484543999999E-3</v>
      </c>
      <c r="AC141" s="1">
        <f>AC75*Input!$C$31</f>
        <v>4.220538016632635E-5</v>
      </c>
      <c r="AD141" s="62">
        <f>AD75*Input!$C$31</f>
        <v>1.5153538345663261E-3</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-4.6376997636182792E-3</v>
      </c>
    </row>
    <row r="142" spans="1:40" x14ac:dyDescent="0.35">
      <c r="A142" s="39" t="s">
        <v>177</v>
      </c>
      <c r="B142" s="39" t="s">
        <v>178</v>
      </c>
      <c r="C142" s="1">
        <f>C76*Input!$C$31</f>
        <v>3.0633665926207133E-2</v>
      </c>
      <c r="D142" s="1">
        <f>D76*Input!$C$31</f>
        <v>1.2142001081594042E-2</v>
      </c>
      <c r="E142" s="62">
        <f>E76*Input!$C$31</f>
        <v>4.2775667007801173E-2</v>
      </c>
      <c r="F142" s="1">
        <f>F76*Input!$C$31</f>
        <v>2.0677939200000002E-2</v>
      </c>
      <c r="G142" s="1">
        <f>G76*Input!$C$31</f>
        <v>6.2257261028351996E-4</v>
      </c>
      <c r="H142" s="62">
        <f>H76*Input!$C$31</f>
        <v>2.1300511810283522E-2</v>
      </c>
      <c r="I142" s="1">
        <f>I76*Input!$C$31</f>
        <v>4.7973073184947776E-4</v>
      </c>
      <c r="J142" s="1">
        <f>J76*Input!$C$31</f>
        <v>1.1205603552E-4</v>
      </c>
      <c r="K142" s="62">
        <f>K76*Input!$C$31</f>
        <v>5.9178676736947782E-4</v>
      </c>
      <c r="L142" s="1">
        <f>L76*Input!$C$31</f>
        <v>1.0064921983916307E-4</v>
      </c>
      <c r="M142" s="1">
        <f>M76*Input!$C$31</f>
        <v>2.2196745792000001E-3</v>
      </c>
      <c r="N142" s="62">
        <f>N76*Input!$C$31</f>
        <v>2.320323799039163E-3</v>
      </c>
      <c r="O142" s="1">
        <f>O76*Input!$C$31</f>
        <v>0</v>
      </c>
      <c r="P142" s="1">
        <f>P76*Input!$C$31</f>
        <v>0</v>
      </c>
      <c r="Q142" s="62">
        <f>Q76*Input!$C$31</f>
        <v>0</v>
      </c>
      <c r="R142" s="1">
        <f>R76*Input!$C$31</f>
        <v>2.0312124714815557E-3</v>
      </c>
      <c r="S142" s="1">
        <f>S76*Input!$C$31</f>
        <v>4.3843398318719996E-4</v>
      </c>
      <c r="T142" s="62">
        <f>T76*Input!$C$31</f>
        <v>2.4696464546687556E-3</v>
      </c>
      <c r="U142" s="62">
        <f>U76*Input!$C$31</f>
        <v>1.0281846722055359E-2</v>
      </c>
      <c r="V142" s="62">
        <f>V76*Input!$C$31</f>
        <v>2.0137059351551996E-3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1.6069804128E-2</v>
      </c>
      <c r="AC142" s="1">
        <f>AC76*Input!$C$31</f>
        <v>4.5882448969345726E-4</v>
      </c>
      <c r="AD142" s="62">
        <f>AD76*Input!$C$31</f>
        <v>1.6528628617693455E-2</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-5.4094720935238864E-2</v>
      </c>
    </row>
    <row r="143" spans="1:40" x14ac:dyDescent="0.35">
      <c r="A143" s="39" t="s">
        <v>179</v>
      </c>
      <c r="B143" s="39" t="s">
        <v>180</v>
      </c>
      <c r="C143" s="1">
        <f>C77*Input!$C$31</f>
        <v>6.2558727256960488E-11</v>
      </c>
      <c r="D143" s="1">
        <f>D77*Input!$C$31</f>
        <v>1.9487527247083499E-10</v>
      </c>
      <c r="E143" s="62">
        <f>E77*Input!$C$31</f>
        <v>2.5743399972779548E-10</v>
      </c>
      <c r="F143" s="1">
        <f>F77*Input!$C$31</f>
        <v>2.11034112E-9</v>
      </c>
      <c r="G143" s="1">
        <f>G77*Input!$C$31</f>
        <v>1.5684010103807996E-11</v>
      </c>
      <c r="H143" s="62">
        <f>H77*Input!$C$31</f>
        <v>2.1260251301038078E-9</v>
      </c>
      <c r="I143" s="1">
        <f>I77*Input!$C$31</f>
        <v>4.8136405571306705E-12</v>
      </c>
      <c r="J143" s="1">
        <f>J77*Input!$C$31</f>
        <v>2.8229446080000001E-12</v>
      </c>
      <c r="K143" s="62">
        <f>K77*Input!$C$31</f>
        <v>7.6365851651306701E-12</v>
      </c>
      <c r="L143" s="1">
        <f>L77*Input!$C$31</f>
        <v>1.9569882038348375E-12</v>
      </c>
      <c r="M143" s="1">
        <f>M77*Input!$C$31</f>
        <v>5.5918615679999999E-11</v>
      </c>
      <c r="N143" s="62">
        <f>N77*Input!$C$31</f>
        <v>5.7875603883834839E-11</v>
      </c>
      <c r="O143" s="1">
        <f>O77*Input!$C$31</f>
        <v>0</v>
      </c>
      <c r="P143" s="1">
        <f>P77*Input!$C$31</f>
        <v>0</v>
      </c>
      <c r="Q143" s="62">
        <f>Q77*Input!$C$31</f>
        <v>0</v>
      </c>
      <c r="R143" s="1">
        <f>R77*Input!$C$31</f>
        <v>6.5899810722670032E-11</v>
      </c>
      <c r="S143" s="1">
        <f>S77*Input!$C$31</f>
        <v>1.1045142218879999E-11</v>
      </c>
      <c r="T143" s="62">
        <f>T77*Input!$C$31</f>
        <v>7.6944952941550026E-11</v>
      </c>
      <c r="U143" s="62">
        <f>U77*Input!$C$31</f>
        <v>3.640083309138141E-10</v>
      </c>
      <c r="V143" s="62">
        <f>V77*Input!$C$31</f>
        <v>5.0729800366079995E-11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1.4028267455999999E-10</v>
      </c>
      <c r="AC143" s="1">
        <f>AC77*Input!$C$31</f>
        <v>8.9212227913489734E-12</v>
      </c>
      <c r="AD143" s="62">
        <f>AD77*Input!$C$31</f>
        <v>1.4920389735134898E-10</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-2.3572657096377029E-9</v>
      </c>
    </row>
    <row r="144" spans="1:40" x14ac:dyDescent="0.35">
      <c r="A144" s="39" t="s">
        <v>181</v>
      </c>
      <c r="B144" s="39" t="s">
        <v>180</v>
      </c>
      <c r="C144" s="1">
        <f>C78*Input!$C$31</f>
        <v>1.4727640971981729E-9</v>
      </c>
      <c r="D144" s="1">
        <f>D78*Input!$C$31</f>
        <v>1.4931222785923647E-8</v>
      </c>
      <c r="E144" s="62">
        <f>E78*Input!$C$31</f>
        <v>1.640398688312182E-8</v>
      </c>
      <c r="F144" s="1">
        <f>F78*Input!$C$31</f>
        <v>6.0842495999999996E-8</v>
      </c>
      <c r="G144" s="1">
        <f>G78*Input!$C$31</f>
        <v>1.2761282107392001E-9</v>
      </c>
      <c r="H144" s="62">
        <f>H78*Input!$C$31</f>
        <v>6.2118624210739191E-8</v>
      </c>
      <c r="I144" s="1">
        <f>I78*Input!$C$31</f>
        <v>1.8290018028955231E-10</v>
      </c>
      <c r="J144" s="1">
        <f>J78*Input!$C$31</f>
        <v>2.2968865920000001E-10</v>
      </c>
      <c r="K144" s="62">
        <f>K78*Input!$C$31</f>
        <v>4.1258883948955229E-10</v>
      </c>
      <c r="L144" s="1">
        <f>L78*Input!$C$31</f>
        <v>5.2161722354727859E-11</v>
      </c>
      <c r="M144" s="1">
        <f>M78*Input!$C$31</f>
        <v>4.5498136320000002E-9</v>
      </c>
      <c r="N144" s="62">
        <f>N78*Input!$C$31</f>
        <v>4.6019753543547279E-9</v>
      </c>
      <c r="O144" s="1">
        <f>O78*Input!$C$31</f>
        <v>0</v>
      </c>
      <c r="P144" s="1">
        <f>P78*Input!$C$31</f>
        <v>0</v>
      </c>
      <c r="Q144" s="62">
        <f>Q78*Input!$C$31</f>
        <v>0</v>
      </c>
      <c r="R144" s="1">
        <f>R78*Input!$C$31</f>
        <v>2.917560380931721E-9</v>
      </c>
      <c r="S144" s="1">
        <f>S78*Input!$C$31</f>
        <v>8.9868710131199999E-10</v>
      </c>
      <c r="T144" s="62">
        <f>T78*Input!$C$31</f>
        <v>3.8162474822437207E-9</v>
      </c>
      <c r="U144" s="62">
        <f>U78*Input!$C$31</f>
        <v>7.207524189488674E-9</v>
      </c>
      <c r="V144" s="62">
        <f>V78*Input!$C$31</f>
        <v>4.1276260945919996E-9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1.075598496E-8</v>
      </c>
      <c r="AC144" s="1">
        <f>AC78*Input!$C$31</f>
        <v>2.3778699605605235E-10</v>
      </c>
      <c r="AD144" s="62">
        <f>AD78*Input!$C$31</f>
        <v>1.0993771956056052E-8</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-7.0595816844229665E-8</v>
      </c>
    </row>
    <row r="145" spans="1:40" ht="29" x14ac:dyDescent="0.35">
      <c r="A145" s="39" t="s">
        <v>182</v>
      </c>
      <c r="B145" s="39" t="s">
        <v>183</v>
      </c>
      <c r="C145" s="1">
        <f>C79*Input!$C$31</f>
        <v>1.0651465265719343E-2</v>
      </c>
      <c r="D145" s="1">
        <f>D79*Input!$C$31</f>
        <v>1.6221818795388233E-2</v>
      </c>
      <c r="E145" s="62">
        <f>E79*Input!$C$31</f>
        <v>2.6873284061107575E-2</v>
      </c>
      <c r="F145" s="1">
        <f>F79*Input!$C$31</f>
        <v>3.2123135999999997E-2</v>
      </c>
      <c r="G145" s="1">
        <f>G79*Input!$C$31</f>
        <v>1.07996354525184E-3</v>
      </c>
      <c r="H145" s="62">
        <f>H79*Input!$C$31</f>
        <v>3.3203099545251837E-2</v>
      </c>
      <c r="I145" s="1">
        <f>I79*Input!$C$31</f>
        <v>7.5091213015499557E-3</v>
      </c>
      <c r="J145" s="1">
        <f>J79*Input!$C$31</f>
        <v>1.9438123583999999E-4</v>
      </c>
      <c r="K145" s="62">
        <f>K79*Input!$C$31</f>
        <v>7.7035025373899555E-3</v>
      </c>
      <c r="L145" s="1">
        <f>L79*Input!$C$31</f>
        <v>1.277181470957085E-4</v>
      </c>
      <c r="M145" s="1">
        <f>M79*Input!$C$31</f>
        <v>3.8504225664000003E-3</v>
      </c>
      <c r="N145" s="62">
        <f>N79*Input!$C$31</f>
        <v>3.9781407134957094E-3</v>
      </c>
      <c r="O145" s="1">
        <f>O79*Input!$C$31</f>
        <v>0</v>
      </c>
      <c r="P145" s="1">
        <f>P79*Input!$C$31</f>
        <v>0</v>
      </c>
      <c r="Q145" s="62">
        <f>Q79*Input!$C$31</f>
        <v>0</v>
      </c>
      <c r="R145" s="1">
        <f>R79*Input!$C$31</f>
        <v>2.0435182900459595E-2</v>
      </c>
      <c r="S145" s="1">
        <f>S79*Input!$C$31</f>
        <v>7.6054216170240007E-4</v>
      </c>
      <c r="T145" s="62">
        <f>T79*Input!$C$31</f>
        <v>2.1195725062161996E-2</v>
      </c>
      <c r="U145" s="62">
        <f>U79*Input!$C$31</f>
        <v>0.46742418630229082</v>
      </c>
      <c r="V145" s="62">
        <f>V79*Input!$C$31</f>
        <v>3.4931331139583998E-3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9.0846782207999986E-3</v>
      </c>
      <c r="AC145" s="1">
        <f>AC79*Input!$C$31</f>
        <v>5.8222223440405397E-4</v>
      </c>
      <c r="AD145" s="62">
        <f>AD79*Input!$C$31</f>
        <v>9.6669004552040524E-3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-0.10249253923940678</v>
      </c>
    </row>
    <row r="146" spans="1:40" x14ac:dyDescent="0.35">
      <c r="A146" s="39" t="s">
        <v>184</v>
      </c>
      <c r="B146" s="39" t="s">
        <v>185</v>
      </c>
      <c r="C146" s="1">
        <f>C80*Input!$C$31</f>
        <v>74.724641135103809</v>
      </c>
      <c r="D146" s="1">
        <f>D80*Input!$C$31</f>
        <v>2.6632999637013159</v>
      </c>
      <c r="E146" s="62">
        <f>E80*Input!$C$31</f>
        <v>77.387941098805129</v>
      </c>
      <c r="F146" s="1">
        <f>F80*Input!$C$31</f>
        <v>1.1189913600000001</v>
      </c>
      <c r="G146" s="1">
        <f>G80*Input!$C$31</f>
        <v>0.15022917100087296</v>
      </c>
      <c r="H146" s="62">
        <f>H80*Input!$C$31</f>
        <v>1.2692205310008731</v>
      </c>
      <c r="I146" s="1">
        <f>I80*Input!$C$31</f>
        <v>0.12062399456039465</v>
      </c>
      <c r="J146" s="1">
        <f>J80*Input!$C$31</f>
        <v>2.7039553368959999E-2</v>
      </c>
      <c r="K146" s="62">
        <f>K80*Input!$C$31</f>
        <v>0.14766354792935463</v>
      </c>
      <c r="L146" s="1">
        <f>L80*Input!$C$31</f>
        <v>2.1869689454441864E-2</v>
      </c>
      <c r="M146" s="1">
        <f>M80*Input!$C$31</f>
        <v>0.53561603324160001</v>
      </c>
      <c r="N146" s="62">
        <f>N80*Input!$C$31</f>
        <v>0.55748572269604191</v>
      </c>
      <c r="O146" s="1">
        <f>O80*Input!$C$31</f>
        <v>0</v>
      </c>
      <c r="P146" s="1">
        <f>P80*Input!$C$31</f>
        <v>0</v>
      </c>
      <c r="Q146" s="62">
        <f>Q80*Input!$C$31</f>
        <v>0</v>
      </c>
      <c r="R146" s="1">
        <f>R80*Input!$C$31</f>
        <v>0.56137269945621215</v>
      </c>
      <c r="S146" s="1">
        <f>S80*Input!$C$31</f>
        <v>0.10579581039202561</v>
      </c>
      <c r="T146" s="62">
        <f>T80*Input!$C$31</f>
        <v>0.66716850984823772</v>
      </c>
      <c r="U146" s="62">
        <f>U80*Input!$C$31</f>
        <v>2.4058385523214638</v>
      </c>
      <c r="V146" s="62">
        <f>V80*Input!$C$31</f>
        <v>0.48591500538408966</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1.266234407424</v>
      </c>
      <c r="AC146" s="1">
        <f>AC80*Input!$C$31</f>
        <v>9.9696243246828034E-2</v>
      </c>
      <c r="AD146" s="62">
        <f>AD80*Input!$C$31</f>
        <v>1.365930650670828</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-95.435241539774736</v>
      </c>
    </row>
    <row r="147" spans="1:40" ht="29" x14ac:dyDescent="0.35">
      <c r="A147" s="39" t="s">
        <v>186</v>
      </c>
      <c r="B147" s="39" t="s">
        <v>187</v>
      </c>
      <c r="C147" s="1">
        <f>C81*Input!$C$31</f>
        <v>8.1456910934171826E-7</v>
      </c>
      <c r="D147" s="1">
        <f>D81*Input!$C$31</f>
        <v>2.390795160006771E-6</v>
      </c>
      <c r="E147" s="62">
        <f>E81*Input!$C$31</f>
        <v>3.205364269348489E-6</v>
      </c>
      <c r="F147" s="1">
        <f>F81*Input!$C$31</f>
        <v>4.3398144000000001E-7</v>
      </c>
      <c r="G147" s="1">
        <f>G81*Input!$C$31</f>
        <v>1.9523163091967999E-7</v>
      </c>
      <c r="H147" s="62">
        <f>H81*Input!$C$31</f>
        <v>6.2921307091968003E-7</v>
      </c>
      <c r="I147" s="1">
        <f>I81*Input!$C$31</f>
        <v>6.8714432015449015E-8</v>
      </c>
      <c r="J147" s="1">
        <f>J81*Input!$C$31</f>
        <v>3.5139487679999996E-8</v>
      </c>
      <c r="K147" s="62">
        <f>K81*Input!$C$31</f>
        <v>1.0385391969544901E-7</v>
      </c>
      <c r="L147" s="1">
        <f>L81*Input!$C$31</f>
        <v>4.9935234569963153E-9</v>
      </c>
      <c r="M147" s="1">
        <f>M81*Input!$C$31</f>
        <v>6.960644927999999E-7</v>
      </c>
      <c r="N147" s="62">
        <f>N81*Input!$C$31</f>
        <v>7.0105801625699626E-7</v>
      </c>
      <c r="O147" s="1">
        <f>O81*Input!$C$31</f>
        <v>0</v>
      </c>
      <c r="P147" s="1">
        <f>P81*Input!$C$31</f>
        <v>0</v>
      </c>
      <c r="Q147" s="62">
        <f>Q81*Input!$C$31</f>
        <v>0</v>
      </c>
      <c r="R147" s="1">
        <f>R81*Input!$C$31</f>
        <v>3.8405416586632021E-5</v>
      </c>
      <c r="S147" s="1">
        <f>S81*Input!$C$31</f>
        <v>1.374878691648E-7</v>
      </c>
      <c r="T147" s="62">
        <f>T81*Input!$C$31</f>
        <v>3.8542904455796822E-5</v>
      </c>
      <c r="U147" s="62">
        <f>U81*Input!$C$31</f>
        <v>5.7447060811937001E-6</v>
      </c>
      <c r="V147" s="62">
        <f>V81*Input!$C$31</f>
        <v>6.314750880767999E-7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1.6267841855999998E-6</v>
      </c>
      <c r="AC147" s="1">
        <f>AC81*Input!$C$31</f>
        <v>2.2763721920446975E-8</v>
      </c>
      <c r="AD147" s="62">
        <f>AD81*Input!$C$31</f>
        <v>1.649547907520447E-6</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-2.1540353838217733E-6</v>
      </c>
    </row>
    <row r="148" spans="1:40" x14ac:dyDescent="0.35">
      <c r="A148" s="39" t="s">
        <v>188</v>
      </c>
      <c r="B148" s="39" t="s">
        <v>189</v>
      </c>
      <c r="C148" s="1">
        <f>C82*Input!$C$31</f>
        <v>6.308699005161428E-9</v>
      </c>
      <c r="D148" s="1">
        <f>D82*Input!$C$31</f>
        <v>4.7116125614569466E-8</v>
      </c>
      <c r="E148" s="62">
        <f>E82*Input!$C$31</f>
        <v>5.3424824619730895E-8</v>
      </c>
      <c r="F148" s="1">
        <f>F82*Input!$C$31</f>
        <v>1.4125670399999999E-12</v>
      </c>
      <c r="G148" s="1">
        <f>G82*Input!$C$31</f>
        <v>3.9348196866048007E-9</v>
      </c>
      <c r="H148" s="62">
        <f>H82*Input!$C$31</f>
        <v>3.936232253644801E-9</v>
      </c>
      <c r="I148" s="1">
        <f>I82*Input!$C$31</f>
        <v>2.9902381929207585E-10</v>
      </c>
      <c r="J148" s="1">
        <f>J82*Input!$C$31</f>
        <v>7.0822308479999998E-10</v>
      </c>
      <c r="K148" s="62">
        <f>K82*Input!$C$31</f>
        <v>1.0072469040920758E-9</v>
      </c>
      <c r="L148" s="1">
        <f>L82*Input!$C$31</f>
        <v>7.2164284444987708E-10</v>
      </c>
      <c r="M148" s="1">
        <f>M82*Input!$C$31</f>
        <v>1.4028916607999999E-8</v>
      </c>
      <c r="N148" s="62">
        <f>N82*Input!$C$31</f>
        <v>1.4750559452449876E-8</v>
      </c>
      <c r="O148" s="1">
        <f>O82*Input!$C$31</f>
        <v>0</v>
      </c>
      <c r="P148" s="1">
        <f>P82*Input!$C$31</f>
        <v>0</v>
      </c>
      <c r="Q148" s="62">
        <f>Q82*Input!$C$31</f>
        <v>0</v>
      </c>
      <c r="R148" s="1">
        <f>R82*Input!$C$31</f>
        <v>1.2838525942572228E-9</v>
      </c>
      <c r="S148" s="1">
        <f>S82*Input!$C$31</f>
        <v>2.771016006528E-9</v>
      </c>
      <c r="T148" s="62">
        <f>T82*Input!$C$31</f>
        <v>4.0548686007852228E-9</v>
      </c>
      <c r="U148" s="62">
        <f>U82*Input!$C$31</f>
        <v>4.8804890373283668E-7</v>
      </c>
      <c r="V148" s="62">
        <f>V82*Input!$C$31</f>
        <v>1.2727141582847997E-8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3.3383661695999995E-8</v>
      </c>
      <c r="AC148" s="1">
        <f>AC82*Input!$C$31</f>
        <v>3.2897166056006967E-9</v>
      </c>
      <c r="AD148" s="62">
        <f>AD82*Input!$C$31</f>
        <v>3.6673378301600694E-8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-1.7332425811566367E-8</v>
      </c>
    </row>
    <row r="149" spans="1:40" x14ac:dyDescent="0.35">
      <c r="A149" s="39" t="s">
        <v>190</v>
      </c>
      <c r="B149" s="39" t="s">
        <v>191</v>
      </c>
      <c r="C149" s="1">
        <f>C83*Input!$C$31</f>
        <v>1.1516614471530778E-7</v>
      </c>
      <c r="D149" s="1">
        <f>D83*Input!$C$31</f>
        <v>1.2781469634799477E-7</v>
      </c>
      <c r="E149" s="62">
        <f>E83*Input!$C$31</f>
        <v>2.4298084106330253E-7</v>
      </c>
      <c r="F149" s="1">
        <f>F83*Input!$C$31</f>
        <v>1.14026496E-7</v>
      </c>
      <c r="G149" s="1">
        <f>G83*Input!$C$31</f>
        <v>1.0968529200844799E-8</v>
      </c>
      <c r="H149" s="62">
        <f>H83*Input!$C$31</f>
        <v>1.2499502520084483E-7</v>
      </c>
      <c r="I149" s="1">
        <f>I83*Input!$C$31</f>
        <v>1.8906700182473082E-9</v>
      </c>
      <c r="J149" s="1">
        <f>J83*Input!$C$31</f>
        <v>1.9742113247999997E-9</v>
      </c>
      <c r="K149" s="62">
        <f>K83*Input!$C$31</f>
        <v>3.8648813430473083E-9</v>
      </c>
      <c r="L149" s="1">
        <f>L83*Input!$C$31</f>
        <v>3.1541018866918046E-10</v>
      </c>
      <c r="M149" s="1">
        <f>M83*Input!$C$31</f>
        <v>3.9106387007999995E-8</v>
      </c>
      <c r="N149" s="62">
        <f>N83*Input!$C$31</f>
        <v>3.9421797196669171E-8</v>
      </c>
      <c r="O149" s="1">
        <f>O83*Input!$C$31</f>
        <v>0</v>
      </c>
      <c r="P149" s="1">
        <f>P83*Input!$C$31</f>
        <v>0</v>
      </c>
      <c r="Q149" s="62">
        <f>Q83*Input!$C$31</f>
        <v>0</v>
      </c>
      <c r="R149" s="1">
        <f>R83*Input!$C$31</f>
        <v>1.3426745522372374E-8</v>
      </c>
      <c r="S149" s="1">
        <f>S83*Input!$C$31</f>
        <v>7.7243615729279995E-9</v>
      </c>
      <c r="T149" s="62">
        <f>T83*Input!$C$31</f>
        <v>2.1151107095300375E-8</v>
      </c>
      <c r="U149" s="62">
        <f>U83*Input!$C$31</f>
        <v>1.6336953026099425E-8</v>
      </c>
      <c r="V149" s="62">
        <f>V83*Input!$C$31</f>
        <v>3.5477616565248E-8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1.014810048E-7</v>
      </c>
      <c r="AC149" s="1">
        <f>AC83*Input!$C$31</f>
        <v>1.4378444173885529E-9</v>
      </c>
      <c r="AD149" s="62">
        <f>AD83*Input!$C$31</f>
        <v>1.0291884921738855E-7</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-2.6714436757744365E-7</v>
      </c>
    </row>
    <row r="150" spans="1:40" ht="29" x14ac:dyDescent="0.35">
      <c r="A150" s="39" t="s">
        <v>192</v>
      </c>
      <c r="B150" s="39" t="s">
        <v>193</v>
      </c>
      <c r="C150" s="1">
        <f>C84*Input!$C$31</f>
        <v>7.4119783127883903E-3</v>
      </c>
      <c r="D150" s="1">
        <f>D84*Input!$C$31</f>
        <v>6.6638873313531813E-3</v>
      </c>
      <c r="E150" s="62">
        <f>E84*Input!$C$31</f>
        <v>1.4075865644141573E-2</v>
      </c>
      <c r="F150" s="1">
        <f>F84*Input!$C$31</f>
        <v>8.6370815999999989E-3</v>
      </c>
      <c r="G150" s="1">
        <f>G84*Input!$C$31</f>
        <v>4.6006964711423998E-4</v>
      </c>
      <c r="H150" s="62">
        <f>H84*Input!$C$31</f>
        <v>9.0971512471142383E-3</v>
      </c>
      <c r="I150" s="1">
        <f>I84*Input!$C$31</f>
        <v>1.267084170724604E-4</v>
      </c>
      <c r="J150" s="1">
        <f>J84*Input!$C$31</f>
        <v>8.2807338239999996E-5</v>
      </c>
      <c r="K150" s="62">
        <f>K84*Input!$C$31</f>
        <v>2.0951575531246038E-4</v>
      </c>
      <c r="L150" s="1">
        <f>L84*Input!$C$31</f>
        <v>7.8878858178460463E-5</v>
      </c>
      <c r="M150" s="1">
        <f>M84*Input!$C$31</f>
        <v>1.6402984703999999E-3</v>
      </c>
      <c r="N150" s="62">
        <f>N84*Input!$C$31</f>
        <v>1.7191773285784603E-3</v>
      </c>
      <c r="O150" s="1">
        <f>O84*Input!$C$31</f>
        <v>0</v>
      </c>
      <c r="P150" s="1">
        <f>P84*Input!$C$31</f>
        <v>0</v>
      </c>
      <c r="Q150" s="62">
        <f>Q84*Input!$C$31</f>
        <v>0</v>
      </c>
      <c r="R150" s="1">
        <f>R84*Input!$C$31</f>
        <v>6.7057551379197172E-4</v>
      </c>
      <c r="S150" s="1">
        <f>S84*Input!$C$31</f>
        <v>3.239946065664E-4</v>
      </c>
      <c r="T150" s="62">
        <f>T84*Input!$C$31</f>
        <v>9.9457012035837188E-4</v>
      </c>
      <c r="U150" s="62">
        <f>U84*Input!$C$31</f>
        <v>3.4729254991488845E-3</v>
      </c>
      <c r="V150" s="62">
        <f>V84*Input!$C$31</f>
        <v>1.4880914509823996E-3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6.4642092480000002E-3</v>
      </c>
      <c r="AC150" s="1">
        <f>AC84*Input!$C$31</f>
        <v>3.5958104701823445E-4</v>
      </c>
      <c r="AD150" s="62">
        <f>AD84*Input!$C$31</f>
        <v>6.8237902950182353E-3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-1.8020338112777597E-2</v>
      </c>
    </row>
    <row r="151" spans="1:40" ht="29" x14ac:dyDescent="0.35">
      <c r="A151" s="39" t="s">
        <v>194</v>
      </c>
      <c r="B151" s="39" t="s">
        <v>195</v>
      </c>
      <c r="C151" s="1">
        <f>C85*Input!$C$31</f>
        <v>0.54766414330895974</v>
      </c>
      <c r="D151" s="1">
        <f>D85*Input!$C$31</f>
        <v>7.2963545948911676E-2</v>
      </c>
      <c r="E151" s="62">
        <f>E85*Input!$C$31</f>
        <v>0.62062768925787137</v>
      </c>
      <c r="F151" s="1">
        <f>F85*Input!$C$31</f>
        <v>3.0676531199999999E-2</v>
      </c>
      <c r="G151" s="1">
        <f>G85*Input!$C$31</f>
        <v>5.4245191754649603E-3</v>
      </c>
      <c r="H151" s="62">
        <f>H85*Input!$C$31</f>
        <v>3.610105037546496E-2</v>
      </c>
      <c r="I151" s="1">
        <f>I85*Input!$C$31</f>
        <v>4.8753739715504951E-2</v>
      </c>
      <c r="J151" s="1">
        <f>J85*Input!$C$31</f>
        <v>9.7635216095999999E-4</v>
      </c>
      <c r="K151" s="62">
        <f>K85*Input!$C$31</f>
        <v>4.9730091876464946E-2</v>
      </c>
      <c r="L151" s="1">
        <f>L85*Input!$C$31</f>
        <v>5.7569382468199148E-4</v>
      </c>
      <c r="M151" s="1">
        <f>M85*Input!$C$31</f>
        <v>1.9340181561600001E-2</v>
      </c>
      <c r="N151" s="62">
        <f>N85*Input!$C$31</f>
        <v>1.9915875386281992E-2</v>
      </c>
      <c r="O151" s="1">
        <f>O85*Input!$C$31</f>
        <v>0</v>
      </c>
      <c r="P151" s="1">
        <f>P85*Input!$C$31</f>
        <v>0</v>
      </c>
      <c r="Q151" s="62">
        <f>Q85*Input!$C$31</f>
        <v>0</v>
      </c>
      <c r="R151" s="1">
        <f>R85*Input!$C$31</f>
        <v>6.3401153233966473E-2</v>
      </c>
      <c r="S151" s="1">
        <f>S85*Input!$C$31</f>
        <v>3.8201062971456E-3</v>
      </c>
      <c r="T151" s="62">
        <f>T85*Input!$C$31</f>
        <v>6.7221259531112076E-2</v>
      </c>
      <c r="U151" s="62">
        <f>U85*Input!$C$31</f>
        <v>0.15762955777735019</v>
      </c>
      <c r="V151" s="62">
        <f>V85*Input!$C$31</f>
        <v>1.7545562202009597E-2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4.5544893811199999E-2</v>
      </c>
      <c r="AC151" s="1">
        <f>AC85*Input!$C$31</f>
        <v>2.6243862173148248E-3</v>
      </c>
      <c r="AD151" s="62">
        <f>AD85*Input!$C$31</f>
        <v>4.8169280028514824E-2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-0.88406512921943703</v>
      </c>
    </row>
    <row r="152" spans="1:40" x14ac:dyDescent="0.35">
      <c r="A152" s="148" t="s">
        <v>58</v>
      </c>
      <c r="B152" s="338">
        <f>+SUM(E133:E151,H133:H151,K133:K151,N133:N151,Q133:Q151,T133:T151,U133:V151,Z133:Z151,AA133:AA151,AD133:AD151,AM133:AM151)-SUM(C4:K22)*Input!$C$31</f>
        <v>3.694822225952521E-13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2.0850272267950576</v>
      </c>
      <c r="D159" s="1">
        <f>+D125/Input!$C$31</f>
        <v>11.136836770194735</v>
      </c>
      <c r="E159" s="1">
        <f>+E125/Input!$C$31</f>
        <v>11.7448</v>
      </c>
      <c r="F159" s="1">
        <f>+F125/Input!$C$31</f>
        <v>0.92165995176527982</v>
      </c>
      <c r="G159" s="1">
        <f>+G125/Input!$C$31</f>
        <v>0.12166438176342087</v>
      </c>
      <c r="H159" s="1">
        <f>+H125/Input!$C$31</f>
        <v>0.16588837765499997</v>
      </c>
      <c r="I159" s="1">
        <f>+I125/Input!$C$31</f>
        <v>0.16679033795373477</v>
      </c>
      <c r="J159" s="1">
        <f>+J125/Input!$C$31</f>
        <v>3.2860185812999991</v>
      </c>
      <c r="K159" s="1">
        <f>+K125/Input!$C$31</f>
        <v>0</v>
      </c>
      <c r="L159" s="1">
        <f>+L125/Input!$C$31</f>
        <v>0</v>
      </c>
      <c r="M159" s="1">
        <f>+M125/Input!$C$31</f>
        <v>0.65423526228811013</v>
      </c>
      <c r="N159" s="1">
        <f>+N125/Input!$C$31</f>
        <v>0.64906010499329991</v>
      </c>
      <c r="O159" s="1">
        <f>+O125/Input!$C$31</f>
        <v>18.960239141872904</v>
      </c>
      <c r="P159" s="1">
        <f>+P125/Input!$C$31</f>
        <v>2.9811014561327998</v>
      </c>
      <c r="Q159" s="1">
        <f>+Q125/Input!$C$31</f>
        <v>1.1562033017188762</v>
      </c>
      <c r="R159" s="1">
        <f>+R125/Input!$C$31</f>
        <v>0.87737079908012994</v>
      </c>
      <c r="S159" s="1">
        <f>+S125/Input!$C$31</f>
        <v>0.76033864762898462</v>
      </c>
      <c r="T159" s="1">
        <f>+T125/Input!$C$31</f>
        <v>7.8166763366999987</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4.4454497823999996E-3</v>
      </c>
      <c r="C8" s="154">
        <f>$B$2*B8</f>
        <v>8.8908995647999992E-2</v>
      </c>
    </row>
    <row r="9" spans="1:3" x14ac:dyDescent="0.35">
      <c r="A9" s="1" t="s">
        <v>164</v>
      </c>
      <c r="B9" s="154">
        <f>'A4 - Transport'!$B$18</f>
        <v>2.9811014561327998</v>
      </c>
      <c r="C9" s="154">
        <f t="shared" ref="C9:C26" si="0">$B$2*B9</f>
        <v>59.622029122655995</v>
      </c>
    </row>
    <row r="10" spans="1:3" x14ac:dyDescent="0.35">
      <c r="A10" s="1" t="s">
        <v>166</v>
      </c>
      <c r="B10" s="154">
        <f>'A4 - Transport'!$B$19</f>
        <v>1.3932344817599999E-3</v>
      </c>
      <c r="C10" s="154">
        <f t="shared" si="0"/>
        <v>2.7864689635199998E-2</v>
      </c>
    </row>
    <row r="11" spans="1:3" x14ac:dyDescent="0.35">
      <c r="A11" s="1" t="s">
        <v>167</v>
      </c>
      <c r="B11" s="154">
        <f>'A4 - Transport'!$B$20</f>
        <v>2.9794711023263996</v>
      </c>
      <c r="C11" s="154">
        <f t="shared" si="0"/>
        <v>59.589422046527993</v>
      </c>
    </row>
    <row r="12" spans="1:3" x14ac:dyDescent="0.35">
      <c r="A12" s="1" t="s">
        <v>168</v>
      </c>
      <c r="B12" s="154">
        <f>'A4 - Transport'!$B$21</f>
        <v>2.3711556879999998E-4</v>
      </c>
      <c r="C12" s="154">
        <f t="shared" si="0"/>
        <v>4.7423113759999993E-3</v>
      </c>
    </row>
    <row r="13" spans="1:3" x14ac:dyDescent="0.35">
      <c r="A13" s="1" t="s">
        <v>169</v>
      </c>
      <c r="B13" s="154">
        <f>'A4 - Transport'!$B$22</f>
        <v>2.5604302870607998</v>
      </c>
      <c r="C13" s="154">
        <f t="shared" si="0"/>
        <v>51.208605741215997</v>
      </c>
    </row>
    <row r="14" spans="1:3" x14ac:dyDescent="0.35">
      <c r="A14" s="1" t="s">
        <v>171</v>
      </c>
      <c r="B14" s="154">
        <f>'A4 - Transport'!$B$23</f>
        <v>40.122526240191988</v>
      </c>
      <c r="C14" s="154">
        <f t="shared" si="0"/>
        <v>802.4505248038397</v>
      </c>
    </row>
    <row r="15" spans="1:3" x14ac:dyDescent="0.35">
      <c r="A15" s="1" t="s">
        <v>173</v>
      </c>
      <c r="B15" s="154">
        <f>'A4 - Transport'!$B$24</f>
        <v>6.9533556047999989E-5</v>
      </c>
      <c r="C15" s="154">
        <f t="shared" si="0"/>
        <v>1.3906711209599998E-3</v>
      </c>
    </row>
    <row r="16" spans="1:3" x14ac:dyDescent="0.35">
      <c r="A16" s="1" t="s">
        <v>175</v>
      </c>
      <c r="B16" s="154">
        <f>'A4 - Transport'!$B$25</f>
        <v>9.689541382399998E-4</v>
      </c>
      <c r="C16" s="154">
        <f t="shared" si="0"/>
        <v>1.9379082764799997E-2</v>
      </c>
    </row>
    <row r="17" spans="1:3" x14ac:dyDescent="0.35">
      <c r="A17" s="1" t="s">
        <v>177</v>
      </c>
      <c r="B17" s="154">
        <f>'A4 - Transport'!$B$26</f>
        <v>1.0488051745599998E-2</v>
      </c>
      <c r="C17" s="154">
        <f t="shared" si="0"/>
        <v>0.20976103491199996</v>
      </c>
    </row>
    <row r="18" spans="1:3" x14ac:dyDescent="0.35">
      <c r="A18" s="1" t="s">
        <v>179</v>
      </c>
      <c r="B18" s="154">
        <f>'A4 - Transport'!$B$27</f>
        <v>2.6421771023999997E-10</v>
      </c>
      <c r="C18" s="154">
        <f t="shared" si="0"/>
        <v>5.2843542047999992E-9</v>
      </c>
    </row>
    <row r="19" spans="1:3" x14ac:dyDescent="0.35">
      <c r="A19" s="1" t="s">
        <v>181</v>
      </c>
      <c r="B19" s="154">
        <f>'A4 - Transport'!$B$28</f>
        <v>2.1498052575999998E-8</v>
      </c>
      <c r="C19" s="154">
        <f t="shared" si="0"/>
        <v>4.2996105151999995E-7</v>
      </c>
    </row>
    <row r="20" spans="1:3" x14ac:dyDescent="0.35">
      <c r="A20" s="1" t="s">
        <v>182</v>
      </c>
      <c r="B20" s="154">
        <f>'A4 - Transport'!$B$29</f>
        <v>1.8193401635199998E-2</v>
      </c>
      <c r="C20" s="154">
        <f t="shared" si="0"/>
        <v>0.36386803270399998</v>
      </c>
    </row>
    <row r="21" spans="1:3" x14ac:dyDescent="0.35">
      <c r="A21" s="1" t="s">
        <v>184</v>
      </c>
      <c r="B21" s="154">
        <f>'A4 - Transport'!$B$30</f>
        <v>2.5308073197088001</v>
      </c>
      <c r="C21" s="154">
        <f t="shared" si="0"/>
        <v>50.616146394175999</v>
      </c>
    </row>
    <row r="22" spans="1:3" x14ac:dyDescent="0.35">
      <c r="A22" s="1" t="s">
        <v>186</v>
      </c>
      <c r="B22" s="154">
        <f>'A4 - Transport'!$B$31</f>
        <v>3.2889327503999994E-6</v>
      </c>
      <c r="C22" s="154">
        <f t="shared" si="0"/>
        <v>6.5778655007999994E-5</v>
      </c>
    </row>
    <row r="23" spans="1:3" x14ac:dyDescent="0.35">
      <c r="A23" s="1" t="s">
        <v>188</v>
      </c>
      <c r="B23" s="154">
        <f>'A4 - Transport'!$B$32</f>
        <v>6.6287195743999988E-8</v>
      </c>
      <c r="C23" s="154">
        <f t="shared" si="0"/>
        <v>1.3257439148799998E-6</v>
      </c>
    </row>
    <row r="24" spans="1:3" x14ac:dyDescent="0.35">
      <c r="A24" s="1" t="s">
        <v>190</v>
      </c>
      <c r="B24" s="154">
        <f>'A4 - Transport'!$B$33</f>
        <v>1.8477925294399999E-7</v>
      </c>
      <c r="C24" s="154">
        <f t="shared" si="0"/>
        <v>3.6955850588799999E-6</v>
      </c>
    </row>
    <row r="25" spans="1:3" x14ac:dyDescent="0.35">
      <c r="A25" s="1" t="s">
        <v>192</v>
      </c>
      <c r="B25" s="154">
        <f>'A4 - Transport'!$B$34</f>
        <v>7.7504763071999981E-3</v>
      </c>
      <c r="C25" s="154">
        <f t="shared" si="0"/>
        <v>0.15500952614399996</v>
      </c>
    </row>
    <row r="26" spans="1:3" x14ac:dyDescent="0.35">
      <c r="A26" s="1" t="s">
        <v>194</v>
      </c>
      <c r="B26" s="154">
        <f>'A4 - Transport'!$B$35</f>
        <v>9.1383136468799989E-2</v>
      </c>
      <c r="C26" s="154">
        <f t="shared" si="0"/>
        <v>1.8276627293759997</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4.9571562321726612E-3</v>
      </c>
      <c r="C30" s="177">
        <f>$B$2*B30</f>
        <v>9.914312464345322E-2</v>
      </c>
    </row>
    <row r="31" spans="1:3" x14ac:dyDescent="0.35">
      <c r="A31" s="1" t="s">
        <v>164</v>
      </c>
      <c r="B31" s="154">
        <f>Results!$I$29*1000</f>
        <v>7.7508637859452792E-2</v>
      </c>
      <c r="C31" s="177">
        <f t="shared" ref="C31:C45" si="1">$B$2*B31</f>
        <v>1.5501727571890558</v>
      </c>
    </row>
    <row r="32" spans="1:3" x14ac:dyDescent="0.35">
      <c r="A32" s="1" t="s">
        <v>169</v>
      </c>
      <c r="B32" s="154">
        <f>Results!$I$33*1000</f>
        <v>1.151294180598767E-3</v>
      </c>
      <c r="C32" s="177">
        <f t="shared" si="1"/>
        <v>2.3025883611975342E-2</v>
      </c>
    </row>
    <row r="33" spans="1:3" x14ac:dyDescent="0.35">
      <c r="A33" s="1" t="s">
        <v>171</v>
      </c>
      <c r="B33" s="154">
        <f>Results!$I$34*1000</f>
        <v>4.6603857402069154E-2</v>
      </c>
      <c r="C33" s="177">
        <f t="shared" si="1"/>
        <v>0.93207714804138309</v>
      </c>
    </row>
    <row r="34" spans="1:3" x14ac:dyDescent="0.35">
      <c r="A34" s="1" t="s">
        <v>173</v>
      </c>
      <c r="B34" s="154">
        <f>Results!$I$35*1000</f>
        <v>1.2092792356173908E-3</v>
      </c>
      <c r="C34" s="177">
        <f t="shared" si="1"/>
        <v>2.4185584712347816E-2</v>
      </c>
    </row>
    <row r="35" spans="1:3" x14ac:dyDescent="0.35">
      <c r="A35" s="1" t="s">
        <v>175</v>
      </c>
      <c r="B35" s="154">
        <f>Results!$I$36*1000</f>
        <v>1.4708226918925126E-3</v>
      </c>
      <c r="C35" s="177">
        <f t="shared" si="1"/>
        <v>2.941645383785025E-2</v>
      </c>
    </row>
    <row r="36" spans="1:3" x14ac:dyDescent="0.35">
      <c r="A36" s="1" t="s">
        <v>177</v>
      </c>
      <c r="B36" s="154">
        <f>Results!$I$37*1000</f>
        <v>2.1983430495014691E-3</v>
      </c>
      <c r="C36" s="177">
        <f t="shared" si="1"/>
        <v>4.3966860990029381E-2</v>
      </c>
    </row>
    <row r="37" spans="1:3" x14ac:dyDescent="0.35">
      <c r="A37" s="1" t="s">
        <v>179</v>
      </c>
      <c r="B37" s="154">
        <f>Results!$I$38*1000</f>
        <v>3.3300812000662712E-4</v>
      </c>
      <c r="C37" s="177">
        <f t="shared" si="1"/>
        <v>6.6601624001325424E-3</v>
      </c>
    </row>
    <row r="38" spans="1:3" x14ac:dyDescent="0.35">
      <c r="A38" s="1" t="s">
        <v>181</v>
      </c>
      <c r="B38" s="154">
        <f>Results!$I$39*1000</f>
        <v>1.7198442060799997E-3</v>
      </c>
      <c r="C38" s="177">
        <f t="shared" si="1"/>
        <v>3.4396884121599997E-2</v>
      </c>
    </row>
    <row r="39" spans="1:3" x14ac:dyDescent="0.35">
      <c r="A39" s="1" t="s">
        <v>182</v>
      </c>
      <c r="B39" s="154">
        <f>Results!$I$40*1000</f>
        <v>2.1599275401031279E-4</v>
      </c>
      <c r="C39" s="177">
        <f t="shared" si="1"/>
        <v>4.3198550802062557E-3</v>
      </c>
    </row>
    <row r="40" spans="1:3" x14ac:dyDescent="0.35">
      <c r="A40" s="1" t="s">
        <v>184</v>
      </c>
      <c r="B40" s="154">
        <f>Results!$I$41*1000</f>
        <v>2.4535543490217184E-4</v>
      </c>
      <c r="C40" s="177">
        <f t="shared" si="1"/>
        <v>4.9071086980434367E-3</v>
      </c>
    </row>
    <row r="41" spans="1:3" x14ac:dyDescent="0.35">
      <c r="A41" s="1" t="s">
        <v>186</v>
      </c>
      <c r="B41" s="154">
        <f>Results!$I$42*1000</f>
        <v>4.2098339205119998E-9</v>
      </c>
      <c r="C41" s="177">
        <f t="shared" si="1"/>
        <v>8.4196678410239993E-8</v>
      </c>
    </row>
    <row r="42" spans="1:3" x14ac:dyDescent="0.35">
      <c r="A42" s="1" t="s">
        <v>188</v>
      </c>
      <c r="B42" s="154">
        <f>Results!$I$43*1000</f>
        <v>7.8035859168776089E-5</v>
      </c>
      <c r="C42" s="177">
        <f t="shared" si="1"/>
        <v>1.5607171833755219E-3</v>
      </c>
    </row>
    <row r="43" spans="1:3" x14ac:dyDescent="0.35">
      <c r="A43" s="1" t="s">
        <v>190</v>
      </c>
      <c r="B43" s="154">
        <f>Results!$I$44*1000</f>
        <v>2.7825581619802354E-2</v>
      </c>
      <c r="C43" s="177">
        <f t="shared" si="1"/>
        <v>0.55651163239604706</v>
      </c>
    </row>
    <row r="44" spans="1:3" x14ac:dyDescent="0.35">
      <c r="A44" s="1" t="s">
        <v>192</v>
      </c>
      <c r="B44" s="154">
        <f>Results!$I$45*1000</f>
        <v>9.1249450119251212E-3</v>
      </c>
      <c r="C44" s="177">
        <f t="shared" si="1"/>
        <v>0.18249890023850243</v>
      </c>
    </row>
    <row r="45" spans="1:3" x14ac:dyDescent="0.35">
      <c r="A45" s="1" t="s">
        <v>194</v>
      </c>
      <c r="B45" s="154">
        <f>Results!$I$46*1000</f>
        <v>6.7623520986911988E-4</v>
      </c>
      <c r="C45" s="177">
        <f t="shared" si="1"/>
        <v>1.3524704197382397E-2</v>
      </c>
    </row>
    <row r="46" spans="1:3" x14ac:dyDescent="0.35">
      <c r="A46" s="1" t="s">
        <v>1038</v>
      </c>
      <c r="B46" s="154">
        <f>SUM(B30:B45)</f>
        <v>0.17531839307690322</v>
      </c>
      <c r="C46" s="177">
        <f>SUM(C30:C45)</f>
        <v>3.5063678615380631</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0</v>
      </c>
      <c r="D5" s="158"/>
      <c r="E5" s="158">
        <f>INDEX(LCI!H$2:H$130,MATCH('A1 - Raw Material Supply'!$B5,LCI!$D$2:$D$130,0))*$C5</f>
        <v>0</v>
      </c>
      <c r="F5" s="158">
        <f>INDEX(LCI!I$2:I$130,MATCH('A1 - Raw Material Supply'!$B5,LCI!$D$2:$D$130,0))*$C5</f>
        <v>0</v>
      </c>
      <c r="G5" s="158">
        <f>INDEX(LCI!J$2:J$130,MATCH('A1 - Raw Material Supply'!$B5,LCI!$D$2:$D$130,0))*$C5</f>
        <v>0</v>
      </c>
      <c r="H5" s="158">
        <f>INDEX(LCI!K$2:K$130,MATCH('A1 - Raw Material Supply'!$B5,LCI!$D$2:$D$130,0))*$C5</f>
        <v>0</v>
      </c>
      <c r="I5" s="158">
        <f>INDEX(LCI!L$2:L$130,MATCH('A1 - Raw Material Supply'!$B5,LCI!$D$2:$D$130,0))*$C5</f>
        <v>0</v>
      </c>
      <c r="J5" s="158">
        <f>INDEX(LCI!M$2:M$130,MATCH('A1 - Raw Material Supply'!$B5,LCI!$D$2:$D$130,0))*$C5</f>
        <v>0</v>
      </c>
      <c r="K5" s="158">
        <f>INDEX(LCI!N$2:N$130,MATCH('A1 - Raw Material Supply'!$B5,LCI!$D$2:$D$130,0))*$C5</f>
        <v>0</v>
      </c>
      <c r="L5" s="158">
        <f>INDEX(LCI!O$2:O$130,MATCH('A1 - Raw Material Supply'!$B5,LCI!$D$2:$D$130,0))*$C5</f>
        <v>0</v>
      </c>
      <c r="M5" s="158">
        <f>INDEX(LCI!P$2:P$130,MATCH('A1 - Raw Material Supply'!$B5,LCI!$D$2:$D$130,0))*$C5</f>
        <v>0</v>
      </c>
      <c r="N5" s="158">
        <f>INDEX(LCI!Q$2:Q$130,MATCH('A1 - Raw Material Supply'!$B5,LCI!$D$2:$D$130,0))*$C5</f>
        <v>0</v>
      </c>
      <c r="O5" s="158">
        <f>INDEX(LCI!R$2:R$130,MATCH('A1 - Raw Material Supply'!$B5,LCI!$D$2:$D$130,0))*$C5</f>
        <v>0</v>
      </c>
      <c r="P5" s="158">
        <f>INDEX(LCI!S$2:S$130,MATCH('A1 - Raw Material Supply'!$B5,LCI!$D$2:$D$130,0))*$C5</f>
        <v>0</v>
      </c>
      <c r="Q5" s="158">
        <f>INDEX(LCI!T$2:T$130,MATCH('A1 - Raw Material Supply'!$B5,LCI!$D$2:$D$130,0))*$C5</f>
        <v>0</v>
      </c>
      <c r="R5" s="158">
        <f>INDEX(LCI!U$2:U$130,MATCH('A1 - Raw Material Supply'!$B5,LCI!$D$2:$D$130,0))*$C5</f>
        <v>0</v>
      </c>
      <c r="S5" s="158">
        <f>INDEX(LCI!V$2:V$130,MATCH('A1 - Raw Material Supply'!$B5,LCI!$D$2:$D$130,0))*$C5</f>
        <v>0</v>
      </c>
      <c r="T5" s="158">
        <f>INDEX(LCI!W$2:W$130,MATCH('A1 - Raw Material Supply'!$B5,LCI!$D$2:$D$130,0))*$C5</f>
        <v>0</v>
      </c>
      <c r="U5" s="158">
        <f>INDEX(LCI!X$2:X$130,MATCH('A1 - Raw Material Supply'!$B5,LCI!$D$2:$D$130,0))*$C5</f>
        <v>0</v>
      </c>
      <c r="V5" s="158">
        <f>INDEX(LCI!Y$2:Y$130,MATCH('A1 - Raw Material Supply'!$B5,LCI!$D$2:$D$130,0))*$C5</f>
        <v>0</v>
      </c>
      <c r="W5" s="158">
        <f>INDEX(LCI!Z$2:Z$130,MATCH('A1 - Raw Material Supply'!$B5,LCI!$D$2:$D$130,0))*$C5</f>
        <v>0</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0.63895999999999986</v>
      </c>
      <c r="D23" s="158"/>
      <c r="E23" s="158">
        <f>SUM(E4:E22)</f>
        <v>7.6066029597278428E-2</v>
      </c>
      <c r="F23" s="158">
        <f t="shared" ref="F23:W23" si="0">SUM(F4:F22)</f>
        <v>14.605726870846587</v>
      </c>
      <c r="G23" s="158">
        <f t="shared" si="0"/>
        <v>0.15907702438719223</v>
      </c>
      <c r="H23" s="158">
        <f t="shared" si="0"/>
        <v>14.447676373368632</v>
      </c>
      <c r="I23" s="158">
        <f t="shared" si="0"/>
        <v>7.061873090765159E-3</v>
      </c>
      <c r="J23" s="158">
        <f t="shared" si="0"/>
        <v>648.07215698135099</v>
      </c>
      <c r="K23" s="158">
        <f t="shared" si="0"/>
        <v>1053.1269249514166</v>
      </c>
      <c r="L23" s="158">
        <f t="shared" si="0"/>
        <v>3.8657617773710104E-4</v>
      </c>
      <c r="M23" s="158">
        <f t="shared" si="0"/>
        <v>2.320591052919424E-2</v>
      </c>
      <c r="N23" s="158">
        <f t="shared" si="0"/>
        <v>0.280325772549678</v>
      </c>
      <c r="O23" s="158">
        <f t="shared" si="0"/>
        <v>1.1685485929878963E-8</v>
      </c>
      <c r="P23" s="158">
        <f t="shared" si="0"/>
        <v>3.4070687842926798E-7</v>
      </c>
      <c r="Q23" s="158">
        <f t="shared" si="0"/>
        <v>0.36832763264442125</v>
      </c>
      <c r="R23" s="158">
        <f t="shared" si="0"/>
        <v>398.57098536000211</v>
      </c>
      <c r="S23" s="158">
        <f t="shared" si="0"/>
        <v>2.0688896649994371E-4</v>
      </c>
      <c r="T23" s="158">
        <f t="shared" si="0"/>
        <v>4.1109312425785028E-8</v>
      </c>
      <c r="U23" s="158">
        <f t="shared" si="0"/>
        <v>1.2734898763329554E-6</v>
      </c>
      <c r="V23" s="158">
        <f t="shared" si="0"/>
        <v>8.7741374185691792E-2</v>
      </c>
      <c r="W23" s="158">
        <f t="shared" si="0"/>
        <v>3.5963310805126625</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7.6066029597278428E-2</v>
      </c>
      <c r="F54" s="154">
        <f t="shared" ref="F54:W54" si="2">F23+F47</f>
        <v>14.605726870846587</v>
      </c>
      <c r="G54" s="154">
        <f t="shared" si="2"/>
        <v>0.15907702438719223</v>
      </c>
      <c r="H54" s="154">
        <f t="shared" si="2"/>
        <v>14.447676373368632</v>
      </c>
      <c r="I54" s="154">
        <f t="shared" si="2"/>
        <v>7.061873090765159E-3</v>
      </c>
      <c r="J54" s="154">
        <f t="shared" si="2"/>
        <v>648.07215698135099</v>
      </c>
      <c r="K54" s="154">
        <f t="shared" si="2"/>
        <v>1053.1269249514166</v>
      </c>
      <c r="L54" s="154">
        <f t="shared" si="2"/>
        <v>3.8657617773710104E-4</v>
      </c>
      <c r="M54" s="154">
        <f t="shared" si="2"/>
        <v>2.320591052919424E-2</v>
      </c>
      <c r="N54" s="154">
        <f t="shared" si="2"/>
        <v>0.280325772549678</v>
      </c>
      <c r="O54" s="154">
        <f t="shared" si="2"/>
        <v>1.1685485929878963E-8</v>
      </c>
      <c r="P54" s="154">
        <f t="shared" si="2"/>
        <v>3.4070687842926798E-7</v>
      </c>
      <c r="Q54" s="154">
        <f t="shared" si="2"/>
        <v>0.36832763264442125</v>
      </c>
      <c r="R54" s="154">
        <f t="shared" si="2"/>
        <v>398.57098536000211</v>
      </c>
      <c r="S54" s="154">
        <f t="shared" si="2"/>
        <v>2.0688896649994371E-4</v>
      </c>
      <c r="T54" s="154">
        <f t="shared" si="2"/>
        <v>4.1109312425785028E-8</v>
      </c>
      <c r="U54" s="154">
        <f t="shared" si="2"/>
        <v>1.2734898763329554E-6</v>
      </c>
      <c r="V54" s="154">
        <f t="shared" si="2"/>
        <v>8.7741374185691792E-2</v>
      </c>
      <c r="W54" s="154">
        <f t="shared" si="2"/>
        <v>3.5963310805126625</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0</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3.1803157476393562E-2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2.0850272267950576</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0</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3.7755165310223359E-3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2.0807187874350417</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0</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5.3292282899384614E-4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0</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13.399996813071043</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0</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28.609609980043139</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0</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1.3109460644189578E-4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0</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1.212529992357929E-2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0</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0.15955034336566215</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0</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3.2582670446333587E-10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7.6706463395738171E-9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0</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5.5476381592288244E-2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0</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389.19083924533231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0</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4.2425474444881156E-6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0</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3.2857807318549104E-8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0</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5.9982367039222798E-7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0</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3.860405371243953E-2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2.8524174130674984</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438.52061311900633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0</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3.1803157476393562E-2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7.6066029597278415E-2</v>
      </c>
    </row>
    <row r="115" spans="1:26" x14ac:dyDescent="0.35">
      <c r="A115" s="1" t="s">
        <v>280</v>
      </c>
      <c r="B115" s="154">
        <f t="shared" ref="B115:K132" si="8">B66+B90</f>
        <v>0</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2.0850272267950576</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14.605726870846587</v>
      </c>
    </row>
    <row r="116" spans="1:26" x14ac:dyDescent="0.35">
      <c r="A116" s="1" t="s">
        <v>281</v>
      </c>
      <c r="B116" s="154">
        <f t="shared" si="8"/>
        <v>0</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3.7755165310223359E-3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0.15907702438719223</v>
      </c>
    </row>
    <row r="117" spans="1:26" x14ac:dyDescent="0.35">
      <c r="A117" s="1" t="s">
        <v>282</v>
      </c>
      <c r="B117" s="154">
        <f t="shared" si="8"/>
        <v>0</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2.0807187874350417</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14.44767637336863</v>
      </c>
    </row>
    <row r="118" spans="1:26" x14ac:dyDescent="0.35">
      <c r="A118" s="1" t="s">
        <v>283</v>
      </c>
      <c r="B118" s="154">
        <f t="shared" si="8"/>
        <v>0</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5.3292282899384614E-4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7.0618730907651599E-3</v>
      </c>
    </row>
    <row r="119" spans="1:26" x14ac:dyDescent="0.35">
      <c r="A119" s="1" t="s">
        <v>284</v>
      </c>
      <c r="B119" s="154">
        <f t="shared" si="8"/>
        <v>0</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13.399996813071043</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648.07215698135099</v>
      </c>
    </row>
    <row r="120" spans="1:26" x14ac:dyDescent="0.35">
      <c r="A120" s="1" t="s">
        <v>285</v>
      </c>
      <c r="B120" s="154">
        <f t="shared" si="8"/>
        <v>0</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28.609609980043139</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1053.1269249514166</v>
      </c>
    </row>
    <row r="121" spans="1:26" x14ac:dyDescent="0.35">
      <c r="A121" s="1" t="s">
        <v>286</v>
      </c>
      <c r="B121" s="154">
        <f t="shared" si="8"/>
        <v>0</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1.3109460644189578E-4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3.8657617773710099E-4</v>
      </c>
    </row>
    <row r="122" spans="1:26" x14ac:dyDescent="0.35">
      <c r="A122" s="1" t="s">
        <v>287</v>
      </c>
      <c r="B122" s="154">
        <f t="shared" si="8"/>
        <v>0</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1.212529992357929E-2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2.3205910529194244E-2</v>
      </c>
    </row>
    <row r="123" spans="1:26" x14ac:dyDescent="0.35">
      <c r="A123" s="1" t="s">
        <v>288</v>
      </c>
      <c r="B123" s="154">
        <f t="shared" si="8"/>
        <v>0</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0.15955034336566215</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0.28032577254967794</v>
      </c>
    </row>
    <row r="124" spans="1:26" x14ac:dyDescent="0.35">
      <c r="A124" s="1" t="s">
        <v>289</v>
      </c>
      <c r="B124" s="154">
        <f t="shared" si="8"/>
        <v>0</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3.2582670446333587E-10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1.1685485929878964E-8</v>
      </c>
    </row>
    <row r="125" spans="1:26" x14ac:dyDescent="0.35">
      <c r="A125" s="1" t="s">
        <v>319</v>
      </c>
      <c r="B125" s="154">
        <f t="shared" si="8"/>
        <v>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7.6706463395738171E-9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3.4070687842926792E-7</v>
      </c>
    </row>
    <row r="126" spans="1:26" x14ac:dyDescent="0.35">
      <c r="A126" s="1" t="s">
        <v>291</v>
      </c>
      <c r="B126" s="154">
        <f t="shared" si="8"/>
        <v>0</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5.5476381592288244E-2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0.36832763264442137</v>
      </c>
    </row>
    <row r="127" spans="1:26" x14ac:dyDescent="0.35">
      <c r="A127" s="1" t="s">
        <v>292</v>
      </c>
      <c r="B127" s="154">
        <f t="shared" si="8"/>
        <v>0</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389.19083924533231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398.57098536000211</v>
      </c>
    </row>
    <row r="128" spans="1:26" x14ac:dyDescent="0.35">
      <c r="A128" s="1" t="s">
        <v>293</v>
      </c>
      <c r="B128" s="154">
        <f t="shared" si="8"/>
        <v>0</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4.2425474444881156E-6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2.0688896649994371E-4</v>
      </c>
    </row>
    <row r="129" spans="1:26" x14ac:dyDescent="0.35">
      <c r="A129" s="1" t="s">
        <v>294</v>
      </c>
      <c r="B129" s="154">
        <f t="shared" si="8"/>
        <v>0</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3.2857807318549104E-8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4.1109312425785028E-8</v>
      </c>
    </row>
    <row r="130" spans="1:26" x14ac:dyDescent="0.35">
      <c r="A130" s="1" t="s">
        <v>295</v>
      </c>
      <c r="B130" s="154">
        <f t="shared" si="8"/>
        <v>0</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5.9982367039222798E-7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1.2734898763329554E-6</v>
      </c>
    </row>
    <row r="131" spans="1:26" x14ac:dyDescent="0.35">
      <c r="A131" s="1" t="s">
        <v>296</v>
      </c>
      <c r="B131" s="154">
        <f t="shared" si="8"/>
        <v>0</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3.860405371243953E-2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8.7741374185691778E-2</v>
      </c>
    </row>
    <row r="132" spans="1:26" x14ac:dyDescent="0.35">
      <c r="A132" s="1" t="s">
        <v>297</v>
      </c>
      <c r="B132" s="154">
        <f t="shared" si="8"/>
        <v>0</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2.8524174130674984</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3.596331080512662</v>
      </c>
    </row>
    <row r="133" spans="1:26" x14ac:dyDescent="0.35">
      <c r="K133">
        <f>+SUM(K114:K132)</f>
        <v>438.52061311900633</v>
      </c>
      <c r="N133">
        <f>+SUM(N114:N132)</f>
        <v>3.5860956936697885</v>
      </c>
      <c r="O133">
        <f>+SUM(O114:O132)</f>
        <v>1676.3414996832948</v>
      </c>
      <c r="R133">
        <f>+SUM(R114:R132)</f>
        <v>0</v>
      </c>
      <c r="U133">
        <f>+SUM(U114:U132)</f>
        <v>0</v>
      </c>
      <c r="Y133">
        <f>+SUM(Y114:Y132)</f>
        <v>14.973993870647137</v>
      </c>
      <c r="Z133">
        <f>+SUM(Z114:Z132)</f>
        <v>2133.4222023666175</v>
      </c>
    </row>
    <row r="136" spans="1:26" x14ac:dyDescent="0.35">
      <c r="B136" s="205" t="s">
        <v>324</v>
      </c>
      <c r="C136" s="205" t="s">
        <v>325</v>
      </c>
      <c r="D136" s="205" t="s">
        <v>200</v>
      </c>
    </row>
    <row r="137" spans="1:26" x14ac:dyDescent="0.35">
      <c r="A137" s="95" t="s">
        <v>326</v>
      </c>
      <c r="B137" s="1">
        <f>+SUM(E4:W22)</f>
        <v>2133.4222023666184</v>
      </c>
      <c r="C137" s="1">
        <f>+SUM(E28:W46)</f>
        <v>0</v>
      </c>
      <c r="D137" s="1">
        <f>+SUM(E54:W54)</f>
        <v>2133.4222023666175</v>
      </c>
    </row>
    <row r="138" spans="1:26" x14ac:dyDescent="0.35">
      <c r="A138" s="95" t="s">
        <v>327</v>
      </c>
      <c r="B138" s="1">
        <f>+SUM(B65:J83,L65:M83,O65:O83,P65:Q83,S65:T83,V65:X83)</f>
        <v>2133.4222023666175</v>
      </c>
      <c r="C138" s="1">
        <f>+SUM(B89:J107,L89:M107,O89:O107,P89:Q107,S89:T107,V89:X107)</f>
        <v>0</v>
      </c>
      <c r="D138" s="1">
        <f>+SUM(B114:G132,H114:J132,L114:M132,O114:O132,P114:Q132,S114:T132,V114:X132)</f>
        <v>2133.4222023666166</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0</v>
      </c>
      <c r="D16" s="158">
        <f>Input!$L40</f>
        <v>0</v>
      </c>
      <c r="E16" s="158" t="str">
        <f>Input!$J40</f>
        <v>Truck</v>
      </c>
      <c r="F16" s="158" t="str">
        <f>Input!$K40</f>
        <v>Diesel_Euro6</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v>
      </c>
      <c r="E31" s="158" t="str">
        <f>Input!$J55</f>
        <v>Truck</v>
      </c>
      <c r="F31" s="158" t="str">
        <f>Input!$K55</f>
        <v>Diesel_Euro6</v>
      </c>
      <c r="G31" s="158" cm="1">
        <f t="array" ref="G31">INDEX(LCI!H$2:H$73, MATCH($E31&amp;$F31, LCI!$B$2:$B$73&amp;LCI!$D$2:$D$73, 0))* IF(AND($E31="Truck", OR($F31="Electric", $F31="Electric_green")), $B$6, 1)* $C31* $D31</f>
        <v>9.6788524140000007E-4</v>
      </c>
      <c r="H31" s="158" cm="1">
        <f t="array" ref="H31">INDEX(LCI!I$2:I$73, MATCH($E31&amp;$F31, LCI!$B$2:$B$73&amp;LCI!$D$2:$D$73, 0))* IF(AND($E31="Truck", OR($F31="Electric", $F31="Electric_green")), $B$6, 1)* $C31* $D31</f>
        <v>0.64906010499329991</v>
      </c>
      <c r="I31" s="158" cm="1">
        <f t="array" ref="I31">INDEX(LCI!J$2:J$73, MATCH($E31&amp;$F31, LCI!$B$2:$B$73&amp;LCI!$D$2:$D$73, 0))* IF(AND($E31="Truck", OR($F31="Electric", $F31="Electric_green")), $B$6, 1)* $C31* $D31</f>
        <v>3.0334187961000001E-4</v>
      </c>
      <c r="J31" s="158" cm="1">
        <f t="array" ref="J31">INDEX(LCI!K$2:K$73, MATCH($E31&amp;$F31, LCI!$B$2:$B$73&amp;LCI!$D$2:$D$73, 0))* IF(AND($E31="Truck", OR($F31="Electric", $F31="Electric_green")), $B$6, 1)* $C31* $D31</f>
        <v>0.64870513632540006</v>
      </c>
      <c r="K31" s="158" cm="1">
        <f t="array" ref="K31">INDEX(LCI!L$2:L$73, MATCH($E31&amp;$F31, LCI!$B$2:$B$73&amp;LCI!$D$2:$D$73, 0))* IF(AND($E31="Truck", OR($F31="Electric", $F31="Electric_green")), $B$6, 1)* $C31* $D31</f>
        <v>5.1625970550000002E-5</v>
      </c>
      <c r="L31" s="158" cm="1">
        <f t="array" ref="L31">INDEX(LCI!M$2:M$73, MATCH($E31&amp;$F31, LCI!$B$2:$B$73&amp;LCI!$D$2:$D$73, 0))* IF(AND($E31="Truck", OR($F31="Electric", $F31="Electric_green")), $B$6, 1)* $C31* $D31</f>
        <v>0.55746950427629993</v>
      </c>
      <c r="M31" s="158" cm="1">
        <f t="array" ref="M31">INDEX(LCI!N$2:N$73, MATCH($E31&amp;$F31, LCI!$B$2:$B$73&amp;LCI!$D$2:$D$73, 0))* IF(AND($E31="Truck", OR($F31="Electric", $F31="Electric_green")), $B$6, 1)* $C31* $D31</f>
        <v>8.7356742054119998</v>
      </c>
      <c r="N31" s="158" cm="1">
        <f t="array" ref="N31">INDEX(LCI!O$2:O$73, MATCH($E31&amp;$F31, LCI!$B$2:$B$73&amp;LCI!$D$2:$D$73, 0))* IF(AND($E31="Truck", OR($F31="Electric", $F31="Electric_green")), $B$6, 1)* $C31* $D31</f>
        <v>1.5139188602999998E-5</v>
      </c>
      <c r="O31" s="158" cm="1">
        <f t="array" ref="O31">INDEX(LCI!P$2:P$73, MATCH($E31&amp;$F31, LCI!$B$2:$B$73&amp;LCI!$D$2:$D$73, 0))* IF(AND($E31="Truck", OR($F31="Electric", $F31="Electric_green")), $B$6, 1)* $C31* $D31</f>
        <v>2.1096547164E-4</v>
      </c>
      <c r="P31" s="158" cm="1">
        <f t="array" ref="P31">INDEX(LCI!Q$2:Q$73, MATCH($E31&amp;$F31, LCI!$B$2:$B$73&amp;LCI!$D$2:$D$73, 0))* IF(AND($E31="Truck", OR($F31="Electric", $F31="Electric_green")), $B$6, 1)* $C31* $D31</f>
        <v>2.2835103290999997E-3</v>
      </c>
      <c r="Q31" s="158" cm="1">
        <f t="array" ref="Q31">INDEX(LCI!R$2:R$73, MATCH($E31&amp;$F31, LCI!$B$2:$B$73&amp;LCI!$D$2:$D$73, 0))* IF(AND($E31="Truck", OR($F31="Electric", $F31="Electric_green")), $B$6, 1)* $C31* $D31</f>
        <v>5.7526782389999992E-11</v>
      </c>
      <c r="R31" s="158" cm="1">
        <f t="array" ref="R31">INDEX(LCI!S$2:S$73, MATCH($E31&amp;$F31, LCI!$B$2:$B$73&amp;LCI!$D$2:$D$73, 0))* IF(AND($E31="Truck", OR($F31="Electric", $F31="Electric_green")), $B$6, 1)* $C31* $D31</f>
        <v>4.680661986E-9</v>
      </c>
      <c r="S31" s="158" cm="1">
        <f t="array" ref="S31">INDEX(LCI!T$2:T$73, MATCH($E31&amp;$F31, LCI!$B$2:$B$73&amp;LCI!$D$2:$D$73, 0))* IF(AND($E31="Truck", OR($F31="Electric", $F31="Electric_green")), $B$6, 1)* $C31* $D31</f>
        <v>3.9611570922000001E-3</v>
      </c>
      <c r="T31" s="158" cm="1">
        <f t="array" ref="T31">INDEX(LCI!U$2:U$73, MATCH($E31&amp;$F31, LCI!$B$2:$B$73&amp;LCI!$D$2:$D$73, 0))* IF(AND($E31="Truck", OR($F31="Electric", $F31="Electric_green")), $B$6, 1)* $C31* $D31</f>
        <v>0.55101984579180008</v>
      </c>
      <c r="U31" s="158" cm="1">
        <f t="array" ref="U31">INDEX(LCI!V$2:V$73, MATCH($E31&amp;$F31, LCI!$B$2:$B$73&amp;LCI!$D$2:$D$73, 0))* IF(AND($E31="Truck", OR($F31="Electric", $F31="Electric_green")), $B$6, 1)* $C31* $D31</f>
        <v>7.1608265190000001E-7</v>
      </c>
      <c r="V31" s="158" cm="1">
        <f t="array" ref="V31">INDEX(LCI!W$2:W$73, MATCH($E31&amp;$F31, LCI!$B$2:$B$73&amp;LCI!$D$2:$D$73, 0))* IF(AND($E31="Truck", OR($F31="Electric", $F31="Electric_green")), $B$6, 1)* $C31* $D31</f>
        <v>1.4432375034E-8</v>
      </c>
      <c r="W31" s="158" cm="1">
        <f t="array" ref="W31">INDEX(LCI!X$2:X$73, MATCH($E31&amp;$F31, LCI!$B$2:$B$73&amp;LCI!$D$2:$D$73, 0))* IF(AND($E31="Truck", OR($F31="Electric", $F31="Electric_green")), $B$6, 1)* $C31* $D31</f>
        <v>4.0231049858999998E-8</v>
      </c>
      <c r="X31" s="158" cm="1">
        <f t="array" ref="X31">INDEX(LCI!Y$2:Y$73, MATCH($E31&amp;$F31, LCI!$B$2:$B$73&amp;LCI!$D$2:$D$73, 0))* IF(AND($E31="Truck", OR($F31="Electric", $F31="Electric_green")), $B$6, 1)* $C31* $D31</f>
        <v>1.6874719092000001E-3</v>
      </c>
      <c r="Y31" s="158" cm="1">
        <f t="array" ref="Y31">INDEX(LCI!Z$2:Z$73, MATCH($E31&amp;$F31, LCI!$B$2:$B$73&amp;LCI!$D$2:$D$73, 0))* IF(AND($E31="Truck", OR($F31="Electric", $F31="Electric_green")), $B$6, 1)* $C31* $D31</f>
        <v>1.98963869643E-2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2.3580022780549954E-2</v>
      </c>
      <c r="H34" s="139">
        <f t="shared" si="0"/>
        <v>12.873445204608315</v>
      </c>
      <c r="I34" s="139">
        <f t="shared" si="0"/>
        <v>5.9009660693908278E-3</v>
      </c>
      <c r="J34" s="139">
        <f t="shared" si="0"/>
        <v>12.866009911147771</v>
      </c>
      <c r="K34" s="139">
        <f t="shared" si="0"/>
        <v>1.5343119304295442E-3</v>
      </c>
      <c r="L34" s="139">
        <f t="shared" si="0"/>
        <v>11.149257353089807</v>
      </c>
      <c r="M34" s="139">
        <f t="shared" si="0"/>
        <v>172.54507143207945</v>
      </c>
      <c r="N34" s="139">
        <f t="shared" si="0"/>
        <v>3.4050525246125861E-4</v>
      </c>
      <c r="O34" s="139">
        <f t="shared" si="0"/>
        <v>6.3826638639365683E-3</v>
      </c>
      <c r="P34" s="139">
        <f t="shared" si="0"/>
        <v>6.934929015929564E-2</v>
      </c>
      <c r="Q34" s="139">
        <f t="shared" si="0"/>
        <v>1.1688925489662656E-9</v>
      </c>
      <c r="R34" s="139">
        <f t="shared" si="0"/>
        <v>9.0290243526952304E-8</v>
      </c>
      <c r="S34" s="139">
        <f t="shared" si="0"/>
        <v>9.5087009053033716E-2</v>
      </c>
      <c r="T34" s="139">
        <f t="shared" si="0"/>
        <v>15.3456484294957</v>
      </c>
      <c r="U34" s="139">
        <f t="shared" si="0"/>
        <v>1.4367990352975264E-5</v>
      </c>
      <c r="V34" s="139">
        <f t="shared" si="0"/>
        <v>2.840113770442826E-7</v>
      </c>
      <c r="W34" s="139">
        <f t="shared" si="0"/>
        <v>7.7334270024253948E-7</v>
      </c>
      <c r="X34" s="139">
        <f t="shared" si="0"/>
        <v>3.9222702725384487E-2</v>
      </c>
      <c r="Y34" s="139">
        <f t="shared" si="0"/>
        <v>0.43325272699209494</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0</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0</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0</v>
      </c>
      <c r="D92" s="158">
        <f t="shared" si="3"/>
        <v>0</v>
      </c>
      <c r="E92" s="154" t="s">
        <v>346</v>
      </c>
      <c r="F92" s="154" t="s">
        <v>346</v>
      </c>
      <c r="G92" s="154">
        <f t="shared" ref="G92:Y92" si="5">G16+G41+G66</f>
        <v>0</v>
      </c>
      <c r="H92" s="154">
        <f t="shared" si="5"/>
        <v>0</v>
      </c>
      <c r="I92" s="154">
        <f t="shared" si="5"/>
        <v>0</v>
      </c>
      <c r="J92" s="154">
        <f t="shared" si="5"/>
        <v>0</v>
      </c>
      <c r="K92" s="154">
        <f t="shared" si="5"/>
        <v>0</v>
      </c>
      <c r="L92" s="154">
        <f t="shared" si="5"/>
        <v>0</v>
      </c>
      <c r="M92" s="154">
        <f t="shared" si="5"/>
        <v>0</v>
      </c>
      <c r="N92" s="154">
        <f t="shared" si="5"/>
        <v>0</v>
      </c>
      <c r="O92" s="154">
        <f t="shared" si="5"/>
        <v>0</v>
      </c>
      <c r="P92" s="154">
        <f t="shared" si="5"/>
        <v>0</v>
      </c>
      <c r="Q92" s="154">
        <f t="shared" si="5"/>
        <v>0</v>
      </c>
      <c r="R92" s="154">
        <f t="shared" si="5"/>
        <v>0</v>
      </c>
      <c r="S92" s="154">
        <f t="shared" si="5"/>
        <v>0</v>
      </c>
      <c r="T92" s="154">
        <f t="shared" si="5"/>
        <v>0</v>
      </c>
      <c r="U92" s="154">
        <f t="shared" si="5"/>
        <v>0</v>
      </c>
      <c r="V92" s="154">
        <f t="shared" si="5"/>
        <v>0</v>
      </c>
      <c r="W92" s="154">
        <f t="shared" si="5"/>
        <v>0</v>
      </c>
      <c r="X92" s="154">
        <f t="shared" si="5"/>
        <v>0</v>
      </c>
      <c r="Y92" s="154">
        <f t="shared" si="5"/>
        <v>0</v>
      </c>
    </row>
    <row r="93" spans="1:25" ht="14" customHeight="1" x14ac:dyDescent="0.35">
      <c r="A93" s="396"/>
      <c r="B93" s="1" t="str">
        <f>Input!A41</f>
        <v>Virgin crushed coarse aggregate 2 (&gt;2 mm)</v>
      </c>
      <c r="C93" s="154">
        <f>+Input!B41</f>
        <v>0.10199999999999999</v>
      </c>
      <c r="D93" s="158">
        <f t="shared" si="3"/>
        <v>51</v>
      </c>
      <c r="E93" s="154" t="s">
        <v>346</v>
      </c>
      <c r="F93" s="154" t="s">
        <v>346</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346</v>
      </c>
      <c r="F98" s="154" t="s">
        <v>346</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v>
      </c>
      <c r="E101" s="154" t="s">
        <v>346</v>
      </c>
      <c r="F101" s="154" t="s">
        <v>346</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v>
      </c>
      <c r="E107" s="154" t="s">
        <v>346</v>
      </c>
      <c r="F107" s="154" t="s">
        <v>346</v>
      </c>
      <c r="G107" s="154">
        <f t="shared" ref="G107:Y107" si="16">G31+G56+G81</f>
        <v>9.6788524140000007E-4</v>
      </c>
      <c r="H107" s="154">
        <f t="shared" si="16"/>
        <v>0.64906010499329991</v>
      </c>
      <c r="I107" s="154">
        <f t="shared" si="16"/>
        <v>3.0334187961000001E-4</v>
      </c>
      <c r="J107" s="154">
        <f t="shared" si="16"/>
        <v>0.64870513632540006</v>
      </c>
      <c r="K107" s="154">
        <f t="shared" si="16"/>
        <v>5.1625970550000002E-5</v>
      </c>
      <c r="L107" s="154">
        <f t="shared" si="16"/>
        <v>0.55746950427629993</v>
      </c>
      <c r="M107" s="154">
        <f t="shared" si="16"/>
        <v>8.7356742054119998</v>
      </c>
      <c r="N107" s="154">
        <f t="shared" si="16"/>
        <v>1.5139188602999998E-5</v>
      </c>
      <c r="O107" s="154">
        <f t="shared" si="16"/>
        <v>2.1096547164E-4</v>
      </c>
      <c r="P107" s="154">
        <f t="shared" si="16"/>
        <v>2.2835103290999997E-3</v>
      </c>
      <c r="Q107" s="154">
        <f t="shared" si="16"/>
        <v>5.7526782389999992E-11</v>
      </c>
      <c r="R107" s="154">
        <f t="shared" si="16"/>
        <v>4.680661986E-9</v>
      </c>
      <c r="S107" s="154">
        <f t="shared" si="16"/>
        <v>3.9611570922000001E-3</v>
      </c>
      <c r="T107" s="154">
        <f t="shared" si="16"/>
        <v>0.55101984579180008</v>
      </c>
      <c r="U107" s="154">
        <f t="shared" si="16"/>
        <v>7.1608265190000001E-7</v>
      </c>
      <c r="V107" s="154">
        <f t="shared" si="16"/>
        <v>1.4432375034E-8</v>
      </c>
      <c r="W107" s="154">
        <f t="shared" si="16"/>
        <v>4.0231049858999998E-8</v>
      </c>
      <c r="X107" s="154">
        <f t="shared" si="16"/>
        <v>1.6874719092000001E-3</v>
      </c>
      <c r="Y107" s="154">
        <f t="shared" si="16"/>
        <v>1.98963869643E-2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2.3580022780549954E-2</v>
      </c>
      <c r="H110" s="139">
        <f t="shared" si="19"/>
        <v>12.873445204608315</v>
      </c>
      <c r="I110" s="139">
        <f t="shared" si="19"/>
        <v>5.9009660693908278E-3</v>
      </c>
      <c r="J110" s="139">
        <f t="shared" si="19"/>
        <v>12.866009911147771</v>
      </c>
      <c r="K110" s="139">
        <f t="shared" si="19"/>
        <v>1.5343119304295442E-3</v>
      </c>
      <c r="L110" s="139">
        <f t="shared" si="19"/>
        <v>11.149257353089807</v>
      </c>
      <c r="M110" s="139">
        <f t="shared" si="19"/>
        <v>172.54507143207945</v>
      </c>
      <c r="N110" s="139">
        <f t="shared" si="19"/>
        <v>3.4050525246125861E-4</v>
      </c>
      <c r="O110" s="139">
        <f t="shared" si="19"/>
        <v>6.3826638639365683E-3</v>
      </c>
      <c r="P110" s="139">
        <f t="shared" si="19"/>
        <v>6.934929015929564E-2</v>
      </c>
      <c r="Q110" s="139">
        <f t="shared" si="19"/>
        <v>1.1688925489662656E-9</v>
      </c>
      <c r="R110" s="139">
        <f t="shared" si="19"/>
        <v>9.0290243526952304E-8</v>
      </c>
      <c r="S110" s="139">
        <f t="shared" si="19"/>
        <v>9.5087009053033716E-2</v>
      </c>
      <c r="T110" s="139">
        <f t="shared" si="19"/>
        <v>15.3456484294957</v>
      </c>
      <c r="U110" s="139">
        <f t="shared" si="19"/>
        <v>1.4367990352975264E-5</v>
      </c>
      <c r="V110" s="139">
        <f t="shared" si="19"/>
        <v>2.840113770442826E-7</v>
      </c>
      <c r="W110" s="139">
        <f t="shared" si="19"/>
        <v>7.7334270024253948E-7</v>
      </c>
      <c r="X110" s="139">
        <f t="shared" si="19"/>
        <v>3.9222702725384487E-2</v>
      </c>
      <c r="Y110" s="139">
        <f t="shared" si="19"/>
        <v>0.43325272699209494</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0</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2.0990374054909954E-2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9.6788524140000007E-4</v>
      </c>
      <c r="W118" s="154">
        <f>'A2 - Transport'!G108</f>
        <v>0</v>
      </c>
      <c r="X118" s="154">
        <f>'A2 - Transport'!G109</f>
        <v>0</v>
      </c>
      <c r="Y118" s="154">
        <f>SUM(V118:X118)</f>
        <v>9.6788524140000007E-4</v>
      </c>
      <c r="Z118" s="154">
        <f>+SUM(B118+L118+O118+Y118)</f>
        <v>2.3580022780549954E-2</v>
      </c>
      <c r="AB118" s="87"/>
    </row>
    <row r="119" spans="1:28" x14ac:dyDescent="0.35">
      <c r="A119" s="1" t="s">
        <v>280</v>
      </c>
      <c r="B119" s="154">
        <f>'A2 - Transport'!H91</f>
        <v>0.92165995176527982</v>
      </c>
      <c r="C119" s="154">
        <f>H16+H41+H66</f>
        <v>0</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11.136836770194735</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0.64906010499329991</v>
      </c>
      <c r="W119" s="154">
        <f>'A2 - Transport'!H108</f>
        <v>0</v>
      </c>
      <c r="X119" s="154">
        <f>'A2 - Transport'!H109</f>
        <v>0</v>
      </c>
      <c r="Y119" s="154">
        <f t="shared" ref="Y119:Y136" si="24">SUM(V119:X119)</f>
        <v>0.64906010499329991</v>
      </c>
      <c r="Z119" s="154">
        <f t="shared" ref="Z119:Z136" si="25">+SUM(B119+L119+O119+Y119)</f>
        <v>12.873445204608315</v>
      </c>
      <c r="AB119" s="87"/>
    </row>
    <row r="120" spans="1:28" x14ac:dyDescent="0.35">
      <c r="A120" s="1" t="s">
        <v>281</v>
      </c>
      <c r="B120" s="154">
        <f>'A2 - Transport'!I91</f>
        <v>4.30742946576E-4</v>
      </c>
      <c r="C120" s="154">
        <f>I16+I41+I66</f>
        <v>0</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5.0893523797048285E-3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3.0334187961000001E-4</v>
      </c>
      <c r="W120" s="154">
        <f>'A2 - Transport'!I108</f>
        <v>0</v>
      </c>
      <c r="X120" s="154">
        <f>'A2 - Transport'!I109</f>
        <v>0</v>
      </c>
      <c r="Y120" s="154">
        <f t="shared" si="24"/>
        <v>3.0334187961000001E-4</v>
      </c>
      <c r="Z120" s="154">
        <f t="shared" si="25"/>
        <v>5.9009660693908287E-3</v>
      </c>
      <c r="AB120" s="87"/>
    </row>
    <row r="121" spans="1:28" x14ac:dyDescent="0.35">
      <c r="A121" s="1" t="s">
        <v>282</v>
      </c>
      <c r="B121" s="154">
        <f>'A2 - Transport'!J91</f>
        <v>0.92115589920863994</v>
      </c>
      <c r="C121" s="154">
        <f>J16+J41+J66</f>
        <v>0</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11.13035122172373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0.64870513632540006</v>
      </c>
      <c r="W121" s="154">
        <f>'A2 - Transport'!J108</f>
        <v>0</v>
      </c>
      <c r="X121" s="154">
        <f>'A2 - Transport'!J109</f>
        <v>0</v>
      </c>
      <c r="Y121" s="154">
        <f t="shared" si="24"/>
        <v>0.64870513632540006</v>
      </c>
      <c r="Z121" s="154">
        <f t="shared" si="25"/>
        <v>12.866009911147771</v>
      </c>
      <c r="AB121" s="87"/>
    </row>
    <row r="122" spans="1:28" x14ac:dyDescent="0.35">
      <c r="A122" s="1" t="s">
        <v>283</v>
      </c>
      <c r="B122" s="154">
        <f>'A2 - Transport'!K91</f>
        <v>7.3308448880000007E-5</v>
      </c>
      <c r="C122" s="154">
        <f>K16+K41+K66</f>
        <v>0</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1.3961828184995439E-3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5.1625970550000002E-5</v>
      </c>
      <c r="W122" s="154">
        <f>'A2 - Transport'!K108</f>
        <v>0</v>
      </c>
      <c r="X122" s="154">
        <f>'A2 - Transport'!K109</f>
        <v>0</v>
      </c>
      <c r="Y122" s="154">
        <f t="shared" si="24"/>
        <v>5.1625970550000002E-5</v>
      </c>
      <c r="Z122" s="154">
        <f t="shared" si="25"/>
        <v>1.534311930429544E-3</v>
      </c>
      <c r="AB122" s="87"/>
    </row>
    <row r="123" spans="1:28" x14ac:dyDescent="0.35">
      <c r="A123" s="1" t="s">
        <v>284</v>
      </c>
      <c r="B123" s="154">
        <f>'A2 - Transport'!L91</f>
        <v>0.79160206037808001</v>
      </c>
      <c r="C123" s="154">
        <f>L16+L41+L66</f>
        <v>0</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9.657706361730428</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0.55746950427629993</v>
      </c>
      <c r="W123" s="154">
        <f>'A2 - Transport'!L108</f>
        <v>0</v>
      </c>
      <c r="X123" s="154">
        <f>'A2 - Transport'!L109</f>
        <v>0</v>
      </c>
      <c r="Y123" s="154">
        <f t="shared" si="24"/>
        <v>0.55746950427629993</v>
      </c>
      <c r="Z123" s="154">
        <f t="shared" si="25"/>
        <v>11.149257353089808</v>
      </c>
      <c r="AB123" s="87"/>
    </row>
    <row r="124" spans="1:28" x14ac:dyDescent="0.35">
      <c r="A124" s="1" t="s">
        <v>285</v>
      </c>
      <c r="B124" s="154">
        <f>'A2 - Transport'!M91</f>
        <v>12.4045847292992</v>
      </c>
      <c r="C124" s="154">
        <f>M16+M41+M66</f>
        <v>0</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149.17212740316825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8.7356742054119998</v>
      </c>
      <c r="W124" s="154">
        <f>'A2 - Transport'!M108</f>
        <v>0</v>
      </c>
      <c r="X124" s="154">
        <f>'A2 - Transport'!M109</f>
        <v>0</v>
      </c>
      <c r="Y124" s="154">
        <f t="shared" si="24"/>
        <v>8.7356742054119998</v>
      </c>
      <c r="Z124" s="154">
        <f t="shared" si="25"/>
        <v>172.54507143207945</v>
      </c>
      <c r="AB124" s="87"/>
    </row>
    <row r="125" spans="1:28" x14ac:dyDescent="0.35">
      <c r="A125" s="1" t="s">
        <v>286</v>
      </c>
      <c r="B125" s="154">
        <f>'A2 - Transport'!N91</f>
        <v>2.1497521924799997E-5</v>
      </c>
      <c r="C125" s="154">
        <f>N16+N41+N66</f>
        <v>0</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2.9999923088345874E-4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1.5139188602999998E-5</v>
      </c>
      <c r="W125" s="154">
        <f>'A2 - Transport'!N108</f>
        <v>0</v>
      </c>
      <c r="X125" s="154">
        <f>'A2 - Transport'!N109</f>
        <v>0</v>
      </c>
      <c r="Y125" s="154">
        <f t="shared" si="24"/>
        <v>1.5139188602999998E-5</v>
      </c>
      <c r="Z125" s="154">
        <f t="shared" si="25"/>
        <v>3.4050525246125872E-4</v>
      </c>
      <c r="AB125" s="87"/>
    </row>
    <row r="126" spans="1:28" x14ac:dyDescent="0.35">
      <c r="A126" s="1" t="s">
        <v>287</v>
      </c>
      <c r="B126" s="154">
        <f>'A2 - Transport'!O91</f>
        <v>2.99569215424E-4</v>
      </c>
      <c r="C126" s="154">
        <f>O16+O41+O66</f>
        <v>0</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5.818210102872568E-3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2.1096547164E-4</v>
      </c>
      <c r="W126" s="154">
        <f>'A2 - Transport'!O108</f>
        <v>0</v>
      </c>
      <c r="X126" s="154">
        <f>'A2 - Transport'!O109</f>
        <v>0</v>
      </c>
      <c r="Y126" s="154">
        <f t="shared" si="24"/>
        <v>2.1096547164E-4</v>
      </c>
      <c r="Z126" s="154">
        <f t="shared" si="25"/>
        <v>6.3826638639365683E-3</v>
      </c>
      <c r="AB126" s="87"/>
    </row>
    <row r="127" spans="1:28" x14ac:dyDescent="0.35">
      <c r="A127" s="1" t="s">
        <v>288</v>
      </c>
      <c r="B127" s="154">
        <f>'A2 - Transport'!P91</f>
        <v>3.2425656785599996E-3</v>
      </c>
      <c r="C127" s="154">
        <f>P16+P41+P66</f>
        <v>0</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6.3239588966635632E-2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2.2835103290999997E-3</v>
      </c>
      <c r="W127" s="154">
        <f>'A2 - Transport'!P108</f>
        <v>0</v>
      </c>
      <c r="X127" s="154">
        <f>'A2 - Transport'!P109</f>
        <v>0</v>
      </c>
      <c r="Y127" s="154">
        <f t="shared" si="24"/>
        <v>2.2835103290999997E-3</v>
      </c>
      <c r="Z127" s="154">
        <f t="shared" si="25"/>
        <v>6.934929015929564E-2</v>
      </c>
      <c r="AB127" s="87"/>
    </row>
    <row r="128" spans="1:28" x14ac:dyDescent="0.35">
      <c r="A128" s="1" t="s">
        <v>289</v>
      </c>
      <c r="B128" s="154">
        <f>'A2 - Transport'!Q91</f>
        <v>8.168755262399998E-11</v>
      </c>
      <c r="C128" s="154">
        <f>Q16+Q41+Q66</f>
        <v>0</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1.0149753774522656E-9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5.7526782389999992E-11</v>
      </c>
      <c r="W128" s="154">
        <f>'A2 - Transport'!Q108</f>
        <v>0</v>
      </c>
      <c r="X128" s="154">
        <f>'A2 - Transport'!Q109</f>
        <v>0</v>
      </c>
      <c r="Y128" s="154">
        <f t="shared" si="24"/>
        <v>5.7526782389999992E-11</v>
      </c>
      <c r="Z128" s="154">
        <f t="shared" si="25"/>
        <v>1.1688925489662656E-9</v>
      </c>
      <c r="AB128" s="87"/>
    </row>
    <row r="129" spans="1:28" x14ac:dyDescent="0.35">
      <c r="A129" s="1" t="s">
        <v>319</v>
      </c>
      <c r="B129" s="154">
        <f>'A2 - Transport'!R91</f>
        <v>6.6465010976000005E-9</v>
      </c>
      <c r="C129" s="154">
        <f>R16+R41+R66</f>
        <v>0</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7.7766785343352321E-8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4.680661986E-9</v>
      </c>
      <c r="W129" s="154">
        <f>'A2 - Transport'!R108</f>
        <v>0</v>
      </c>
      <c r="X129" s="154">
        <f>'A2 - Transport'!R109</f>
        <v>0</v>
      </c>
      <c r="Y129" s="154">
        <f t="shared" si="24"/>
        <v>4.680661986E-9</v>
      </c>
      <c r="Z129" s="154">
        <f t="shared" si="25"/>
        <v>9.029024352695233E-8</v>
      </c>
      <c r="AB129" s="87"/>
    </row>
    <row r="130" spans="1:28" x14ac:dyDescent="0.35">
      <c r="A130" s="1" t="s">
        <v>291</v>
      </c>
      <c r="B130" s="154">
        <f>'A2 - Transport'!S91</f>
        <v>5.6248101315199998E-3</v>
      </c>
      <c r="C130" s="154">
        <f>S16+S41+S66</f>
        <v>0</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8.4488639559313711E-2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3.9611570922000001E-3</v>
      </c>
      <c r="W130" s="154">
        <f>'A2 - Transport'!S108</f>
        <v>0</v>
      </c>
      <c r="X130" s="154">
        <f>'A2 - Transport'!S109</f>
        <v>0</v>
      </c>
      <c r="Y130" s="154">
        <f t="shared" si="24"/>
        <v>3.9611570922000001E-3</v>
      </c>
      <c r="Z130" s="154">
        <f t="shared" si="25"/>
        <v>9.5087009053033716E-2</v>
      </c>
      <c r="AB130" s="87"/>
    </row>
    <row r="131" spans="1:28" x14ac:dyDescent="0.35">
      <c r="A131" s="1" t="s">
        <v>292</v>
      </c>
      <c r="B131" s="154">
        <f>'A2 - Transport'!T91</f>
        <v>0.78244359896287996</v>
      </c>
      <c r="C131" s="154">
        <f>T16+T41+T66</f>
        <v>0</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13.871353977611021</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0.55101984579180008</v>
      </c>
      <c r="W131" s="154">
        <f>'A2 - Transport'!T108</f>
        <v>0</v>
      </c>
      <c r="X131" s="154">
        <f>'A2 - Transport'!T109</f>
        <v>0</v>
      </c>
      <c r="Y131" s="154">
        <f t="shared" si="24"/>
        <v>0.55101984579180008</v>
      </c>
      <c r="Z131" s="154">
        <f t="shared" si="25"/>
        <v>15.3456484294957</v>
      </c>
      <c r="AB131" s="87"/>
    </row>
    <row r="132" spans="1:28" x14ac:dyDescent="0.35">
      <c r="A132" s="1" t="s">
        <v>293</v>
      </c>
      <c r="B132" s="154">
        <f>'A2 - Transport'!U91</f>
        <v>1.0168314110399999E-6</v>
      </c>
      <c r="C132" s="154">
        <f>U16+U41+U66</f>
        <v>0</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1.2452058125035266E-5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7.1608265190000001E-7</v>
      </c>
      <c r="W132" s="154">
        <f>'A2 - Transport'!U108</f>
        <v>0</v>
      </c>
      <c r="X132" s="154">
        <f>'A2 - Transport'!U109</f>
        <v>0</v>
      </c>
      <c r="Y132" s="154">
        <f t="shared" si="24"/>
        <v>7.1608265190000001E-7</v>
      </c>
      <c r="Z132" s="154">
        <f t="shared" si="25"/>
        <v>1.4367990352975264E-5</v>
      </c>
      <c r="AB132" s="87"/>
    </row>
    <row r="133" spans="1:28" x14ac:dyDescent="0.35">
      <c r="A133" s="1" t="s">
        <v>294</v>
      </c>
      <c r="B133" s="154">
        <f>'A2 - Transport'!V91</f>
        <v>2.0493852534400002E-8</v>
      </c>
      <c r="C133" s="154">
        <f>V16+V41+V66</f>
        <v>0</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2.4539648757588264E-7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1.4432375034E-8</v>
      </c>
      <c r="W133" s="154">
        <f>'A2 - Transport'!V108</f>
        <v>0</v>
      </c>
      <c r="X133" s="154">
        <f>'A2 - Transport'!V109</f>
        <v>0</v>
      </c>
      <c r="Y133" s="154">
        <f t="shared" si="24"/>
        <v>1.4432375034E-8</v>
      </c>
      <c r="Z133" s="154">
        <f t="shared" si="25"/>
        <v>2.8401137704428265E-7</v>
      </c>
      <c r="AB133" s="87"/>
    </row>
    <row r="134" spans="1:28" x14ac:dyDescent="0.35">
      <c r="A134" s="1" t="s">
        <v>295</v>
      </c>
      <c r="B134" s="154">
        <f>'A2 - Transport'!W91</f>
        <v>5.7127756254399995E-8</v>
      </c>
      <c r="C134" s="154">
        <f>W16+W41+W66</f>
        <v>0</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6.6570154347913946E-7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4.0231049858999998E-8</v>
      </c>
      <c r="W134" s="154">
        <f>'A2 - Transport'!W108</f>
        <v>0</v>
      </c>
      <c r="X134" s="154">
        <f>'A2 - Transport'!W109</f>
        <v>0</v>
      </c>
      <c r="Y134" s="154">
        <f t="shared" si="24"/>
        <v>4.0231049858999998E-8</v>
      </c>
      <c r="Z134" s="154">
        <f t="shared" si="25"/>
        <v>7.7334270024253948E-7</v>
      </c>
      <c r="AB134" s="87"/>
    </row>
    <row r="135" spans="1:28" x14ac:dyDescent="0.35">
      <c r="A135" s="1" t="s">
        <v>296</v>
      </c>
      <c r="B135" s="154">
        <f>'A2 - Transport'!X91</f>
        <v>2.3961960787199999E-3</v>
      </c>
      <c r="C135" s="154">
        <f>X16+X41+X66</f>
        <v>0</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3.4707746517464486E-2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1.6874719092000001E-3</v>
      </c>
      <c r="W135" s="154">
        <f>'A2 - Transport'!X108</f>
        <v>0</v>
      </c>
      <c r="X135" s="154">
        <f>'A2 - Transport'!X109</f>
        <v>0</v>
      </c>
      <c r="Y135" s="154">
        <f t="shared" si="24"/>
        <v>1.6874719092000001E-3</v>
      </c>
      <c r="Z135" s="154">
        <f t="shared" si="25"/>
        <v>3.9222702725384487E-2</v>
      </c>
      <c r="AB135" s="87"/>
    </row>
    <row r="136" spans="1:28" x14ac:dyDescent="0.35">
      <c r="A136" s="1" t="s">
        <v>297</v>
      </c>
      <c r="B136" s="154">
        <f>'A2 - Transport'!Y91</f>
        <v>2.825270403888E-2</v>
      </c>
      <c r="C136" s="154">
        <f>Y16+Y41+Y66</f>
        <v>0</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0.38001846848391496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1.98963869643E-2</v>
      </c>
      <c r="W136" s="154">
        <f>'A2 - Transport'!Y108</f>
        <v>0</v>
      </c>
      <c r="X136" s="154">
        <f>'A2 - Transport'!Y109</f>
        <v>0</v>
      </c>
      <c r="Y136" s="154">
        <f t="shared" si="24"/>
        <v>1.98963869643E-2</v>
      </c>
      <c r="Z136" s="154">
        <f t="shared" si="25"/>
        <v>0.43325272699209499</v>
      </c>
      <c r="AB136" s="87"/>
    </row>
    <row r="140" spans="1:28" x14ac:dyDescent="0.35">
      <c r="B140" t="s">
        <v>352</v>
      </c>
    </row>
    <row r="141" spans="1:28" x14ac:dyDescent="0.35">
      <c r="A141" s="95" t="s">
        <v>326</v>
      </c>
      <c r="B141" s="1">
        <f>SUM(G110:Y110)</f>
        <v>225.45409804605123</v>
      </c>
    </row>
    <row r="142" spans="1:28" x14ac:dyDescent="0.35">
      <c r="A142" s="95" t="s">
        <v>327</v>
      </c>
      <c r="B142" s="1">
        <f>SUM(B118:K136)+SUM(M118:N136)+SUM(P118:Q136)+SUM(S118:T136)+SUM(V118:X136)</f>
        <v>225.45409804605117</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69</v>
      </c>
      <c r="E15" s="158" t="str">
        <f>Input!$J51</f>
        <v>Truck</v>
      </c>
      <c r="F15" s="158" t="str">
        <f>Input!$K51</f>
        <v>Diesel_Euro6</v>
      </c>
      <c r="G15" s="158" cm="1">
        <f t="array" ref="G15">INDEX(LCI!H$2:H$73, MATCH($E15&amp;$F15, LCI!$B$2:$B$73&amp;LCI!$D$2:$D$73, 0))* IF(AND($E15="Truck", OR($F15="Electric", $F15="Electric_green")), $B$6, 1)* $C15* $D15</f>
        <v>4.9001454E-3</v>
      </c>
      <c r="H15" s="158" cm="1">
        <f t="array" ref="H15">INDEX(LCI!I$2:I$73, MATCH($E15&amp;$F15, LCI!$B$2:$B$73&amp;LCI!$D$2:$D$73, 0))* IF(AND($E15="Truck", OR($F15="Electric", $F15="Electric_green")), $B$6, 1)* $C15* $D15</f>
        <v>3.2860185812999996</v>
      </c>
      <c r="I15" s="158" cm="1">
        <f t="array" ref="I15">INDEX(LCI!J$2:J$73, MATCH($E15&amp;$F15, LCI!$B$2:$B$73&amp;LCI!$D$2:$D$73, 0))* IF(AND($E15="Truck", OR($F15="Electric", $F15="Electric_green")), $B$6, 1)* $C15* $D15</f>
        <v>1.53573921E-3</v>
      </c>
      <c r="J15" s="158" cm="1">
        <f t="array" ref="J15">INDEX(LCI!K$2:K$73, MATCH($E15&amp;$F15, LCI!$B$2:$B$73&amp;LCI!$D$2:$D$73, 0))* IF(AND($E15="Truck", OR($F15="Electric", $F15="Electric_green")), $B$6, 1)* $C15* $D15</f>
        <v>3.2842214693999998</v>
      </c>
      <c r="K15" s="158" cm="1">
        <f t="array" ref="K15">INDEX(LCI!L$2:L$73, MATCH($E15&amp;$F15, LCI!$B$2:$B$73&amp;LCI!$D$2:$D$73, 0))* IF(AND($E15="Truck", OR($F15="Electric", $F15="Electric_green")), $B$6, 1)* $C15* $D15</f>
        <v>2.6136854999999997E-4</v>
      </c>
      <c r="L15" s="158" cm="1">
        <f t="array" ref="L15">INDEX(LCI!M$2:M$73, MATCH($E15&amp;$F15, LCI!$B$2:$B$73&amp;LCI!$D$2:$D$73, 0))* IF(AND($E15="Truck", OR($F15="Electric", $F15="Electric_green")), $B$6, 1)* $C15* $D15</f>
        <v>2.8223197442999997</v>
      </c>
      <c r="M15" s="158" cm="1">
        <f t="array" ref="M15">INDEX(LCI!N$2:N$73, MATCH($E15&amp;$F15, LCI!$B$2:$B$73&amp;LCI!$D$2:$D$73, 0))* IF(AND($E15="Truck", OR($F15="Electric", $F15="Electric_green")), $B$6, 1)* $C15* $D15</f>
        <v>44.226393731999991</v>
      </c>
      <c r="N15" s="158" cm="1">
        <f t="array" ref="N15">INDEX(LCI!O$2:O$73, MATCH($E15&amp;$F15, LCI!$B$2:$B$73&amp;LCI!$D$2:$D$73, 0))* IF(AND($E15="Truck", OR($F15="Electric", $F15="Electric_green")), $B$6, 1)* $C15* $D15</f>
        <v>7.6645683000000004E-5</v>
      </c>
      <c r="O15" s="158" cm="1">
        <f t="array" ref="O15">INDEX(LCI!P$2:P$73, MATCH($E15&amp;$F15, LCI!$B$2:$B$73&amp;LCI!$D$2:$D$73, 0))* IF(AND($E15="Truck", OR($F15="Electric", $F15="Electric_green")), $B$6, 1)* $C15* $D15</f>
        <v>1.0680620399999999E-3</v>
      </c>
      <c r="P15" s="158" cm="1">
        <f t="array" ref="P15">INDEX(LCI!Q$2:Q$73, MATCH($E15&amp;$F15, LCI!$B$2:$B$73&amp;LCI!$D$2:$D$73, 0))* IF(AND($E15="Truck", OR($F15="Electric", $F15="Electric_green")), $B$6, 1)* $C15* $D15</f>
        <v>1.15608051E-2</v>
      </c>
      <c r="Q15" s="158" cm="1">
        <f t="array" ref="Q15">INDEX(LCI!R$2:R$73, MATCH($E15&amp;$F15, LCI!$B$2:$B$73&amp;LCI!$D$2:$D$73, 0))* IF(AND($E15="Truck", OR($F15="Electric", $F15="Electric_green")), $B$6, 1)* $C15* $D15</f>
        <v>2.9124278999999999E-10</v>
      </c>
      <c r="R15" s="158" cm="1">
        <f t="array" ref="R15">INDEX(LCI!S$2:S$73, MATCH($E15&amp;$F15, LCI!$B$2:$B$73&amp;LCI!$D$2:$D$73, 0))* IF(AND($E15="Truck", OR($F15="Electric", $F15="Electric_green")), $B$6, 1)* $C15* $D15</f>
        <v>2.3696946E-8</v>
      </c>
      <c r="S15" s="158" cm="1">
        <f t="array" ref="S15">INDEX(LCI!T$2:T$73, MATCH($E15&amp;$F15, LCI!$B$2:$B$73&amp;LCI!$D$2:$D$73, 0))* IF(AND($E15="Truck", OR($F15="Electric", $F15="Electric_green")), $B$6, 1)* $C15* $D15</f>
        <v>2.0054284200000001E-2</v>
      </c>
      <c r="T15" s="158" cm="1">
        <f t="array" ref="T15">INDEX(LCI!U$2:U$73, MATCH($E15&amp;$F15, LCI!$B$2:$B$73&amp;LCI!$D$2:$D$73, 0))* IF(AND($E15="Truck", OR($F15="Electric", $F15="Electric_green")), $B$6, 1)* $C15* $D15</f>
        <v>2.7896668398000002</v>
      </c>
      <c r="U15" s="158" cm="1">
        <f t="array" ref="U15">INDEX(LCI!V$2:V$73, MATCH($E15&amp;$F15, LCI!$B$2:$B$73&amp;LCI!$D$2:$D$73, 0))* IF(AND($E15="Truck", OR($F15="Electric", $F15="Electric_green")), $B$6, 1)* $C15* $D15</f>
        <v>3.6253358999999996E-6</v>
      </c>
      <c r="V15" s="158" cm="1">
        <f t="array" ref="V15">INDEX(LCI!W$2:W$73, MATCH($E15&amp;$F15, LCI!$B$2:$B$73&amp;LCI!$D$2:$D$73, 0))* IF(AND($E15="Truck", OR($F15="Electric", $F15="Electric_green")), $B$6, 1)* $C15* $D15</f>
        <v>7.306727399999999E-8</v>
      </c>
      <c r="W15" s="158" cm="1">
        <f t="array" ref="W15">INDEX(LCI!X$2:X$73, MATCH($E15&amp;$F15, LCI!$B$2:$B$73&amp;LCI!$D$2:$D$73, 0))* IF(AND($E15="Truck", OR($F15="Electric", $F15="Electric_green")), $B$6, 1)* $C15* $D15</f>
        <v>2.0367909899999997E-7</v>
      </c>
      <c r="X15" s="158" cm="1">
        <f t="array" ref="X15">INDEX(LCI!Y$2:Y$73, MATCH($E15&amp;$F15, LCI!$B$2:$B$73&amp;LCI!$D$2:$D$73, 0))* IF(AND($E15="Truck", OR($F15="Electric", $F15="Electric_green")), $B$6, 1)* $C15* $D15</f>
        <v>8.5432211999999993E-3</v>
      </c>
      <c r="Y15" s="158" cm="1">
        <f t="array" ref="Y15">INDEX(LCI!Z$2:Z$73, MATCH($E15&amp;$F15, LCI!$B$2:$B$73&amp;LCI!$D$2:$D$73, 0))* IF(AND($E15="Truck", OR($F15="Electric", $F15="Electric_green")), $B$6, 1)* $C15* $D15</f>
        <v>0.10073011229999999</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4.9001454E-3</v>
      </c>
      <c r="H19" s="139">
        <f t="shared" si="0"/>
        <v>3.2860185812999996</v>
      </c>
      <c r="I19" s="139">
        <f t="shared" si="0"/>
        <v>1.53573921E-3</v>
      </c>
      <c r="J19" s="139">
        <f t="shared" si="0"/>
        <v>3.2842214693999998</v>
      </c>
      <c r="K19" s="139">
        <f t="shared" si="0"/>
        <v>2.6136854999999997E-4</v>
      </c>
      <c r="L19" s="139">
        <f t="shared" si="0"/>
        <v>2.8223197442999997</v>
      </c>
      <c r="M19" s="139">
        <f t="shared" si="0"/>
        <v>44.226393731999991</v>
      </c>
      <c r="N19" s="139">
        <f t="shared" si="0"/>
        <v>7.6645683000000004E-5</v>
      </c>
      <c r="O19" s="139">
        <f t="shared" si="0"/>
        <v>1.0680620399999999E-3</v>
      </c>
      <c r="P19" s="139">
        <f t="shared" si="0"/>
        <v>1.15608051E-2</v>
      </c>
      <c r="Q19" s="139">
        <f t="shared" si="0"/>
        <v>2.9124278999999999E-10</v>
      </c>
      <c r="R19" s="139">
        <f t="shared" si="0"/>
        <v>2.3696946E-8</v>
      </c>
      <c r="S19" s="139">
        <f t="shared" si="0"/>
        <v>2.0054284200000001E-2</v>
      </c>
      <c r="T19" s="139">
        <f t="shared" si="0"/>
        <v>2.7896668398000002</v>
      </c>
      <c r="U19" s="139">
        <f t="shared" si="0"/>
        <v>3.6253358999999996E-6</v>
      </c>
      <c r="V19" s="139">
        <f t="shared" si="0"/>
        <v>7.306727399999999E-8</v>
      </c>
      <c r="W19" s="139">
        <f t="shared" si="0"/>
        <v>2.0367909899999997E-7</v>
      </c>
      <c r="X19" s="139">
        <f t="shared" si="0"/>
        <v>8.5432211999999993E-3</v>
      </c>
      <c r="Y19" s="139">
        <f t="shared" si="0"/>
        <v>0.10073011229999999</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69</v>
      </c>
      <c r="E46" s="154" t="s">
        <v>346</v>
      </c>
      <c r="F46" s="154" t="s">
        <v>346</v>
      </c>
      <c r="G46" s="154">
        <f t="shared" ref="G46:Y46" si="3">G15+G25+G35</f>
        <v>4.9001454E-3</v>
      </c>
      <c r="H46" s="154">
        <f t="shared" si="3"/>
        <v>3.2860185812999996</v>
      </c>
      <c r="I46" s="154">
        <f t="shared" si="3"/>
        <v>1.53573921E-3</v>
      </c>
      <c r="J46" s="154">
        <f t="shared" si="3"/>
        <v>3.2842214693999998</v>
      </c>
      <c r="K46" s="154">
        <f t="shared" si="3"/>
        <v>2.6136854999999997E-4</v>
      </c>
      <c r="L46" s="154">
        <f t="shared" si="3"/>
        <v>2.8223197442999997</v>
      </c>
      <c r="M46" s="154">
        <f t="shared" si="3"/>
        <v>44.226393731999991</v>
      </c>
      <c r="N46" s="154">
        <f t="shared" si="3"/>
        <v>7.6645683000000004E-5</v>
      </c>
      <c r="O46" s="154">
        <f t="shared" si="3"/>
        <v>1.0680620399999999E-3</v>
      </c>
      <c r="P46" s="154">
        <f t="shared" si="3"/>
        <v>1.15608051E-2</v>
      </c>
      <c r="Q46" s="154">
        <f t="shared" si="3"/>
        <v>2.9124278999999999E-10</v>
      </c>
      <c r="R46" s="154">
        <f t="shared" si="3"/>
        <v>2.3696946E-8</v>
      </c>
      <c r="S46" s="154">
        <f t="shared" si="3"/>
        <v>2.0054284200000001E-2</v>
      </c>
      <c r="T46" s="154">
        <f t="shared" si="3"/>
        <v>2.7896668398000002</v>
      </c>
      <c r="U46" s="154">
        <f t="shared" si="3"/>
        <v>3.6253358999999996E-6</v>
      </c>
      <c r="V46" s="154">
        <f t="shared" si="3"/>
        <v>7.306727399999999E-8</v>
      </c>
      <c r="W46" s="154">
        <f t="shared" si="3"/>
        <v>2.0367909899999997E-7</v>
      </c>
      <c r="X46" s="154">
        <f t="shared" si="3"/>
        <v>8.5432211999999993E-3</v>
      </c>
      <c r="Y46" s="154">
        <f t="shared" si="3"/>
        <v>0.10073011229999999</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4.9001454E-3</v>
      </c>
      <c r="H50" s="139">
        <f t="shared" si="7"/>
        <v>3.2860185812999996</v>
      </c>
      <c r="I50" s="139">
        <f t="shared" si="7"/>
        <v>1.53573921E-3</v>
      </c>
      <c r="J50" s="139">
        <f t="shared" si="7"/>
        <v>3.2842214693999998</v>
      </c>
      <c r="K50" s="139">
        <f t="shared" si="7"/>
        <v>2.6136854999999997E-4</v>
      </c>
      <c r="L50" s="139">
        <f t="shared" si="7"/>
        <v>2.8223197442999997</v>
      </c>
      <c r="M50" s="139">
        <f t="shared" si="7"/>
        <v>44.226393731999991</v>
      </c>
      <c r="N50" s="139">
        <f t="shared" si="7"/>
        <v>7.6645683000000004E-5</v>
      </c>
      <c r="O50" s="139">
        <f t="shared" si="7"/>
        <v>1.0680620399999999E-3</v>
      </c>
      <c r="P50" s="139">
        <f t="shared" si="7"/>
        <v>1.15608051E-2</v>
      </c>
      <c r="Q50" s="139">
        <f t="shared" si="7"/>
        <v>2.9124278999999999E-10</v>
      </c>
      <c r="R50" s="139">
        <f t="shared" si="7"/>
        <v>2.3696946E-8</v>
      </c>
      <c r="S50" s="139">
        <f t="shared" si="7"/>
        <v>2.0054284200000001E-2</v>
      </c>
      <c r="T50" s="139">
        <f t="shared" si="7"/>
        <v>2.7896668398000002</v>
      </c>
      <c r="U50" s="139">
        <f t="shared" si="7"/>
        <v>3.6253358999999996E-6</v>
      </c>
      <c r="V50" s="139">
        <f t="shared" si="7"/>
        <v>7.306727399999999E-8</v>
      </c>
      <c r="W50" s="139">
        <f t="shared" si="7"/>
        <v>2.0367909899999997E-7</v>
      </c>
      <c r="X50" s="139">
        <f t="shared" si="7"/>
        <v>8.5432211999999993E-3</v>
      </c>
      <c r="Y50" s="139">
        <f t="shared" si="7"/>
        <v>0.10073011229999999</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4.9001454E-3</v>
      </c>
      <c r="C58" s="154">
        <f>'C2''- Transport Secondary'!G47</f>
        <v>0</v>
      </c>
      <c r="D58" s="154">
        <f>SUM(B58:C58)</f>
        <v>4.9001454E-3</v>
      </c>
      <c r="E58" s="154">
        <f>'C2''- Transport Secondary'!G48</f>
        <v>0</v>
      </c>
      <c r="F58" s="154">
        <f>'C2''- Transport Secondary'!G49</f>
        <v>0</v>
      </c>
      <c r="G58" s="154">
        <f>SUM(E58:F58)</f>
        <v>0</v>
      </c>
      <c r="H58" s="154">
        <f>+D58+G58</f>
        <v>4.9001454E-3</v>
      </c>
    </row>
    <row r="59" spans="1:25" x14ac:dyDescent="0.35">
      <c r="A59" s="1" t="s">
        <v>280</v>
      </c>
      <c r="B59" s="154">
        <f>'C2''- Transport Secondary'!H46</f>
        <v>3.2860185812999996</v>
      </c>
      <c r="C59" s="154">
        <f>'C2''- Transport Secondary'!H47</f>
        <v>0</v>
      </c>
      <c r="D59" s="154">
        <f t="shared" ref="D59:D76" si="8">SUM(B59:C59)</f>
        <v>3.2860185812999996</v>
      </c>
      <c r="E59" s="154">
        <f>'C2''- Transport Secondary'!H48</f>
        <v>0</v>
      </c>
      <c r="F59" s="154">
        <f>'C2''- Transport Secondary'!H49</f>
        <v>0</v>
      </c>
      <c r="G59" s="154">
        <f>SUM(E59:F59)</f>
        <v>0</v>
      </c>
      <c r="H59" s="154">
        <f t="shared" ref="H59:H76" si="9">+D59+G59</f>
        <v>3.2860185812999996</v>
      </c>
    </row>
    <row r="60" spans="1:25" x14ac:dyDescent="0.35">
      <c r="A60" s="1" t="s">
        <v>281</v>
      </c>
      <c r="B60" s="154">
        <f>'C2''- Transport Secondary'!I46</f>
        <v>1.53573921E-3</v>
      </c>
      <c r="C60" s="154">
        <f>'C2''- Transport Secondary'!I47</f>
        <v>0</v>
      </c>
      <c r="D60" s="154">
        <f t="shared" si="8"/>
        <v>1.53573921E-3</v>
      </c>
      <c r="E60" s="154">
        <f>'C2''- Transport Secondary'!I48</f>
        <v>0</v>
      </c>
      <c r="F60" s="154">
        <f>'C2''- Transport Secondary'!I49</f>
        <v>0</v>
      </c>
      <c r="G60" s="154">
        <f t="shared" ref="G60:G76" si="10">SUM(E60:F60)</f>
        <v>0</v>
      </c>
      <c r="H60" s="154">
        <f t="shared" si="9"/>
        <v>1.53573921E-3</v>
      </c>
    </row>
    <row r="61" spans="1:25" x14ac:dyDescent="0.35">
      <c r="A61" s="1" t="s">
        <v>282</v>
      </c>
      <c r="B61" s="154">
        <f>'C2''- Transport Secondary'!J46</f>
        <v>3.2842214693999998</v>
      </c>
      <c r="C61" s="154">
        <f>'C2''- Transport Secondary'!J47</f>
        <v>0</v>
      </c>
      <c r="D61" s="154">
        <f t="shared" si="8"/>
        <v>3.2842214693999998</v>
      </c>
      <c r="E61" s="154">
        <f>'C2''- Transport Secondary'!J48</f>
        <v>0</v>
      </c>
      <c r="F61" s="154">
        <f>'C2''- Transport Secondary'!J49</f>
        <v>0</v>
      </c>
      <c r="G61" s="154">
        <f t="shared" si="10"/>
        <v>0</v>
      </c>
      <c r="H61" s="154">
        <f t="shared" si="9"/>
        <v>3.2842214693999998</v>
      </c>
    </row>
    <row r="62" spans="1:25" x14ac:dyDescent="0.35">
      <c r="A62" s="1" t="s">
        <v>283</v>
      </c>
      <c r="B62" s="154">
        <f>'C2''- Transport Secondary'!K46</f>
        <v>2.6136854999999997E-4</v>
      </c>
      <c r="C62" s="154">
        <f>'C2''- Transport Secondary'!K47</f>
        <v>0</v>
      </c>
      <c r="D62" s="154">
        <f t="shared" si="8"/>
        <v>2.6136854999999997E-4</v>
      </c>
      <c r="E62" s="154">
        <f>'C2''- Transport Secondary'!K48</f>
        <v>0</v>
      </c>
      <c r="F62" s="154">
        <f>'C2''- Transport Secondary'!K49</f>
        <v>0</v>
      </c>
      <c r="G62" s="154">
        <f t="shared" si="10"/>
        <v>0</v>
      </c>
      <c r="H62" s="154">
        <f t="shared" si="9"/>
        <v>2.6136854999999997E-4</v>
      </c>
    </row>
    <row r="63" spans="1:25" x14ac:dyDescent="0.35">
      <c r="A63" s="1" t="s">
        <v>284</v>
      </c>
      <c r="B63" s="154">
        <f>'C2''- Transport Secondary'!L46</f>
        <v>2.8223197442999997</v>
      </c>
      <c r="C63" s="154">
        <f>'C2''- Transport Secondary'!L47</f>
        <v>0</v>
      </c>
      <c r="D63" s="154">
        <f t="shared" si="8"/>
        <v>2.8223197442999997</v>
      </c>
      <c r="E63" s="154">
        <f>'C2''- Transport Secondary'!L48</f>
        <v>0</v>
      </c>
      <c r="F63" s="154">
        <f>'C2''- Transport Secondary'!L49</f>
        <v>0</v>
      </c>
      <c r="G63" s="154">
        <f t="shared" si="10"/>
        <v>0</v>
      </c>
      <c r="H63" s="154">
        <f t="shared" si="9"/>
        <v>2.8223197442999997</v>
      </c>
    </row>
    <row r="64" spans="1:25" x14ac:dyDescent="0.35">
      <c r="A64" s="1" t="s">
        <v>285</v>
      </c>
      <c r="B64" s="154">
        <f>'C2''- Transport Secondary'!M46</f>
        <v>44.226393731999991</v>
      </c>
      <c r="C64" s="154">
        <f>'C2''- Transport Secondary'!M47</f>
        <v>0</v>
      </c>
      <c r="D64" s="154">
        <f t="shared" si="8"/>
        <v>44.226393731999991</v>
      </c>
      <c r="E64" s="154">
        <f>'C2''- Transport Secondary'!M48</f>
        <v>0</v>
      </c>
      <c r="F64" s="154">
        <f>'C2''- Transport Secondary'!M49</f>
        <v>0</v>
      </c>
      <c r="G64" s="154">
        <f t="shared" si="10"/>
        <v>0</v>
      </c>
      <c r="H64" s="154">
        <f t="shared" si="9"/>
        <v>44.226393731999991</v>
      </c>
    </row>
    <row r="65" spans="1:8" x14ac:dyDescent="0.35">
      <c r="A65" s="1" t="s">
        <v>286</v>
      </c>
      <c r="B65" s="154">
        <f>'C2''- Transport Secondary'!N46</f>
        <v>7.6645683000000004E-5</v>
      </c>
      <c r="C65" s="154">
        <f>'C2''- Transport Secondary'!N47</f>
        <v>0</v>
      </c>
      <c r="D65" s="154">
        <f t="shared" si="8"/>
        <v>7.6645683000000004E-5</v>
      </c>
      <c r="E65" s="154">
        <f>'C2''- Transport Secondary'!N48</f>
        <v>0</v>
      </c>
      <c r="F65" s="154">
        <f>'C2''- Transport Secondary'!N49</f>
        <v>0</v>
      </c>
      <c r="G65" s="154">
        <f t="shared" si="10"/>
        <v>0</v>
      </c>
      <c r="H65" s="154">
        <f t="shared" si="9"/>
        <v>7.6645683000000004E-5</v>
      </c>
    </row>
    <row r="66" spans="1:8" x14ac:dyDescent="0.35">
      <c r="A66" s="1" t="s">
        <v>287</v>
      </c>
      <c r="B66" s="154">
        <f>'C2''- Transport Secondary'!O46</f>
        <v>1.0680620399999999E-3</v>
      </c>
      <c r="C66" s="154">
        <f>'C2''- Transport Secondary'!O47</f>
        <v>0</v>
      </c>
      <c r="D66" s="154">
        <f t="shared" si="8"/>
        <v>1.0680620399999999E-3</v>
      </c>
      <c r="E66" s="154">
        <f>'C2''- Transport Secondary'!O48</f>
        <v>0</v>
      </c>
      <c r="F66" s="154">
        <f>'C2''- Transport Secondary'!O49</f>
        <v>0</v>
      </c>
      <c r="G66" s="154">
        <f t="shared" si="10"/>
        <v>0</v>
      </c>
      <c r="H66" s="154">
        <f t="shared" si="9"/>
        <v>1.0680620399999999E-3</v>
      </c>
    </row>
    <row r="67" spans="1:8" x14ac:dyDescent="0.35">
      <c r="A67" s="1" t="s">
        <v>288</v>
      </c>
      <c r="B67" s="154">
        <f>'C2''- Transport Secondary'!P46</f>
        <v>1.15608051E-2</v>
      </c>
      <c r="C67" s="154">
        <f>'C2''- Transport Secondary'!P47</f>
        <v>0</v>
      </c>
      <c r="D67" s="154">
        <f t="shared" si="8"/>
        <v>1.15608051E-2</v>
      </c>
      <c r="E67" s="154">
        <f>'C2''- Transport Secondary'!P48</f>
        <v>0</v>
      </c>
      <c r="F67" s="154">
        <f>'C2''- Transport Secondary'!P49</f>
        <v>0</v>
      </c>
      <c r="G67" s="154">
        <f t="shared" si="10"/>
        <v>0</v>
      </c>
      <c r="H67" s="154">
        <f t="shared" si="9"/>
        <v>1.15608051E-2</v>
      </c>
    </row>
    <row r="68" spans="1:8" x14ac:dyDescent="0.35">
      <c r="A68" s="1" t="s">
        <v>289</v>
      </c>
      <c r="B68" s="154">
        <f>'C2''- Transport Secondary'!Q46</f>
        <v>2.9124278999999999E-10</v>
      </c>
      <c r="C68" s="154">
        <f>'C2''- Transport Secondary'!Q47</f>
        <v>0</v>
      </c>
      <c r="D68" s="154">
        <f t="shared" si="8"/>
        <v>2.9124278999999999E-10</v>
      </c>
      <c r="E68" s="154">
        <f>'C2''- Transport Secondary'!Q48</f>
        <v>0</v>
      </c>
      <c r="F68" s="154">
        <f>'C2''- Transport Secondary'!Q49</f>
        <v>0</v>
      </c>
      <c r="G68" s="154">
        <f t="shared" si="10"/>
        <v>0</v>
      </c>
      <c r="H68" s="154">
        <f t="shared" si="9"/>
        <v>2.9124278999999999E-10</v>
      </c>
    </row>
    <row r="69" spans="1:8" x14ac:dyDescent="0.35">
      <c r="A69" s="1" t="s">
        <v>319</v>
      </c>
      <c r="B69" s="154">
        <f>'C2''- Transport Secondary'!R46</f>
        <v>2.3696946E-8</v>
      </c>
      <c r="C69" s="154">
        <f>'C2''- Transport Secondary'!R47</f>
        <v>0</v>
      </c>
      <c r="D69" s="154">
        <f t="shared" si="8"/>
        <v>2.3696946E-8</v>
      </c>
      <c r="E69" s="154">
        <f>'C2''- Transport Secondary'!R48</f>
        <v>0</v>
      </c>
      <c r="F69" s="154">
        <f>'C2''- Transport Secondary'!R49</f>
        <v>0</v>
      </c>
      <c r="G69" s="154">
        <f t="shared" si="10"/>
        <v>0</v>
      </c>
      <c r="H69" s="154">
        <f t="shared" si="9"/>
        <v>2.3696946E-8</v>
      </c>
    </row>
    <row r="70" spans="1:8" x14ac:dyDescent="0.35">
      <c r="A70" s="1" t="s">
        <v>291</v>
      </c>
      <c r="B70" s="154">
        <f>'C2''- Transport Secondary'!S46</f>
        <v>2.0054284200000001E-2</v>
      </c>
      <c r="C70" s="154">
        <f>'C2''- Transport Secondary'!S47</f>
        <v>0</v>
      </c>
      <c r="D70" s="154">
        <f t="shared" si="8"/>
        <v>2.0054284200000001E-2</v>
      </c>
      <c r="E70" s="154">
        <f>'C2''- Transport Secondary'!S48</f>
        <v>0</v>
      </c>
      <c r="F70" s="154">
        <f>'C2''- Transport Secondary'!S49</f>
        <v>0</v>
      </c>
      <c r="G70" s="154">
        <f t="shared" si="10"/>
        <v>0</v>
      </c>
      <c r="H70" s="154">
        <f t="shared" si="9"/>
        <v>2.0054284200000001E-2</v>
      </c>
    </row>
    <row r="71" spans="1:8" x14ac:dyDescent="0.35">
      <c r="A71" s="1" t="s">
        <v>292</v>
      </c>
      <c r="B71" s="154">
        <f>'C2''- Transport Secondary'!T46</f>
        <v>2.7896668398000002</v>
      </c>
      <c r="C71" s="154">
        <f>'C2''- Transport Secondary'!T47</f>
        <v>0</v>
      </c>
      <c r="D71" s="154">
        <f t="shared" si="8"/>
        <v>2.7896668398000002</v>
      </c>
      <c r="E71" s="154">
        <f>'C2''- Transport Secondary'!T48</f>
        <v>0</v>
      </c>
      <c r="F71" s="154">
        <f>'C2''- Transport Secondary'!T49</f>
        <v>0</v>
      </c>
      <c r="G71" s="154">
        <f t="shared" si="10"/>
        <v>0</v>
      </c>
      <c r="H71" s="154">
        <f t="shared" si="9"/>
        <v>2.7896668398000002</v>
      </c>
    </row>
    <row r="72" spans="1:8" x14ac:dyDescent="0.35">
      <c r="A72" s="1" t="s">
        <v>293</v>
      </c>
      <c r="B72" s="154">
        <f>'C2''- Transport Secondary'!U46</f>
        <v>3.6253358999999996E-6</v>
      </c>
      <c r="C72" s="154">
        <f>'C2''- Transport Secondary'!U47</f>
        <v>0</v>
      </c>
      <c r="D72" s="154">
        <f t="shared" si="8"/>
        <v>3.6253358999999996E-6</v>
      </c>
      <c r="E72" s="154">
        <f>'C2''- Transport Secondary'!U48</f>
        <v>0</v>
      </c>
      <c r="F72" s="154">
        <f>'C2''- Transport Secondary'!U49</f>
        <v>0</v>
      </c>
      <c r="G72" s="154">
        <f t="shared" si="10"/>
        <v>0</v>
      </c>
      <c r="H72" s="154">
        <f t="shared" si="9"/>
        <v>3.6253358999999996E-6</v>
      </c>
    </row>
    <row r="73" spans="1:8" x14ac:dyDescent="0.35">
      <c r="A73" s="1" t="s">
        <v>294</v>
      </c>
      <c r="B73" s="154">
        <f>'C2''- Transport Secondary'!V46</f>
        <v>7.306727399999999E-8</v>
      </c>
      <c r="C73" s="154">
        <f>'C2''- Transport Secondary'!V47</f>
        <v>0</v>
      </c>
      <c r="D73" s="154">
        <f t="shared" si="8"/>
        <v>7.306727399999999E-8</v>
      </c>
      <c r="E73" s="154">
        <f>'C2''- Transport Secondary'!V48</f>
        <v>0</v>
      </c>
      <c r="F73" s="154">
        <f>'C2''- Transport Secondary'!V49</f>
        <v>0</v>
      </c>
      <c r="G73" s="154">
        <f t="shared" si="10"/>
        <v>0</v>
      </c>
      <c r="H73" s="154">
        <f t="shared" si="9"/>
        <v>7.306727399999999E-8</v>
      </c>
    </row>
    <row r="74" spans="1:8" ht="14" customHeight="1" x14ac:dyDescent="0.35">
      <c r="A74" s="1" t="s">
        <v>295</v>
      </c>
      <c r="B74" s="154">
        <f>'C2''- Transport Secondary'!W46</f>
        <v>2.0367909899999997E-7</v>
      </c>
      <c r="C74" s="154">
        <f>'C2''- Transport Secondary'!W47</f>
        <v>0</v>
      </c>
      <c r="D74" s="154">
        <f t="shared" si="8"/>
        <v>2.0367909899999997E-7</v>
      </c>
      <c r="E74" s="154">
        <f>'C2''- Transport Secondary'!W48</f>
        <v>0</v>
      </c>
      <c r="F74" s="154">
        <f>'C2''- Transport Secondary'!W49</f>
        <v>0</v>
      </c>
      <c r="G74" s="154">
        <f t="shared" si="10"/>
        <v>0</v>
      </c>
      <c r="H74" s="154">
        <f t="shared" si="9"/>
        <v>2.0367909899999997E-7</v>
      </c>
    </row>
    <row r="75" spans="1:8" x14ac:dyDescent="0.35">
      <c r="A75" s="1" t="s">
        <v>296</v>
      </c>
      <c r="B75" s="154">
        <f>'C2''- Transport Secondary'!X46</f>
        <v>8.5432211999999993E-3</v>
      </c>
      <c r="C75" s="154">
        <f>'C2''- Transport Secondary'!X47</f>
        <v>0</v>
      </c>
      <c r="D75" s="154">
        <f t="shared" si="8"/>
        <v>8.5432211999999993E-3</v>
      </c>
      <c r="E75" s="154">
        <f>'C2''- Transport Secondary'!X48</f>
        <v>0</v>
      </c>
      <c r="F75" s="154">
        <f>'C2''- Transport Secondary'!X49</f>
        <v>0</v>
      </c>
      <c r="G75" s="154">
        <f t="shared" si="10"/>
        <v>0</v>
      </c>
      <c r="H75" s="154">
        <f t="shared" si="9"/>
        <v>8.5432211999999993E-3</v>
      </c>
    </row>
    <row r="76" spans="1:8" x14ac:dyDescent="0.35">
      <c r="A76" s="1" t="s">
        <v>297</v>
      </c>
      <c r="B76" s="154">
        <f>'C2''- Transport Secondary'!Y46</f>
        <v>0.10073011229999999</v>
      </c>
      <c r="C76" s="154">
        <f>'C2''- Transport Secondary'!Y47</f>
        <v>0</v>
      </c>
      <c r="D76" s="154">
        <f t="shared" si="8"/>
        <v>0.10073011229999999</v>
      </c>
      <c r="E76" s="154">
        <f>'C2''- Transport Secondary'!Y48</f>
        <v>0</v>
      </c>
      <c r="F76" s="154">
        <f>'C2''- Transport Secondary'!Y49</f>
        <v>0</v>
      </c>
      <c r="G76" s="154">
        <f t="shared" si="10"/>
        <v>0</v>
      </c>
      <c r="H76" s="154">
        <f t="shared" si="9"/>
        <v>0.10073011229999999</v>
      </c>
    </row>
    <row r="79" spans="1:8" x14ac:dyDescent="0.35">
      <c r="B79" t="s">
        <v>354</v>
      </c>
    </row>
    <row r="80" spans="1:8" x14ac:dyDescent="0.35">
      <c r="A80" s="95" t="s">
        <v>326</v>
      </c>
      <c r="B80" s="1">
        <f>SUM(G50:Y50)</f>
        <v>56.557354676553452</v>
      </c>
    </row>
    <row r="81" spans="1:2" x14ac:dyDescent="0.35">
      <c r="A81" s="95" t="s">
        <v>327</v>
      </c>
      <c r="B81" s="1">
        <f>SUM(B58:C76)+SUM(E58:F76)</f>
        <v>56.557354676553452</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4.9001454E-3</v>
      </c>
      <c r="AB109" s="87" t="e">
        <f>+AA109-Z109</f>
        <v>#REF!</v>
      </c>
    </row>
    <row r="110" spans="26:28" x14ac:dyDescent="0.35">
      <c r="Z110" t="e">
        <f>+SUM(#REF!+#REF!+#REF!+D59+G59+#REF!)</f>
        <v>#REF!</v>
      </c>
      <c r="AA110">
        <f>+$H$50</f>
        <v>3.2860185812999996</v>
      </c>
      <c r="AB110" s="87" t="e">
        <f t="shared" ref="AB110:AB127" si="11">+AA110-Z110</f>
        <v>#REF!</v>
      </c>
    </row>
    <row r="111" spans="26:28" x14ac:dyDescent="0.35">
      <c r="Z111" t="e">
        <f>+SUM(#REF!+#REF!+#REF!+D60+G60+#REF!)</f>
        <v>#REF!</v>
      </c>
      <c r="AA111">
        <f>+$I$50</f>
        <v>1.53573921E-3</v>
      </c>
      <c r="AB111" s="87" t="e">
        <f t="shared" si="11"/>
        <v>#REF!</v>
      </c>
    </row>
    <row r="112" spans="26:28" x14ac:dyDescent="0.35">
      <c r="Z112" t="e">
        <f>+SUM(#REF!+#REF!+#REF!+D61+G61+#REF!)</f>
        <v>#REF!</v>
      </c>
      <c r="AA112">
        <f>+$J$50</f>
        <v>3.2842214693999998</v>
      </c>
      <c r="AB112" s="87" t="e">
        <f t="shared" si="11"/>
        <v>#REF!</v>
      </c>
    </row>
    <row r="113" spans="26:28" x14ac:dyDescent="0.35">
      <c r="Z113" t="e">
        <f>+SUM(#REF!+#REF!+#REF!+D62+G62+#REF!)</f>
        <v>#REF!</v>
      </c>
      <c r="AA113">
        <f>+$K$50</f>
        <v>2.6136854999999997E-4</v>
      </c>
      <c r="AB113" s="87" t="e">
        <f t="shared" si="11"/>
        <v>#REF!</v>
      </c>
    </row>
    <row r="114" spans="26:28" x14ac:dyDescent="0.35">
      <c r="Z114" t="e">
        <f>+SUM(#REF!+#REF!+#REF!+D63+G63+#REF!)</f>
        <v>#REF!</v>
      </c>
      <c r="AA114">
        <f>+$L$50</f>
        <v>2.8223197442999997</v>
      </c>
      <c r="AB114" s="87" t="e">
        <f t="shared" si="11"/>
        <v>#REF!</v>
      </c>
    </row>
    <row r="115" spans="26:28" x14ac:dyDescent="0.35">
      <c r="Z115" t="e">
        <f>+SUM(#REF!+#REF!+#REF!+D64+G64+#REF!)</f>
        <v>#REF!</v>
      </c>
      <c r="AA115">
        <f>+$M$50</f>
        <v>44.226393731999991</v>
      </c>
      <c r="AB115" s="87" t="e">
        <f t="shared" si="11"/>
        <v>#REF!</v>
      </c>
    </row>
    <row r="116" spans="26:28" x14ac:dyDescent="0.35">
      <c r="Z116" t="e">
        <f>+SUM(#REF!+#REF!+#REF!+D65+G65+#REF!)</f>
        <v>#REF!</v>
      </c>
      <c r="AA116">
        <f>+N$50</f>
        <v>7.6645683000000004E-5</v>
      </c>
      <c r="AB116" s="87" t="e">
        <f t="shared" si="11"/>
        <v>#REF!</v>
      </c>
    </row>
    <row r="117" spans="26:28" x14ac:dyDescent="0.35">
      <c r="Z117" t="e">
        <f>+SUM(#REF!+#REF!+#REF!+D66+G66+#REF!)</f>
        <v>#REF!</v>
      </c>
      <c r="AA117">
        <f>+$O$50</f>
        <v>1.0680620399999999E-3</v>
      </c>
      <c r="AB117" s="87" t="e">
        <f t="shared" si="11"/>
        <v>#REF!</v>
      </c>
    </row>
    <row r="118" spans="26:28" x14ac:dyDescent="0.35">
      <c r="Z118" t="e">
        <f>+SUM(#REF!+#REF!+#REF!+D67+G67+#REF!)</f>
        <v>#REF!</v>
      </c>
      <c r="AA118">
        <f>+$P$50</f>
        <v>1.15608051E-2</v>
      </c>
      <c r="AB118" s="87" t="e">
        <f t="shared" si="11"/>
        <v>#REF!</v>
      </c>
    </row>
    <row r="119" spans="26:28" x14ac:dyDescent="0.35">
      <c r="Z119" t="e">
        <f>+SUM(#REF!+#REF!+#REF!+D68+G68+#REF!)</f>
        <v>#REF!</v>
      </c>
      <c r="AA119">
        <f>+$Q$50</f>
        <v>2.9124278999999999E-10</v>
      </c>
      <c r="AB119" s="87" t="e">
        <f t="shared" si="11"/>
        <v>#REF!</v>
      </c>
    </row>
    <row r="120" spans="26:28" x14ac:dyDescent="0.35">
      <c r="Z120" t="e">
        <f>+SUM(#REF!+#REF!+#REF!+D69+G69+#REF!)</f>
        <v>#REF!</v>
      </c>
      <c r="AA120">
        <f>+$R$50</f>
        <v>2.3696946E-8</v>
      </c>
      <c r="AB120" s="87" t="e">
        <f t="shared" si="11"/>
        <v>#REF!</v>
      </c>
    </row>
    <row r="121" spans="26:28" x14ac:dyDescent="0.35">
      <c r="Z121" t="e">
        <f>+SUM(#REF!+#REF!+#REF!+D70+G70+#REF!)</f>
        <v>#REF!</v>
      </c>
      <c r="AA121">
        <f>+$S$50</f>
        <v>2.0054284200000001E-2</v>
      </c>
      <c r="AB121" s="87" t="e">
        <f t="shared" si="11"/>
        <v>#REF!</v>
      </c>
    </row>
    <row r="122" spans="26:28" x14ac:dyDescent="0.35">
      <c r="Z122" t="e">
        <f>+SUM(#REF!+#REF!+#REF!+D71+G71+#REF!)</f>
        <v>#REF!</v>
      </c>
      <c r="AA122">
        <f>+$T$50</f>
        <v>2.7896668398000002</v>
      </c>
      <c r="AB122" s="87" t="e">
        <f t="shared" si="11"/>
        <v>#REF!</v>
      </c>
    </row>
    <row r="123" spans="26:28" x14ac:dyDescent="0.35">
      <c r="Z123" t="e">
        <f>+SUM(#REF!+#REF!+#REF!+D72+G72+#REF!)</f>
        <v>#REF!</v>
      </c>
      <c r="AA123">
        <f>+$U$50</f>
        <v>3.6253358999999996E-6</v>
      </c>
      <c r="AB123" s="87" t="e">
        <f t="shared" si="11"/>
        <v>#REF!</v>
      </c>
    </row>
    <row r="124" spans="26:28" x14ac:dyDescent="0.35">
      <c r="Z124" t="e">
        <f>+SUM(#REF!+#REF!+#REF!+D73+G73+#REF!)</f>
        <v>#REF!</v>
      </c>
      <c r="AA124">
        <f>+$V$50</f>
        <v>7.306727399999999E-8</v>
      </c>
      <c r="AB124" s="87" t="e">
        <f t="shared" si="11"/>
        <v>#REF!</v>
      </c>
    </row>
    <row r="125" spans="26:28" x14ac:dyDescent="0.35">
      <c r="Z125" t="e">
        <f>+SUM(#REF!+#REF!+#REF!+D74+G74+#REF!)</f>
        <v>#REF!</v>
      </c>
      <c r="AA125">
        <f>+$W$50</f>
        <v>2.0367909899999997E-7</v>
      </c>
      <c r="AB125" s="87" t="e">
        <f t="shared" si="11"/>
        <v>#REF!</v>
      </c>
    </row>
    <row r="126" spans="26:28" x14ac:dyDescent="0.35">
      <c r="Z126" t="e">
        <f>+SUM(#REF!+#REF!+#REF!+D75+G75+#REF!)</f>
        <v>#REF!</v>
      </c>
      <c r="AA126">
        <f>+$X$50</f>
        <v>8.5432211999999993E-3</v>
      </c>
      <c r="AB126" s="87" t="e">
        <f t="shared" si="11"/>
        <v>#REF!</v>
      </c>
    </row>
    <row r="127" spans="26:28" x14ac:dyDescent="0.35">
      <c r="Z127" t="e">
        <f>+SUM(#REF!+#REF!+#REF!+D76+G76+#REF!)</f>
        <v>#REF!</v>
      </c>
      <c r="AA127">
        <f>+$Y$50</f>
        <v>0.10073011229999999</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0</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0.93895999999999991</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0</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0</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0</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0</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0</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254.03593092930004</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0.35375639016242372</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0</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0.93895999999999991</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1.502555558113014E-2</v>
      </c>
      <c r="G196" s="154" cm="1">
        <f t="array" ref="G196">INDEX(LCI!I$2:I$137,MATCH('A3 - Production '!$A$196&amp;'A3 - Production '!$D$196,LCI!$B$2:$B$137&amp;LCI!$D$2:$D$137,0))*$C$188*IF(OR($D$196="Electricity", $D$196="Electricity_green"),$B$52, 1)*IF($D$196="Hydrogen (grey)",$B$53,1)*$E$196</f>
        <v>17.788910079600928</v>
      </c>
      <c r="H196" s="154" cm="1">
        <f t="array" ref="H196">INDEX(LCI!J$2:J$137,MATCH('A3 - Production '!$A$196&amp;'A3 - Production '!$D$196,LCI!$B$2:$B$137&amp;LCI!$D$2:$D$137,0))*$C$188*IF(OR($D$196="Electricity", $D$196="Electricity_green"),$B$52, 1)*IF($D$196="Hydrogen (grey)",$B$53,1)*$E$196</f>
        <v>4.6508435069693866E-3</v>
      </c>
      <c r="I196" s="154" cm="1">
        <f t="array" ref="I196">INDEX(LCI!K$2:K$137,MATCH('A3 - Production '!$A$196&amp;'A3 - Production '!$D$196,LCI!$B$2:$B$137&amp;LCI!$D$2:$D$137,0))*$C$188*IF(OR($D$196="Electricity", $D$196="Electricity_green"),$B$52, 1)*IF($D$196="Hydrogen (grey)",$B$53,1)*$E$196</f>
        <v>17.783534244737677</v>
      </c>
      <c r="J196" s="154" cm="1">
        <f t="array" ref="J196">INDEX(LCI!L$2:L$137,MATCH('A3 - Production '!$A$196&amp;'A3 - Production '!$D$196,LCI!$B$2:$B$137&amp;LCI!$D$2:$D$137,0))*$C$188*IF(OR($D$196="Electricity", $D$196="Electricity_green"),$B$52, 1)*IF($D$196="Hydrogen (grey)",$B$53,1)*$E$196</f>
        <v>7.249913562815195E-4</v>
      </c>
      <c r="K196" s="154" cm="1">
        <f t="array" ref="K196">INDEX(LCI!M$2:M$137,MATCH('A3 - Production '!$A$196&amp;'A3 - Production '!$D$196,LCI!$B$2:$B$137&amp;LCI!$D$2:$D$137,0))*$C$188*IF(OR($D$196="Electricity", $D$196="Electricity_green"),$B$52, 1)*IF($D$196="Hydrogen (grey)",$B$53,1)*$E$196</f>
        <v>6.7276362548940627</v>
      </c>
      <c r="L196" s="154" cm="1">
        <f t="array" ref="L196">INDEX(LCI!N$2:N$137,MATCH('A3 - Production '!$A$196&amp;'A3 - Production '!$D$196,LCI!$B$2:$B$137&amp;LCI!$D$2:$D$137,0))*$C$188*IF(OR($D$196="Electricity", $D$196="Electricity_green"),$B$52, 1)*IF($D$196="Hydrogen (grey)",$B$53,1)*$E$196</f>
        <v>300.82734153147288</v>
      </c>
      <c r="M196" s="154" cm="1">
        <f t="array" ref="M196">INDEX(LCI!O$2:O$137,MATCH('A3 - Production '!$A$196&amp;'A3 - Production '!$D$196,LCI!$B$2:$B$137&amp;LCI!$D$2:$D$137,0))*$C$188*IF(OR($D$196="Electricity", $D$196="Electricity_green"),$B$52, 1)*IF($D$196="Hydrogen (grey)",$B$53,1)*$E$196</f>
        <v>2.6667625431488841E-4</v>
      </c>
      <c r="N196" s="154" cm="1">
        <f t="array" ref="N196">INDEX(LCI!P$2:P$137,MATCH('A3 - Production '!$A$196&amp;'A3 - Production '!$D$196,LCI!$B$2:$B$137&amp;LCI!$D$2:$D$137,0))*$C$188*IF(OR($D$196="Electricity", $D$196="Electricity_green"),$B$52, 1)*IF($D$196="Hydrogen (grey)",$B$53,1)*$E$196</f>
        <v>4.1327361577308593E-3</v>
      </c>
      <c r="O196" s="154" cm="1">
        <f t="array" ref="O196">INDEX(LCI!Q$2:Q$137,MATCH('A3 - Production '!$A$196&amp;'A3 - Production '!$D$196,LCI!$B$2:$B$137&amp;LCI!$D$2:$D$137,0))*$C$188*IF(OR($D$196="Electricity", $D$196="Electricity_green"),$B$52, 1)*IF($D$196="Hydrogen (grey)",$B$53,1)*$E$196</f>
        <v>4.5567555291376377E-2</v>
      </c>
      <c r="P196" s="154" cm="1">
        <f t="array" ref="P196">INDEX(LCI!R$2:R$137,MATCH('A3 - Production '!$A$196&amp;'A3 - Production '!$D$196,LCI!$B$2:$B$137&amp;LCI!$D$2:$D$137,0))*$C$188*IF(OR($D$196="Electricity", $D$196="Electricity_green"),$B$52, 1)*IF($D$196="Hydrogen (grey)",$B$53,1)*$E$196</f>
        <v>1.4365728507010941E-9</v>
      </c>
      <c r="Q196" s="154" cm="1">
        <f t="array" ref="Q196">INDEX(LCI!S$2:S$137,MATCH('A3 - Production '!$A$196&amp;'A3 - Production '!$D$196,LCI!$B$2:$B$137&amp;LCI!$D$2:$D$137,0))*$C$188*IF(OR($D$196="Electricity", $D$196="Electricity_green"),$B$52, 1)*IF($D$196="Hydrogen (grey)",$B$53,1)*$E$196</f>
        <v>1.2283542964581179E-8</v>
      </c>
      <c r="R196" s="154" cm="1">
        <f t="array" ref="R196">INDEX(LCI!T$2:T$137,MATCH('A3 - Production '!$A$196&amp;'A3 - Production '!$D$196,LCI!$B$2:$B$137&amp;LCI!$D$2:$D$137,0))*$C$188*IF(OR($D$196="Electricity", $D$196="Electricity_green"),$B$52, 1)*IF($D$196="Hydrogen (grey)",$B$53,1)*$E$196</f>
        <v>0.18934711917168695</v>
      </c>
      <c r="S196" s="154" cm="1">
        <f t="array" ref="S196">INDEX(LCI!U$2:U$137,MATCH('A3 - Production '!$A$196&amp;'A3 - Production '!$D$196,LCI!$B$2:$B$137&amp;LCI!$D$2:$D$137,0))*$C$188*IF(OR($D$196="Electricity", $D$196="Electricity_green"),$B$52, 1)*IF($D$196="Hydrogen (grey)",$B$53,1)*$E$196</f>
        <v>4.0423423137236743</v>
      </c>
      <c r="T196" s="154" cm="1">
        <f t="array" ref="T196">INDEX(LCI!V$2:V$137,MATCH('A3 - Production '!$A$196&amp;'A3 - Production '!$D$196,LCI!$B$2:$B$137&amp;LCI!$D$2:$D$137,0))*$C$188*IF(OR($D$196="Electricity", $D$196="Electricity_green"),$B$52, 1)*IF($D$196="Hydrogen (grey)",$B$53,1)*$E$196</f>
        <v>9.6850896969228294E-7</v>
      </c>
      <c r="U196" s="154" cm="1">
        <f t="array" ref="U196">INDEX(LCI!W$2:W$137,MATCH('A3 - Production '!$A$196&amp;'A3 - Production '!$D$196,LCI!$B$2:$B$137&amp;LCI!$D$2:$D$137,0))*$C$188*IF(OR($D$196="Electricity", $D$196="Electricity_green"),$B$52, 1)*IF($D$196="Hydrogen (grey)",$B$53,1)*$E$196</f>
        <v>2.505403718649246E-6</v>
      </c>
      <c r="V196" s="154" cm="1">
        <f t="array" ref="V196">INDEX(LCI!X$2:X$137,MATCH('A3 - Production '!$A$196&amp;'A3 - Production '!$D$196,LCI!$B$2:$B$137&amp;LCI!$D$2:$D$137,0))*$C$188*IF(OR($D$196="Electricity", $D$196="Electricity_green"),$B$52, 1)*IF($D$196="Hydrogen (grey)",$B$53,1)*$E$196</f>
        <v>5.5195223920239557E-8</v>
      </c>
      <c r="W196" s="154" cm="1">
        <f t="array" ref="W196">INDEX(LCI!Y$2:Y$137,MATCH('A3 - Production '!$A$196&amp;'A3 - Production '!$D$196,LCI!$B$2:$B$137&amp;LCI!$D$2:$D$137,0))*$C$188*IF(OR($D$196="Electricity", $D$196="Electricity_green"),$B$52, 1)*IF($D$196="Hydrogen (grey)",$B$53,1)*$E$196</f>
        <v>1.541935250100062E-2</v>
      </c>
      <c r="X196" s="154" cm="1">
        <f t="array" ref="X196">INDEX(LCI!Z$2:Z$137,MATCH('A3 - Production '!$A$196&amp;'A3 - Production '!$D$196,LCI!$B$2:$B$137&amp;LCI!$D$2:$D$137,0))*$C$188*IF(OR($D$196="Electricity", $D$196="Electricity_green"),$B$52, 1)*IF($D$196="Hydrogen (grey)",$B$53,1)*$E$196</f>
        <v>0.17755806448051767</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1.8985521849441217E-2</v>
      </c>
      <c r="G199" s="139">
        <f t="shared" si="9"/>
        <v>18.87967861706008</v>
      </c>
      <c r="H199" s="139">
        <f t="shared" si="9"/>
        <v>6.460482687045248E-3</v>
      </c>
      <c r="I199" s="139">
        <f t="shared" si="9"/>
        <v>18.86976007835575</v>
      </c>
      <c r="J199" s="139">
        <f t="shared" si="9"/>
        <v>3.4580560172834751E-3</v>
      </c>
      <c r="K199" s="139">
        <f t="shared" si="9"/>
        <v>10.542532722664712</v>
      </c>
      <c r="L199" s="139">
        <f t="shared" si="9"/>
        <v>354.26716898972273</v>
      </c>
      <c r="M199" s="139">
        <f t="shared" si="9"/>
        <v>6.7438313738798703E-4</v>
      </c>
      <c r="N199" s="139">
        <f t="shared" si="9"/>
        <v>4.9470980311882148E-3</v>
      </c>
      <c r="O199" s="139">
        <f t="shared" si="9"/>
        <v>5.3298086829142333E-2</v>
      </c>
      <c r="P199" s="139">
        <f t="shared" si="9"/>
        <v>1.8909536266852269E-9</v>
      </c>
      <c r="Q199" s="139">
        <f t="shared" si="9"/>
        <v>3.7407967864758388E-8</v>
      </c>
      <c r="R199" s="139">
        <f t="shared" si="9"/>
        <v>2.4341796762036338</v>
      </c>
      <c r="S199" s="139">
        <f t="shared" si="9"/>
        <v>12.475392648553015</v>
      </c>
      <c r="T199" s="139">
        <f t="shared" si="9"/>
        <v>2.9907782217004592E-5</v>
      </c>
      <c r="U199" s="139">
        <f t="shared" si="9"/>
        <v>2.5401059729899762E-6</v>
      </c>
      <c r="V199" s="139">
        <f t="shared" si="9"/>
        <v>8.4294835458574835E-8</v>
      </c>
      <c r="W199" s="139">
        <f t="shared" si="9"/>
        <v>1.788972206402269E-2</v>
      </c>
      <c r="X199" s="139">
        <f t="shared" si="9"/>
        <v>0.81953903608232204</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1.8985521849441217E-2</v>
      </c>
      <c r="C206" s="154">
        <f>'A3 - Production '!H28</f>
        <v>1.0299559961337281E-4</v>
      </c>
      <c r="D206" s="154">
        <f>SUM(B206:C206)</f>
        <v>1.9088517449054591E-2</v>
      </c>
    </row>
    <row r="207" spans="1:24" x14ac:dyDescent="0.35">
      <c r="A207" s="1" t="s">
        <v>280</v>
      </c>
      <c r="B207" s="154">
        <f>SUM(G196:G198)</f>
        <v>18.87967861706008</v>
      </c>
      <c r="C207" s="154">
        <f>'A3 - Production '!I28</f>
        <v>8.056052481282612E-2</v>
      </c>
      <c r="D207" s="154">
        <f t="shared" ref="D207:D224" si="10">SUM(B207:C207)</f>
        <v>18.960239141872904</v>
      </c>
    </row>
    <row r="208" spans="1:24" x14ac:dyDescent="0.35">
      <c r="A208" s="1" t="s">
        <v>281</v>
      </c>
      <c r="B208" s="154">
        <f>SUM(H196:H198)</f>
        <v>6.460482687045248E-3</v>
      </c>
      <c r="C208" s="154">
        <f>'A3 - Production '!J28</f>
        <v>1.66498170746065E-5</v>
      </c>
      <c r="D208" s="154">
        <f t="shared" si="10"/>
        <v>6.4771325041198544E-3</v>
      </c>
    </row>
    <row r="209" spans="1:4" x14ac:dyDescent="0.35">
      <c r="A209" s="1" t="s">
        <v>282</v>
      </c>
      <c r="B209" s="154">
        <f>SUM(I196:I198)</f>
        <v>18.86976007835575</v>
      </c>
      <c r="C209" s="154">
        <f>'A3 - Production '!K28</f>
        <v>8.0540312398878863E-2</v>
      </c>
      <c r="D209" s="154">
        <f t="shared" si="10"/>
        <v>18.950300390754627</v>
      </c>
    </row>
    <row r="210" spans="1:4" x14ac:dyDescent="0.35">
      <c r="A210" s="1" t="s">
        <v>283</v>
      </c>
      <c r="B210" s="154">
        <f>SUM(J196:J198)</f>
        <v>3.4580560172834751E-3</v>
      </c>
      <c r="C210" s="154">
        <f>'A3 - Production '!L28</f>
        <v>3.5625968726484402E-6</v>
      </c>
      <c r="D210" s="154">
        <f t="shared" si="10"/>
        <v>3.4616186141561236E-3</v>
      </c>
    </row>
    <row r="211" spans="1:4" x14ac:dyDescent="0.35">
      <c r="A211" s="1" t="s">
        <v>284</v>
      </c>
      <c r="B211" s="154">
        <f>SUM(K196:K198)</f>
        <v>10.542532722664712</v>
      </c>
      <c r="C211" s="154">
        <f>'A3 - Production '!M28</f>
        <v>3.5594107095916434E-2</v>
      </c>
      <c r="D211" s="154">
        <f t="shared" si="10"/>
        <v>10.578126829760627</v>
      </c>
    </row>
    <row r="212" spans="1:4" x14ac:dyDescent="0.35">
      <c r="A212" s="1" t="s">
        <v>285</v>
      </c>
      <c r="B212" s="154">
        <f>SUM(L196:L198)</f>
        <v>354.26716898972273</v>
      </c>
      <c r="C212" s="154">
        <f>'A3 - Production '!N28</f>
        <v>1.0700591183029562</v>
      </c>
      <c r="D212" s="154">
        <f t="shared" si="10"/>
        <v>355.33722810802567</v>
      </c>
    </row>
    <row r="213" spans="1:4" x14ac:dyDescent="0.35">
      <c r="A213" s="1" t="s">
        <v>286</v>
      </c>
      <c r="B213" s="154">
        <f>SUM(M196:M198)</f>
        <v>6.7438313738798703E-4</v>
      </c>
      <c r="C213" s="154">
        <f>'A3 - Production '!O28</f>
        <v>8.5163363126034537E-7</v>
      </c>
      <c r="D213" s="154">
        <f t="shared" si="10"/>
        <v>6.752347710192474E-4</v>
      </c>
    </row>
    <row r="214" spans="1:4" x14ac:dyDescent="0.35">
      <c r="A214" s="1" t="s">
        <v>287</v>
      </c>
      <c r="B214" s="154">
        <f>SUM(N196:N198)</f>
        <v>4.9470980311882148E-3</v>
      </c>
      <c r="C214" s="154">
        <f>'A3 - Production '!P28</f>
        <v>2.3290660699942286E-5</v>
      </c>
      <c r="D214" s="154">
        <f t="shared" si="10"/>
        <v>4.9703886918881571E-3</v>
      </c>
    </row>
    <row r="215" spans="1:4" x14ac:dyDescent="0.35">
      <c r="A215" s="1" t="s">
        <v>288</v>
      </c>
      <c r="B215" s="154">
        <f>SUM(O196:O198)</f>
        <v>5.3298086829142333E-2</v>
      </c>
      <c r="C215" s="154">
        <f>'A3 - Production '!Q28</f>
        <v>2.5319818156265738E-4</v>
      </c>
      <c r="D215" s="154">
        <f t="shared" si="10"/>
        <v>5.355128501070499E-2</v>
      </c>
    </row>
    <row r="216" spans="1:4" x14ac:dyDescent="0.35">
      <c r="A216" s="1" t="s">
        <v>289</v>
      </c>
      <c r="B216" s="154">
        <f>SUM(P196:P198)</f>
        <v>1.8909536266852269E-9</v>
      </c>
      <c r="C216" s="154">
        <f>'A3 - Production '!R28</f>
        <v>4.9230968242214656E-12</v>
      </c>
      <c r="D216" s="154">
        <f t="shared" si="10"/>
        <v>1.8958767235094483E-9</v>
      </c>
    </row>
    <row r="217" spans="1:4" x14ac:dyDescent="0.35">
      <c r="A217" s="1" t="s">
        <v>319</v>
      </c>
      <c r="B217" s="154">
        <f>SUM(Q196:Q198)</f>
        <v>3.7407967864758388E-8</v>
      </c>
      <c r="C217" s="154">
        <f>'A3 - Production '!S28</f>
        <v>1.3122062216178557E-10</v>
      </c>
      <c r="D217" s="154">
        <f t="shared" si="10"/>
        <v>3.7539188486920175E-8</v>
      </c>
    </row>
    <row r="218" spans="1:4" x14ac:dyDescent="0.35">
      <c r="A218" s="1" t="s">
        <v>291</v>
      </c>
      <c r="B218" s="154">
        <f>SUM(R196:R198)</f>
        <v>2.4341796762036338</v>
      </c>
      <c r="C218" s="154">
        <f>'A3 - Production '!T28</f>
        <v>3.212941207975714E-4</v>
      </c>
      <c r="D218" s="154">
        <f t="shared" si="10"/>
        <v>2.4345009703244314</v>
      </c>
    </row>
    <row r="219" spans="1:4" x14ac:dyDescent="0.35">
      <c r="A219" s="1" t="s">
        <v>292</v>
      </c>
      <c r="B219" s="154">
        <f>SUM(S196:S198)</f>
        <v>12.475392648553015</v>
      </c>
      <c r="C219" s="154">
        <f>'A3 - Production '!U28</f>
        <v>5.5016478121274907E-2</v>
      </c>
      <c r="D219" s="154">
        <f t="shared" si="10"/>
        <v>12.530409126674289</v>
      </c>
    </row>
    <row r="220" spans="1:4" x14ac:dyDescent="0.35">
      <c r="A220" s="1" t="s">
        <v>293</v>
      </c>
      <c r="B220" s="154">
        <f>SUM(T196:T198)</f>
        <v>2.9907782217004592E-5</v>
      </c>
      <c r="C220" s="154">
        <f>'A3 - Production '!V28</f>
        <v>1.2561955879264319E-8</v>
      </c>
      <c r="D220" s="154">
        <f t="shared" si="10"/>
        <v>2.9920344172883855E-5</v>
      </c>
    </row>
    <row r="221" spans="1:4" x14ac:dyDescent="0.35">
      <c r="A221" s="1" t="s">
        <v>294</v>
      </c>
      <c r="B221" s="154">
        <f>SUM(U196:U198)</f>
        <v>2.5401059729899762E-6</v>
      </c>
      <c r="C221" s="154">
        <f>'A3 - Production '!W28</f>
        <v>1.8154006185482207E-9</v>
      </c>
      <c r="D221" s="154">
        <f t="shared" si="10"/>
        <v>2.5419213736085242E-6</v>
      </c>
    </row>
    <row r="222" spans="1:4" x14ac:dyDescent="0.35">
      <c r="A222" s="1" t="s">
        <v>295</v>
      </c>
      <c r="B222" s="154">
        <f>SUM(V196:V198)</f>
        <v>8.4294835458574835E-8</v>
      </c>
      <c r="C222" s="154">
        <f>'A3 - Production '!X28</f>
        <v>7.9346155235966147E-10</v>
      </c>
      <c r="D222" s="154">
        <f t="shared" si="10"/>
        <v>8.50882970109345E-8</v>
      </c>
    </row>
    <row r="223" spans="1:4" x14ac:dyDescent="0.35">
      <c r="A223" s="1" t="s">
        <v>296</v>
      </c>
      <c r="B223" s="154">
        <f>SUM(W196:W198)</f>
        <v>1.788972206402269E-2</v>
      </c>
      <c r="C223" s="154">
        <f>'A3 - Production '!Y28</f>
        <v>1.9843157737774877E-4</v>
      </c>
      <c r="D223" s="154">
        <f t="shared" si="10"/>
        <v>1.8088153641400439E-2</v>
      </c>
    </row>
    <row r="224" spans="1:4" x14ac:dyDescent="0.35">
      <c r="A224" s="1" t="s">
        <v>297</v>
      </c>
      <c r="B224" s="154">
        <f>SUM(X196:X198)</f>
        <v>0.81953903608232204</v>
      </c>
      <c r="C224" s="154">
        <f>'A3 - Production '!Z28</f>
        <v>1.4482440080436057E-3</v>
      </c>
      <c r="D224" s="154">
        <f t="shared" si="10"/>
        <v>0.82098728009036559</v>
      </c>
    </row>
    <row r="227" spans="1:3" x14ac:dyDescent="0.35">
      <c r="B227" t="s">
        <v>352</v>
      </c>
    </row>
    <row r="228" spans="1:3" x14ac:dyDescent="0.35">
      <c r="B228" s="205" t="s">
        <v>623</v>
      </c>
      <c r="C228" s="205" t="s">
        <v>622</v>
      </c>
    </row>
    <row r="229" spans="1:3" x14ac:dyDescent="0.35">
      <c r="A229" s="95" t="s">
        <v>624</v>
      </c>
      <c r="B229" s="1">
        <f>SUM($F$199:$X$199)+SUM($H$28:$Z$28)</f>
        <v>419.71813676497425</v>
      </c>
      <c r="C229" s="1">
        <f>+SUM(H28:Z28)</f>
        <v>1.3241390742344876</v>
      </c>
    </row>
    <row r="230" spans="1:3" x14ac:dyDescent="0.35">
      <c r="A230" s="95" t="s">
        <v>625</v>
      </c>
      <c r="B230" s="1">
        <f>SUM($D$206:$D$224)</f>
        <v>419.71813676497413</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0.93895999999999991</v>
      </c>
      <c r="C11" s="154">
        <f>Input!$D$63</f>
        <v>20</v>
      </c>
      <c r="D11" s="154" t="str">
        <f>Input!B63</f>
        <v>Truck</v>
      </c>
      <c r="E11" s="154" t="str">
        <f>Input!$C$63</f>
        <v>Diesel_Euro6</v>
      </c>
      <c r="F11" s="154" cm="1">
        <f t="array" ref="F11">INDEX(LCI!H$2:H$73,MATCH($D11&amp;$E11,LCI!$B$2:$B$73&amp;LCI!$D$2:$D$73,0))* IF(AND($D11="Truck", OR($E11="Electric", $E11="Electric_green")), $B$6, 1)*$C$11*$B$11</f>
        <v>4.4454497823999996E-3</v>
      </c>
      <c r="G11" s="154" cm="1">
        <f t="array" ref="G11">INDEX(LCI!I$2:I$73,MATCH($D11&amp;$E11,LCI!$B$2:$B$73&amp;LCI!$D$2:$D$73,0))* IF(AND($D11="Truck", OR($E11="Electric", $E11="Electric_green")), $B$6, 1)*$C$11*$B$11</f>
        <v>2.9811014561327998</v>
      </c>
      <c r="H11" s="154" cm="1">
        <f t="array" ref="H11">INDEX(LCI!J$2:J$73,MATCH($D11&amp;$E11,LCI!$B$2:$B$73&amp;LCI!$D$2:$D$73,0))* IF(AND($D11="Truck", OR($E11="Electric", $E11="Electric_green")), $B$6, 1)*$C$11*$B$11</f>
        <v>1.3932344817599999E-3</v>
      </c>
      <c r="I11" s="154" cm="1">
        <f t="array" ref="I11">INDEX(LCI!K$2:K$73,MATCH($D11&amp;$E11,LCI!$B$2:$B$73&amp;LCI!$D$2:$D$73,0))* IF(AND($D11="Truck", OR($E11="Electric", $E11="Electric_green")), $B$6, 1)*$C$11*$B$11</f>
        <v>2.9794711023263996</v>
      </c>
      <c r="J11" s="154" cm="1">
        <f t="array" ref="J11">INDEX(LCI!L$2:L$73,MATCH($D11&amp;$E11,LCI!$B$2:$B$73&amp;LCI!$D$2:$D$73,0))* IF(AND($D11="Truck", OR($E11="Electric", $E11="Electric_green")), $B$6, 1)*$C$11*$B$11</f>
        <v>2.3711556879999998E-4</v>
      </c>
      <c r="K11" s="154" cm="1">
        <f t="array" ref="K11">INDEX(LCI!M$2:M$73,MATCH($D11&amp;$E11,LCI!$B$2:$B$73&amp;LCI!$D$2:$D$73,0))* IF(AND($D11="Truck", OR($E11="Electric", $E11="Electric_green")), $B$6, 1)*$C$11*$B$11</f>
        <v>2.5604302870607998</v>
      </c>
      <c r="L11" s="154" cm="1">
        <f t="array" ref="L11">INDEX(LCI!N$2:N$73,MATCH($D11&amp;$E11,LCI!$B$2:$B$73&amp;LCI!$D$2:$D$73,0))* IF(AND($D11="Truck", OR($E11="Electric", $E11="Electric_green")), $B$6, 1)*$C$11*$B$11</f>
        <v>40.122526240191988</v>
      </c>
      <c r="M11" s="154" cm="1">
        <f t="array" ref="M11">INDEX(LCI!O$2:O$73,MATCH($D11&amp;$E11,LCI!$B$2:$B$73&amp;LCI!$D$2:$D$73,0))* IF(AND($D11="Truck", OR($E11="Electric", $E11="Electric_green")), $B$6, 1)*$C$11*$B$11</f>
        <v>6.9533556047999989E-5</v>
      </c>
      <c r="N11" s="154" cm="1">
        <f t="array" ref="N11">INDEX(LCI!P$2:P$73,MATCH($D11&amp;$E11,LCI!$B$2:$B$73&amp;LCI!$D$2:$D$73,0))* IF(AND($D11="Truck", OR($E11="Electric", $E11="Electric_green")), $B$6, 1)*$C$11*$B$11</f>
        <v>9.689541382399998E-4</v>
      </c>
      <c r="O11" s="154" cm="1">
        <f t="array" ref="O11">INDEX(LCI!Q$2:Q$73,MATCH($D11&amp;$E11,LCI!$B$2:$B$73&amp;LCI!$D$2:$D$73,0))* IF(AND($D11="Truck", OR($E11="Electric", $E11="Electric_green")), $B$6, 1)*$C$11*$B$11</f>
        <v>1.0488051745599998E-2</v>
      </c>
      <c r="P11" s="154" cm="1">
        <f t="array" ref="P11">INDEX(LCI!R$2:R$73,MATCH($D11&amp;$E11,LCI!$B$2:$B$73&amp;LCI!$D$2:$D$73,0))* IF(AND($D11="Truck", OR($E11="Electric", $E11="Electric_green")), $B$6, 1)*$C$11*$B$11</f>
        <v>2.6421771023999997E-10</v>
      </c>
      <c r="Q11" s="154" cm="1">
        <f t="array" ref="Q11">INDEX(LCI!S$2:S$73,MATCH($D11&amp;$E11,LCI!$B$2:$B$73&amp;LCI!$D$2:$D$73,0))* IF(AND($D11="Truck", OR($E11="Electric", $E11="Electric_green")), $B$6, 1)*$C$11*$B$11</f>
        <v>2.1498052575999998E-8</v>
      </c>
      <c r="R11" s="154" cm="1">
        <f t="array" ref="R11">INDEX(LCI!T$2:T$73,MATCH($D11&amp;$E11,LCI!$B$2:$B$73&amp;LCI!$D$2:$D$73,0))* IF(AND($D11="Truck", OR($E11="Electric", $E11="Electric_green")), $B$6, 1)*$C$11*$B$11</f>
        <v>1.8193401635199998E-2</v>
      </c>
      <c r="S11" s="154" cm="1">
        <f t="array" ref="S11">INDEX(LCI!U$2:U$73,MATCH($D11&amp;$E11,LCI!$B$2:$B$73&amp;LCI!$D$2:$D$73,0))* IF(AND($D11="Truck", OR($E11="Electric", $E11="Electric_green")), $B$6, 1)*$C$11*$B$11</f>
        <v>2.5308073197088001</v>
      </c>
      <c r="T11" s="154" cm="1">
        <f t="array" ref="T11">INDEX(LCI!V$2:V$73,MATCH($D11&amp;$E11,LCI!$B$2:$B$73&amp;LCI!$D$2:$D$73,0))* IF(AND($D11="Truck", OR($E11="Electric", $E11="Electric_green")), $B$6, 1)*$C$11*$B$11</f>
        <v>3.2889327503999994E-6</v>
      </c>
      <c r="U11" s="154" cm="1">
        <f t="array" ref="U11">INDEX(LCI!W$2:W$73,MATCH($D11&amp;$E11,LCI!$B$2:$B$73&amp;LCI!$D$2:$D$73,0))* IF(AND($D11="Truck", OR($E11="Electric", $E11="Electric_green")), $B$6, 1)*$C$11*$B$11</f>
        <v>6.6287195743999988E-8</v>
      </c>
      <c r="V11" s="154" cm="1">
        <f t="array" ref="V11">INDEX(LCI!X$2:X$73,MATCH($D11&amp;$E11,LCI!$B$2:$B$73&amp;LCI!$D$2:$D$73,0))* IF(AND($D11="Truck", OR($E11="Electric", $E11="Electric_green")), $B$6, 1)*$C$11*$B$11</f>
        <v>1.8477925294399999E-7</v>
      </c>
      <c r="W11" s="154" cm="1">
        <f t="array" ref="W11">INDEX(LCI!Y$2:Y$73,MATCH($D11&amp;$E11,LCI!$B$2:$B$73&amp;LCI!$D$2:$D$73,0))* IF(AND($D11="Truck", OR($E11="Electric", $E11="Electric_green")), $B$6, 1)*$C$11*$B$11</f>
        <v>7.7504763071999981E-3</v>
      </c>
      <c r="X11" s="154" cm="1">
        <f t="array" ref="X11">INDEX(LCI!Z$2:Z$73,MATCH($D11&amp;$E11,LCI!$B$2:$B$73&amp;LCI!$D$2:$D$73,0))* IF(AND($D11="Truck", OR($E11="Electric", $E11="Electric_green")), $B$6, 1)*$C$11*$B$11</f>
        <v>9.1383136468799989E-2</v>
      </c>
    </row>
    <row r="14" spans="1:24" ht="23.5" x14ac:dyDescent="0.55000000000000004">
      <c r="A14" s="100" t="s">
        <v>990</v>
      </c>
    </row>
    <row r="16" spans="1:24" x14ac:dyDescent="0.35">
      <c r="A16" s="62" t="s">
        <v>153</v>
      </c>
      <c r="B16" s="62" t="s">
        <v>629</v>
      </c>
    </row>
    <row r="17" spans="1:2" x14ac:dyDescent="0.35">
      <c r="A17" s="1" t="s">
        <v>318</v>
      </c>
      <c r="B17" s="154">
        <f>'A4 - Transport'!F11</f>
        <v>4.4454497823999996E-3</v>
      </c>
    </row>
    <row r="18" spans="1:2" x14ac:dyDescent="0.35">
      <c r="A18" s="1" t="s">
        <v>280</v>
      </c>
      <c r="B18" s="154">
        <f>'A4 - Transport'!G11</f>
        <v>2.9811014561327998</v>
      </c>
    </row>
    <row r="19" spans="1:2" x14ac:dyDescent="0.35">
      <c r="A19" s="1" t="s">
        <v>281</v>
      </c>
      <c r="B19" s="154">
        <f>'A4 - Transport'!H11</f>
        <v>1.3932344817599999E-3</v>
      </c>
    </row>
    <row r="20" spans="1:2" x14ac:dyDescent="0.35">
      <c r="A20" s="1" t="s">
        <v>282</v>
      </c>
      <c r="B20" s="154">
        <f>'A4 - Transport'!I11</f>
        <v>2.9794711023263996</v>
      </c>
    </row>
    <row r="21" spans="1:2" x14ac:dyDescent="0.35">
      <c r="A21" s="1" t="s">
        <v>283</v>
      </c>
      <c r="B21" s="154">
        <f>'A4 - Transport'!J11</f>
        <v>2.3711556879999998E-4</v>
      </c>
    </row>
    <row r="22" spans="1:2" x14ac:dyDescent="0.35">
      <c r="A22" s="1" t="s">
        <v>284</v>
      </c>
      <c r="B22" s="154">
        <f>'A4 - Transport'!K11</f>
        <v>2.5604302870607998</v>
      </c>
    </row>
    <row r="23" spans="1:2" x14ac:dyDescent="0.35">
      <c r="A23" s="1" t="s">
        <v>285</v>
      </c>
      <c r="B23" s="154">
        <f>'A4 - Transport'!L11</f>
        <v>40.122526240191988</v>
      </c>
    </row>
    <row r="24" spans="1:2" x14ac:dyDescent="0.35">
      <c r="A24" s="1" t="s">
        <v>286</v>
      </c>
      <c r="B24" s="154">
        <f>'A4 - Transport'!M11</f>
        <v>6.9533556047999989E-5</v>
      </c>
    </row>
    <row r="25" spans="1:2" x14ac:dyDescent="0.35">
      <c r="A25" s="1" t="s">
        <v>287</v>
      </c>
      <c r="B25" s="154">
        <f>'A4 - Transport'!N11</f>
        <v>9.689541382399998E-4</v>
      </c>
    </row>
    <row r="26" spans="1:2" x14ac:dyDescent="0.35">
      <c r="A26" s="1" t="s">
        <v>288</v>
      </c>
      <c r="B26" s="154">
        <f>'A4 - Transport'!O11</f>
        <v>1.0488051745599998E-2</v>
      </c>
    </row>
    <row r="27" spans="1:2" x14ac:dyDescent="0.35">
      <c r="A27" s="1" t="s">
        <v>289</v>
      </c>
      <c r="B27" s="154">
        <f>'A4 - Transport'!P11</f>
        <v>2.6421771023999997E-10</v>
      </c>
    </row>
    <row r="28" spans="1:2" x14ac:dyDescent="0.35">
      <c r="A28" s="1" t="s">
        <v>319</v>
      </c>
      <c r="B28" s="154">
        <f>'A4 - Transport'!Q11</f>
        <v>2.1498052575999998E-8</v>
      </c>
    </row>
    <row r="29" spans="1:2" x14ac:dyDescent="0.35">
      <c r="A29" s="1" t="s">
        <v>291</v>
      </c>
      <c r="B29" s="154">
        <f>'A4 - Transport'!R11</f>
        <v>1.8193401635199998E-2</v>
      </c>
    </row>
    <row r="30" spans="1:2" x14ac:dyDescent="0.35">
      <c r="A30" s="1" t="s">
        <v>292</v>
      </c>
      <c r="B30" s="154">
        <f>'A4 - Transport'!S11</f>
        <v>2.5308073197088001</v>
      </c>
    </row>
    <row r="31" spans="1:2" x14ac:dyDescent="0.35">
      <c r="A31" s="1" t="s">
        <v>293</v>
      </c>
      <c r="B31" s="154">
        <f>'A4 - Transport'!T11</f>
        <v>3.2889327503999994E-6</v>
      </c>
    </row>
    <row r="32" spans="1:2" x14ac:dyDescent="0.35">
      <c r="A32" s="1" t="s">
        <v>294</v>
      </c>
      <c r="B32" s="154">
        <f>'A4 - Transport'!U11</f>
        <v>6.6287195743999988E-8</v>
      </c>
    </row>
    <row r="33" spans="1:2" x14ac:dyDescent="0.35">
      <c r="A33" s="1" t="s">
        <v>295</v>
      </c>
      <c r="B33" s="154">
        <f>'A4 - Transport'!V11</f>
        <v>1.8477925294399999E-7</v>
      </c>
    </row>
    <row r="34" spans="1:2" x14ac:dyDescent="0.35">
      <c r="A34" s="1" t="s">
        <v>296</v>
      </c>
      <c r="B34" s="154">
        <f>'A4 - Transport'!W11</f>
        <v>7.7504763071999981E-3</v>
      </c>
    </row>
    <row r="35" spans="1:2" x14ac:dyDescent="0.35">
      <c r="A35" s="1" t="s">
        <v>297</v>
      </c>
      <c r="B35" s="154">
        <f>'A4 - Transport'!X11</f>
        <v>9.1383136468799989E-2</v>
      </c>
    </row>
    <row r="39" spans="1:2" x14ac:dyDescent="0.35">
      <c r="B39" t="s">
        <v>630</v>
      </c>
    </row>
    <row r="40" spans="1:2" x14ac:dyDescent="0.35">
      <c r="A40" s="95" t="s">
        <v>530</v>
      </c>
      <c r="B40" s="1">
        <f>SUM($F$11:$X$11)</f>
        <v>51.309269320866299</v>
      </c>
    </row>
    <row r="41" spans="1:2" x14ac:dyDescent="0.35">
      <c r="A41" s="95" t="s">
        <v>531</v>
      </c>
      <c r="B41" s="1">
        <f>SUM($B$17:$B$35)</f>
        <v>51.309269320866299</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190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69</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69</v>
      </c>
      <c r="E30" s="154" t="str">
        <f>$B$12</f>
        <v>Truck</v>
      </c>
      <c r="F30" s="154" t="str">
        <f>$C$12</f>
        <v>Diesel_Euro5</v>
      </c>
      <c r="G30" s="154" cm="1">
        <f t="array" ref="G30">INDEX(LCI!H$2:H$137,MATCH('D- Benefits &amp; Burdens'!$E$30&amp;'D- Benefits &amp; Burdens'!$F$30,LCI!$B$2:$B$137&amp;LCI!$D$2:$D$137,0))*IF(AND($E30="Truck",$F30="Electric"),$B$26,1)*$D$30*$C$30</f>
        <v>2.1384197099999998E-2</v>
      </c>
      <c r="H30" s="154" cm="1">
        <f t="array" ref="H30">INDEX(LCI!I$2:I$137,MATCH('D- Benefits &amp; Burdens'!$E$30&amp;'D- Benefits &amp; Burdens'!$F$30,LCI!$B$2:$B$137&amp;LCI!$D$2:$D$137,0))*IF(AND($E30="Truck",$F30="Electric"),$B$26,1)*$D$30*$C$30</f>
        <v>7.8166763366999996</v>
      </c>
      <c r="I30" s="154" cm="1">
        <f t="array" ref="I30">INDEX(LCI!J$2:J$137,MATCH('D- Benefits &amp; Burdens'!$E$30&amp;'D- Benefits &amp; Burdens'!$F$30,LCI!$B$2:$B$137&amp;LCI!$D$2:$D$137,0))*IF(AND($E30="Truck",$F30="Electric"),$B$26,1)*$D$30*$C$30</f>
        <v>3.6127820399999996E-3</v>
      </c>
      <c r="J30" s="154" cm="1">
        <f t="array" ref="J30">INDEX(LCI!K$2:K$137,MATCH('D- Benefits &amp; Burdens'!$E$30&amp;'D- Benefits &amp; Burdens'!$F$30,LCI!$B$2:$B$137&amp;LCI!$D$2:$D$137,0))*IF(AND($E30="Truck",$F30="Electric"),$B$26,1)*$D$30*$C$30</f>
        <v>7.8124489274999993</v>
      </c>
      <c r="K30" s="154" cm="1">
        <f t="array" ref="K30">INDEX(LCI!L$2:L$137,MATCH('D- Benefits &amp; Burdens'!$E$30&amp;'D- Benefits &amp; Burdens'!$F$30,LCI!$B$2:$B$137&amp;LCI!$D$2:$D$137,0))*IF(AND($E30="Truck",$F30="Electric"),$B$26,1)*$D$30*$C$30</f>
        <v>6.1461266999999998E-4</v>
      </c>
      <c r="L30" s="154" cm="1">
        <f t="array" ref="L30">INDEX(LCI!M$2:M$137,MATCH('D- Benefits &amp; Burdens'!$E$30&amp;'D- Benefits &amp; Burdens'!$F$30,LCI!$B$2:$B$137&amp;LCI!$D$2:$D$137,0))*IF(AND($E30="Truck",$F30="Electric"),$B$26,1)*$D$30*$C$30</f>
        <v>6.6430287924</v>
      </c>
      <c r="M30" s="154" cm="1">
        <f t="array" ref="M30">INDEX(LCI!N$2:N$137,MATCH('D- Benefits &amp; Burdens'!$E$30&amp;'D- Benefits &amp; Burdens'!$F$30,LCI!$B$2:$B$137&amp;LCI!$D$2:$D$137,0))*IF(AND($E30="Truck",$F30="Electric"),$B$26,1)*$D$30*$C$30</f>
        <v>105.09788316299999</v>
      </c>
      <c r="N30" s="154" cm="1">
        <f t="array" ref="N30">INDEX(LCI!O$2:O$137,MATCH('D- Benefits &amp; Burdens'!$E$30&amp;'D- Benefits &amp; Burdens'!$F$30,LCI!$B$2:$B$137&amp;LCI!$D$2:$D$137,0))*IF(AND($E30="Truck",$F30="Electric"),$B$26,1)*$D$30*$C$30</f>
        <v>1.798209E-4</v>
      </c>
      <c r="O30" s="154" cm="1">
        <f t="array" ref="O30">INDEX(LCI!P$2:P$137,MATCH('D- Benefits &amp; Burdens'!$E$30&amp;'D- Benefits &amp; Burdens'!$F$30,LCI!$B$2:$B$137&amp;LCI!$D$2:$D$137,0))*IF(AND($E30="Truck",$F30="Electric"),$B$26,1)*$D$30*$C$30</f>
        <v>7.672648199999999E-3</v>
      </c>
      <c r="P30" s="154" cm="1">
        <f t="array" ref="P30">INDEX(LCI!Q$2:Q$137,MATCH('D- Benefits &amp; Burdens'!$E$30&amp;'D- Benefits &amp; Burdens'!$F$30,LCI!$B$2:$B$137&amp;LCI!$D$2:$D$137,0))*IF(AND($E30="Truck",$F30="Electric"),$B$26,1)*$D$30*$C$30</f>
        <v>8.3696896499999993E-2</v>
      </c>
      <c r="Q30" s="154" cm="1">
        <f t="array" ref="Q30">INDEX(LCI!R$2:R$137,MATCH('D- Benefits &amp; Burdens'!$E$30&amp;'D- Benefits &amp; Burdens'!$F$30,LCI!$B$2:$B$137&amp;LCI!$D$2:$D$137,0))*IF(AND($E30="Truck",$F30="Electric"),$B$26,1)*$D$30*$C$30</f>
        <v>7.3063892999999996E-10</v>
      </c>
      <c r="R30" s="154" cm="1">
        <f t="array" ref="R30">INDEX(LCI!S$2:S$137,MATCH('D- Benefits &amp; Burdens'!$E$30&amp;'D- Benefits &amp; Burdens'!$F$30,LCI!$B$2:$B$137&amp;LCI!$D$2:$D$137,0))*IF(AND($E30="Truck",$F30="Electric"),$B$26,1)*$D$30*$C$30</f>
        <v>5.6020755E-8</v>
      </c>
      <c r="S30" s="154" cm="1">
        <f t="array" ref="S30">INDEX(LCI!T$2:T$137,MATCH('D- Benefits &amp; Burdens'!$E$30&amp;'D- Benefits &amp; Burdens'!$F$30,LCI!$B$2:$B$137&amp;LCI!$D$2:$D$137,0))*IF(AND($E30="Truck",$F30="Electric"),$B$26,1)*$D$30*$C$30</f>
        <v>4.7316032399999992E-2</v>
      </c>
      <c r="T30" s="154" cm="1">
        <f t="array" ref="T30">INDEX(LCI!U$2:U$137,MATCH('D- Benefits &amp; Burdens'!$E$30&amp;'D- Benefits &amp; Burdens'!$F$30,LCI!$B$2:$B$137&amp;LCI!$D$2:$D$137,0))*IF(AND($E30="Truck",$F30="Electric"),$B$26,1)*$D$30*$C$30</f>
        <v>6.5949708719999993</v>
      </c>
      <c r="U30" s="154" cm="1">
        <f t="array" ref="U30">INDEX(LCI!V$2:V$137,MATCH('D- Benefits &amp; Burdens'!$E$30&amp;'D- Benefits &amp; Burdens'!$F$30,LCI!$B$2:$B$137&amp;LCI!$D$2:$D$137,0))*IF(AND($E30="Truck",$F30="Electric"),$B$26,1)*$D$30*$C$30</f>
        <v>8.4728342999999991E-6</v>
      </c>
      <c r="V30" s="154" cm="1">
        <f t="array" ref="V30">INDEX(LCI!W$2:W$137,MATCH('D- Benefits &amp; Burdens'!$E$30&amp;'D- Benefits &amp; Burdens'!$F$30,LCI!$B$2:$B$137&amp;LCI!$D$2:$D$137,0))*IF(AND($E30="Truck",$F30="Electric"),$B$26,1)*$D$30*$C$30</f>
        <v>1.7387323799999997E-7</v>
      </c>
      <c r="W30" s="154" cm="1">
        <f t="array" ref="W30">INDEX(LCI!X$2:X$137,MATCH('D- Benefits &amp; Burdens'!$E$30&amp;'D- Benefits &amp; Burdens'!$F$30,LCI!$B$2:$B$137&amp;LCI!$D$2:$D$137,0))*IF(AND($E30="Truck",$F30="Electric"),$B$26,1)*$D$30*$C$30</f>
        <v>5.2854689999999998E-7</v>
      </c>
      <c r="X30" s="154" cm="1">
        <f t="array" ref="X30">INDEX(LCI!Y$2:Y$137,MATCH('D- Benefits &amp; Burdens'!$E$30&amp;'D- Benefits &amp; Burdens'!$F$30,LCI!$B$2:$B$137&amp;LCI!$D$2:$D$137,0))*IF(AND($E30="Truck",$F30="Electric"),$B$26,1)*$D$30*$C$30</f>
        <v>3.36677565E-2</v>
      </c>
      <c r="Y30" s="154" cm="1">
        <f t="array" ref="Y30">INDEX(LCI!Z$2:Z$137,MATCH('D- Benefits &amp; Burdens'!$E$30&amp;'D- Benefits &amp; Burdens'!$F$30,LCI!$B$2:$B$137&amp;LCI!$D$2:$D$137,0))*IF(AND($E30="Truck",$F30="Electric"),$B$26,1)*$D$30*$C$30</f>
        <v>0.23721298859999998</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2.1384197099999998E-2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2.23562803269119E-2</v>
      </c>
      <c r="M161" s="154">
        <f>SUM(D161:K161)</f>
        <v>-0.10075444415325778</v>
      </c>
      <c r="N161" s="154">
        <f>SUM(L161:M161)</f>
        <v>-7.8398163826345874E-2</v>
      </c>
    </row>
    <row r="162" spans="1:14" ht="14" customHeight="1" x14ac:dyDescent="0.35">
      <c r="A162" s="53" t="s">
        <v>280</v>
      </c>
      <c r="B162" s="154" cm="1">
        <f t="array" ref="B162">INDEX(LCI!I$2:I$137,MATCH('D- Benefits &amp; Burdens'!$E$30&amp;'D- Benefits &amp; Burdens'!$F$30,LCI!$B$2:$B$137&amp;LCI!$D$2:$D$137,0))*IF(AND($E30="Truck",$F30="Electric"),$B$26,1)*$D$30*$C$30</f>
        <v>7.8166763366999996</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8.5770149843289847</v>
      </c>
      <c r="M162" s="154">
        <f t="shared" ref="M162:M179" si="5">SUM(D162:K162)</f>
        <v>-25.973922505704977</v>
      </c>
      <c r="N162" s="154">
        <f t="shared" ref="N162:N179" si="6">SUM(L162:M162)</f>
        <v>-17.396907521375994</v>
      </c>
    </row>
    <row r="163" spans="1:14" ht="14" customHeight="1" x14ac:dyDescent="0.35">
      <c r="A163" s="53" t="s">
        <v>281</v>
      </c>
      <c r="B163" s="154" cm="1">
        <f t="array" ref="B163">INDEX(LCI!J$2:J$137,MATCH('D- Benefits &amp; Burdens'!$E$30&amp;'D- Benefits &amp; Burdens'!$F$30,LCI!$B$2:$B$137&amp;LCI!$D$2:$D$137,0))*IF(AND($E30="Truck",$F30="Electric"),$B$26,1)*$D$30*$C$30</f>
        <v>3.6127820399999996E-3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3.7699247526025961E-3</v>
      </c>
      <c r="M163" s="154">
        <f t="shared" si="5"/>
        <v>-7.0959739433184649E-2</v>
      </c>
      <c r="N163" s="154">
        <f t="shared" si="6"/>
        <v>-6.718981468058205E-2</v>
      </c>
    </row>
    <row r="164" spans="1:14" ht="14" customHeight="1" x14ac:dyDescent="0.35">
      <c r="A164" s="53" t="s">
        <v>282</v>
      </c>
      <c r="B164" s="154" cm="1">
        <f t="array" ref="B164">INDEX(LCI!K$2:K$137,MATCH('D- Benefits &amp; Burdens'!$E$30&amp;'D- Benefits &amp; Burdens'!$F$30,LCI!$B$2:$B$137&amp;LCI!$D$2:$D$137,0))*IF(AND($E30="Truck",$F30="Electric"),$B$26,1)*$D$30*$C$30</f>
        <v>7.8124489274999993</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8.572596808254989</v>
      </c>
      <c r="M164" s="154">
        <f t="shared" si="5"/>
        <v>-25.90245313509525</v>
      </c>
      <c r="N164" s="154">
        <f t="shared" si="6"/>
        <v>-17.329856326840261</v>
      </c>
    </row>
    <row r="165" spans="1:14" ht="14" customHeight="1" x14ac:dyDescent="0.35">
      <c r="A165" s="53" t="s">
        <v>283</v>
      </c>
      <c r="B165" s="154" cm="1">
        <f t="array" ref="B165">INDEX(LCI!L$2:L$137,MATCH('D- Benefits &amp; Burdens'!$E$30&amp;'D- Benefits &amp; Burdens'!$F$30,LCI!$B$2:$B$137&amp;LCI!$D$2:$D$137,0))*IF(AND($E30="Truck",$F30="Electric"),$B$26,1)*$D$30*$C$30</f>
        <v>6.1461266999999998E-4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6.4823683139282021E-4</v>
      </c>
      <c r="M165" s="154">
        <f t="shared" si="5"/>
        <v>-9.0361570248200882E-3</v>
      </c>
      <c r="N165" s="154">
        <f t="shared" si="6"/>
        <v>-8.3879201934272674E-3</v>
      </c>
    </row>
    <row r="166" spans="1:14" ht="14" customHeight="1" x14ac:dyDescent="0.35">
      <c r="A166" s="53" t="s">
        <v>284</v>
      </c>
      <c r="B166" s="154" cm="1">
        <f t="array" ref="B166">INDEX(LCI!M$2:M$137,MATCH('D- Benefits &amp; Burdens'!$E$30&amp;'D- Benefits &amp; Burdens'!$F$30,LCI!$B$2:$B$137&amp;LCI!$D$2:$D$137,0))*IF(AND($E30="Truck",$F30="Electric"),$B$26,1)*$D$30*$C$30</f>
        <v>6.6430287924</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6.9789696929309946</v>
      </c>
      <c r="M166" s="154">
        <f t="shared" si="5"/>
        <v>-686.35802730347427</v>
      </c>
      <c r="N166" s="154">
        <f t="shared" si="6"/>
        <v>-679.37905761054333</v>
      </c>
    </row>
    <row r="167" spans="1:14" ht="14" customHeight="1" x14ac:dyDescent="0.35">
      <c r="A167" s="53" t="s">
        <v>285</v>
      </c>
      <c r="B167" s="154" cm="1">
        <f t="array" ref="B167">INDEX(LCI!N$2:N$137,MATCH('D- Benefits &amp; Burdens'!$E$30&amp;'D- Benefits &amp; Burdens'!$F$30,LCI!$B$2:$B$137&amp;LCI!$D$2:$D$137,0))*IF(AND($E30="Truck",$F30="Electric"),$B$26,1)*$D$30*$C$30</f>
        <v>105.09788316299999</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115.19721288787287</v>
      </c>
      <c r="M167" s="154">
        <f t="shared" si="5"/>
        <v>-1255.8929563899517</v>
      </c>
      <c r="N167" s="154">
        <f t="shared" si="6"/>
        <v>-1140.6957435020788</v>
      </c>
    </row>
    <row r="168" spans="1:14" ht="14" customHeight="1" x14ac:dyDescent="0.35">
      <c r="A168" s="53" t="s">
        <v>286</v>
      </c>
      <c r="B168" s="154" cm="1">
        <f t="array" ref="B168">INDEX(LCI!O$2:O$137,MATCH('D- Benefits &amp; Burdens'!$E$30&amp;'D- Benefits &amp; Burdens'!$F$30,LCI!$B$2:$B$137&amp;LCI!$D$2:$D$137,0))*IF(AND($E30="Truck",$F30="Electric"),$B$26,1)*$D$30*$C$30</f>
        <v>1.798209E-4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1.8785870716389721E-4</v>
      </c>
      <c r="M168" s="154">
        <f t="shared" si="5"/>
        <v>-9.3170484313106225E-4</v>
      </c>
      <c r="N168" s="154">
        <f t="shared" si="6"/>
        <v>-7.4384613596716509E-4</v>
      </c>
    </row>
    <row r="169" spans="1:14" ht="14" customHeight="1" x14ac:dyDescent="0.35">
      <c r="A169" s="53" t="s">
        <v>287</v>
      </c>
      <c r="B169" s="154" cm="1">
        <f t="array" ref="B169">INDEX(LCI!P$2:P$137,MATCH('D- Benefits &amp; Burdens'!$E$30&amp;'D- Benefits &amp; Burdens'!$F$30,LCI!$B$2:$B$137&amp;LCI!$D$2:$D$137,0))*IF(AND($E30="Truck",$F30="Electric"),$B$26,1)*$D$30*$C$30</f>
        <v>7.672648199999999E-3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7.8924678883662818E-3</v>
      </c>
      <c r="M169" s="154">
        <f t="shared" si="5"/>
        <v>-3.2047154157211488E-2</v>
      </c>
      <c r="N169" s="154">
        <f t="shared" si="6"/>
        <v>-2.4154686268845205E-2</v>
      </c>
    </row>
    <row r="170" spans="1:14" ht="14" customHeight="1" x14ac:dyDescent="0.35">
      <c r="A170" s="53" t="s">
        <v>288</v>
      </c>
      <c r="B170" s="154" cm="1">
        <f t="array" ref="B170">INDEX(LCI!Q$2:Q$137,MATCH('D- Benefits &amp; Burdens'!$E$30&amp;'D- Benefits &amp; Burdens'!$F$30,LCI!$B$2:$B$137&amp;LCI!$D$2:$D$137,0))*IF(AND($E30="Truck",$F30="Electric"),$B$26,1)*$D$30*$C$30</f>
        <v>8.3696896499999993E-2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8.6086607383820082E-2</v>
      </c>
      <c r="M170" s="154">
        <f t="shared" si="5"/>
        <v>-0.36782994558818916</v>
      </c>
      <c r="N170" s="154">
        <f t="shared" si="6"/>
        <v>-0.28174333820436909</v>
      </c>
    </row>
    <row r="171" spans="1:14" ht="14" customHeight="1" x14ac:dyDescent="0.35">
      <c r="A171" s="53" t="s">
        <v>289</v>
      </c>
      <c r="B171" s="154" cm="1">
        <f t="array" ref="B171">INDEX(LCI!R$2:R$137,MATCH('D- Benefits &amp; Burdens'!$E$30&amp;'D- Benefits &amp; Burdens'!$F$30,LCI!$B$2:$B$137&amp;LCI!$D$2:$D$137,0))*IF(AND($E30="Truck",$F30="Electric"),$B$26,1)*$D$30*$C$30</f>
        <v>7.3063892999999996E-10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7.7710363203827588E-10</v>
      </c>
      <c r="M171" s="154">
        <f t="shared" si="5"/>
        <v>-1.3054529203067979E-8</v>
      </c>
      <c r="N171" s="154">
        <f t="shared" si="6"/>
        <v>-1.2277425571029703E-8</v>
      </c>
    </row>
    <row r="172" spans="1:14" ht="14" customHeight="1" x14ac:dyDescent="0.35">
      <c r="A172" s="53" t="s">
        <v>290</v>
      </c>
      <c r="B172" s="154" cm="1">
        <f t="array" ref="B172">INDEX(LCI!S$2:S$137,MATCH('D- Benefits &amp; Burdens'!$E$30&amp;'D- Benefits &amp; Burdens'!$F$30,LCI!$B$2:$B$137&amp;LCI!$D$2:$D$137,0))*IF(AND($E30="Truck",$F30="Electric"),$B$26,1)*$D$30*$C$30</f>
        <v>5.6020755E-8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5.7259228937791942E-8</v>
      </c>
      <c r="M172" s="154">
        <f t="shared" si="5"/>
        <v>-4.2494577500148811E-7</v>
      </c>
      <c r="N172" s="154">
        <f t="shared" si="6"/>
        <v>-3.6768654606369619E-7</v>
      </c>
    </row>
    <row r="173" spans="1:14" ht="14" customHeight="1" x14ac:dyDescent="0.35">
      <c r="A173" s="53" t="s">
        <v>291</v>
      </c>
      <c r="B173" s="154" cm="1">
        <f t="array" ref="B173">INDEX(LCI!T$2:T$137,MATCH('D- Benefits &amp; Burdens'!$E$30&amp;'D- Benefits &amp; Burdens'!$F$30,LCI!$B$2:$B$137&amp;LCI!$D$2:$D$137,0))*IF(AND($E30="Truck",$F30="Electric"),$B$26,1)*$D$30*$C$30</f>
        <v>4.7316032399999992E-2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5.0348439870854439E-2</v>
      </c>
      <c r="M173" s="154">
        <f t="shared" si="5"/>
        <v>-0.58416374840943142</v>
      </c>
      <c r="N173" s="154">
        <f t="shared" si="6"/>
        <v>-0.53381530853857695</v>
      </c>
    </row>
    <row r="174" spans="1:14" ht="14" customHeight="1" x14ac:dyDescent="0.35">
      <c r="A174" s="53" t="s">
        <v>292</v>
      </c>
      <c r="B174" s="154" cm="1">
        <f t="array" ref="B174">INDEX(LCI!U$2:U$137,MATCH('D- Benefits &amp; Burdens'!$E$30&amp;'D- Benefits &amp; Burdens'!$F$30,LCI!$B$2:$B$137&amp;LCI!$D$2:$D$137,0))*IF(AND($E30="Truck",$F30="Electric"),$B$26,1)*$D$30*$C$30</f>
        <v>6.5949708719999993</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7.114222138910562</v>
      </c>
      <c r="M174" s="154">
        <f t="shared" si="5"/>
        <v>-504.17277182523731</v>
      </c>
      <c r="N174" s="154">
        <f t="shared" si="6"/>
        <v>-497.05854968632673</v>
      </c>
    </row>
    <row r="175" spans="1:14" ht="14" customHeight="1" x14ac:dyDescent="0.35">
      <c r="A175" s="53" t="s">
        <v>293</v>
      </c>
      <c r="B175" s="154" cm="1">
        <f t="array" ref="B175">INDEX(LCI!V$2:V$137,MATCH('D- Benefits &amp; Burdens'!$E$30&amp;'D- Benefits &amp; Burdens'!$F$30,LCI!$B$2:$B$137&amp;LCI!$D$2:$D$137,0))*IF(AND($E30="Truck",$F30="Electric"),$B$26,1)*$D$30*$C$30</f>
        <v>8.4728342999999991E-6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8.5913953516689945E-6</v>
      </c>
      <c r="M175" s="154">
        <f t="shared" si="5"/>
        <v>-1.9810329642407397E-5</v>
      </c>
      <c r="N175" s="154">
        <f t="shared" si="6"/>
        <v>-1.1218934290738403E-5</v>
      </c>
    </row>
    <row r="176" spans="1:14" ht="14" customHeight="1" x14ac:dyDescent="0.35">
      <c r="A176" s="53" t="s">
        <v>294</v>
      </c>
      <c r="B176" s="154" cm="1">
        <f t="array" ref="B176">INDEX(LCI!W$2:W$137,MATCH('D- Benefits &amp; Burdens'!$E$30&amp;'D- Benefits &amp; Burdens'!$F$30,LCI!$B$2:$B$137&amp;LCI!$D$2:$D$137,0))*IF(AND($E30="Truck",$F30="Electric"),$B$26,1)*$D$30*$C$30</f>
        <v>1.7387323799999997E-7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1.9100717865417026E-7</v>
      </c>
      <c r="M176" s="154">
        <f t="shared" si="5"/>
        <v>-2.8128022975607842E-7</v>
      </c>
      <c r="N176" s="154">
        <f t="shared" si="6"/>
        <v>-9.0273051101908152E-8</v>
      </c>
    </row>
    <row r="177" spans="1:14" ht="14" customHeight="1" x14ac:dyDescent="0.35">
      <c r="A177" s="53" t="s">
        <v>295</v>
      </c>
      <c r="B177" s="154" cm="1">
        <f t="array" ref="B177">INDEX(LCI!X$2:X$137,MATCH('D- Benefits &amp; Burdens'!$E$30&amp;'D- Benefits &amp; Burdens'!$F$30,LCI!$B$2:$B$137&amp;LCI!$D$2:$D$137,0))*IF(AND($E30="Truck",$F30="Electric"),$B$26,1)*$D$30*$C$30</f>
        <v>5.2854689999999998E-7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5.3603567300723202E-7</v>
      </c>
      <c r="M177" s="154">
        <f t="shared" si="5"/>
        <v>-1.9274125874730844E-6</v>
      </c>
      <c r="N177" s="154">
        <f t="shared" si="6"/>
        <v>-1.3913769144658523E-6</v>
      </c>
    </row>
    <row r="178" spans="1:14" ht="14" customHeight="1" x14ac:dyDescent="0.35">
      <c r="A178" s="53" t="s">
        <v>296</v>
      </c>
      <c r="B178" s="154" cm="1">
        <f t="array" ref="B178">INDEX(LCI!Y$2:Y$137,MATCH('D- Benefits &amp; Burdens'!$E$30&amp;'D- Benefits &amp; Burdens'!$F$30,LCI!$B$2:$B$137&amp;LCI!$D$2:$D$137,0))*IF(AND($E30="Truck",$F30="Electric"),$B$26,1)*$D$30*$C$30</f>
        <v>3.36677565E-2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3.5540574453219974E-2</v>
      </c>
      <c r="M178" s="154">
        <f t="shared" si="5"/>
        <v>-0.12939650212393664</v>
      </c>
      <c r="N178" s="154">
        <f t="shared" si="6"/>
        <v>-9.3855927670716655E-2</v>
      </c>
    </row>
    <row r="179" spans="1:14" ht="14" customHeight="1" x14ac:dyDescent="0.35">
      <c r="A179" s="53" t="s">
        <v>297</v>
      </c>
      <c r="B179" s="154" cm="1">
        <f t="array" ref="B179">INDEX(LCI!Z$2:Z$137,MATCH('D- Benefits &amp; Burdens'!$E$30&amp;'D- Benefits &amp; Burdens'!$F$30,LCI!$B$2:$B$137&amp;LCI!$D$2:$D$137,0))*IF(AND($E30="Truck",$F30="Electric"),$B$26,1)*$D$30*$C$30</f>
        <v>0.23721298859999998</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0.25088166681518137</v>
      </c>
      <c r="M179" s="154">
        <f t="shared" si="5"/>
        <v>-4.8553875481664157</v>
      </c>
      <c r="N179" s="154">
        <f t="shared" si="6"/>
        <v>-4.6045058813512343</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4.1057658432000002E-3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4.2924058227670854E-3</v>
      </c>
      <c r="M187" s="154">
        <f>SUM(D187:K187)</f>
        <v>-1.9344853277425494E-2</v>
      </c>
      <c r="N187" s="154">
        <f>SUM(L187:M187)</f>
        <v>-1.5052447454658408E-2</v>
      </c>
    </row>
    <row r="188" spans="1:14" ht="14" customHeight="1" x14ac:dyDescent="0.35">
      <c r="A188" s="53" t="s">
        <v>280</v>
      </c>
      <c r="B188" s="154">
        <f>B162*Input!$C$31</f>
        <v>1.5008018566463999</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1.6467868769911649</v>
      </c>
      <c r="M188" s="154">
        <f t="shared" ref="M188:M205" si="8">SUM(D188:K188)</f>
        <v>-4.9869931210953569</v>
      </c>
      <c r="N188" s="154">
        <f t="shared" ref="N188:N205" si="9">SUM(L188:M188)</f>
        <v>-3.3402062441041922</v>
      </c>
    </row>
    <row r="189" spans="1:14" ht="14" customHeight="1" x14ac:dyDescent="0.35">
      <c r="A189" s="53" t="s">
        <v>281</v>
      </c>
      <c r="B189" s="154">
        <f>B163*Input!$C$31</f>
        <v>6.9365415167999998E-4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7.2382555249969854E-4</v>
      </c>
      <c r="M189" s="154">
        <f t="shared" si="8"/>
        <v>-1.3624269971171452E-2</v>
      </c>
      <c r="N189" s="154">
        <f t="shared" si="9"/>
        <v>-1.2900444418671754E-2</v>
      </c>
    </row>
    <row r="190" spans="1:14" ht="14" customHeight="1" x14ac:dyDescent="0.35">
      <c r="A190" s="53" t="s">
        <v>282</v>
      </c>
      <c r="B190" s="154">
        <f>B164*Input!$C$31</f>
        <v>1.49999019408</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1.6459385871849579</v>
      </c>
      <c r="M190" s="154">
        <f t="shared" si="8"/>
        <v>-4.9732710019382882</v>
      </c>
      <c r="N190" s="154">
        <f t="shared" si="9"/>
        <v>-3.3273324147533305</v>
      </c>
    </row>
    <row r="191" spans="1:14" ht="14" customHeight="1" x14ac:dyDescent="0.35">
      <c r="A191" s="53" t="s">
        <v>283</v>
      </c>
      <c r="B191" s="154">
        <f>B165*Input!$C$31</f>
        <v>1.1800563264E-4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1.244614716274215E-4</v>
      </c>
      <c r="M191" s="154">
        <f t="shared" si="8"/>
        <v>-1.7349421487654567E-3</v>
      </c>
      <c r="N191" s="154">
        <f t="shared" si="9"/>
        <v>-1.6104806771380352E-3</v>
      </c>
    </row>
    <row r="192" spans="1:14" ht="14" customHeight="1" x14ac:dyDescent="0.35">
      <c r="A192" s="53" t="s">
        <v>284</v>
      </c>
      <c r="B192" s="154">
        <f>B166*Input!$C$31</f>
        <v>1.2754615281407999</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1.3399621810427509</v>
      </c>
      <c r="M192" s="154">
        <f t="shared" si="8"/>
        <v>-131.78074124226706</v>
      </c>
      <c r="N192" s="154">
        <f t="shared" si="9"/>
        <v>-130.4407790612243</v>
      </c>
    </row>
    <row r="193" spans="1:14" ht="14" customHeight="1" x14ac:dyDescent="0.35">
      <c r="A193" s="53" t="s">
        <v>285</v>
      </c>
      <c r="B193" s="154">
        <f>B167*Input!$C$31</f>
        <v>20.178793567295997</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22.117864874471589</v>
      </c>
      <c r="M193" s="154">
        <f t="shared" si="8"/>
        <v>-241.13144762687071</v>
      </c>
      <c r="N193" s="154">
        <f t="shared" si="9"/>
        <v>-219.01358275239912</v>
      </c>
    </row>
    <row r="194" spans="1:14" ht="14" customHeight="1" x14ac:dyDescent="0.35">
      <c r="A194" s="53" t="s">
        <v>286</v>
      </c>
      <c r="B194" s="154">
        <f>B168*Input!$C$31</f>
        <v>3.4525612799999999E-5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3.6068871775468262E-5</v>
      </c>
      <c r="M194" s="154">
        <f t="shared" si="8"/>
        <v>-1.7888732988116397E-4</v>
      </c>
      <c r="N194" s="154">
        <f t="shared" si="9"/>
        <v>-1.428184581056957E-4</v>
      </c>
    </row>
    <row r="195" spans="1:14" ht="14" customHeight="1" x14ac:dyDescent="0.35">
      <c r="A195" s="53" t="s">
        <v>287</v>
      </c>
      <c r="B195" s="154">
        <f>B169*Input!$C$31</f>
        <v>1.4731484543999999E-3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1.5153538345663263E-3</v>
      </c>
      <c r="M195" s="154">
        <f t="shared" si="8"/>
        <v>-6.1530535981846064E-3</v>
      </c>
      <c r="N195" s="154">
        <f t="shared" si="9"/>
        <v>-4.6376997636182801E-3</v>
      </c>
    </row>
    <row r="196" spans="1:14" ht="14" customHeight="1" x14ac:dyDescent="0.35">
      <c r="A196" s="53" t="s">
        <v>288</v>
      </c>
      <c r="B196" s="154">
        <f>B170*Input!$C$31</f>
        <v>1.6069804128E-2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1.6528628617693455E-2</v>
      </c>
      <c r="M196" s="154">
        <f t="shared" si="8"/>
        <v>-7.0623349552932299E-2</v>
      </c>
      <c r="N196" s="154">
        <f t="shared" si="9"/>
        <v>-5.4094720935238844E-2</v>
      </c>
    </row>
    <row r="197" spans="1:14" ht="14" customHeight="1" x14ac:dyDescent="0.35">
      <c r="A197" s="53" t="s">
        <v>289</v>
      </c>
      <c r="B197" s="154">
        <f>B171*Input!$C$31</f>
        <v>1.4028267455999999E-10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1.4920389735134898E-10</v>
      </c>
      <c r="M197" s="154">
        <f t="shared" si="8"/>
        <v>-2.5064696069890519E-9</v>
      </c>
      <c r="N197" s="154">
        <f t="shared" si="9"/>
        <v>-2.3572657096377029E-9</v>
      </c>
    </row>
    <row r="198" spans="1:14" ht="14" customHeight="1" x14ac:dyDescent="0.35">
      <c r="A198" s="53" t="s">
        <v>290</v>
      </c>
      <c r="B198" s="154">
        <f>B172*Input!$C$31</f>
        <v>1.075598496E-8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1.0993771956056052E-8</v>
      </c>
      <c r="M198" s="154">
        <f t="shared" si="8"/>
        <v>-8.1589588800285707E-8</v>
      </c>
      <c r="N198" s="154">
        <f t="shared" si="9"/>
        <v>-7.0595816844229652E-8</v>
      </c>
    </row>
    <row r="199" spans="1:14" ht="14" customHeight="1" x14ac:dyDescent="0.35">
      <c r="A199" s="53" t="s">
        <v>291</v>
      </c>
      <c r="B199" s="154">
        <f>B173*Input!$C$31</f>
        <v>9.0846782207999986E-3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9.6669004552040524E-3</v>
      </c>
      <c r="M199" s="154">
        <f t="shared" si="8"/>
        <v>-0.11215943969461083</v>
      </c>
      <c r="N199" s="154">
        <f t="shared" si="9"/>
        <v>-0.10249253923940678</v>
      </c>
    </row>
    <row r="200" spans="1:14" ht="14" customHeight="1" x14ac:dyDescent="0.35">
      <c r="A200" s="53" t="s">
        <v>292</v>
      </c>
      <c r="B200" s="154">
        <f>B174*Input!$C$31</f>
        <v>1.266234407424</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1.365930650670828</v>
      </c>
      <c r="M200" s="154">
        <f t="shared" si="8"/>
        <v>-96.80117219044557</v>
      </c>
      <c r="N200" s="154">
        <f t="shared" si="9"/>
        <v>-95.435241539774736</v>
      </c>
    </row>
    <row r="201" spans="1:14" ht="14" customHeight="1" x14ac:dyDescent="0.35">
      <c r="A201" s="53" t="s">
        <v>293</v>
      </c>
      <c r="B201" s="154">
        <f>B175*Input!$C$31</f>
        <v>1.6267841855999998E-6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1.6495479075204468E-6</v>
      </c>
      <c r="M201" s="154">
        <f t="shared" si="8"/>
        <v>-3.8035832913422207E-6</v>
      </c>
      <c r="N201" s="154">
        <f t="shared" si="9"/>
        <v>-2.1540353838217738E-6</v>
      </c>
    </row>
    <row r="202" spans="1:14" ht="14" customHeight="1" x14ac:dyDescent="0.35">
      <c r="A202" s="53" t="s">
        <v>294</v>
      </c>
      <c r="B202" s="154">
        <f>B176*Input!$C$31</f>
        <v>3.3383661695999995E-8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3.6673378301600694E-8</v>
      </c>
      <c r="M202" s="154">
        <f t="shared" si="8"/>
        <v>-5.400580411316706E-8</v>
      </c>
      <c r="N202" s="154">
        <f t="shared" si="9"/>
        <v>-1.7332425811566367E-8</v>
      </c>
    </row>
    <row r="203" spans="1:14" ht="14" customHeight="1" x14ac:dyDescent="0.35">
      <c r="A203" s="53" t="s">
        <v>295</v>
      </c>
      <c r="B203" s="154">
        <f>B177*Input!$C$31</f>
        <v>1.014810048E-7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1.0291884921738855E-7</v>
      </c>
      <c r="M203" s="154">
        <f t="shared" si="8"/>
        <v>-3.7006321679483225E-7</v>
      </c>
      <c r="N203" s="154">
        <f t="shared" si="9"/>
        <v>-2.671443675774437E-7</v>
      </c>
    </row>
    <row r="204" spans="1:14" ht="14" customHeight="1" x14ac:dyDescent="0.35">
      <c r="A204" s="53" t="s">
        <v>296</v>
      </c>
      <c r="B204" s="154">
        <f>B178*Input!$C$31</f>
        <v>6.4642092480000002E-3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6.8237902950182344E-3</v>
      </c>
      <c r="M204" s="154">
        <f t="shared" si="8"/>
        <v>-2.4844128407795832E-2</v>
      </c>
      <c r="N204" s="154">
        <f t="shared" si="9"/>
        <v>-1.8020338112777597E-2</v>
      </c>
    </row>
    <row r="205" spans="1:14" ht="14" customHeight="1" x14ac:dyDescent="0.35">
      <c r="A205" s="53" t="s">
        <v>297</v>
      </c>
      <c r="B205" s="154">
        <f>B179*Input!$C$31</f>
        <v>4.5544893811199999E-2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4.8169280028514824E-2</v>
      </c>
      <c r="M205" s="154">
        <f t="shared" si="8"/>
        <v>-0.93223440924795153</v>
      </c>
      <c r="N205" s="154">
        <f t="shared" si="9"/>
        <v>-0.8840651292194367</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-2357.5529226145832</v>
      </c>
      <c r="C211" s="1">
        <f>+SUM(B161:N179)*Input!C31</f>
        <v>-1357.9504834260013</v>
      </c>
    </row>
    <row r="212" spans="1:3" ht="14" customHeight="1" x14ac:dyDescent="0.35">
      <c r="A212" s="95" t="s">
        <v>531</v>
      </c>
      <c r="B212" s="1">
        <f>SUM($B$161:$K$179)</f>
        <v>-2357.552922614585</v>
      </c>
      <c r="C212" s="1">
        <f>+SUM(B187:N205)</f>
        <v>-1357.9504834260015</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2026-04-28T14:07:02Z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