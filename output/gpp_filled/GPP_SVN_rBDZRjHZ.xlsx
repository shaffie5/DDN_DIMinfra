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FE6D4B61-B7F5-4E45-B5C3-793BDFE4E77D}"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74" i="20" l="1"/>
  <c r="AN69" i="20"/>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S76" i="20" s="1"/>
  <c r="T76" i="20" s="1"/>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<sst xmlns="http://schemas.openxmlformats.org/spreadsheetml/2006/main" count="4830" uniqueCount="1052">
  <si>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</si>
  <si>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</si>
  <si>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</si>
  <si>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</si>
  <si>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</si>
  <si>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</si>
  <si>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</si>
  <si>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</si>
  <si>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</si>
  <si>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</si>
  <si>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</si>
  <si>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</si>
  <si>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</si>
  <si>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</si>
  <si>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</si>
  <si>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</si>
  <si>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</si>
  <si>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</si>
  <si>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</si>
  <si>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</si>
  <si>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</si>
  <si>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</si>
  <si>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</si>
  <si>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</si>
  <si>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</si>
  <si>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</si>
  <si>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</si>
  <si>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</si>
  <si>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</si>
  <si>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</si>
  <si>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</si>
  <si>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</si>
  <si>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</si>
  <si>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</si>
  <si>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</si>
  <si>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</si>
  <si>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</si>
  <si>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</si>
  <si>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</si>
  <si>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</si>
  <si>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</si>
  <si>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</si>
  <si>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</si>
  <si>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</si>
  <si>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</si>
  <si>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</si>
  <si>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</si>
  <si>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</si>
  <si>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</si>
  <si>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</si>
  <si>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</si>
  <si>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</si>
  <si>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</si>
  <si>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</si>
  <si>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</si>
  <si>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</si>
  <si>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</si>
  <si>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</si>
  <si>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</si>
  <si>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</si>
  <si>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</si>
  <si>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</si>
  <si>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</si>
  <si>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</si>
  <si>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</si>
  <si>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</si>
  <si>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</si>
  <si>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</si>
  <si>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</si>
  <si>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</si>
  <si>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</si>
  <si>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</si>
  <si>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</si>
  <si>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</si>
  <si>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</si>
  <si>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</si>
  <si>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</si>
  <si>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</si>
  <si>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</si>
  <si>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</si>
  <si>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</si>
  <si>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</si>
  <si>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</si>
  <si>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</si>
  <si>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</si>
  <si>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</si>
  <si>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</si>
  <si>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</si>
  <si>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</si>
  <si>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</si>
  <si>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</si>
  <si>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</si>
  <si>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</si>
  <si>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</si>
  <si>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</si>
  <si>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</si>
  <si>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</si>
  <si>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</si>
  <si>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</si>
  <si>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</si>
  <si>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</si>
  <si>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</si>
  <si>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</si>
  <si>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</si>
  <si>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</si>
  <si>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</si>
  <si>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</si>
  <si>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</si>
  <si>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</si>
  <si>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</si>
  <si>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</si>
  <si>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</si>
  <si>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</si>
  <si>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</si>
  <si>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</si>
  <si>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</si>
  <si>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</si>
  <si>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</si>
  <si>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</si>
  <si>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</si>
  <si>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</si>
  <si>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</si>
  <si>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</si>
  <si>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</si>
  <si>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</si>
  <si>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</si>
  <si>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</si>
  <si>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</si>
  <si>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</si>
  <si>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</si>
  <si>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</si>
  <si>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</si>
  <si>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</si>
  <si>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</si>
  <si>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</si>
  <si>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</si>
  <si>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</si>
  <si>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</si>
  <si>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</si>
  <si>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</si>
  <si>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</si>
  <si>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</si>
  <si>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</si>
  <si>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</si>
  <si>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</si>
  <si>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</si>
  <si>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</si>
  <si>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</si>
  <si>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</si>
  <si>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</si>
  <si>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</si>
  <si>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</si>
  <si>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</si>
  <si>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</si>
  <si>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</si>
  <si>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</si>
  <si>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</si>
  <si>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</si>
  <si>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</si>
  <si>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</si>
  <si>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</si>
  <si>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</si>
  <si>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</si>
  <si>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</si>
  <si>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</si>
  <si>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</si>
  <si>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</si>
  <si>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</si>
  <si>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</si>
  <si>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</si>
  <si>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</si>
  <si>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</si>
  <si>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</si>
  <si>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</si>
  <si>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</si>
  <si>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</si>
  <si>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</si>
  <si>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</si>
  <si>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</si>
  <si>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</si>
  <si>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</si>
  <si>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</si>
  <si>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</si>
  <si>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</si>
  <si>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</si>
  <si>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</si>
  <si>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</si>
  <si>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</si>
  <si>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</si>
  <si>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</si>
  <si>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</si>
  <si>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</si>
  <si>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</si>
  <si>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</si>
  <si>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</si>
  <si>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</si>
  <si>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</si>
  <si>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</si>
  <si>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</si>
  <si>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</si>
  <si>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</si>
  <si>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</si>
  <si>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</si>
  <si>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</si>
  <si>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</si>
  <si>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</si>
  <si>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</si>
  <si>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</si>
  <si>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</si>
  <si>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</si>
  <si>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</si>
  <si>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</si>
  <si>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</si>
  <si>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</si>
  <si>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</si>
  <si>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</si>
  <si>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</si>
  <si>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</si>
  <si>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</si>
  <si>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</si>
  <si>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</si>
  <si>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</si>
  <si>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</si>
  <si>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</si>
  <si>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</si>
  <si>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</si>
  <si>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</si>
  <si>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</si>
  <si>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</si>
  <si>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</si>
  <si>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</si>
  <si>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</si>
  <si>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</si>
  <si>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</si>
  <si>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</si>
  <si>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</si>
  <si>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</si>
  <si>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</si>
  <si>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</si>
  <si>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</si>
  <si>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</si>
  <si>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</si>
  <si>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</si>
  <si>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</si>
  <si>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</si>
  <si>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</si>
  <si>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</si>
  <si>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</si>
  <si>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</si>
  <si>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</si>
  <si>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</si>
  <si>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</si>
  <si>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</si>
  <si>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</si>
  <si>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</si>
  <si>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</si>
  <si>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</si>
  <si>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</si>
  <si>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</si>
  <si>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</si>
  <si>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</si>
  <si>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</si>
  <si>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</si>
  <si>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</si>
  <si>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</si>
  <si>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</si>
  <si>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</si>
  <si>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</si>
  <si>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</si>
  <si>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</si>
  <si>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</si>
  <si>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</si>
  <si>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</si>
  <si>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</si>
  <si>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</si>
  <si>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</si>
  <si>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</si>
  <si>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</si>
  <si>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</si>
  <si>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</si>
  <si>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</si>
  <si>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</si>
  <si>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</si>
  <si>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</si>
  <si>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</si>
  <si>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</si>
  <si>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</si>
  <si>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</si>
  <si>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</si>
  <si>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</si>
  <si>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</si>
  <si>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</si>
  <si>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</si>
  <si>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</si>
  <si>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</si>
  <si>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</si>
  <si>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</si>
  <si>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</si>
  <si>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</si>
  <si>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</si>
  <si>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</si>
  <si>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</si>
  <si>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</si>
  <si>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</si>
  <si>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</si>
  <si>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</si>
  <si>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</si>
  <si>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</si>
  <si>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</si>
  <si>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</si>
  <si>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</si>
  <si>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</si>
  <si>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</si>
  <si>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</si>
  <si>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</si>
  <si>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</si>
  <si>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</si>
  <si>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</si>
  <si>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</si>
  <si>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</si>
  <si>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</si>
  <si>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</si>
  <si>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</si>
  <si>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</si>
  <si>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</si>
  <si>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</si>
  <si>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</si>
  <si>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</si>
  <si>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</si>
  <si>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</si>
  <si>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</si>
  <si>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</si>
  <si>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</si>
  <si>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</si>
  <si>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</si>
  <si>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</si>
  <si>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</si>
  <si>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</si>
  <si>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</si>
  <si>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</si>
  <si>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</si>
  <si>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</si>
  <si>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</si>
  <si>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</si>
  <si>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</si>
  <si>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</si>
  <si>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</si>
  <si>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</si>
  <si>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</si>
  <si>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</si>
  <si>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</si>
  <si>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</si>
  <si>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</si>
  <si>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</si>
  <si>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</si>
  <si>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</si>
  <si>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</si>
  <si>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</si>
  <si>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</si>
  <si>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</si>
  <si>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</si>
  <si>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</si>
  <si>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</si>
  <si>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</si>
  <si>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</si>
  <si>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</si>
  <si>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</si>
  <si>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</si>
  <si>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</si>
  <si>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</si>
  <si>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</si>
  <si>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</si>
  <si>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</si>
  <si>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</si>
  <si>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</si>
  <si>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</si>
  <si>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</si>
  <si>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</si>
  <si>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</si>
  <si>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</si>
  <si>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</si>
  <si>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</si>
  <si>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</si>
  <si>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</si>
  <si>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</si>
  <si>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</si>
  <si>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</si>
  <si>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</si>
  <si>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</si>
  <si>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</si>
  <si>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</si>
  <si>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</si>
  <si>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</si>
  <si>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</si>
  <si>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</si>
  <si>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</si>
  <si>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</si>
  <si>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</si>
  <si>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</si>
  <si>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</si>
  <si>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</si>
  <si>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</si>
  <si>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</si>
  <si>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</si>
  <si>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</si>
  <si>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</si>
  <si>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</si>
  <si>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</si>
  <si>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</si>
  <si>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</si>
  <si>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</si>
  <si>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</si>
  <si>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</si>
  <si>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</si>
  <si>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</si>
  <si>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</si>
  <si>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</si>
  <si>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</si>
  <si>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</si>
  <si>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</si>
  <si>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</si>
  <si>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</si>
  <si>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</si>
  <si>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</si>
  <si>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</si>
  <si>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</si>
  <si>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</si>
  <si>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</si>
  <si>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</si>
  <si>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</si>
  <si>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</si>
  <si>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</si>
  <si>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</si>
  <si>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</si>
  <si>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</si>
  <si>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</si>
  <si>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</si>
  <si>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</si>
  <si>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</si>
  <si>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</si>
  <si>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</si>
  <si>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</si>
  <si>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</si>
  <si>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</si>
  <si>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</si>
  <si>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</si>
  <si>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</si>
  <si>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</si>
  <si>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</si>
  <si>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</si>
  <si>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</si>
  <si>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</si>
  <si>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</si>
  <si>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</si>
  <si>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</si>
  <si>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</si>
  <si>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</si>
  <si>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</si>
  <si>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</si>
  <si>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</si>
  <si>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</si>
  <si>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</si>
  <si>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</si>
  <si>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</si>
  <si>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</si>
  <si>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</si>
  <si>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</si>
  <si>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</si>
  <si>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</si>
  <si>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</si>
  <si>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</si>
  <si>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</si>
  <si>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</si>
  <si>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</si>
  <si>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</si>
  <si>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</si>
  <si>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</si>
  <si>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</si>
  <si>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</si>
  <si>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</si>
  <si>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</si>
  <si>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</si>
  <si>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</si>
  <si>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</si>
  <si>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</si>
  <si>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</si>
  <si>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</si>
  <si>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</si>
  <si>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</si>
  <si>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</si>
  <si>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</si>
  <si>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</si>
  <si>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</si>
  <si>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</si>
  <si>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</si>
  <si>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</si>
  <si>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</si>
  <si>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</si>
  <si>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</si>
  <si>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</si>
  <si>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</si>
  <si>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</si>
  <si>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</si>
  <si>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</si>
  <si>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</si>
  <si>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</si>
  <si>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</si>
  <si>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</si>
  <si>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</si>
  <si>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</si>
  <si>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</si>
  <si>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</si>
  <si>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</si>
  <si>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</si>
  <si>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</si>
  <si>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</si>
  <si>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</si>
  <si>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</si>
  <si>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</si>
  <si>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</si>
  <si>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</si>
  <si>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</si>
  <si>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</si>
  <si>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</si>
  <si>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</si>
  <si>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</si>
  <si>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</si>
  <si>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</si>
  <si>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</si>
  <si>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</si>
  <si>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</si>
  <si>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</si>
  <si>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</si>
  <si>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</si>
  <si>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</si>
  <si>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</si>
  <si>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</si>
  <si>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</si>
  <si>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</si>
  <si>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</si>
  <si>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</si>
  <si>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</si>
  <si>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</si>
  <si>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</si>
  <si>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</si>
  <si>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</si>
  <si>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</si>
  <si>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</si>
  <si>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</si>
  <si>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</si>
  <si>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</si>
  <si>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</si>
  <si>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</si>
  <si>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</si>
  <si>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</si>
  <si>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</si>
  <si>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</si>
  <si>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</si>
  <si>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</si>
  <si>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</si>
  <si>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</si>
  <si>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</si>
  <si>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</si>
  <si>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</si>
  <si>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</si>
  <si>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</si>
  <si>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</si>
  <si>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</si>
  <si>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</si>
  <si>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</si>
  <si>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</si>
  <si>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</si>
  <si>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</si>
  <si>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</si>
  <si>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</si>
  <si>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</si>
  <si>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</si>
  <si>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</si>
  <si>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</si>
  <si>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</si>
  <si>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</si>
  <si>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</si>
  <si>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</si>
  <si>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</si>
  <si>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</si>
  <si>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</si>
  <si>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</si>
  <si>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</si>
  <si>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</si>
  <si>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</si>
  <si>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</si>
  <si>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</si>
  <si>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</si>
  <si>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</si>
  <si>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</si>
  <si>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</si>
  <si>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</si>
  <si>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</si>
  <si>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</si>
  <si>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</si>
  <si>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</si>
  <si>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</si>
  <si>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</si>
  <si>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</si>
  <si>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</si>
  <si>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</si>
  <si>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</si>
  <si>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</si>
  <si>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</si>
  <si>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</si>
  <si>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</si>
  <si>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</si>
  <si>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</si>
  <si>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</si>
  <si>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</si>
  <si>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</si>
  <si>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</si>
  <si>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</si>
  <si>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</si>
  <si>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</si>
  <si>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</si>
  <si>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</si>
  <si>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</si>
  <si>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</si>
  <si>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</si>
  <si>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</si>
  <si>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</si>
  <si>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</si>
  <si>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</si>
  <si>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</si>
  <si>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</si>
  <si>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</si>
  <si>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</si>
  <si>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</si>
  <si>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</si>
  <si>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</si>
  <si>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</si>
  <si>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</si>
  <si>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</si>
  <si>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</si>
  <si>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</si>
  <si>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</si>
  <si>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</si>
  <si>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</si>
  <si>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</si>
  <si>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</si>
  <si>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</si>
  <si>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</si>
  <si>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</si>
  <si>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</si>
  <si>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</si>
  <si>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</si>
  <si>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</si>
  <si>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</si>
  <si>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</si>
  <si>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</si>
  <si>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</si>
  <si>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</si>
  <si>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</si>
  <si>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</si>
  <si>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</si>
  <si>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</si>
  <si>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</si>
  <si>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</si>
  <si>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</si>
  <si>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</si>
  <si>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</si>
  <si>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</si>
  <si>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</si>
  <si>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</si>
  <si>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</si>
  <si>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</si>
  <si>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</si>
  <si>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</si>
  <si>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</si>
  <si>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</si>
  <si>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</si>
  <si>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</si>
  <si>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</si>
  <si>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</si>
  <si>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</si>
  <si>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</si>
  <si>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</si>
  <si>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</si>
  <si>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</si>
  <si>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</si>
  <si>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</si>
  <si>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</si>
  <si>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</si>
  <si>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</si>
  <si>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</si>
  <si>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</si>
  <si>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</si>
  <si>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</si>
  <si>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</si>
  <si>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</si>
  <si>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</si>
  <si>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</si>
  <si>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</si>
  <si>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</si>
  <si>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</si>
  <si>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</si>
  <si>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</si>
  <si>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</si>
  <si>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</si>
  <si>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</si>
  <si>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</si>
  <si>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</si>
  <si>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</si>
  <si>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</si>
  <si>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</si>
  <si>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</si>
  <si>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</si>
  <si>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</si>
  <si>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</si>
  <si>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</si>
  <si>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</si>
  <si>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</si>
  <si>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</si>
  <si>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</si>
  <si>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</si>
  <si>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</si>
  <si>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</si>
  <si>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</si>
  <si>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</si>
  <si>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</si>
  <si>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</si>
  <si>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</si>
  <si>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</si>
  <si>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</si>
  <si>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</si>
  <si>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</si>
  <si>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</si>
  <si>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</si>
  <si>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</si>
  <si>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</si>
  <si>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</si>
  <si>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</si>
  <si>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</si>
  <si>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</si>
  <si>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</si>
  <si>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</si>
  <si>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</si>
  <si>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</si>
  <si>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</si>
  <si>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</si>
  <si>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</si>
  <si>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</si>
  <si>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</si>
  <si>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</si>
  <si>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</si>
  <si>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</si>
  <si>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</si>
  <si>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</si>
  <si>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</si>
  <si>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</si>
  <si>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</si>
  <si>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</si>
  <si>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</si>
  <si>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</si>
  <si>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</si>
  <si>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</si>
  <si>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</si>
  <si>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</si>
  <si>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</si>
  <si>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</si>
  <si>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</si>
  <si>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</si>
  <si>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</si>
  <si>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</si>
  <si>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</si>
  <si>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</si>
  <si>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</si>
  <si>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</si>
  <si>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</si>
  <si>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</si>
  <si>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</si>
  <si>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</si>
  <si>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</si>
  <si>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</si>
  <si>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</si>
  <si>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</si>
  <si>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</si>
  <si>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</si>
  <si>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</si>
  <si>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</si>
  <si>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</si>
  <si>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</si>
  <si>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</si>
  <si>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</si>
  <si>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</si>
  <si>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</si>
  <si>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</si>
  <si>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</si>
  <si>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</si>
  <si>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</si>
  <si>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</si>
  <si>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</si>
  <si>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</si>
  <si>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</si>
  <si>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</si>
  <si>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</si>
  <si>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</si>
  <si>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</si>
  <si>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</si>
  <si>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</si>
  <si>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</si>
  <si>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</si>
  <si>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</si>
  <si>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</si>
  <si>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</si>
  <si>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</si>
  <si>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</si>
  <si>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</si>
  <si>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</si>
  <si>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</si>
  <si>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</si>
  <si>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</si>
  <si>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</si>
  <si>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</si>
  <si>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</si>
  <si>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</si>
  <si>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</si>
  <si>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</si>
  <si>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</si>
  <si>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</si>
  <si>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</si>
  <si>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</si>
  <si>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</si>
  <si>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</si>
  <si>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</si>
  <si>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</si>
  <si>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</si>
  <si>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</si>
  <si>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</si>
  <si>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</si>
  <si>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</si>
  <si>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</si>
  <si>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</si>
  <si>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</si>
  <si>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</si>
  <si>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</si>
  <si>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</si>
  <si>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</si>
  <si>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</si>
  <si>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</si>
  <si>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</si>
  <si>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</si>
  <si>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</si>
  <si>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</si>
  <si>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</si>
  <si>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</si>
  <si>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</si>
  <si>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</si>
  <si>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</si>
  <si>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</si>
  <si>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</si>
  <si>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</si>
  <si>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</si>
  <si>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</si>
  <si>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</si>
  <si>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</si>
  <si>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</si>
  <si>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</si>
  <si>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</si>
  <si>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</si>
  <si>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</si>
  <si>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</si>
  <si>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</si>
  <si>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</si>
  <si>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</si>
  <si>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</si>
  <si>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</si>
  <si>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</si>
  <si>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</si>
  <si>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</si>
  <si>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</si>
  <si>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</si>
  <si>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</si>
  <si>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</si>
  <si>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</si>
  <si>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</si>
  <si>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</si>
  <si>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</si>
  <si>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</si>
  <si>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</si>
  <si>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</si>
  <si>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</si>
  <si>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</si>
  <si>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</si>
  <si>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</si>
  <si>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</si>
  <si>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</si>
  <si>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</si>
  <si>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</si>
  <si>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</si>
  <si>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</si>
  <si>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</si>
  <si>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</si>
  <si>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</si>
  <si>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</si>
  <si>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</si>
  <si>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</si>
  <si>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</si>
  <si>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</si>
  <si>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</si>
  <si>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</si>
  <si>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</si>
  <si>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</si>
  <si>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</si>
  <si>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</si>
  <si>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</si>
  <si>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</si>
  <si>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</si>
  <si>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</si>
  <si>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</si>
  <si>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</si>
  <si>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</si>
  <si>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</si>
  <si>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</si>
  <si>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</si>
  <si>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</si>
  <si>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</si>
  <si>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</si>
  <si>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</si>
  <si>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</si>
  <si>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</si>
  <si>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</si>
  <si>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</si>
  <si>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</si>
  <si>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</si>
  <si>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</si>
  <si>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</si>
  <si>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</si>
  <si>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</si>
  <si>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</si>
  <si>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</si>
  <si>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</si>
  <si>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</si>
  <si>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</si>
  <si>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</si>
  <si>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</si>
  <si>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</si>
  <si>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</si>
  <si>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</si>
  <si>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</si>
  <si>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</si>
  <si>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</si>
  <si>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</si>
  <si>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</si>
  <si>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</si>
  <si>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</si>
  <si>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</si>
  <si>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</si>
  <si>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</si>
  <si>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</si>
  <si>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</si>
  <si>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</si>
  <si>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</si>
  <si>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</si>
  <si>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</si>
  <si>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</si>
  <si>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</si>
  <si>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</si>
  <si>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</si>
  <si>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</si>
  <si>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</si>
  <si>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</si>
  <si>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</si>
  <si>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</si>
  <si>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</si>
  <si>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</si>
  <si>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</si>
  <si>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</si>
  <si>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</si>
  <si>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</si>
  <si>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</si>
  <si>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</si>
  <si>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</si>
  <si>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</si>
  <si>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</si>
  <si>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</si>
  <si>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</si>
  <si>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</si>
  <si>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</si>
  <si>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</si>
  <si>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</si>
  <si>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</si>
  <si>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</si>
  <si>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</si>
  <si>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</si>
  <si>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</si>
  <si>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</si>
  <si>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</si>
  <si>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</si>
  <si>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</si>
  <si>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</si>
  <si>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</si>
  <si>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</si>
  <si>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</si>
  <si>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</si>
  <si>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</si>
  <si>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</si>
  <si>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</si>
  <si>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</si>
  <si>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</si>
  <si>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</si>
  <si>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</si>
  <si>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</si>
  <si>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</si>
  <si>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</si>
  <si>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</si>
  <si>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</si>
  <si>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</si>
  <si>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</si>
  <si>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</si>
  <si>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</si>
  <si>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</si>
  <si>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</si>
  <si>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</si>
  <si>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</si>
  <si>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</si>
  <si>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</si>
  <si>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</si>
  <si>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</si>
  <si>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</si>
  <si>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</si>
  <si>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</si>
  <si>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</si>
  <si>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</si>
  <si>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</si>
  <si>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</si>
  <si>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</si>
  <si>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</si>
  <si>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</si>
  <si>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</si>
  <si>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</si>
  <si>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</si>
  <si>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</si>
  <si>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</si>
  <si>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</si>
  <si>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</si>
  <si>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</si>
  <si>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</si>
  <si>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</si>
  <si>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</si>
  <si>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</si>
  <si>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</si>
  <si>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</si>
  <si>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Productieproces</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</si>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</sst>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0.14210434738280908</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1.3036992294521459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0.30314659286536039</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1.899616637613569</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2.8043035461562765E-2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5.60375050681228E-2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9.0613870762735679E-2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1.9036918998115587E-2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3.8955517540296886E-2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3.5609865757360082E-2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4.1822623231955403E-2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3.2591366116270357E-7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3.6218604678015863E-3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0.35062781068353138</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0.18383809163095297</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4.1403606017847497E-2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12.067875368229734</c:v>
                </c:pt>
                <c:pt idx="2">
                  <c:v>11.7448</c:v>
                </c:pt>
                <c:pt idx="3">
                  <c:v>0.92165995176527982</c:v>
                </c:pt>
                <c:pt idx="4">
                  <c:v>0.3428723486060043</c:v>
                </c:pt>
                <c:pt idx="5">
                  <c:v>0.16588837765499997</c:v>
                </c:pt>
                <c:pt idx="6">
                  <c:v>0.16679033795373477</c:v>
                </c:pt>
                <c:pt idx="7">
                  <c:v>1.1429629848</c:v>
                </c:pt>
                <c:pt idx="8">
                  <c:v>0</c:v>
                </c:pt>
                <c:pt idx="9">
                  <c:v>0</c:v>
                </c:pt>
                <c:pt idx="10">
                  <c:v>0.65423526228811013</c:v>
                </c:pt>
                <c:pt idx="11">
                  <c:v>0.64906010499329991</c:v>
                </c:pt>
                <c:pt idx="12">
                  <c:v>20.056831519468545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0.15028271505731852</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1.4391161808598529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0.30477668870310559</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1.9806228015462635</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2.9704747889934827E-2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5.8496315542674385E-2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9.4294703674393174E-2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1.9548189006855475E-2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4.1052082463394569E-2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3.5936177168982175E-2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4.2218556133292832E-2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3.3080287584209837E-7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3.7589138924449296E-3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0.38327725683280639</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0.19945310439077968</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4.2394300530209948E-2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12.067875368229734</c:v>
                </c:pt>
                <c:pt idx="2">
                  <c:v>11.7448</c:v>
                </c:pt>
                <c:pt idx="3">
                  <c:v>0.92165995176527982</c:v>
                </c:pt>
                <c:pt idx="4">
                  <c:v>0.3428723486060043</c:v>
                </c:pt>
                <c:pt idx="5">
                  <c:v>0.16588837765499997</c:v>
                </c:pt>
                <c:pt idx="6">
                  <c:v>0.16679033795373477</c:v>
                </c:pt>
                <c:pt idx="7">
                  <c:v>1.1429629848</c:v>
                </c:pt>
                <c:pt idx="8">
                  <c:v>0</c:v>
                </c:pt>
                <c:pt idx="9">
                  <c:v>0</c:v>
                </c:pt>
                <c:pt idx="10">
                  <c:v>0.65423526228811013</c:v>
                </c:pt>
                <c:pt idx="11">
                  <c:v>0.64906010499329991</c:v>
                </c:pt>
                <c:pt idx="12">
                  <c:v>20.056831519468545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0.48733894939114109</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0.15913415167932873</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1.2905775889788217E-2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0.21037577322022852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-0.58877588147902438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2.8744722069093451</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2.650460890107516</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0.21944889308160001</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3.8509116517379609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-4.3189900636561909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2.8854281291005167E-2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0.27631030672509177</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5.8517124230996281E-2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0.38027957789688271</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5.7033115948674868E-3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1.1231292584193482E-2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1.810458310548349E-2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3.7532522893162505E-3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7.8819998329717582E-3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6.8997460164445766E-3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8.1059627775922211E-3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6.3514152161682897E-8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7.217114673494264E-4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7.358923331189883E-2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3.829499604302971E-2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8.1397057018003111E-3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2.3170320707001091</c:v>
                </c:pt>
                <c:pt idx="2">
                  <c:v>2.2550015999999999</c:v>
                </c:pt>
                <c:pt idx="3">
                  <c:v>0.17695871073893374</c:v>
                </c:pt>
                <c:pt idx="4">
                  <c:v>6.5831490932352826E-2</c:v>
                </c:pt>
                <c:pt idx="5">
                  <c:v>3.1850568509759994E-2</c:v>
                </c:pt>
                <c:pt idx="6">
                  <c:v>3.2023744887117074E-2</c:v>
                </c:pt>
                <c:pt idx="7">
                  <c:v>0.21944889308160001</c:v>
                </c:pt>
                <c:pt idx="8">
                  <c:v>0</c:v>
                </c:pt>
                <c:pt idx="9">
                  <c:v>0</c:v>
                </c:pt>
                <c:pt idx="10">
                  <c:v>0.12561317035931716</c:v>
                </c:pt>
                <c:pt idx="11">
                  <c:v>0.12461954015871358</c:v>
                </c:pt>
                <c:pt idx="12">
                  <c:v>3.8509116517379609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1044</v>
      </c>
      <c r="I40" s="154" t="str">
        <f t="shared" ref="I40:I57" si="0">IF($B40=0%,"Do not fill Transport", "Fill Transport")</f>
        <v>Fill Transport</v>
      </c>
      <c r="J40" s="232" t="s">
        <v>69</v>
      </c>
      <c r="K40" s="232" t="s">
        <v>489</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0.01</v>
      </c>
      <c r="C50" s="232" t="s">
        <v>78</v>
      </c>
      <c r="D50" s="45"/>
      <c r="E50" s="45"/>
      <c r="F50" s="45"/>
      <c r="G50" s="232" t="s">
        <v>27</v>
      </c>
      <c r="H50" s="1" t="s">
        <v>1049</v>
      </c>
      <c r="I50" s="154" t="str">
        <f t="shared" si="0"/>
        <v>Fill Transport</v>
      </c>
      <c r="J50" s="232" t="s">
        <v>69</v>
      </c>
      <c r="K50" s="232" t="s">
        <v>489</v>
      </c>
      <c r="L50" s="240">
        <v>0</v>
      </c>
      <c r="M50" s="232" t="s">
        <v>27</v>
      </c>
      <c r="N50" s="232" t="s">
        <v>27</v>
      </c>
      <c r="O50" s="240">
        <v>0</v>
      </c>
      <c r="P50" s="232" t="s">
        <v>27</v>
      </c>
      <c r="Q50" s="232" t="s">
        <v>27</v>
      </c>
      <c r="R50" s="232">
        <v>0</v>
      </c>
      <c r="T50" s="339">
        <f>+IF(B50&gt;0,IF(C50="No_filler",1,0),0)</f>
        <v>0</v>
      </c>
      <c r="U50" s="339">
        <f t="shared" si="1"/>
        <v>2</v>
      </c>
    </row>
    <row r="51" spans="1:21" x14ac:dyDescent="0.35">
      <c r="A51" s="1" t="s">
        <v>81</v>
      </c>
      <c r="B51" s="238">
        <v>0.3</v>
      </c>
      <c r="C51" s="1" t="s">
        <v>213</v>
      </c>
      <c r="D51" s="45"/>
      <c r="E51" s="45"/>
      <c r="F51" s="45"/>
      <c r="G51" s="232" t="s">
        <v>27</v>
      </c>
      <c r="H51" s="1" t="s">
        <v>1050</v>
      </c>
      <c r="I51" s="154" t="str">
        <f t="shared" si="0"/>
        <v>Fill Transport</v>
      </c>
      <c r="J51" s="232" t="s">
        <v>69</v>
      </c>
      <c r="K51" s="232" t="s">
        <v>489</v>
      </c>
      <c r="L51" s="240">
        <v>24</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1051</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0.34825718554734947</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2</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5.6843418860808015E-13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2.0000000000005684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8.0534712888760032E-2</v>
      </c>
      <c r="D4" s="1">
        <f>'C3'' - Secondary Raw Material '!F320</f>
        <v>2.132393117742819E-4</v>
      </c>
      <c r="E4" s="1">
        <f>'A2 - Transport'!Z118</f>
        <v>2.4968397310549954E-2</v>
      </c>
      <c r="F4" s="1">
        <f>'C2''- Transport Secondary'!H58</f>
        <v>1.7043983999999999E-3</v>
      </c>
      <c r="G4" s="1">
        <f>'A3 - Production '!D206</f>
        <v>2.0014763612854224E-2</v>
      </c>
      <c r="H4" s="1">
        <f>'A4 - Transport'!B17</f>
        <v>4.7342506223999993E-3</v>
      </c>
      <c r="I4" s="1">
        <f>'A5 - Construction'!E139</f>
        <v>1.4781911191886577E-3</v>
      </c>
      <c r="J4" s="1">
        <f>'C1 - Deconstruction'!B87</f>
        <v>1.1217073342617407E-3</v>
      </c>
      <c r="K4" s="1">
        <f>'D- Benefits &amp; Burdens'!N161</f>
        <v>-9.2344379326345885E-2</v>
      </c>
      <c r="L4" s="1">
        <f>+SUM(C4:G4)</f>
        <v>0.12743551152393848</v>
      </c>
      <c r="M4" s="1">
        <f t="shared" ref="M4:M22" si="0">SUM(C4:J4)</f>
        <v>0.13476966059978884</v>
      </c>
      <c r="Q4" s="67"/>
    </row>
    <row r="5" spans="1:17" x14ac:dyDescent="0.35">
      <c r="A5" s="39" t="s">
        <v>164</v>
      </c>
      <c r="B5" s="39" t="s">
        <v>165</v>
      </c>
      <c r="C5" s="1">
        <f>'A1 - Raw Material Supply'!Z115</f>
        <v>14.971209410986173</v>
      </c>
      <c r="D5" s="1">
        <f>'C3'' - Secondary Raw Material '!F321</f>
        <v>0.16679033795373477</v>
      </c>
      <c r="E5" s="1">
        <f>'A2 - Transport'!Z119</f>
        <v>13.804483802643313</v>
      </c>
      <c r="F5" s="1">
        <f>'C2''- Transport Secondary'!H59</f>
        <v>1.1429629848</v>
      </c>
      <c r="G5" s="1">
        <f>'A3 - Production '!D207</f>
        <v>20.056831519468545</v>
      </c>
      <c r="H5" s="1">
        <f>'A4 - Transport'!B18</f>
        <v>3.1747701841127993</v>
      </c>
      <c r="I5" s="1">
        <f>'A5 - Construction'!E140</f>
        <v>1.1562033017188762</v>
      </c>
      <c r="J5" s="1">
        <f>'C1 - Deconstruction'!B88</f>
        <v>0.87737079908012983</v>
      </c>
      <c r="K5" s="1">
        <f>'D- Benefits &amp; Burdens'!N162</f>
        <v>-22.494739914875993</v>
      </c>
      <c r="L5" s="1">
        <f t="shared" ref="L5:L22" si="1">+SUM(C5:G5)</f>
        <v>50.142278055851769</v>
      </c>
      <c r="M5" s="1">
        <f t="shared" si="0"/>
        <v>55.350622340763579</v>
      </c>
      <c r="Q5" s="67"/>
    </row>
    <row r="6" spans="1:17" x14ac:dyDescent="0.35">
      <c r="A6" s="39" t="s">
        <v>166</v>
      </c>
      <c r="B6" s="39" t="s">
        <v>165</v>
      </c>
      <c r="C6" s="1">
        <f>'A1 - Raw Material Supply'!Z116</f>
        <v>0.16297154327773888</v>
      </c>
      <c r="D6" s="1">
        <f>'C3'' - Secondary Raw Material '!F322</f>
        <v>3.4471332246079752E-5</v>
      </c>
      <c r="E6" s="1">
        <f>'A2 - Transport'!Z120</f>
        <v>6.3360921788908281E-3</v>
      </c>
      <c r="F6" s="1">
        <f>'C2''- Transport Secondary'!H60</f>
        <v>5.3417016000000006E-4</v>
      </c>
      <c r="G6" s="1">
        <f>'A3 - Production '!D208</f>
        <v>6.7638324489906329E-3</v>
      </c>
      <c r="H6" s="1">
        <f>'A4 - Transport'!B19</f>
        <v>1.4837466477599999E-3</v>
      </c>
      <c r="I6" s="1">
        <f>'A5 - Construction'!E141</f>
        <v>2.3895789556239896E-4</v>
      </c>
      <c r="J6" s="1">
        <f>'C1 - Deconstruction'!B89</f>
        <v>1.8133028980664895E-4</v>
      </c>
      <c r="K6" s="1">
        <f>'D- Benefits &amp; Burdens'!N163</f>
        <v>-6.9545976880582047E-2</v>
      </c>
      <c r="L6" s="1">
        <f t="shared" si="1"/>
        <v>0.17664010939786642</v>
      </c>
      <c r="M6" s="1">
        <f t="shared" si="0"/>
        <v>0.17854414423099546</v>
      </c>
      <c r="Q6" s="67"/>
    </row>
    <row r="7" spans="1:17" x14ac:dyDescent="0.35">
      <c r="A7" s="39" t="s">
        <v>167</v>
      </c>
      <c r="B7" s="39" t="s">
        <v>165</v>
      </c>
      <c r="C7" s="1">
        <f>'A1 - Raw Material Supply'!Z117</f>
        <v>14.808843112853495</v>
      </c>
      <c r="D7" s="1">
        <f>'C3'' - Secondary Raw Material '!F323</f>
        <v>0.16674849071700243</v>
      </c>
      <c r="E7" s="1">
        <f>'A2 - Transport'!Z121</f>
        <v>13.79653932747777</v>
      </c>
      <c r="F7" s="1">
        <f>'C2''- Transport Secondary'!H61</f>
        <v>1.1423379024</v>
      </c>
      <c r="G7" s="1">
        <f>'A3 - Production '!D209</f>
        <v>20.046561376516376</v>
      </c>
      <c r="H7" s="1">
        <f>'A4 - Transport'!B20</f>
        <v>3.1730339135663996</v>
      </c>
      <c r="I7" s="1">
        <f>'A5 - Construction'!E142</f>
        <v>1.1559132134927155</v>
      </c>
      <c r="J7" s="1">
        <f>'C1 - Deconstruction'!B90</f>
        <v>0.87715066916144513</v>
      </c>
      <c r="K7" s="1">
        <f>'D- Benefits &amp; Burdens'!N164</f>
        <v>-22.424931714340261</v>
      </c>
      <c r="L7" s="1">
        <f t="shared" si="1"/>
        <v>49.961030209964647</v>
      </c>
      <c r="M7" s="1">
        <f t="shared" si="0"/>
        <v>55.167128006185209</v>
      </c>
      <c r="Q7" s="67"/>
    </row>
    <row r="8" spans="1:17" x14ac:dyDescent="0.35">
      <c r="A8" s="39" t="s">
        <v>168</v>
      </c>
      <c r="B8" s="39" t="s">
        <v>165</v>
      </c>
      <c r="C8" s="1">
        <f>'A1 - Raw Material Supply'!Z118</f>
        <v>7.4831548549377539E-3</v>
      </c>
      <c r="D8" s="1">
        <f>'C3'' - Secondary Raw Material '!F324</f>
        <v>7.375904486254632E-6</v>
      </c>
      <c r="E8" s="1">
        <f>'A2 - Transport'!Z122</f>
        <v>1.6083663529295441E-3</v>
      </c>
      <c r="F8" s="1">
        <f>'C2''- Transport Secondary'!H62</f>
        <v>9.0910799999999997E-5</v>
      </c>
      <c r="G8" s="1">
        <f>'A3 - Production '!D210</f>
        <v>3.5063105031793141E-3</v>
      </c>
      <c r="H8" s="1">
        <f>'A4 - Transport'!B21</f>
        <v>2.5251989879999996E-4</v>
      </c>
      <c r="I8" s="1">
        <f>'A5 - Construction'!E143</f>
        <v>5.1130330598264246E-5</v>
      </c>
      <c r="J8" s="1">
        <f>'C1 - Deconstruction'!B91</f>
        <v>3.8799628878016996E-5</v>
      </c>
      <c r="K8" s="1">
        <f>'D- Benefits &amp; Burdens'!N165</f>
        <v>-8.7887545434272678E-3</v>
      </c>
      <c r="L8" s="1">
        <f t="shared" si="1"/>
        <v>1.2696118415532866E-2</v>
      </c>
      <c r="M8" s="1">
        <f t="shared" si="0"/>
        <v>1.3038568273809146E-2</v>
      </c>
      <c r="Q8" s="67"/>
    </row>
    <row r="9" spans="1:17" x14ac:dyDescent="0.35">
      <c r="A9" s="39" t="s">
        <v>169</v>
      </c>
      <c r="B9" s="39" t="s">
        <v>170</v>
      </c>
      <c r="C9" s="1">
        <f>'A1 - Raw Material Supply'!Z119</f>
        <v>650.18825721666656</v>
      </c>
      <c r="D9" s="1">
        <f>'C3'' - Secondary Raw Material '!F325</f>
        <v>7.3693079401887573E-2</v>
      </c>
      <c r="E9" s="1">
        <f>'A2 - Transport'!Z123</f>
        <v>11.948914613974807</v>
      </c>
      <c r="F9" s="1">
        <f>'C2''- Transport Secondary'!H63</f>
        <v>0.98167643279999994</v>
      </c>
      <c r="G9" s="1">
        <f>'A3 - Production '!D211</f>
        <v>10.992850081682223</v>
      </c>
      <c r="H9" s="1">
        <f>'A4 - Transport'!B22</f>
        <v>2.7267699048407996</v>
      </c>
      <c r="I9" s="1">
        <f>'A5 - Construction'!E144</f>
        <v>0.51084602839481119</v>
      </c>
      <c r="J9" s="1">
        <f>'C1 - Deconstruction'!B92</f>
        <v>0.38764928924986203</v>
      </c>
      <c r="K9" s="1">
        <f>'D- Benefits &amp; Burdens'!N166</f>
        <v>-683.71146769254324</v>
      </c>
      <c r="L9" s="1">
        <f t="shared" si="1"/>
        <v>674.18539142452551</v>
      </c>
      <c r="M9" s="1">
        <f t="shared" si="0"/>
        <v>677.810656647011</v>
      </c>
      <c r="Q9" s="67"/>
    </row>
    <row r="10" spans="1:17" ht="29" x14ac:dyDescent="0.35">
      <c r="A10" s="39" t="s">
        <v>171</v>
      </c>
      <c r="B10" s="39" t="s">
        <v>172</v>
      </c>
      <c r="C10" s="1">
        <f>'A1 - Raw Material Supply'!Z120</f>
        <v>1058.8754990263421</v>
      </c>
      <c r="D10" s="1">
        <f>'C3'' - Secondary Raw Material '!F326</f>
        <v>2.2154215403498743</v>
      </c>
      <c r="E10" s="1">
        <f>'A2 - Transport'!Z124</f>
        <v>185.07588298947945</v>
      </c>
      <c r="F10" s="1">
        <f>'C2''- Transport Secondary'!H64</f>
        <v>15.383093471999999</v>
      </c>
      <c r="G10" s="1">
        <f>'A3 - Production '!D212</f>
        <v>373.88164528814639</v>
      </c>
      <c r="H10" s="1">
        <f>'A4 - Transport'!B23</f>
        <v>42.729105967391988</v>
      </c>
      <c r="I10" s="1">
        <f>'A5 - Construction'!E145</f>
        <v>15.357470529031247</v>
      </c>
      <c r="J10" s="1">
        <f>'C1 - Deconstruction'!B93</f>
        <v>11.65382953834693</v>
      </c>
      <c r="K10" s="1">
        <f>'D- Benefits &amp; Burdens'!N167</f>
        <v>-1209.2378412170788</v>
      </c>
      <c r="L10" s="1">
        <f t="shared" si="1"/>
        <v>1635.4315423163175</v>
      </c>
      <c r="M10" s="1">
        <f t="shared" si="0"/>
        <v>1705.1719483510874</v>
      </c>
      <c r="Q10" s="67"/>
    </row>
    <row r="11" spans="1:17" ht="29" x14ac:dyDescent="0.35">
      <c r="A11" s="39" t="s">
        <v>173</v>
      </c>
      <c r="B11" s="39" t="s">
        <v>174</v>
      </c>
      <c r="C11" s="1">
        <f>'A1 - Raw Material Supply'!Z121</f>
        <v>5.3015648842928654E-4</v>
      </c>
      <c r="D11" s="1">
        <f>'C3'' - Secondary Raw Material '!F327</f>
        <v>1.7631993026448645E-6</v>
      </c>
      <c r="E11" s="1">
        <f>'A2 - Transport'!Z125</f>
        <v>3.6222152931125864E-4</v>
      </c>
      <c r="F11" s="1">
        <f>'C2''- Transport Secondary'!H65</f>
        <v>2.6659368E-5</v>
      </c>
      <c r="G11" s="1">
        <f>'A3 - Production '!D213</f>
        <v>6.9167395399666928E-4</v>
      </c>
      <c r="H11" s="1">
        <f>'A4 - Transport'!B24</f>
        <v>7.4050837847999975E-5</v>
      </c>
      <c r="I11" s="1">
        <f>'A5 - Construction'!E146</f>
        <v>1.2222631600350229E-5</v>
      </c>
      <c r="J11" s="1">
        <f>'C1 - Deconstruction'!B94</f>
        <v>9.2749951830432911E-6</v>
      </c>
      <c r="K11" s="1">
        <f>'D- Benefits &amp; Burdens'!N168</f>
        <v>-8.6112063596716505E-4</v>
      </c>
      <c r="L11" s="1">
        <f t="shared" si="1"/>
        <v>1.6124745390398592E-3</v>
      </c>
      <c r="M11" s="1">
        <f t="shared" si="0"/>
        <v>1.7080230036712527E-3</v>
      </c>
      <c r="Q11" s="67"/>
    </row>
    <row r="12" spans="1:17" ht="29" x14ac:dyDescent="0.35">
      <c r="A12" s="39" t="s">
        <v>175</v>
      </c>
      <c r="B12" s="39" t="s">
        <v>176</v>
      </c>
      <c r="C12" s="1">
        <f>'A1 - Raw Material Supply'!Z122</f>
        <v>2.4586447930468547E-2</v>
      </c>
      <c r="D12" s="1">
        <f>'C3'' - Secondary Raw Material '!F328</f>
        <v>4.8220355792551409E-5</v>
      </c>
      <c r="E12" s="1">
        <f>'A2 - Transport'!Z126</f>
        <v>6.6852814419365685E-3</v>
      </c>
      <c r="F12" s="1">
        <f>'C2''- Transport Secondary'!H66</f>
        <v>3.7149983999999997E-4</v>
      </c>
      <c r="G12" s="1">
        <f>'A3 - Production '!D214</f>
        <v>5.2251500543832362E-3</v>
      </c>
      <c r="H12" s="1">
        <f>'A4 - Transport'!B25</f>
        <v>1.0319027222399997E-3</v>
      </c>
      <c r="I12" s="1">
        <f>'A5 - Construction'!E147</f>
        <v>3.3426717195615875E-4</v>
      </c>
      <c r="J12" s="1">
        <f>'C1 - Deconstruction'!B95</f>
        <v>2.5365457383613185E-4</v>
      </c>
      <c r="K12" s="1">
        <f>'D- Benefits &amp; Burdens'!N169</f>
        <v>-2.9158587268845206E-2</v>
      </c>
      <c r="L12" s="1">
        <f t="shared" si="1"/>
        <v>3.6916599622580905E-2</v>
      </c>
      <c r="M12" s="1">
        <f t="shared" si="0"/>
        <v>3.853642409061319E-2</v>
      </c>
      <c r="Q12" s="67"/>
    </row>
    <row r="13" spans="1:17" x14ac:dyDescent="0.35">
      <c r="A13" s="39" t="s">
        <v>177</v>
      </c>
      <c r="B13" s="39" t="s">
        <v>178</v>
      </c>
      <c r="C13" s="1">
        <f>'A1 - Raw Material Supply'!Z123</f>
        <v>0.29877826339714175</v>
      </c>
      <c r="D13" s="1">
        <f>'C3'' - Secondary Raw Material '!F329</f>
        <v>5.2421468666230769E-4</v>
      </c>
      <c r="E13" s="1">
        <f>'A2 - Transport'!Z127</f>
        <v>7.2624851604295632E-2</v>
      </c>
      <c r="F13" s="1">
        <f>'C2''- Transport Secondary'!H67</f>
        <v>4.0211496000000001E-3</v>
      </c>
      <c r="G13" s="1">
        <f>'A3 - Production '!D215</f>
        <v>5.6360284189102786E-2</v>
      </c>
      <c r="H13" s="1">
        <f>'A4 - Transport'!B26</f>
        <v>1.1169413205599998E-2</v>
      </c>
      <c r="I13" s="1">
        <f>'A5 - Construction'!E148</f>
        <v>3.6338960575558604E-3</v>
      </c>
      <c r="J13" s="1">
        <f>'C1 - Deconstruction'!B96</f>
        <v>2.7575377816790978E-3</v>
      </c>
      <c r="K13" s="1">
        <f>'D- Benefits &amp; Burdens'!N170</f>
        <v>-0.33632827070436905</v>
      </c>
      <c r="L13" s="1">
        <f t="shared" si="1"/>
        <v>0.43230876347720248</v>
      </c>
      <c r="M13" s="1">
        <f t="shared" si="0"/>
        <v>0.44986961052203744</v>
      </c>
      <c r="Q13" s="67"/>
    </row>
    <row r="14" spans="1:17" x14ac:dyDescent="0.35">
      <c r="A14" s="39" t="s">
        <v>179</v>
      </c>
      <c r="B14" s="39" t="s">
        <v>180</v>
      </c>
      <c r="C14" s="1">
        <f>'A1 - Raw Material Supply'!Z124</f>
        <v>1.1757070228563089E-8</v>
      </c>
      <c r="D14" s="1">
        <f>'C3'' - Secondary Raw Material '!F330</f>
        <v>1.0192646894973112E-11</v>
      </c>
      <c r="E14" s="1">
        <f>'A2 - Transport'!Z128</f>
        <v>1.2514113394662655E-9</v>
      </c>
      <c r="F14" s="1">
        <f>'C2''- Transport Secondary'!H68</f>
        <v>1.0130183999999999E-10</v>
      </c>
      <c r="G14" s="1">
        <f>'A3 - Production '!D216</f>
        <v>1.9844338543786491E-9</v>
      </c>
      <c r="H14" s="1">
        <f>'A4 - Transport'!B27</f>
        <v>2.8138274423999994E-10</v>
      </c>
      <c r="I14" s="1">
        <f>'A5 - Construction'!E149</f>
        <v>7.0656203097876641E-11</v>
      </c>
      <c r="J14" s="1">
        <f>'C1 - Deconstruction'!B97</f>
        <v>5.3616599502692708E-11</v>
      </c>
      <c r="K14" s="1">
        <f>'D- Benefits &amp; Burdens'!N171</f>
        <v>-1.2753929221029702E-8</v>
      </c>
      <c r="L14" s="1">
        <f t="shared" si="1"/>
        <v>1.5104409909302977E-8</v>
      </c>
      <c r="M14" s="1">
        <f t="shared" si="0"/>
        <v>1.551006545614355E-8</v>
      </c>
      <c r="Q14" s="67"/>
    </row>
    <row r="15" spans="1:17" x14ac:dyDescent="0.35">
      <c r="A15" s="39" t="s">
        <v>181</v>
      </c>
      <c r="B15" s="39" t="s">
        <v>180</v>
      </c>
      <c r="C15" s="1">
        <f>'A1 - Raw Material Supply'!Z125</f>
        <v>3.4312909533823945E-7</v>
      </c>
      <c r="D15" s="1">
        <f>'C3'' - Secondary Raw Material '!F331</f>
        <v>2.7167563726420761E-10</v>
      </c>
      <c r="E15" s="1">
        <f>'A2 - Transport'!Z129</f>
        <v>9.7004378226952321E-8</v>
      </c>
      <c r="F15" s="1">
        <f>'C2''- Transport Secondary'!H69</f>
        <v>8.2424160000000005E-9</v>
      </c>
      <c r="G15" s="1">
        <f>'A3 - Production '!D217</f>
        <v>3.8296404051255106E-8</v>
      </c>
      <c r="H15" s="1">
        <f>'A4 - Transport'!B28</f>
        <v>2.2894684175999996E-8</v>
      </c>
      <c r="I15" s="1">
        <f>'A5 - Construction'!E150</f>
        <v>1.8832761696818848E-9</v>
      </c>
      <c r="J15" s="1">
        <f>'C1 - Deconstruction'!B98</f>
        <v>1.4291011930392459E-9</v>
      </c>
      <c r="K15" s="1">
        <f>'D- Benefits &amp; Burdens'!N172</f>
        <v>-4.0422182106369618E-7</v>
      </c>
      <c r="L15" s="1">
        <f t="shared" si="1"/>
        <v>4.8694396925371113E-7</v>
      </c>
      <c r="M15" s="1">
        <f t="shared" si="0"/>
        <v>5.1315103079243229E-7</v>
      </c>
      <c r="Q15" s="67"/>
    </row>
    <row r="16" spans="1:17" ht="29" x14ac:dyDescent="0.35">
      <c r="A16" s="39" t="s">
        <v>182</v>
      </c>
      <c r="B16" s="39" t="s">
        <v>183</v>
      </c>
      <c r="C16" s="1">
        <f>'A1 - Raw Material Supply'!Z126</f>
        <v>0.44489084391767153</v>
      </c>
      <c r="D16" s="1">
        <f>'C3'' - Secondary Raw Material '!F332</f>
        <v>6.6519868279014841E-4</v>
      </c>
      <c r="E16" s="1">
        <f>'A2 - Transport'!Z130</f>
        <v>0.10076905624303371</v>
      </c>
      <c r="F16" s="1">
        <f>'C2''- Transport Secondary'!H70</f>
        <v>6.9754032000000007E-3</v>
      </c>
      <c r="G16" s="1">
        <f>'A3 - Production '!D218</f>
        <v>2.4461732204327431</v>
      </c>
      <c r="H16" s="1">
        <f>'A4 - Transport'!B29</f>
        <v>1.9375344955199998E-2</v>
      </c>
      <c r="I16" s="1">
        <f>'A5 - Construction'!E151</f>
        <v>4.6112078359980043E-3</v>
      </c>
      <c r="J16" s="1">
        <f>'C1 - Deconstruction'!B99</f>
        <v>3.4991589262714472E-3</v>
      </c>
      <c r="K16" s="1">
        <f>'D- Benefits &amp; Burdens'!N173</f>
        <v>-0.56467359053857702</v>
      </c>
      <c r="L16" s="1">
        <f t="shared" si="1"/>
        <v>2.9994737224762384</v>
      </c>
      <c r="M16" s="1">
        <f t="shared" si="0"/>
        <v>3.0269594341937078</v>
      </c>
      <c r="Q16" s="67"/>
    </row>
    <row r="17" spans="1:17" x14ac:dyDescent="0.35">
      <c r="A17" s="39" t="s">
        <v>184</v>
      </c>
      <c r="B17" s="39" t="s">
        <v>185</v>
      </c>
      <c r="C17" s="1">
        <f>'A1 - Raw Material Supply'!Z127</f>
        <v>401.39468881796523</v>
      </c>
      <c r="D17" s="1">
        <f>'C3'' - Secondary Raw Material '!F333</f>
        <v>0.11390463257521803</v>
      </c>
      <c r="E17" s="1">
        <f>'A2 - Transport'!Z131</f>
        <v>16.136054034105701</v>
      </c>
      <c r="F17" s="1">
        <f>'C2''- Transport Secondary'!H71</f>
        <v>0.97031890079999994</v>
      </c>
      <c r="G17" s="1">
        <f>'A3 - Production '!D219</f>
        <v>12.779598185982927</v>
      </c>
      <c r="H17" s="1">
        <f>'A4 - Transport'!B30</f>
        <v>2.6952224667887998</v>
      </c>
      <c r="I17" s="1">
        <f>'A5 - Construction'!E152</f>
        <v>0.78959557178350104</v>
      </c>
      <c r="J17" s="1">
        <f>'C1 - Deconstruction'!B100</f>
        <v>0.59917498655808599</v>
      </c>
      <c r="K17" s="1">
        <f>'D- Benefits &amp; Burdens'!N174</f>
        <v>-501.35961764632674</v>
      </c>
      <c r="L17" s="1">
        <f t="shared" si="1"/>
        <v>431.3945645714291</v>
      </c>
      <c r="M17" s="1">
        <f t="shared" si="0"/>
        <v>435.47855759655943</v>
      </c>
      <c r="Q17" s="67"/>
    </row>
    <row r="18" spans="1:17" ht="29" x14ac:dyDescent="0.35">
      <c r="A18" s="39" t="s">
        <v>186</v>
      </c>
      <c r="B18" s="39" t="s">
        <v>187</v>
      </c>
      <c r="C18" s="1">
        <f>'A1 - Raw Material Supply'!Z128</f>
        <v>2.0795783695376033E-4</v>
      </c>
      <c r="D18" s="1">
        <f>'C3'' - Secondary Raw Material '!F334</f>
        <v>2.6007934671855809E-8</v>
      </c>
      <c r="E18" s="1">
        <f>'A2 - Transport'!Z132</f>
        <v>1.5395168857975265E-5</v>
      </c>
      <c r="F18" s="1">
        <f>'C2''- Transport Secondary'!H72</f>
        <v>1.2609863999999999E-6</v>
      </c>
      <c r="G18" s="1">
        <f>'A3 - Production '!D220</f>
        <v>2.9980047636954735E-5</v>
      </c>
      <c r="H18" s="1">
        <f>'A4 - Transport'!B31</f>
        <v>3.5025998903999994E-6</v>
      </c>
      <c r="I18" s="1">
        <f>'A5 - Construction'!E153</f>
        <v>1.8028898020957092E-7</v>
      </c>
      <c r="J18" s="1">
        <f>'C1 - Deconstruction'!B101</f>
        <v>1.3681009766764487E-7</v>
      </c>
      <c r="K18" s="1">
        <f>'D- Benefits &amp; Burdens'!N175</f>
        <v>-1.6744695790738401E-5</v>
      </c>
      <c r="L18" s="1">
        <f t="shared" si="1"/>
        <v>2.5462004778336217E-4</v>
      </c>
      <c r="M18" s="1">
        <f t="shared" si="0"/>
        <v>2.5843974675163938E-4</v>
      </c>
      <c r="Q18" s="67"/>
    </row>
    <row r="19" spans="1:17" x14ac:dyDescent="0.35">
      <c r="A19" s="39" t="s">
        <v>188</v>
      </c>
      <c r="B19" s="39" t="s">
        <v>189</v>
      </c>
      <c r="C19" s="1">
        <f>'A1 - Raw Material Supply'!Z129</f>
        <v>4.6319126062617698E-8</v>
      </c>
      <c r="D19" s="1">
        <f>'C3'' - Secondary Raw Material '!F335</f>
        <v>3.7585564815097762E-9</v>
      </c>
      <c r="E19" s="1">
        <f>'A2 - Transport'!Z133</f>
        <v>3.0471377134428263E-7</v>
      </c>
      <c r="F19" s="1">
        <f>'C2''- Transport Secondary'!H73</f>
        <v>2.5414703999999998E-8</v>
      </c>
      <c r="G19" s="1">
        <f>'A3 - Production '!D221</f>
        <v>2.6963662838574704E-6</v>
      </c>
      <c r="H19" s="1">
        <f>'A4 - Transport'!B32</f>
        <v>7.0593576143999996E-8</v>
      </c>
      <c r="I19" s="1">
        <f>'A5 - Construction'!E154</f>
        <v>2.6054599246773572E-8</v>
      </c>
      <c r="J19" s="1">
        <f>'C1 - Deconstruction'!B102</f>
        <v>1.9771215431464347E-8</v>
      </c>
      <c r="K19" s="1">
        <f>'D- Benefits &amp; Burdens'!N176</f>
        <v>-2.0366864110190814E-7</v>
      </c>
      <c r="L19" s="1">
        <f t="shared" si="1"/>
        <v>3.0765724417458805E-6</v>
      </c>
      <c r="M19" s="1">
        <f t="shared" si="0"/>
        <v>3.1929918325681183E-6</v>
      </c>
      <c r="Q19" s="67"/>
    </row>
    <row r="20" spans="1:17" x14ac:dyDescent="0.35">
      <c r="A20" s="39" t="s">
        <v>190</v>
      </c>
      <c r="B20" s="39" t="s">
        <v>191</v>
      </c>
      <c r="C20" s="1">
        <f>'A1 - Raw Material Supply'!Z130</f>
        <v>1.3363575705040781E-6</v>
      </c>
      <c r="D20" s="1">
        <f>'C3'' - Secondary Raw Material '!F336</f>
        <v>1.6427613993186483E-9</v>
      </c>
      <c r="E20" s="1">
        <f>'A2 - Transport'!Z134</f>
        <v>8.3105177829253952E-7</v>
      </c>
      <c r="F20" s="1">
        <f>'C2''- Transport Secondary'!H74</f>
        <v>7.0844903999999993E-8</v>
      </c>
      <c r="G20" s="1">
        <f>'A3 - Production '!D222</f>
        <v>8.8490791124389334E-8</v>
      </c>
      <c r="H20" s="1">
        <f>'A4 - Transport'!B33</f>
        <v>1.9678352834399996E-7</v>
      </c>
      <c r="I20" s="1">
        <f>'A5 - Construction'!E155</f>
        <v>1.138774689907637E-8</v>
      </c>
      <c r="J20" s="1">
        <f>'C1 - Deconstruction'!B103</f>
        <v>8.6414530919530463E-9</v>
      </c>
      <c r="K20" s="1">
        <f>'D- Benefits &amp; Burdens'!N177</f>
        <v>-1.7360814144658524E-6</v>
      </c>
      <c r="L20" s="1">
        <f t="shared" si="1"/>
        <v>2.3283878053203251E-6</v>
      </c>
      <c r="M20" s="1">
        <f t="shared" si="0"/>
        <v>2.5452005336553544E-6</v>
      </c>
      <c r="Q20" s="67"/>
    </row>
    <row r="21" spans="1:17" ht="29" x14ac:dyDescent="0.35">
      <c r="A21" s="39" t="s">
        <v>192</v>
      </c>
      <c r="B21" s="39" t="s">
        <v>193</v>
      </c>
      <c r="C21" s="1">
        <f>'A1 - Raw Material Supply'!Z131</f>
        <v>9.2082658373174656E-2</v>
      </c>
      <c r="D21" s="1">
        <f>'C3'' - Secondary Raw Material '!F337</f>
        <v>4.1082738634614822E-4</v>
      </c>
      <c r="E21" s="1">
        <f>'A2 - Transport'!Z135</f>
        <v>4.1643282065384486E-2</v>
      </c>
      <c r="F21" s="1">
        <f>'C2''- Transport Secondary'!H75</f>
        <v>2.9715551999999995E-3</v>
      </c>
      <c r="G21" s="1">
        <f>'A3 - Production '!D223</f>
        <v>1.9038675305987823E-2</v>
      </c>
      <c r="H21" s="1">
        <f>'A4 - Transport'!B34</f>
        <v>8.2539898271999975E-3</v>
      </c>
      <c r="I21" s="1">
        <f>'A5 - Construction'!E156</f>
        <v>2.8478866723185801E-3</v>
      </c>
      <c r="J21" s="1">
        <f>'C1 - Deconstruction'!B104</f>
        <v>2.1610841291208631E-3</v>
      </c>
      <c r="K21" s="1">
        <f>'D- Benefits &amp; Burdens'!N178</f>
        <v>-0.11581316017071666</v>
      </c>
      <c r="L21" s="1">
        <f t="shared" si="1"/>
        <v>0.15614699833089313</v>
      </c>
      <c r="M21" s="1">
        <f t="shared" si="0"/>
        <v>0.16940995895953256</v>
      </c>
      <c r="Q21" s="67"/>
    </row>
    <row r="22" spans="1:17" ht="29" x14ac:dyDescent="0.35">
      <c r="A22" s="39" t="s">
        <v>194</v>
      </c>
      <c r="B22" s="39" t="s">
        <v>195</v>
      </c>
      <c r="C22" s="1">
        <f>'A1 - Raw Material Supply'!Z132</f>
        <v>4.2633212054643304</v>
      </c>
      <c r="D22" s="1">
        <f>'C3'' - Secondary Raw Material '!F338</f>
        <v>2.9984053368853725E-3</v>
      </c>
      <c r="E22" s="1">
        <f>'A2 - Transport'!Z136</f>
        <v>0.461792925477095</v>
      </c>
      <c r="F22" s="1">
        <f>'C2''- Transport Secondary'!H76</f>
        <v>3.5036560799999998E-2</v>
      </c>
      <c r="G22" s="1">
        <f>'A3 - Production '!D224</f>
        <v>0.83193279722540636</v>
      </c>
      <c r="H22" s="1">
        <f>'A4 - Transport'!B35</f>
        <v>9.7319887048799986E-2</v>
      </c>
      <c r="I22" s="1">
        <f>'A5 - Construction'!E157</f>
        <v>2.0785173727269492E-2</v>
      </c>
      <c r="J22" s="1">
        <f>'C1 - Deconstruction'!B105</f>
        <v>1.5772576029667661E-2</v>
      </c>
      <c r="K22" s="1">
        <f>'D- Benefits &amp; Burdens'!N179</f>
        <v>-4.7592100043512344</v>
      </c>
      <c r="L22" s="1">
        <f t="shared" si="1"/>
        <v>5.5950818943037177</v>
      </c>
      <c r="M22" s="1">
        <f t="shared" si="0"/>
        <v>5.7289595311094548</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8.9804895667322328E-5</v>
      </c>
      <c r="E28" s="1">
        <f t="shared" ref="E28" si="3">(D4/$B28)*$C28</f>
        <v>2.3778484406484672E-7</v>
      </c>
      <c r="F28" s="1">
        <f t="shared" ref="F28" si="4">(E4/$B28)*$C28</f>
        <v>2.7842457432627647E-5</v>
      </c>
      <c r="G28" s="1">
        <f t="shared" ref="G28" si="5">(F4/$B28)*$C28</f>
        <v>1.9005881438848917E-6</v>
      </c>
      <c r="H28" s="1">
        <f t="shared" ref="H28" si="6">(G4/$B28)*$C28</f>
        <v>2.2318621294909385E-5</v>
      </c>
      <c r="I28" s="1">
        <f t="shared" ref="I28" si="7">(H4/$B28)*$C28</f>
        <v>5.279200334330934E-6</v>
      </c>
      <c r="J28" s="1">
        <f t="shared" ref="J28" si="8">(I4/$B28)*$C28</f>
        <v>1.6483426149226037E-6</v>
      </c>
      <c r="K28" s="1">
        <f t="shared" ref="K28" si="9">(J4/$B28)*$C28</f>
        <v>1.2508247252558979E-6</v>
      </c>
      <c r="L28" s="1">
        <f t="shared" ref="L28" si="10">(K4/$B28)*$C28</f>
        <v>-1.0297394816966627E-4</v>
      </c>
      <c r="M28" s="1">
        <f>SUM(D28:H28)*1000</f>
        <v>0.14210434738280908</v>
      </c>
      <c r="N28" s="1">
        <f>SUM(D28:K28)*1000</f>
        <v>0.15028271505731852</v>
      </c>
      <c r="O28" s="1">
        <f>SUM(D28:L28)*1000</f>
        <v>4.7308766887652245E-2</v>
      </c>
    </row>
    <row r="29" spans="1:17" x14ac:dyDescent="0.35">
      <c r="A29" s="39" t="s">
        <v>164</v>
      </c>
      <c r="B29" s="154">
        <v>8100</v>
      </c>
      <c r="C29" s="154">
        <v>0.21059999999999998</v>
      </c>
      <c r="D29" s="1">
        <f t="shared" ref="D29:D46" si="11">(C5/$B29)*$C29</f>
        <v>3.8925144468564049E-4</v>
      </c>
      <c r="E29" s="1">
        <f t="shared" ref="E29:E46" si="12">(D5/$B29)*$C29</f>
        <v>4.3365487867971042E-6</v>
      </c>
      <c r="F29" s="1">
        <f t="shared" ref="F29:F46" si="13">(E5/$B29)*$C29</f>
        <v>3.589165788687261E-4</v>
      </c>
      <c r="G29" s="1">
        <f t="shared" ref="G29:G46" si="14">(F5/$B29)*$C29</f>
        <v>2.9717037604799998E-5</v>
      </c>
      <c r="H29" s="1">
        <f t="shared" ref="H29:H46" si="15">(G5/$B29)*$C29</f>
        <v>5.2147761950618215E-4</v>
      </c>
      <c r="I29" s="1">
        <f t="shared" ref="I29:I46" si="16">(H5/$B29)*$C29</f>
        <v>8.2544024786932775E-5</v>
      </c>
      <c r="J29" s="1">
        <f t="shared" ref="J29:J46" si="17">(I5/$B29)*$C29</f>
        <v>3.0061285844690778E-5</v>
      </c>
      <c r="K29" s="1">
        <f t="shared" ref="K29:K46" si="18">(J5/$B29)*$C29</f>
        <v>2.2811640776083373E-5</v>
      </c>
      <c r="L29" s="1">
        <f t="shared" ref="L29:L46" si="19">(K5/$B29)*$C29</f>
        <v>-5.8486323778677576E-4</v>
      </c>
      <c r="M29" s="1">
        <f>SUM(D29:H29)*1000</f>
        <v>1.3036992294521459</v>
      </c>
      <c r="N29" s="1">
        <f t="shared" ref="N29:N46" si="20">SUM(D29:K29)*1000</f>
        <v>1.4391161808598529</v>
      </c>
      <c r="O29" s="1">
        <f>SUM(D29:L29)*1000</f>
        <v>0.8542529430730772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2.9235631237845428E-4</v>
      </c>
      <c r="E33" s="1">
        <f t="shared" si="12"/>
        <v>3.3135998232230473E-8</v>
      </c>
      <c r="F33" s="1">
        <f t="shared" si="13"/>
        <v>5.3728140653001471E-6</v>
      </c>
      <c r="G33" s="1">
        <f t="shared" si="14"/>
        <v>4.4140954355409827E-7</v>
      </c>
      <c r="H33" s="1">
        <f t="shared" si="15"/>
        <v>4.9429208798196405E-6</v>
      </c>
      <c r="I33" s="1">
        <f t="shared" si="16"/>
        <v>1.2260885754787671E-6</v>
      </c>
      <c r="J33" s="1">
        <f t="shared" si="17"/>
        <v>2.2970125866932963E-7</v>
      </c>
      <c r="K33" s="1">
        <f t="shared" si="18"/>
        <v>1.7430600359712764E-7</v>
      </c>
      <c r="L33" s="1">
        <f t="shared" si="19"/>
        <v>-3.0742998078915292E-4</v>
      </c>
      <c r="M33" s="1">
        <f t="shared" ref="M33:M46" si="21">SUM(D33:H33)*1000</f>
        <v>0.30314659286536039</v>
      </c>
      <c r="N33" s="1">
        <f t="shared" si="20"/>
        <v>0.30477668870310559</v>
      </c>
      <c r="O33" s="1">
        <f t="shared" ref="O33:O46" si="22">SUM(D33:L33)*1000</f>
        <v>-2.6532920860473279E-3</v>
      </c>
    </row>
    <row r="34" spans="1:15" x14ac:dyDescent="0.35">
      <c r="A34" s="39" t="s">
        <v>171</v>
      </c>
      <c r="B34" s="154">
        <v>65000</v>
      </c>
      <c r="C34" s="154">
        <v>7.5499999999999998E-2</v>
      </c>
      <c r="D34" s="1">
        <f t="shared" si="11"/>
        <v>1.2299246180998281E-3</v>
      </c>
      <c r="E34" s="1">
        <f t="shared" si="12"/>
        <v>2.5732973276371616E-6</v>
      </c>
      <c r="F34" s="1">
        <f t="shared" si="13"/>
        <v>2.1497275639547229E-4</v>
      </c>
      <c r="G34" s="1">
        <f t="shared" si="14"/>
        <v>1.786805472516923E-5</v>
      </c>
      <c r="H34" s="1">
        <f t="shared" si="15"/>
        <v>4.3427791106546233E-4</v>
      </c>
      <c r="I34" s="1">
        <f t="shared" si="16"/>
        <v>4.9631500008278386E-5</v>
      </c>
      <c r="J34" s="1">
        <f t="shared" si="17"/>
        <v>1.7838292691413218E-5</v>
      </c>
      <c r="K34" s="1">
        <f t="shared" si="18"/>
        <v>1.3536371233002972E-5</v>
      </c>
      <c r="L34" s="1">
        <f t="shared" si="19"/>
        <v>-1.4045762617213762E-3</v>
      </c>
      <c r="M34" s="1">
        <f t="shared" si="21"/>
        <v>1.899616637613569</v>
      </c>
      <c r="N34" s="1">
        <f t="shared" si="20"/>
        <v>1.9806228015462635</v>
      </c>
      <c r="O34" s="1">
        <f t="shared" si="22"/>
        <v>0.57604653982488729</v>
      </c>
    </row>
    <row r="35" spans="1:15" x14ac:dyDescent="0.35">
      <c r="A35" s="39" t="s">
        <v>173</v>
      </c>
      <c r="B35" s="154">
        <v>1.61</v>
      </c>
      <c r="C35" s="154">
        <v>2.7999999999999997E-2</v>
      </c>
      <c r="D35" s="1">
        <f t="shared" si="11"/>
        <v>9.2201128422484591E-6</v>
      </c>
      <c r="E35" s="1">
        <f t="shared" si="12"/>
        <v>3.0664335698171552E-8</v>
      </c>
      <c r="F35" s="1">
        <f t="shared" si="13"/>
        <v>6.2995048575871054E-6</v>
      </c>
      <c r="G35" s="1">
        <f t="shared" si="14"/>
        <v>4.636411826086956E-7</v>
      </c>
      <c r="H35" s="1">
        <f t="shared" si="15"/>
        <v>1.2029112243420333E-5</v>
      </c>
      <c r="I35" s="1">
        <f t="shared" si="16"/>
        <v>1.2878406582260863E-6</v>
      </c>
      <c r="J35" s="1">
        <f t="shared" si="17"/>
        <v>2.1256750609304743E-7</v>
      </c>
      <c r="K35" s="1">
        <f t="shared" si="18"/>
        <v>1.6130426405292678E-7</v>
      </c>
      <c r="L35" s="1">
        <f t="shared" si="19"/>
        <v>-1.4976011060298521E-5</v>
      </c>
      <c r="M35" s="1">
        <f t="shared" si="21"/>
        <v>2.8043035461562765E-2</v>
      </c>
      <c r="N35" s="1">
        <f t="shared" si="20"/>
        <v>2.9704747889934827E-2</v>
      </c>
      <c r="O35" s="1">
        <f t="shared" si="22"/>
        <v>1.4728736829636305E-2</v>
      </c>
    </row>
    <row r="36" spans="1:15" x14ac:dyDescent="0.35">
      <c r="A36" s="39" t="s">
        <v>175</v>
      </c>
      <c r="B36" s="154">
        <v>19.5</v>
      </c>
      <c r="C36" s="154">
        <v>2.9600000000000001E-2</v>
      </c>
      <c r="D36" s="1">
        <f t="shared" si="11"/>
        <v>3.732096711496764E-5</v>
      </c>
      <c r="E36" s="1">
        <f t="shared" si="12"/>
        <v>7.3196027254334448E-8</v>
      </c>
      <c r="F36" s="1">
        <f t="shared" si="13"/>
        <v>1.0147914393913971E-5</v>
      </c>
      <c r="G36" s="1">
        <f t="shared" si="14"/>
        <v>5.639177058461538E-7</v>
      </c>
      <c r="H36" s="1">
        <f t="shared" si="15"/>
        <v>7.9315098261407083E-6</v>
      </c>
      <c r="I36" s="1">
        <f t="shared" si="16"/>
        <v>1.5663754142719996E-6</v>
      </c>
      <c r="J36" s="1">
        <f t="shared" si="17"/>
        <v>5.0740042512319476E-7</v>
      </c>
      <c r="K36" s="1">
        <f t="shared" si="18"/>
        <v>3.8503463515638476E-7</v>
      </c>
      <c r="L36" s="1">
        <f t="shared" si="19"/>
        <v>-4.4261240161939389E-5</v>
      </c>
      <c r="M36" s="1">
        <f t="shared" si="21"/>
        <v>5.60375050681228E-2</v>
      </c>
      <c r="N36" s="1">
        <f t="shared" si="20"/>
        <v>5.8496315542674385E-2</v>
      </c>
      <c r="O36" s="1">
        <f t="shared" si="22"/>
        <v>1.4235075380734995E-2</v>
      </c>
    </row>
    <row r="37" spans="1:15" x14ac:dyDescent="0.35">
      <c r="A37" s="39" t="s">
        <v>177</v>
      </c>
      <c r="B37" s="154">
        <v>177</v>
      </c>
      <c r="C37" s="154">
        <v>3.7100000000000001E-2</v>
      </c>
      <c r="D37" s="1">
        <f t="shared" si="11"/>
        <v>6.2625274418270962E-5</v>
      </c>
      <c r="E37" s="1">
        <f t="shared" si="12"/>
        <v>1.0987776765633682E-7</v>
      </c>
      <c r="F37" s="1">
        <f t="shared" si="13"/>
        <v>1.5222497144177221E-5</v>
      </c>
      <c r="G37" s="1">
        <f t="shared" si="14"/>
        <v>8.4285113084745771E-7</v>
      </c>
      <c r="H37" s="1">
        <f t="shared" si="15"/>
        <v>1.1813370301783691E-5</v>
      </c>
      <c r="I37" s="1">
        <f t="shared" si="16"/>
        <v>2.3411594911172881E-6</v>
      </c>
      <c r="J37" s="1">
        <f t="shared" si="17"/>
        <v>7.6168103805266902E-7</v>
      </c>
      <c r="K37" s="1">
        <f t="shared" si="18"/>
        <v>5.7799238248753979E-7</v>
      </c>
      <c r="L37" s="1">
        <f t="shared" si="19"/>
        <v>-7.0495925667412955E-5</v>
      </c>
      <c r="M37" s="1">
        <f t="shared" si="21"/>
        <v>9.0613870762735679E-2</v>
      </c>
      <c r="N37" s="1">
        <f t="shared" si="20"/>
        <v>9.4294703674393174E-2</v>
      </c>
      <c r="O37" s="1">
        <f t="shared" si="22"/>
        <v>2.3798778006980215E-2</v>
      </c>
    </row>
    <row r="38" spans="1:15" x14ac:dyDescent="0.35">
      <c r="A38" s="39" t="s">
        <v>179</v>
      </c>
      <c r="B38" s="154">
        <v>1.6900000000000001E-5</v>
      </c>
      <c r="C38" s="154">
        <v>2.1299999999999999E-2</v>
      </c>
      <c r="D38" s="1">
        <f t="shared" si="11"/>
        <v>1.4818082595762946E-5</v>
      </c>
      <c r="E38" s="1">
        <f t="shared" si="12"/>
        <v>1.2846353778871438E-8</v>
      </c>
      <c r="F38" s="1">
        <f t="shared" si="13"/>
        <v>1.5772225757770091E-6</v>
      </c>
      <c r="G38" s="1">
        <f t="shared" si="14"/>
        <v>1.2767628355029584E-7</v>
      </c>
      <c r="H38" s="1">
        <f t="shared" si="15"/>
        <v>2.5010911892464626E-6</v>
      </c>
      <c r="I38" s="1">
        <f t="shared" si="16"/>
        <v>3.5464215694153836E-7</v>
      </c>
      <c r="J38" s="1">
        <f t="shared" si="17"/>
        <v>8.9051900945844519E-8</v>
      </c>
      <c r="K38" s="1">
        <f t="shared" si="18"/>
        <v>6.7575950852506183E-8</v>
      </c>
      <c r="L38" s="1">
        <f t="shared" si="19"/>
        <v>-1.6074478840706072E-5</v>
      </c>
      <c r="M38" s="1">
        <f t="shared" si="21"/>
        <v>1.9036918998115587E-2</v>
      </c>
      <c r="N38" s="1">
        <f t="shared" si="20"/>
        <v>1.9548189006855475E-2</v>
      </c>
      <c r="O38" s="1">
        <f t="shared" si="22"/>
        <v>3.4737101661494033E-3</v>
      </c>
    </row>
    <row r="39" spans="1:15" x14ac:dyDescent="0.35">
      <c r="A39" s="39" t="s">
        <v>181</v>
      </c>
      <c r="B39" s="154">
        <v>2.3000000000000001E-4</v>
      </c>
      <c r="C39" s="154">
        <v>1.84E-2</v>
      </c>
      <c r="D39" s="1">
        <f t="shared" si="11"/>
        <v>2.7450327627059156E-5</v>
      </c>
      <c r="E39" s="1">
        <f t="shared" si="12"/>
        <v>2.1734050981136607E-8</v>
      </c>
      <c r="F39" s="1">
        <f t="shared" si="13"/>
        <v>7.7603502581561853E-6</v>
      </c>
      <c r="G39" s="1">
        <f t="shared" si="14"/>
        <v>6.5939327999999996E-7</v>
      </c>
      <c r="H39" s="1">
        <f t="shared" si="15"/>
        <v>3.0637123241004084E-6</v>
      </c>
      <c r="I39" s="1">
        <f t="shared" si="16"/>
        <v>1.8315747340799997E-6</v>
      </c>
      <c r="J39" s="1">
        <f t="shared" si="17"/>
        <v>1.5066209357455078E-7</v>
      </c>
      <c r="K39" s="1">
        <f t="shared" si="18"/>
        <v>1.1432809544313966E-7</v>
      </c>
      <c r="L39" s="1">
        <f t="shared" si="19"/>
        <v>-3.2337745685095694E-5</v>
      </c>
      <c r="M39" s="1">
        <f t="shared" si="21"/>
        <v>3.8955517540296886E-2</v>
      </c>
      <c r="N39" s="1">
        <f t="shared" si="20"/>
        <v>4.1052082463394569E-2</v>
      </c>
      <c r="O39" s="1">
        <f t="shared" si="22"/>
        <v>8.7143367782988763E-3</v>
      </c>
    </row>
    <row r="40" spans="1:15" x14ac:dyDescent="0.35">
      <c r="A40" s="39" t="s">
        <v>182</v>
      </c>
      <c r="B40" s="154">
        <v>4220</v>
      </c>
      <c r="C40" s="154">
        <v>5.0099999999999999E-2</v>
      </c>
      <c r="D40" s="1">
        <f t="shared" si="11"/>
        <v>5.281760966889892E-6</v>
      </c>
      <c r="E40" s="1">
        <f t="shared" si="12"/>
        <v>7.8972639828877798E-9</v>
      </c>
      <c r="F40" s="1">
        <f t="shared" si="13"/>
        <v>1.196334056345021E-6</v>
      </c>
      <c r="G40" s="1">
        <f t="shared" si="14"/>
        <v>8.2812251260663508E-8</v>
      </c>
      <c r="H40" s="1">
        <f t="shared" si="15"/>
        <v>2.9041061218881617E-5</v>
      </c>
      <c r="I40" s="1">
        <f t="shared" si="16"/>
        <v>2.3002482991836962E-7</v>
      </c>
      <c r="J40" s="1">
        <f t="shared" si="17"/>
        <v>5.4744434261492891E-8</v>
      </c>
      <c r="K40" s="1">
        <f t="shared" si="18"/>
        <v>4.1542147442227365E-8</v>
      </c>
      <c r="L40" s="1">
        <f t="shared" si="19"/>
        <v>-6.7038262762992204E-6</v>
      </c>
      <c r="M40" s="1">
        <f t="shared" si="21"/>
        <v>3.5609865757360082E-2</v>
      </c>
      <c r="N40" s="1">
        <f t="shared" si="20"/>
        <v>3.5936177168982175E-2</v>
      </c>
      <c r="O40" s="1">
        <f t="shared" si="22"/>
        <v>2.9232350892682953E-2</v>
      </c>
    </row>
    <row r="41" spans="1:15" x14ac:dyDescent="0.35">
      <c r="A41" s="39" t="s">
        <v>184</v>
      </c>
      <c r="B41" s="154">
        <v>819000</v>
      </c>
      <c r="C41" s="154">
        <v>7.9399999999999998E-2</v>
      </c>
      <c r="D41" s="1">
        <f t="shared" si="11"/>
        <v>3.8914210368921177E-5</v>
      </c>
      <c r="E41" s="1">
        <f t="shared" si="12"/>
        <v>1.1042769018891711E-8</v>
      </c>
      <c r="F41" s="1">
        <f t="shared" si="13"/>
        <v>1.5643500492161081E-6</v>
      </c>
      <c r="G41" s="1">
        <f t="shared" si="14"/>
        <v>9.4069988673406589E-8</v>
      </c>
      <c r="H41" s="1">
        <f t="shared" si="15"/>
        <v>1.2389500561258172E-6</v>
      </c>
      <c r="I41" s="1">
        <f t="shared" si="16"/>
        <v>2.6129507187183238E-7</v>
      </c>
      <c r="J41" s="1">
        <f t="shared" si="17"/>
        <v>7.6549314285238074E-8</v>
      </c>
      <c r="K41" s="1">
        <f t="shared" si="18"/>
        <v>5.8088515180356561E-8</v>
      </c>
      <c r="L41" s="1">
        <f t="shared" si="19"/>
        <v>-4.8605560001365497E-5</v>
      </c>
      <c r="M41" s="1">
        <f t="shared" si="21"/>
        <v>4.1822623231955403E-2</v>
      </c>
      <c r="N41" s="1">
        <f t="shared" si="20"/>
        <v>4.2218556133292832E-2</v>
      </c>
      <c r="O41" s="1">
        <f t="shared" si="22"/>
        <v>-6.3870038680726628E-3</v>
      </c>
    </row>
    <row r="42" spans="1:15" x14ac:dyDescent="0.35">
      <c r="A42" s="39" t="s">
        <v>186</v>
      </c>
      <c r="B42" s="154">
        <v>65000</v>
      </c>
      <c r="C42" s="154">
        <v>8.3199999999999996E-2</v>
      </c>
      <c r="D42" s="1">
        <f t="shared" si="11"/>
        <v>2.661860313008132E-10</v>
      </c>
      <c r="E42" s="1">
        <f t="shared" si="12"/>
        <v>3.3290156379975435E-14</v>
      </c>
      <c r="F42" s="1">
        <f t="shared" si="13"/>
        <v>1.9705816138208339E-11</v>
      </c>
      <c r="G42" s="1">
        <f t="shared" si="14"/>
        <v>1.6140625919999996E-12</v>
      </c>
      <c r="H42" s="1">
        <f t="shared" si="15"/>
        <v>3.8374460975302063E-11</v>
      </c>
      <c r="I42" s="1">
        <f t="shared" si="16"/>
        <v>4.4833278597119991E-12</v>
      </c>
      <c r="J42" s="1">
        <f t="shared" si="17"/>
        <v>2.3076989466825078E-13</v>
      </c>
      <c r="K42" s="1">
        <f t="shared" si="18"/>
        <v>1.7511692501458543E-13</v>
      </c>
      <c r="L42" s="1">
        <f t="shared" si="19"/>
        <v>-2.1433210612145153E-11</v>
      </c>
      <c r="M42" s="1">
        <f t="shared" si="21"/>
        <v>3.2591366116270357E-7</v>
      </c>
      <c r="N42" s="1">
        <f t="shared" si="20"/>
        <v>3.3080287584209837E-7</v>
      </c>
      <c r="O42" s="1">
        <f t="shared" si="22"/>
        <v>3.0936966522995322E-7</v>
      </c>
    </row>
    <row r="43" spans="1:15" x14ac:dyDescent="0.35">
      <c r="A43" s="39" t="s">
        <v>188</v>
      </c>
      <c r="B43" s="154">
        <v>5.3600000000000002E-2</v>
      </c>
      <c r="C43" s="154">
        <v>6.3099999999999989E-2</v>
      </c>
      <c r="D43" s="1">
        <f t="shared" si="11"/>
        <v>5.4528672659536864E-8</v>
      </c>
      <c r="E43" s="1">
        <f t="shared" si="12"/>
        <v>4.4247185444639328E-9</v>
      </c>
      <c r="F43" s="1">
        <f t="shared" si="13"/>
        <v>3.5872087634000429E-7</v>
      </c>
      <c r="G43" s="1">
        <f t="shared" si="14"/>
        <v>2.9919175791044769E-8</v>
      </c>
      <c r="H43" s="1">
        <f t="shared" si="15"/>
        <v>3.1742670244665361E-6</v>
      </c>
      <c r="I43" s="1">
        <f t="shared" si="16"/>
        <v>8.3105497288925339E-8</v>
      </c>
      <c r="J43" s="1">
        <f t="shared" si="17"/>
        <v>3.0672485307302459E-8</v>
      </c>
      <c r="K43" s="1">
        <f t="shared" si="18"/>
        <v>2.3275442047115675E-8</v>
      </c>
      <c r="L43" s="1">
        <f t="shared" si="19"/>
        <v>-2.3976662786437317E-7</v>
      </c>
      <c r="M43" s="1">
        <f t="shared" si="21"/>
        <v>3.6218604678015863E-3</v>
      </c>
      <c r="N43" s="1">
        <f t="shared" si="20"/>
        <v>3.7589138924449296E-3</v>
      </c>
      <c r="O43" s="1">
        <f t="shared" si="22"/>
        <v>3.5191472645805565E-3</v>
      </c>
    </row>
    <row r="44" spans="1:15" x14ac:dyDescent="0.35">
      <c r="A44" s="39" t="s">
        <v>190</v>
      </c>
      <c r="B44" s="154">
        <v>5.9500000000000004E-4</v>
      </c>
      <c r="C44" s="154">
        <v>8.9600000000000013E-2</v>
      </c>
      <c r="D44" s="1">
        <f t="shared" si="11"/>
        <v>2.0123972826414352E-4</v>
      </c>
      <c r="E44" s="1">
        <f t="shared" si="12"/>
        <v>2.4738054013269055E-7</v>
      </c>
      <c r="F44" s="1">
        <f t="shared" si="13"/>
        <v>1.2514662073111185E-4</v>
      </c>
      <c r="G44" s="1">
        <f t="shared" si="14"/>
        <v>1.0668409072941176E-5</v>
      </c>
      <c r="H44" s="1">
        <f t="shared" si="15"/>
        <v>1.332567207520216E-5</v>
      </c>
      <c r="I44" s="1">
        <f t="shared" si="16"/>
        <v>2.9633284268272938E-5</v>
      </c>
      <c r="J44" s="1">
        <f t="shared" si="17"/>
        <v>1.7148607095079711E-6</v>
      </c>
      <c r="K44" s="1">
        <f t="shared" si="18"/>
        <v>1.3013011714941059E-6</v>
      </c>
      <c r="L44" s="1">
        <f t="shared" si="19"/>
        <v>-2.6143343653132838E-4</v>
      </c>
      <c r="M44" s="1">
        <f t="shared" si="21"/>
        <v>0.35062781068353138</v>
      </c>
      <c r="N44" s="1">
        <f t="shared" si="20"/>
        <v>0.38327725683280639</v>
      </c>
      <c r="O44" s="1">
        <f t="shared" si="22"/>
        <v>0.12184382030147801</v>
      </c>
    </row>
    <row r="45" spans="1:15" x14ac:dyDescent="0.35">
      <c r="A45" s="39" t="s">
        <v>192</v>
      </c>
      <c r="B45" s="154">
        <v>40.6</v>
      </c>
      <c r="C45" s="154">
        <v>4.7800000000000002E-2</v>
      </c>
      <c r="D45" s="1">
        <f t="shared" si="11"/>
        <v>1.0841258793689037E-4</v>
      </c>
      <c r="E45" s="1">
        <f t="shared" si="12"/>
        <v>4.8368347456516961E-7</v>
      </c>
      <c r="F45" s="1">
        <f t="shared" si="13"/>
        <v>4.9028297604073355E-5</v>
      </c>
      <c r="G45" s="1">
        <f t="shared" si="14"/>
        <v>3.4985305064039407E-6</v>
      </c>
      <c r="H45" s="1">
        <f t="shared" si="15"/>
        <v>2.2414992109020146E-5</v>
      </c>
      <c r="I45" s="1">
        <f t="shared" si="16"/>
        <v>9.7177515699546768E-6</v>
      </c>
      <c r="J45" s="1">
        <f t="shared" si="17"/>
        <v>3.3529306142075896E-6</v>
      </c>
      <c r="K45" s="1">
        <f t="shared" si="18"/>
        <v>2.5443305756644643E-6</v>
      </c>
      <c r="L45" s="1">
        <f t="shared" si="19"/>
        <v>-1.3635145458522799E-4</v>
      </c>
      <c r="M45" s="1">
        <f t="shared" si="21"/>
        <v>0.18383809163095297</v>
      </c>
      <c r="N45" s="1">
        <f t="shared" si="20"/>
        <v>0.19945310439077968</v>
      </c>
      <c r="O45" s="1">
        <f t="shared" si="22"/>
        <v>6.3101649805551691E-2</v>
      </c>
    </row>
    <row r="46" spans="1:15" x14ac:dyDescent="0.35">
      <c r="A46" s="39" t="s">
        <v>194</v>
      </c>
      <c r="B46" s="154">
        <v>11500</v>
      </c>
      <c r="C46" s="154">
        <v>8.5099999999999995E-2</v>
      </c>
      <c r="D46" s="1">
        <f t="shared" si="11"/>
        <v>3.1548576920436042E-5</v>
      </c>
      <c r="E46" s="1">
        <f t="shared" si="12"/>
        <v>2.2188199492951758E-8</v>
      </c>
      <c r="F46" s="1">
        <f t="shared" si="13"/>
        <v>3.4172676485305025E-6</v>
      </c>
      <c r="G46" s="1">
        <f t="shared" si="14"/>
        <v>2.5927054991999996E-7</v>
      </c>
      <c r="H46" s="1">
        <f t="shared" si="15"/>
        <v>6.1563026994680064E-6</v>
      </c>
      <c r="I46" s="1">
        <f t="shared" si="16"/>
        <v>7.2016716416111986E-7</v>
      </c>
      <c r="J46" s="1">
        <f t="shared" si="17"/>
        <v>1.5381028558179424E-7</v>
      </c>
      <c r="K46" s="1">
        <f t="shared" si="18"/>
        <v>1.1671706261954069E-7</v>
      </c>
      <c r="L46" s="1">
        <f t="shared" si="19"/>
        <v>-3.5218154032199133E-5</v>
      </c>
      <c r="M46" s="1">
        <f t="shared" si="21"/>
        <v>4.1403606017847497E-2</v>
      </c>
      <c r="N46" s="1">
        <f t="shared" si="20"/>
        <v>4.2394300530209948E-2</v>
      </c>
      <c r="O46" s="1">
        <f t="shared" si="22"/>
        <v>7.1761464980108188E-3</v>
      </c>
    </row>
    <row r="47" spans="1:15" x14ac:dyDescent="0.35">
      <c r="A47" s="376" t="s">
        <v>200</v>
      </c>
      <c r="B47" s="377"/>
      <c r="C47" s="330">
        <f>SUM(C28:C46)</f>
        <v>1</v>
      </c>
      <c r="D47" s="88">
        <f>SUM(D28:D46)*1000</f>
        <v>2.5382236947455259</v>
      </c>
      <c r="E47" s="88">
        <f>SUM(E28:E46)*1000</f>
        <v>8.2057024911274066E-3</v>
      </c>
      <c r="F47" s="88">
        <f t="shared" ref="F47:L47" si="23">SUM(F28:F46)*1000</f>
        <v>0.82882370666317073</v>
      </c>
      <c r="G47" s="88">
        <f t="shared" si="23"/>
        <v>6.7217582759313638E-2</v>
      </c>
      <c r="H47" s="88">
        <f t="shared" si="23"/>
        <v>1.0957071521886901</v>
      </c>
      <c r="I47" s="88">
        <f t="shared" si="23"/>
        <v>0.18670803904445349</v>
      </c>
      <c r="J47" s="88">
        <f t="shared" si="23"/>
        <v>5.688255344740651E-2</v>
      </c>
      <c r="K47" s="88">
        <f t="shared" si="23"/>
        <v>4.3164633155496616E-2</v>
      </c>
      <c r="L47" s="88">
        <f t="shared" si="23"/>
        <v>-3.0665410493699183</v>
      </c>
      <c r="M47" s="1">
        <f>+SUM(M28:M46)</f>
        <v>4.5381778388478287</v>
      </c>
      <c r="N47" s="1">
        <f>+SUM(N28:N46)</f>
        <v>4.8249330644951858</v>
      </c>
      <c r="O47" s="1">
        <f>SUM(O28:O46)</f>
        <v>1.7583920151252659</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14.97120941098617</v>
      </c>
      <c r="D53" s="88">
        <f>'C3'' - Secondary Raw Material '!F321</f>
        <v>0.16679033795373477</v>
      </c>
      <c r="E53" s="88">
        <f>+'A2 - Transport'!Z119</f>
        <v>13.804483802643313</v>
      </c>
      <c r="F53" s="88">
        <f>+'C2''- Transport Secondary'!H59</f>
        <v>1.1429629848</v>
      </c>
      <c r="G53" s="88">
        <f>'A3 - Production '!D207</f>
        <v>20.056831519468545</v>
      </c>
      <c r="H53" s="88">
        <f>'A4 - Transport'!B18</f>
        <v>3.1747701841127993</v>
      </c>
      <c r="I53" s="88">
        <f>'A5 - Construction'!E140</f>
        <v>1.1562033017188762</v>
      </c>
      <c r="J53" s="88">
        <f>'C1 - Deconstruction'!B88</f>
        <v>0.87737079908012983</v>
      </c>
      <c r="K53" s="1">
        <f>'D- Benefits &amp; Burdens'!N162</f>
        <v>-22.494739914875993</v>
      </c>
      <c r="L53" s="1">
        <f>SUM(C53:G53)</f>
        <v>50.142278055851762</v>
      </c>
      <c r="M53" s="1">
        <f>SUM(C53:J53)</f>
        <v>55.350622340763572</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2.2293018000920592</v>
      </c>
      <c r="D60" s="244">
        <f>'A2 - Transport'!L119</f>
        <v>12.067875368229734</v>
      </c>
      <c r="E60" s="245">
        <f>'A1 - Raw Material Supply'!O115</f>
        <v>11.7448</v>
      </c>
      <c r="F60" s="245">
        <f>'A2 - Transport'!B119</f>
        <v>0.92165995176527982</v>
      </c>
      <c r="G60" s="245">
        <f>'A1 - Raw Material Supply'!N115</f>
        <v>0.3428723486060043</v>
      </c>
      <c r="H60" s="245">
        <f>'A2 - Transport'!O119</f>
        <v>0.16588837765499997</v>
      </c>
      <c r="I60" s="245">
        <f>'C3'' - Secondary Raw Material '!B321</f>
        <v>0.16679033795373477</v>
      </c>
      <c r="J60" s="245">
        <f>'C2''- Transport Secondary'!$D$59</f>
        <v>1.1429629848</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20.056831519468545</v>
      </c>
      <c r="P60" s="245">
        <f>'D- Benefits &amp; Burdens'!N162</f>
        <v>-22.494739914875993</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3.4579446276776338E-2</v>
      </c>
      <c r="D67" s="1">
        <f>'A2 - Transport'!L118</f>
        <v>2.2378748584909954E-2</v>
      </c>
      <c r="E67" s="62">
        <f>SUM(C67:D67)</f>
        <v>5.6958194861686295E-2</v>
      </c>
      <c r="F67" s="1">
        <f>'A1 - Raw Material Supply'!O114</f>
        <v>3.8115199999999995E-2</v>
      </c>
      <c r="G67" s="1">
        <f>'A2 - Transport'!B118</f>
        <v>1.3743889942399998E-3</v>
      </c>
      <c r="H67" s="62">
        <f>SUM(F67:G67)</f>
        <v>3.9489588994239995E-2</v>
      </c>
      <c r="I67" s="1">
        <f>'A1 - Raw Material Supply'!N114</f>
        <v>2.6232114612031879E-3</v>
      </c>
      <c r="J67" s="1">
        <f>'A2 - Transport'!O118</f>
        <v>2.4737449000000001E-4</v>
      </c>
      <c r="K67" s="62">
        <f>SUM(I67:J67)</f>
        <v>2.870585951203188E-3</v>
      </c>
      <c r="L67" s="1">
        <f>'C3'' - Secondary Raw Material '!B320</f>
        <v>2.132393117742819E-4</v>
      </c>
      <c r="M67" s="1">
        <f>'C2''- Transport Secondary'!D58</f>
        <v>1.7043983999999999E-3</v>
      </c>
      <c r="N67" s="62">
        <f t="shared" ref="N67" si="25">SUM(L67:M67)</f>
        <v>1.9176377117742817E-3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2.0014763612854224E-2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7.4379816E-3</v>
      </c>
      <c r="AC67" s="1">
        <f>'D- Benefits &amp; Burdens'!C161</f>
        <v>9.7208322691190062E-4</v>
      </c>
      <c r="AD67" s="62">
        <f>SUM(AB67:AC67)</f>
        <v>8.4100648269119001E-3</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-9.2344379326345885E-2</v>
      </c>
    </row>
    <row r="68" spans="1:40" x14ac:dyDescent="0.35">
      <c r="A68" s="39" t="s">
        <v>164</v>
      </c>
      <c r="B68" s="39" t="s">
        <v>165</v>
      </c>
      <c r="C68" s="13">
        <f>'A1 - Raw Material Supply'!K115</f>
        <v>2.2293018000920592</v>
      </c>
      <c r="D68" s="1">
        <f>'A2 - Transport'!L119</f>
        <v>12.067875368229734</v>
      </c>
      <c r="E68" s="62">
        <f t="shared" ref="E68:E85" si="27">SUM(C68:D68)</f>
        <v>14.297177168321793</v>
      </c>
      <c r="F68" s="1">
        <f>'A1 - Raw Material Supply'!O115</f>
        <v>11.7448</v>
      </c>
      <c r="G68" s="1">
        <f>'A2 - Transport'!B119</f>
        <v>0.92165995176527982</v>
      </c>
      <c r="H68" s="62">
        <f t="shared" ref="H68:H85" si="28">SUM(F68:G68)</f>
        <v>12.66645995176528</v>
      </c>
      <c r="I68" s="1">
        <f>'A1 - Raw Material Supply'!N115</f>
        <v>0.3428723486060043</v>
      </c>
      <c r="J68" s="1">
        <f>'A2 - Transport'!O119</f>
        <v>0.16588837765499997</v>
      </c>
      <c r="K68" s="62">
        <f t="shared" ref="K68:K85" si="29">SUM(I68:J68)</f>
        <v>0.50876072626100433</v>
      </c>
      <c r="L68" s="1">
        <f>'C3'' - Secondary Raw Material '!B321</f>
        <v>0.16679033795373477</v>
      </c>
      <c r="M68" s="1">
        <f>'C2''- Transport Secondary'!D59</f>
        <v>1.1429629848</v>
      </c>
      <c r="N68" s="62">
        <f t="shared" ref="N68:N85" si="30">SUM(L68:M68)</f>
        <v>1.3097533227537348</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20.056831519468545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2.7188439432</v>
      </c>
      <c r="AC68" s="1">
        <f>'D- Benefits &amp; Burdens'!C162</f>
        <v>0.76033864762898462</v>
      </c>
      <c r="AD68" s="62">
        <f t="shared" ref="AD68:AD85" si="34">SUM(AB68:AC68)</f>
        <v>3.4791825908289846</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-22.494739914875993</v>
      </c>
    </row>
    <row r="69" spans="1:40" x14ac:dyDescent="0.35">
      <c r="A69" s="39" t="s">
        <v>166</v>
      </c>
      <c r="B69" s="39" t="s">
        <v>165</v>
      </c>
      <c r="C69" s="13">
        <f>'A1 - Raw Material Supply'!K116</f>
        <v>4.2202219772539571E-3</v>
      </c>
      <c r="D69" s="1">
        <f>'A2 - Transport'!L120</f>
        <v>5.5244784892048279E-3</v>
      </c>
      <c r="E69" s="62">
        <f t="shared" si="27"/>
        <v>9.744700466458785E-3</v>
      </c>
      <c r="F69" s="1">
        <f>'A1 - Raw Material Supply'!O116</f>
        <v>4.6536000000000001E-2</v>
      </c>
      <c r="G69" s="1">
        <f>'A2 - Transport'!B120</f>
        <v>4.30742946576E-4</v>
      </c>
      <c r="H69" s="62">
        <f t="shared" si="28"/>
        <v>4.6966742946576004E-2</v>
      </c>
      <c r="I69" s="1">
        <f>'A1 - Raw Material Supply'!N116</f>
        <v>5.3472108386883287E-3</v>
      </c>
      <c r="J69" s="1">
        <f>'A2 - Transport'!O120</f>
        <v>7.7528863499999999E-5</v>
      </c>
      <c r="K69" s="62">
        <f t="shared" si="29"/>
        <v>5.4247397021883288E-3</v>
      </c>
      <c r="L69" s="1">
        <f>'C3'' - Secondary Raw Material '!B322</f>
        <v>3.4471332246079752E-5</v>
      </c>
      <c r="M69" s="1">
        <f>'C2''- Transport Secondary'!D60</f>
        <v>5.3417016000000006E-4</v>
      </c>
      <c r="N69" s="62">
        <f t="shared" si="30"/>
        <v>5.6864149224607977E-4</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6.7638324489906329E-3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1.2566198399999999E-3</v>
      </c>
      <c r="AC69" s="1">
        <f>'D- Benefits &amp; Burdens'!C163</f>
        <v>1.5714271260259654E-4</v>
      </c>
      <c r="AD69" s="62">
        <f t="shared" si="34"/>
        <v>1.4137625526025965E-3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-6.9545976880582047E-2</v>
      </c>
    </row>
    <row r="70" spans="1:40" x14ac:dyDescent="0.35">
      <c r="A70" s="39" t="s">
        <v>167</v>
      </c>
      <c r="B70" s="39" t="s">
        <v>165</v>
      </c>
      <c r="C70" s="13">
        <f>'A1 - Raw Material Supply'!K117</f>
        <v>2.2245012281158112</v>
      </c>
      <c r="D70" s="1">
        <f>'A2 - Transport'!L121</f>
        <v>12.06088063805373</v>
      </c>
      <c r="E70" s="62">
        <f t="shared" si="27"/>
        <v>14.285381866169541</v>
      </c>
      <c r="F70" s="1">
        <f>'A1 - Raw Material Supply'!O117</f>
        <v>11.700479999999999</v>
      </c>
      <c r="G70" s="1">
        <f>'A2 - Transport'!B121</f>
        <v>0.92115589920863994</v>
      </c>
      <c r="H70" s="62">
        <f t="shared" si="28"/>
        <v>12.621635899208639</v>
      </c>
      <c r="I70" s="1">
        <f>'A1 - Raw Material Supply'!N117</f>
        <v>0.3369456631463485</v>
      </c>
      <c r="J70" s="1">
        <f>'A2 - Transport'!O121</f>
        <v>0.16579765389000001</v>
      </c>
      <c r="K70" s="62">
        <f t="shared" si="29"/>
        <v>0.50274331703634845</v>
      </c>
      <c r="L70" s="1">
        <f>'C3'' - Secondary Raw Material '!B323</f>
        <v>0.16674849071700243</v>
      </c>
      <c r="M70" s="1">
        <f>'C2''- Transport Secondary'!D61</f>
        <v>1.1423379024</v>
      </c>
      <c r="N70" s="62">
        <f t="shared" si="30"/>
        <v>1.3090863931170025</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20.046561376516376</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2.7173735400000001</v>
      </c>
      <c r="AC70" s="1">
        <f>'D- Benefits &amp; Burdens'!C164</f>
        <v>0.76014788075498918</v>
      </c>
      <c r="AD70" s="62">
        <f t="shared" si="34"/>
        <v>3.4775214207549894</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-22.424931714340261</v>
      </c>
    </row>
    <row r="71" spans="1:40" x14ac:dyDescent="0.35">
      <c r="A71" s="39" t="s">
        <v>168</v>
      </c>
      <c r="B71" s="39" t="s">
        <v>165</v>
      </c>
      <c r="C71" s="13">
        <f>'A1 - Raw Material Supply'!K118</f>
        <v>5.8034999899390319E-4</v>
      </c>
      <c r="D71" s="1">
        <f>'A2 - Transport'!L122</f>
        <v>1.470237240999544E-3</v>
      </c>
      <c r="E71" s="62">
        <f t="shared" si="27"/>
        <v>2.0505872399934474E-3</v>
      </c>
      <c r="F71" s="1">
        <f>'A1 - Raw Material Supply'!O118</f>
        <v>5.8723999999999998E-3</v>
      </c>
      <c r="G71" s="1">
        <f>'A2 - Transport'!B122</f>
        <v>7.3308448880000007E-5</v>
      </c>
      <c r="H71" s="62">
        <f t="shared" si="28"/>
        <v>5.9457084488800001E-3</v>
      </c>
      <c r="I71" s="1">
        <f>'A1 - Raw Material Supply'!N118</f>
        <v>5.7947462096743238E-4</v>
      </c>
      <c r="J71" s="1">
        <f>'A2 - Transport'!O122</f>
        <v>1.3194692499999999E-5</v>
      </c>
      <c r="K71" s="62">
        <f t="shared" si="29"/>
        <v>5.9266931346743234E-4</v>
      </c>
      <c r="L71" s="1">
        <f>'C3'' - Secondary Raw Material '!B324</f>
        <v>7.375904486254632E-6</v>
      </c>
      <c r="M71" s="1">
        <f>'C2''- Transport Secondary'!D62</f>
        <v>9.0910799999999997E-5</v>
      </c>
      <c r="N71" s="62">
        <f t="shared" si="30"/>
        <v>9.8286704486254625E-5</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3.5063105031793141E-3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2.1377831999999997E-4</v>
      </c>
      <c r="AC71" s="1">
        <f>'D- Benefits &amp; Burdens'!C165</f>
        <v>3.3624161392820239E-5</v>
      </c>
      <c r="AD71" s="62">
        <f t="shared" si="34"/>
        <v>2.4740248139282022E-4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-8.7887545434272678E-3</v>
      </c>
    </row>
    <row r="72" spans="1:40" x14ac:dyDescent="0.35">
      <c r="A72" s="39" t="s">
        <v>169</v>
      </c>
      <c r="B72" s="39" t="s">
        <v>170</v>
      </c>
      <c r="C72" s="13">
        <f>'A1 - Raw Material Supply'!K119</f>
        <v>14.825596162836254</v>
      </c>
      <c r="D72" s="1">
        <f>'A2 - Transport'!L123</f>
        <v>10.457363622615427</v>
      </c>
      <c r="E72" s="62">
        <f t="shared" si="27"/>
        <v>25.282959785451681</v>
      </c>
      <c r="F72" s="1">
        <f>'A1 - Raw Material Supply'!O119</f>
        <v>631.55999999999995</v>
      </c>
      <c r="G72" s="1">
        <f>'A2 - Transport'!B123</f>
        <v>0.79160206037808001</v>
      </c>
      <c r="H72" s="62">
        <f t="shared" si="28"/>
        <v>632.35160206037801</v>
      </c>
      <c r="I72" s="1">
        <f>'A1 - Raw Material Supply'!N119</f>
        <v>1.0702763726030411</v>
      </c>
      <c r="J72" s="1">
        <f>'A2 - Transport'!O123</f>
        <v>0.14247942670499997</v>
      </c>
      <c r="K72" s="62">
        <f t="shared" si="29"/>
        <v>1.2127557993080411</v>
      </c>
      <c r="L72" s="1">
        <f>'C3'' - Secondary Raw Material '!B325</f>
        <v>7.3693079401887573E-2</v>
      </c>
      <c r="M72" s="1">
        <f>'C2''- Transport Secondary'!D63</f>
        <v>0.98167643279999994</v>
      </c>
      <c r="N72" s="62">
        <f t="shared" si="30"/>
        <v>1.0553695122018876</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10.992850081682223</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2.3106187104</v>
      </c>
      <c r="AC72" s="1">
        <f>'D- Benefits &amp; Burdens'!C166</f>
        <v>0.33594090053099462</v>
      </c>
      <c r="AD72" s="62">
        <f t="shared" si="34"/>
        <v>2.6465596109309946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-683.71146769254324</v>
      </c>
    </row>
    <row r="73" spans="1:40" ht="29" x14ac:dyDescent="0.35">
      <c r="A73" s="39" t="s">
        <v>171</v>
      </c>
      <c r="B73" s="39" t="s">
        <v>172</v>
      </c>
      <c r="C73" s="13">
        <f>'A1 - Raw Material Supply'!K120</f>
        <v>30.653943865945653</v>
      </c>
      <c r="D73" s="1">
        <f>'A2 - Transport'!L124</f>
        <v>161.70293896056825</v>
      </c>
      <c r="E73" s="62">
        <f t="shared" si="27"/>
        <v>192.3568828265139</v>
      </c>
      <c r="F73" s="1">
        <f>'A1 - Raw Material Supply'!O120</f>
        <v>1014.928</v>
      </c>
      <c r="G73" s="1">
        <f>'A2 - Transport'!B124</f>
        <v>12.4045847292992</v>
      </c>
      <c r="H73" s="62">
        <f t="shared" si="28"/>
        <v>1027.3325847292992</v>
      </c>
      <c r="I73" s="1">
        <f>'A1 - Raw Material Supply'!N120</f>
        <v>5.7415722929854773</v>
      </c>
      <c r="J73" s="1">
        <f>'A2 - Transport'!O124</f>
        <v>2.2326850941999998</v>
      </c>
      <c r="K73" s="62">
        <f t="shared" si="29"/>
        <v>7.9742573871854772</v>
      </c>
      <c r="L73" s="1">
        <f>'C3'' - Secondary Raw Material '!B326</f>
        <v>2.2154215403498743</v>
      </c>
      <c r="M73" s="1">
        <f>'C2''- Transport Secondary'!D64</f>
        <v>15.383093471999999</v>
      </c>
      <c r="N73" s="62">
        <f t="shared" si="30"/>
        <v>17.598515012349871</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373.88164528814639</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36.555785447999995</v>
      </c>
      <c r="AC73" s="1">
        <f>'D- Benefits &amp; Burdens'!C167</f>
        <v>10.099329724872872</v>
      </c>
      <c r="AD73" s="62">
        <f t="shared" si="34"/>
        <v>46.655115172872868</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-1209.2378412170788</v>
      </c>
    </row>
    <row r="74" spans="1:40" ht="29" x14ac:dyDescent="0.35">
      <c r="A74" s="39" t="s">
        <v>173</v>
      </c>
      <c r="B74" s="39" t="s">
        <v>174</v>
      </c>
      <c r="C74" s="13">
        <f>'A1 - Raw Material Supply'!K121</f>
        <v>1.4175507165429532E-4</v>
      </c>
      <c r="D74" s="1">
        <f>'A2 - Transport'!L125</f>
        <v>3.2171550773345866E-4</v>
      </c>
      <c r="E74" s="62">
        <f t="shared" si="27"/>
        <v>4.6347057938775398E-4</v>
      </c>
      <c r="F74" s="1">
        <f>'A1 - Raw Material Supply'!O121</f>
        <v>9.8611999999999997E-6</v>
      </c>
      <c r="G74" s="1">
        <f>'A2 - Transport'!B125</f>
        <v>2.1497521924799997E-5</v>
      </c>
      <c r="H74" s="62">
        <f t="shared" si="28"/>
        <v>3.1358721924799997E-5</v>
      </c>
      <c r="I74" s="1">
        <f>'A1 - Raw Material Supply'!N121</f>
        <v>2.0602576049366829E-4</v>
      </c>
      <c r="J74" s="1">
        <f>'A2 - Transport'!O125</f>
        <v>3.8693110499999996E-6</v>
      </c>
      <c r="K74" s="62">
        <f t="shared" si="29"/>
        <v>2.098950715436683E-4</v>
      </c>
      <c r="L74" s="1">
        <f>'C3'' - Secondary Raw Material '!B327</f>
        <v>1.7631993026448645E-6</v>
      </c>
      <c r="M74" s="1">
        <f>'C2''- Transport Secondary'!D65</f>
        <v>2.6659368E-5</v>
      </c>
      <c r="N74" s="62">
        <f t="shared" si="30"/>
        <v>2.8422567302644863E-5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6.9167395399666928E-4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6.2546400000000008E-5</v>
      </c>
      <c r="AC74" s="1">
        <f>'D- Benefits &amp; Burdens'!C168</f>
        <v>8.0378071638972046E-6</v>
      </c>
      <c r="AD74" s="62">
        <f t="shared" si="34"/>
        <v>7.0584207163897216E-5</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-8.6112063596716505E-4</v>
      </c>
    </row>
    <row r="75" spans="1:40" ht="29" x14ac:dyDescent="0.35">
      <c r="A75" s="39" t="s">
        <v>175</v>
      </c>
      <c r="B75" s="39" t="s">
        <v>176</v>
      </c>
      <c r="C75" s="13">
        <f>'A1 - Raw Material Supply'!K122</f>
        <v>1.3122559859339928E-2</v>
      </c>
      <c r="D75" s="1">
        <f>'A2 - Transport'!L126</f>
        <v>6.1208276808725681E-3</v>
      </c>
      <c r="E75" s="62">
        <f t="shared" si="27"/>
        <v>1.9243387540212497E-2</v>
      </c>
      <c r="F75" s="1">
        <f>'A1 - Raw Material Supply'!O122</f>
        <v>9.8390400000000003E-3</v>
      </c>
      <c r="G75" s="1">
        <f>'A2 - Transport'!B126</f>
        <v>2.99569215424E-4</v>
      </c>
      <c r="H75" s="62">
        <f t="shared" si="28"/>
        <v>1.0138609215424E-2</v>
      </c>
      <c r="I75" s="1">
        <f>'A1 - Raw Material Supply'!N122</f>
        <v>5.9408007154618291E-4</v>
      </c>
      <c r="J75" s="1">
        <f>'A2 - Transport'!O126</f>
        <v>5.3919073999999992E-5</v>
      </c>
      <c r="K75" s="62">
        <f t="shared" si="29"/>
        <v>6.4799914554618287E-4</v>
      </c>
      <c r="L75" s="1">
        <f>'C3'' - Secondary Raw Material '!B328</f>
        <v>4.8220355792551409E-5</v>
      </c>
      <c r="M75" s="1">
        <f>'C2''- Transport Secondary'!D66</f>
        <v>3.7149983999999997E-4</v>
      </c>
      <c r="N75" s="62">
        <f t="shared" si="30"/>
        <v>4.1972019579255139E-4</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5.2251500543832362E-3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2.6687471999999996E-3</v>
      </c>
      <c r="AC75" s="1">
        <f>'D- Benefits &amp; Burdens'!C169</f>
        <v>2.1981968836628309E-4</v>
      </c>
      <c r="AD75" s="62">
        <f t="shared" si="34"/>
        <v>2.8885668883662828E-3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-2.9158587268845206E-2</v>
      </c>
    </row>
    <row r="76" spans="1:40" x14ac:dyDescent="0.35">
      <c r="A76" s="39" t="s">
        <v>177</v>
      </c>
      <c r="B76" s="39" t="s">
        <v>178</v>
      </c>
      <c r="C76" s="13">
        <f>'A1 - Raw Material Supply'!K123</f>
        <v>0.17345992955546041</v>
      </c>
      <c r="D76" s="1">
        <f>'A2 - Transport'!L127</f>
        <v>6.6515150411635623E-2</v>
      </c>
      <c r="E76" s="62">
        <f t="shared" si="27"/>
        <v>0.23997507996709605</v>
      </c>
      <c r="F76" s="1">
        <f>'A1 - Raw Material Supply'!O123</f>
        <v>0.1076976</v>
      </c>
      <c r="G76" s="1">
        <f>'A2 - Transport'!B127</f>
        <v>3.2425656785599996E-3</v>
      </c>
      <c r="H76" s="62">
        <f t="shared" si="28"/>
        <v>0.11094016567856001</v>
      </c>
      <c r="I76" s="1">
        <f>'A1 - Raw Material Supply'!N123</f>
        <v>7.0415022193815388E-3</v>
      </c>
      <c r="J76" s="1">
        <f>'A2 - Transport'!O127</f>
        <v>5.8362518499999996E-4</v>
      </c>
      <c r="K76" s="62">
        <f t="shared" si="29"/>
        <v>7.6251274043815384E-3</v>
      </c>
      <c r="L76" s="1">
        <f>'C3'' - Secondary Raw Material '!B329</f>
        <v>5.2421468666230769E-4</v>
      </c>
      <c r="M76" s="1">
        <f>'C2''- Transport Secondary'!D67</f>
        <v>4.0211496000000001E-3</v>
      </c>
      <c r="N76" s="62">
        <f t="shared" si="30"/>
        <v>4.5453642866623081E-3</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5.6360284189102786E-2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2.9111963999999997E-2</v>
      </c>
      <c r="AC76" s="1">
        <f>'D- Benefits &amp; Burdens'!C170</f>
        <v>2.3897108838200898E-3</v>
      </c>
      <c r="AD76" s="62">
        <f t="shared" si="34"/>
        <v>3.1501674883820087E-2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-0.33632827070436905</v>
      </c>
    </row>
    <row r="77" spans="1:40" x14ac:dyDescent="0.35">
      <c r="A77" s="39" t="s">
        <v>179</v>
      </c>
      <c r="B77" s="39" t="s">
        <v>180</v>
      </c>
      <c r="C77" s="13">
        <f>'A1 - Raw Material Supply'!K124</f>
        <v>3.518272857503888E-10</v>
      </c>
      <c r="D77" s="1">
        <f>'A2 - Transport'!L128</f>
        <v>1.0974941679522655E-9</v>
      </c>
      <c r="E77" s="62">
        <f t="shared" si="27"/>
        <v>1.4493214537026542E-9</v>
      </c>
      <c r="F77" s="1">
        <f>'A1 - Raw Material Supply'!O124</f>
        <v>1.099136E-8</v>
      </c>
      <c r="G77" s="1">
        <f>'A2 - Transport'!B128</f>
        <v>8.168755262399998E-11</v>
      </c>
      <c r="H77" s="62">
        <f t="shared" si="28"/>
        <v>1.1073047552623999E-8</v>
      </c>
      <c r="I77" s="1">
        <f>'A1 - Raw Material Supply'!N124</f>
        <v>7.0654761965459657E-11</v>
      </c>
      <c r="J77" s="1">
        <f>'A2 - Transport'!O128</f>
        <v>1.4702836500000001E-11</v>
      </c>
      <c r="K77" s="62">
        <f t="shared" si="29"/>
        <v>8.5357598465459661E-11</v>
      </c>
      <c r="L77" s="1">
        <f>'C3'' - Secondary Raw Material '!B330</f>
        <v>1.0192646894973112E-11</v>
      </c>
      <c r="M77" s="1">
        <f>'C2''- Transport Secondary'!D68</f>
        <v>1.0130183999999999E-10</v>
      </c>
      <c r="N77" s="62">
        <f t="shared" si="30"/>
        <v>1.114944868949731E-10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1.9844338543786491E-9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2.5413527999999998E-10</v>
      </c>
      <c r="AC77" s="1">
        <f>'D- Benefits &amp; Burdens'!C171</f>
        <v>4.6464702038275903E-11</v>
      </c>
      <c r="AD77" s="62">
        <f t="shared" si="34"/>
        <v>3.005999820382759E-10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-1.2753929221029702E-8</v>
      </c>
    </row>
    <row r="78" spans="1:40" x14ac:dyDescent="0.35">
      <c r="A78" s="39" t="s">
        <v>181</v>
      </c>
      <c r="B78" s="39" t="s">
        <v>180</v>
      </c>
      <c r="C78" s="13">
        <f>'A1 - Raw Material Supply'!K125</f>
        <v>8.3608539655003408E-9</v>
      </c>
      <c r="D78" s="1">
        <f>'A2 - Transport'!L129</f>
        <v>8.4480920043352312E-8</v>
      </c>
      <c r="E78" s="62">
        <f t="shared" si="27"/>
        <v>9.2841774008852652E-8</v>
      </c>
      <c r="F78" s="1">
        <f>'A1 - Raw Material Supply'!O125</f>
        <v>3.1688799999999997E-7</v>
      </c>
      <c r="G78" s="1">
        <f>'A2 - Transport'!B129</f>
        <v>6.6465010976000005E-9</v>
      </c>
      <c r="H78" s="62">
        <f t="shared" si="28"/>
        <v>3.2353450109759996E-7</v>
      </c>
      <c r="I78" s="1">
        <f>'A1 - Raw Material Supply'!N125</f>
        <v>2.6846143887197546E-9</v>
      </c>
      <c r="J78" s="1">
        <f>'A2 - Transport'!O129</f>
        <v>1.1962951E-9</v>
      </c>
      <c r="K78" s="62">
        <f t="shared" si="29"/>
        <v>3.8809094887197548E-9</v>
      </c>
      <c r="L78" s="1">
        <f>'C3'' - Secondary Raw Material '!B331</f>
        <v>2.7167563726420761E-10</v>
      </c>
      <c r="M78" s="1">
        <f>'C2''- Transport Secondary'!D69</f>
        <v>8.2424160000000005E-9</v>
      </c>
      <c r="N78" s="62">
        <f t="shared" si="30"/>
        <v>8.5140916372642074E-9</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3.8296404051255106E-8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1.948548E-8</v>
      </c>
      <c r="AC78" s="1">
        <f>'D- Benefits &amp; Burdens'!C172</f>
        <v>1.2384739377919393E-9</v>
      </c>
      <c r="AD78" s="62">
        <f t="shared" si="34"/>
        <v>2.0723953937791938E-8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-4.0422182106369618E-7</v>
      </c>
    </row>
    <row r="79" spans="1:40" ht="29" x14ac:dyDescent="0.35">
      <c r="A79" s="39" t="s">
        <v>182</v>
      </c>
      <c r="B79" s="39" t="s">
        <v>183</v>
      </c>
      <c r="C79" s="13">
        <f>'A1 - Raw Material Supply'!K126</f>
        <v>6.0930489631163806E-2</v>
      </c>
      <c r="D79" s="1">
        <f>'A2 - Transport'!L130</f>
        <v>9.0170686749313708E-2</v>
      </c>
      <c r="E79" s="62">
        <f t="shared" si="27"/>
        <v>0.15110117638047751</v>
      </c>
      <c r="F79" s="1">
        <f>'A1 - Raw Material Supply'!O126</f>
        <v>0.16730799999999998</v>
      </c>
      <c r="G79" s="1">
        <f>'A2 - Transport'!B130</f>
        <v>5.6248101315199998E-3</v>
      </c>
      <c r="H79" s="62">
        <f t="shared" si="28"/>
        <v>0.17293281013151998</v>
      </c>
      <c r="I79" s="1">
        <f>'A1 - Raw Material Supply'!N126</f>
        <v>0.11021911001328061</v>
      </c>
      <c r="J79" s="1">
        <f>'A2 - Transport'!O130</f>
        <v>1.0124022699999999E-3</v>
      </c>
      <c r="K79" s="62">
        <f t="shared" si="29"/>
        <v>0.11123151228328061</v>
      </c>
      <c r="L79" s="1">
        <f>'C3'' - Secondary Raw Material '!B332</f>
        <v>6.6519868279014841E-4</v>
      </c>
      <c r="M79" s="1">
        <f>'C2''- Transport Secondary'!D70</f>
        <v>6.9754032000000007E-3</v>
      </c>
      <c r="N79" s="62">
        <f t="shared" si="30"/>
        <v>7.6406018827901495E-3</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2.4461732204327431</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1.6457750399999999E-2</v>
      </c>
      <c r="AC79" s="1">
        <f>'D- Benefits &amp; Burdens'!C173</f>
        <v>3.0324074708544474E-3</v>
      </c>
      <c r="AD79" s="62">
        <f t="shared" si="34"/>
        <v>1.9490157870854445E-2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-0.56467359053857702</v>
      </c>
    </row>
    <row r="80" spans="1:40" x14ac:dyDescent="0.35">
      <c r="A80" s="39" t="s">
        <v>184</v>
      </c>
      <c r="B80" s="39" t="s">
        <v>185</v>
      </c>
      <c r="C80" s="13">
        <f>'A1 - Raw Material Supply'!K127</f>
        <v>390.87227002753411</v>
      </c>
      <c r="D80" s="1">
        <f>'A2 - Transport'!L131</f>
        <v>14.66175958222102</v>
      </c>
      <c r="E80" s="62">
        <f t="shared" si="27"/>
        <v>405.53402960975512</v>
      </c>
      <c r="F80" s="1">
        <f>'A1 - Raw Material Supply'!O127</f>
        <v>5.8280799999999999</v>
      </c>
      <c r="G80" s="1">
        <f>'A2 - Transport'!B131</f>
        <v>0.78244359896287996</v>
      </c>
      <c r="H80" s="62">
        <f t="shared" si="28"/>
        <v>6.6105235989628799</v>
      </c>
      <c r="I80" s="1">
        <f>'A1 - Raw Material Supply'!N127</f>
        <v>1.7705226474300351</v>
      </c>
      <c r="J80" s="1">
        <f>'A2 - Transport'!O131</f>
        <v>0.14083100712999999</v>
      </c>
      <c r="K80" s="62">
        <f t="shared" si="29"/>
        <v>1.9113536545600351</v>
      </c>
      <c r="L80" s="1">
        <f>'C3'' - Secondary Raw Material '!B333</f>
        <v>0.11390463257521803</v>
      </c>
      <c r="M80" s="1">
        <f>'C2''- Transport Secondary'!D71</f>
        <v>0.97031890079999994</v>
      </c>
      <c r="N80" s="62">
        <f t="shared" si="30"/>
        <v>1.0842235333752179</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12.779598185982927</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2.2939029119999996</v>
      </c>
      <c r="AC80" s="1">
        <f>'D- Benefits &amp; Burdens'!C174</f>
        <v>0.51925126691056267</v>
      </c>
      <c r="AD80" s="62">
        <f t="shared" si="34"/>
        <v>2.8131541789105623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-501.35961764632674</v>
      </c>
    </row>
    <row r="81" spans="1:40" ht="29" x14ac:dyDescent="0.35">
      <c r="A81" s="39" t="s">
        <v>186</v>
      </c>
      <c r="B81" s="39" t="s">
        <v>187</v>
      </c>
      <c r="C81" s="13">
        <f>'A1 - Raw Material Supply'!K128</f>
        <v>4.6607130496736109E-6</v>
      </c>
      <c r="D81" s="1">
        <f>'A2 - Transport'!L132</f>
        <v>1.3479236630035266E-5</v>
      </c>
      <c r="E81" s="62">
        <f t="shared" si="27"/>
        <v>1.8139949679708876E-5</v>
      </c>
      <c r="F81" s="1">
        <f>'A1 - Raw Material Supply'!O128</f>
        <v>2.2603199999999999E-6</v>
      </c>
      <c r="G81" s="1">
        <f>'A2 - Transport'!B132</f>
        <v>1.0168314110399999E-6</v>
      </c>
      <c r="H81" s="62">
        <f t="shared" si="28"/>
        <v>3.27715141104E-6</v>
      </c>
      <c r="I81" s="1">
        <f>'A1 - Raw Material Supply'!N128</f>
        <v>1.0085925153782763E-6</v>
      </c>
      <c r="J81" s="1">
        <f>'A2 - Transport'!O132</f>
        <v>1.8301816499999997E-7</v>
      </c>
      <c r="K81" s="62">
        <f t="shared" si="29"/>
        <v>1.1916106803782762E-6</v>
      </c>
      <c r="L81" s="1">
        <f>'C3'' - Secondary Raw Material '!B334</f>
        <v>2.6007934671855809E-8</v>
      </c>
      <c r="M81" s="1">
        <f>'C2''- Transport Secondary'!D72</f>
        <v>1.2609863999999999E-6</v>
      </c>
      <c r="N81" s="62">
        <f t="shared" si="30"/>
        <v>1.2869943346718556E-6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2.9980047636954735E-5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2.9470727999999997E-6</v>
      </c>
      <c r="AC81" s="1">
        <f>'D- Benefits &amp; Burdens'!C175</f>
        <v>1.1856105166899467E-7</v>
      </c>
      <c r="AD81" s="62">
        <f t="shared" si="34"/>
        <v>3.0656338516689942E-6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-1.6744695790738401E-5</v>
      </c>
    </row>
    <row r="82" spans="1:40" x14ac:dyDescent="0.35">
      <c r="A82" s="39" t="s">
        <v>188</v>
      </c>
      <c r="B82" s="39" t="s">
        <v>189</v>
      </c>
      <c r="C82" s="13">
        <f>'A1 - Raw Material Supply'!K129</f>
        <v>3.5235955999964389E-8</v>
      </c>
      <c r="D82" s="1">
        <f>'A2 - Transport'!L133</f>
        <v>2.6609888187588262E-7</v>
      </c>
      <c r="E82" s="62">
        <f t="shared" si="27"/>
        <v>3.0133483787584703E-7</v>
      </c>
      <c r="F82" s="1">
        <f>'A1 - Raw Material Supply'!O129</f>
        <v>7.3571199999999993E-12</v>
      </c>
      <c r="G82" s="1">
        <f>'A2 - Transport'!B133</f>
        <v>2.0493852534400002E-8</v>
      </c>
      <c r="H82" s="62">
        <f t="shared" si="28"/>
        <v>2.0501209654400003E-8</v>
      </c>
      <c r="I82" s="1">
        <f>'A1 - Raw Material Supply'!N129</f>
        <v>4.3890806808969467E-9</v>
      </c>
      <c r="J82" s="1">
        <f>'A2 - Transport'!O133</f>
        <v>3.6886618999999997E-9</v>
      </c>
      <c r="K82" s="62">
        <f t="shared" si="29"/>
        <v>8.0777425808969473E-9</v>
      </c>
      <c r="L82" s="1">
        <f>'C3'' - Secondary Raw Material '!B335</f>
        <v>3.7585564815097762E-9</v>
      </c>
      <c r="M82" s="1">
        <f>'C2''- Transport Secondary'!D73</f>
        <v>2.5414703999999998E-8</v>
      </c>
      <c r="N82" s="62">
        <f t="shared" si="30"/>
        <v>2.9173260481509775E-8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2.6963662838574704E-6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6.0477647999999988E-8</v>
      </c>
      <c r="AC82" s="1">
        <f>'D- Benefits &amp; Burdens'!C176</f>
        <v>1.7133940654170295E-8</v>
      </c>
      <c r="AD82" s="62">
        <f t="shared" si="34"/>
        <v>7.7611588654170277E-8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-2.0366864110190814E-7</v>
      </c>
    </row>
    <row r="83" spans="1:40" x14ac:dyDescent="0.35">
      <c r="A83" s="39" t="s">
        <v>190</v>
      </c>
      <c r="B83" s="39" t="s">
        <v>191</v>
      </c>
      <c r="C83" s="13">
        <f>'A1 - Raw Material Supply'!K130</f>
        <v>6.4478729242085712E-7</v>
      </c>
      <c r="D83" s="1">
        <f>'A2 - Transport'!L134</f>
        <v>7.2341062152913949E-7</v>
      </c>
      <c r="E83" s="62">
        <f t="shared" si="27"/>
        <v>1.3681979139499966E-6</v>
      </c>
      <c r="F83" s="1">
        <f>'A1 - Raw Material Supply'!O130</f>
        <v>5.9388800000000003E-7</v>
      </c>
      <c r="G83" s="1">
        <f>'A2 - Transport'!B134</f>
        <v>5.7127756254399995E-8</v>
      </c>
      <c r="H83" s="62">
        <f t="shared" si="28"/>
        <v>6.5101575625440007E-7</v>
      </c>
      <c r="I83" s="1">
        <f>'A1 - Raw Material Supply'!N130</f>
        <v>2.7751311820864848E-8</v>
      </c>
      <c r="J83" s="1">
        <f>'A2 - Transport'!O134</f>
        <v>1.0282350649999999E-8</v>
      </c>
      <c r="K83" s="62">
        <f t="shared" si="29"/>
        <v>3.8033662470864848E-8</v>
      </c>
      <c r="L83" s="1">
        <f>'C3'' - Secondary Raw Material '!B336</f>
        <v>1.6427613993186483E-9</v>
      </c>
      <c r="M83" s="1">
        <f>'C2''- Transport Secondary'!D74</f>
        <v>7.0844903999999993E-8</v>
      </c>
      <c r="N83" s="62">
        <f t="shared" si="30"/>
        <v>7.2487665399318644E-8</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8.8490791124389334E-8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1.8384240000000001E-7</v>
      </c>
      <c r="AC83" s="1">
        <f>'D- Benefits &amp; Burdens'!C177</f>
        <v>7.4887730072320456E-9</v>
      </c>
      <c r="AD83" s="62">
        <f t="shared" si="34"/>
        <v>1.9133117300723205E-7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-1.7360814144658524E-6</v>
      </c>
    </row>
    <row r="84" spans="1:40" ht="29" x14ac:dyDescent="0.35">
      <c r="A84" s="39" t="s">
        <v>192</v>
      </c>
      <c r="B84" s="39" t="s">
        <v>193</v>
      </c>
      <c r="C84" s="13">
        <f>'A1 - Raw Material Supply'!K131</f>
        <v>4.174544758673622E-2</v>
      </c>
      <c r="D84" s="1">
        <f>'A2 - Transport'!L135</f>
        <v>3.7128325857464485E-2</v>
      </c>
      <c r="E84" s="62">
        <f t="shared" si="27"/>
        <v>7.8873773444200712E-2</v>
      </c>
      <c r="F84" s="1">
        <f>'A1 - Raw Material Supply'!O131</f>
        <v>4.4984799999999991E-2</v>
      </c>
      <c r="G84" s="1">
        <f>'A2 - Transport'!B135</f>
        <v>2.3961960787199999E-3</v>
      </c>
      <c r="H84" s="62">
        <f t="shared" si="28"/>
        <v>4.738099607871999E-2</v>
      </c>
      <c r="I84" s="1">
        <f>'A1 - Raw Material Supply'!N131</f>
        <v>1.8598299854385759E-3</v>
      </c>
      <c r="J84" s="1">
        <f>'A2 - Transport'!O135</f>
        <v>4.3128821999999998E-4</v>
      </c>
      <c r="K84" s="62">
        <f t="shared" si="29"/>
        <v>2.2911182054385758E-3</v>
      </c>
      <c r="L84" s="1">
        <f>'C3'' - Secondary Raw Material '!B337</f>
        <v>4.1082738634614822E-4</v>
      </c>
      <c r="M84" s="1">
        <f>'C2''- Transport Secondary'!D75</f>
        <v>2.9715551999999995E-3</v>
      </c>
      <c r="N84" s="62">
        <f t="shared" si="30"/>
        <v>3.3823825863461476E-3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1.9038675305987823E-2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1.1710523999999998E-2</v>
      </c>
      <c r="AC84" s="1">
        <f>'D- Benefits &amp; Burdens'!C178</f>
        <v>1.872817953219971E-3</v>
      </c>
      <c r="AD84" s="62">
        <f t="shared" si="34"/>
        <v>1.3583341953219969E-2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-0.11581316017071666</v>
      </c>
    </row>
    <row r="85" spans="1:40" ht="29" x14ac:dyDescent="0.35">
      <c r="A85" s="39" t="s">
        <v>194</v>
      </c>
      <c r="B85" s="39" t="s">
        <v>195</v>
      </c>
      <c r="C85" s="13">
        <f>'A1 - Raw Material Supply'!K132</f>
        <v>3.057724396773855</v>
      </c>
      <c r="D85" s="1">
        <f>'A2 - Transport'!L136</f>
        <v>0.40855866696891496</v>
      </c>
      <c r="E85" s="62">
        <f t="shared" si="27"/>
        <v>3.46628306374277</v>
      </c>
      <c r="F85" s="1">
        <f>'A1 - Raw Material Supply'!O132</f>
        <v>0.15977359999999999</v>
      </c>
      <c r="G85" s="1">
        <f>'A2 - Transport'!B136</f>
        <v>2.825270403888E-2</v>
      </c>
      <c r="H85" s="62">
        <f t="shared" si="28"/>
        <v>0.18802630403887999</v>
      </c>
      <c r="I85" s="1">
        <f>'A1 - Raw Material Supply'!N132</f>
        <v>0.71560886893023357</v>
      </c>
      <c r="J85" s="1">
        <f>'A2 - Transport'!O136</f>
        <v>5.085167505E-3</v>
      </c>
      <c r="K85" s="62">
        <f t="shared" si="29"/>
        <v>0.72069403643523355</v>
      </c>
      <c r="L85" s="1">
        <f>'C3'' - Secondary Raw Material '!B338</f>
        <v>2.9984053368853725E-3</v>
      </c>
      <c r="M85" s="1">
        <f>'C2''- Transport Secondary'!D76</f>
        <v>3.5036560799999998E-2</v>
      </c>
      <c r="N85" s="62">
        <f t="shared" si="30"/>
        <v>3.8034966136885368E-2</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0.83193279722540636</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8.2508865599999995E-2</v>
      </c>
      <c r="AC85" s="1">
        <f>'D- Benefits &amp; Burdens'!C179</f>
        <v>1.366867821518138E-2</v>
      </c>
      <c r="AD85" s="62">
        <f t="shared" si="34"/>
        <v>9.6177543815181371E-2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-4.7592100043512344</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1.7242539968125888E-5</v>
      </c>
      <c r="E92" s="1">
        <f>((D4/$B92)*$C92)*Input!$C$31</f>
        <v>4.5654690060450572E-8</v>
      </c>
      <c r="F92" s="1">
        <f>((E4/$B92)*$C92)*Input!$C$31</f>
        <v>5.3457518270645079E-6</v>
      </c>
      <c r="G92" s="1">
        <f>((F4/$B92)*$C92)*Input!$C$31</f>
        <v>3.6491292362589919E-7</v>
      </c>
      <c r="H92" s="1">
        <f>((G4/$B92)*$C92)*Input!$C$31</f>
        <v>4.2851752886226025E-6</v>
      </c>
      <c r="I92" s="1">
        <f>((H4/$B92)*$C92)*Input!$C$31</f>
        <v>1.0136064641915394E-6</v>
      </c>
      <c r="J92" s="1">
        <f>((I4/$B92)*$C92)*Input!$C$31</f>
        <v>3.164817820651399E-7</v>
      </c>
      <c r="K92" s="1">
        <f>((J4/$B92)*$C92)*Input!$C$31</f>
        <v>2.4015834724913239E-7</v>
      </c>
      <c r="L92" s="1">
        <f>((K4/$B92)*$C92)*Input!$C$31</f>
        <v>-1.9770998048575925E-5</v>
      </c>
      <c r="M92" s="1">
        <f>(SUM(D92:H92))*1000</f>
        <v>2.7284034697499352E-2</v>
      </c>
      <c r="N92" s="1">
        <f>SUM(D92:K92)*1000</f>
        <v>2.8854281291005167E-2</v>
      </c>
      <c r="O92" s="1">
        <f>SUM(D92:L92)*1000</f>
        <v>9.0832832424292409E-3</v>
      </c>
    </row>
    <row r="93" spans="1:40" x14ac:dyDescent="0.35">
      <c r="A93" s="39" t="s">
        <v>164</v>
      </c>
      <c r="B93" s="154">
        <v>8100</v>
      </c>
      <c r="C93" s="154">
        <v>0.21059999999999998</v>
      </c>
      <c r="D93" s="1">
        <f>((C5/$B93)*$C93)*Input!$C$31</f>
        <v>7.4736277379642974E-5</v>
      </c>
      <c r="E93" s="1">
        <f>((D5/$B93)*$C93)*Input!$C$31</f>
        <v>8.3261736706504406E-7</v>
      </c>
      <c r="F93" s="1">
        <f>((E5/$B93)*$C93)*Input!$C$31</f>
        <v>6.891198314279541E-5</v>
      </c>
      <c r="G93" s="1">
        <f>((F5/$B93)*$C93)*Input!$C$31</f>
        <v>5.7056712201215997E-6</v>
      </c>
      <c r="H93" s="1">
        <f>((G5/$B93)*$C93)*Input!$C$31</f>
        <v>1.0012370294518698E-4</v>
      </c>
      <c r="I93" s="1">
        <f>((H5/$B93)*$C93)*Input!$C$31</f>
        <v>1.5848452759091094E-5</v>
      </c>
      <c r="J93" s="1">
        <f>((I5/$B93)*$C93)*Input!$C$31</f>
        <v>5.7717668821806292E-6</v>
      </c>
      <c r="K93" s="1">
        <f>((J5/$B93)*$C93)*Input!$C$31</f>
        <v>4.3798350290080077E-6</v>
      </c>
      <c r="L93" s="1">
        <f>((K5/$B93)*$C93)*Input!$C$31</f>
        <v>-1.1229374165506095E-4</v>
      </c>
      <c r="M93" s="1">
        <f>(SUM(D93:H93))*1000</f>
        <v>0.25031025205481205</v>
      </c>
      <c r="N93" s="1">
        <f>SUM(D93:K93)*1000</f>
        <v>0.27631030672509177</v>
      </c>
      <c r="O93" s="1">
        <f>SUM(D93:L93)*1000</f>
        <v>0.16401656507003082</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5.6132411976663223E-5</v>
      </c>
      <c r="E97" s="1">
        <f>((D9/$B97)*$C97)*Input!$C$31</f>
        <v>6.3621116605882512E-9</v>
      </c>
      <c r="F97" s="1">
        <f>((E9/$B97)*$C97)*Input!$C$31</f>
        <v>1.0315803005376282E-6</v>
      </c>
      <c r="G97" s="1">
        <f>((F9/$B97)*$C97)*Input!$C$31</f>
        <v>8.4750632362386864E-8</v>
      </c>
      <c r="H97" s="1">
        <f>((G9/$B97)*$C97)*Input!$C$31</f>
        <v>9.4904080892537095E-7</v>
      </c>
      <c r="I97" s="1">
        <f>((H9/$B97)*$C97)*Input!$C$31</f>
        <v>2.3540900649192329E-7</v>
      </c>
      <c r="J97" s="1">
        <f>((I9/$B97)*$C97)*Input!$C$31</f>
        <v>4.4102641664511286E-8</v>
      </c>
      <c r="K97" s="1">
        <f>((J9/$B97)*$C97)*Input!$C$31</f>
        <v>3.3466752690648508E-8</v>
      </c>
      <c r="L97" s="1">
        <f>((K9/$B97)*$C97)*Input!$C$31</f>
        <v>-5.9026556311517361E-5</v>
      </c>
      <c r="M97" s="1">
        <f t="shared" ref="M97:M110" si="37">(SUM(D97:H97))*1000</f>
        <v>5.8204145830149198E-2</v>
      </c>
      <c r="N97" s="1">
        <f t="shared" ref="N97:N110" si="38">SUM(D97:K97)*1000</f>
        <v>5.8517124230996281E-2</v>
      </c>
      <c r="O97" s="1">
        <f t="shared" ref="O97:O110" si="39">SUM(D97:L97)*1000</f>
        <v>-5.0943208052107948E-4</v>
      </c>
    </row>
    <row r="98" spans="1:18" x14ac:dyDescent="0.35">
      <c r="A98" s="39" t="s">
        <v>171</v>
      </c>
      <c r="B98" s="154">
        <v>65000</v>
      </c>
      <c r="C98" s="154">
        <v>7.5499999999999998E-2</v>
      </c>
      <c r="D98" s="1">
        <f>((C10/$B98)*$C98)*Input!$C$31</f>
        <v>2.3614552667516702E-4</v>
      </c>
      <c r="E98" s="1">
        <f>((D10/$B98)*$C98)*Input!$C$31</f>
        <v>4.9407308690633505E-7</v>
      </c>
      <c r="F98" s="1">
        <f>((E10/$B98)*$C98)*Input!$C$31</f>
        <v>4.1274769227930679E-5</v>
      </c>
      <c r="G98" s="1">
        <f>((F10/$B98)*$C98)*Input!$C$31</f>
        <v>3.4306665072324921E-6</v>
      </c>
      <c r="H98" s="1">
        <f>((G10/$B98)*$C98)*Input!$C$31</f>
        <v>8.3381358924568771E-5</v>
      </c>
      <c r="I98" s="1">
        <f>((H10/$B98)*$C98)*Input!$C$31</f>
        <v>9.5292480015894504E-6</v>
      </c>
      <c r="J98" s="1">
        <f>((I10/$B98)*$C98)*Input!$C$31</f>
        <v>3.4249521967513378E-6</v>
      </c>
      <c r="K98" s="1">
        <f>((J10/$B98)*$C98)*Input!$C$31</f>
        <v>2.5989832767365709E-6</v>
      </c>
      <c r="L98" s="1">
        <f>((K10/$B98)*$C98)*Input!$C$31</f>
        <v>-2.6967864225050422E-4</v>
      </c>
      <c r="M98" s="1">
        <f t="shared" si="37"/>
        <v>0.36472639442180532</v>
      </c>
      <c r="N98" s="1">
        <f t="shared" si="38"/>
        <v>0.38027957789688271</v>
      </c>
      <c r="O98" s="1">
        <f t="shared" si="39"/>
        <v>0.11060093564637849</v>
      </c>
    </row>
    <row r="99" spans="1:18" x14ac:dyDescent="0.35">
      <c r="A99" s="39" t="s">
        <v>173</v>
      </c>
      <c r="B99" s="154">
        <v>1.61</v>
      </c>
      <c r="C99" s="154">
        <v>2.7999999999999997E-2</v>
      </c>
      <c r="D99" s="1">
        <f>((C11/$B99)*$C99)*Input!$C$31</f>
        <v>1.7702616657117042E-6</v>
      </c>
      <c r="E99" s="1">
        <f>((D11/$B99)*$C99)*Input!$C$31</f>
        <v>5.8875524540489382E-9</v>
      </c>
      <c r="F99" s="1">
        <f>((E11/$B99)*$C99)*Input!$C$31</f>
        <v>1.2095049326567243E-6</v>
      </c>
      <c r="G99" s="1">
        <f>((F11/$B99)*$C99)*Input!$C$31</f>
        <v>8.9019107060869563E-8</v>
      </c>
      <c r="H99" s="1">
        <f>((G11/$B99)*$C99)*Input!$C$31</f>
        <v>2.3095895507367038E-6</v>
      </c>
      <c r="I99" s="1">
        <f>((H11/$B99)*$C99)*Input!$C$31</f>
        <v>2.4726540637940858E-7</v>
      </c>
      <c r="J99" s="1">
        <f>((I11/$B99)*$C99)*Input!$C$31</f>
        <v>4.0812961169865106E-8</v>
      </c>
      <c r="K99" s="1">
        <f>((J11/$B99)*$C99)*Input!$C$31</f>
        <v>3.0970418698161943E-8</v>
      </c>
      <c r="L99" s="1">
        <f>((K11/$B99)*$C99)*Input!$C$31</f>
        <v>-2.8753941235773161E-6</v>
      </c>
      <c r="M99" s="1">
        <f t="shared" si="37"/>
        <v>5.384262808620051E-3</v>
      </c>
      <c r="N99" s="1">
        <f t="shared" si="38"/>
        <v>5.7033115948674868E-3</v>
      </c>
      <c r="O99" s="1">
        <f t="shared" si="39"/>
        <v>2.8279174712901706E-3</v>
      </c>
    </row>
    <row r="100" spans="1:18" x14ac:dyDescent="0.35">
      <c r="A100" s="39" t="s">
        <v>175</v>
      </c>
      <c r="B100" s="154">
        <v>19.5</v>
      </c>
      <c r="C100" s="154">
        <v>2.9600000000000001E-2</v>
      </c>
      <c r="D100" s="1">
        <f>((C12/$B100)*$C100)*Input!$C$31</f>
        <v>7.1656256860737874E-6</v>
      </c>
      <c r="E100" s="1">
        <f>((D12/$B100)*$C100)*Input!$C$31</f>
        <v>1.4053637232832214E-8</v>
      </c>
      <c r="F100" s="1">
        <f>((E12/$B100)*$C100)*Input!$C$31</f>
        <v>1.9483995636314826E-6</v>
      </c>
      <c r="G100" s="1">
        <f>((F12/$B100)*$C100)*Input!$C$31</f>
        <v>1.0827219952246153E-7</v>
      </c>
      <c r="H100" s="1">
        <f>((G12/$B100)*$C100)*Input!$C$31</f>
        <v>1.5228498866190161E-6</v>
      </c>
      <c r="I100" s="1">
        <f>((H12/$B100)*$C100)*Input!$C$31</f>
        <v>3.0074407954022391E-7</v>
      </c>
      <c r="J100" s="1">
        <f>((I12/$B100)*$C100)*Input!$C$31</f>
        <v>9.7420881623653393E-8</v>
      </c>
      <c r="K100" s="1">
        <f>((J12/$B100)*$C100)*Input!$C$31</f>
        <v>7.3926649950025875E-8</v>
      </c>
      <c r="L100" s="1">
        <f>((K12/$B100)*$C100)*Input!$C$31</f>
        <v>-8.4981581110923634E-6</v>
      </c>
      <c r="M100" s="1">
        <f t="shared" si="37"/>
        <v>1.075920097307958E-2</v>
      </c>
      <c r="N100" s="1">
        <f t="shared" si="38"/>
        <v>1.1231292584193482E-2</v>
      </c>
      <c r="O100" s="1">
        <f t="shared" si="39"/>
        <v>2.733134473101119E-3</v>
      </c>
    </row>
    <row r="101" spans="1:18" x14ac:dyDescent="0.35">
      <c r="A101" s="39" t="s">
        <v>177</v>
      </c>
      <c r="B101" s="154">
        <v>177</v>
      </c>
      <c r="C101" s="154">
        <v>3.7100000000000001E-2</v>
      </c>
      <c r="D101" s="1">
        <f>((C13/$B101)*$C101)*Input!$C$31</f>
        <v>1.2024052688308025E-5</v>
      </c>
      <c r="E101" s="1">
        <f>((D13/$B101)*$C101)*Input!$C$31</f>
        <v>2.1096531390016671E-8</v>
      </c>
      <c r="F101" s="1">
        <f>((E13/$B101)*$C101)*Input!$C$31</f>
        <v>2.9227194516820266E-6</v>
      </c>
      <c r="G101" s="1">
        <f>((F13/$B101)*$C101)*Input!$C$31</f>
        <v>1.6182741712271187E-7</v>
      </c>
      <c r="H101" s="1">
        <f>((G13/$B101)*$C101)*Input!$C$31</f>
        <v>2.2681670979424687E-6</v>
      </c>
      <c r="I101" s="1">
        <f>((H13/$B101)*$C101)*Input!$C$31</f>
        <v>4.4950262229451932E-7</v>
      </c>
      <c r="J101" s="1">
        <f>((I13/$B101)*$C101)*Input!$C$31</f>
        <v>1.4624275930611246E-7</v>
      </c>
      <c r="K101" s="1">
        <f>((J13/$B101)*$C101)*Input!$C$31</f>
        <v>1.1097453743760765E-7</v>
      </c>
      <c r="L101" s="1">
        <f>((K13/$B101)*$C101)*Input!$C$31</f>
        <v>-1.3535217728143288E-5</v>
      </c>
      <c r="M101" s="1">
        <f t="shared" si="37"/>
        <v>1.7397863186445251E-2</v>
      </c>
      <c r="N101" s="1">
        <f t="shared" si="38"/>
        <v>1.810458310548349E-2</v>
      </c>
      <c r="O101" s="1">
        <f t="shared" si="39"/>
        <v>4.5693653773402013E-3</v>
      </c>
      <c r="R101" s="87">
        <f>+Results!B23+Results!B54+Results!B61+Results!B86+Results!B112+Results!B119+Results!B126+Results!B152+Results!B160</f>
        <v>5.6843418860808015E-13</v>
      </c>
    </row>
    <row r="102" spans="1:18" x14ac:dyDescent="0.35">
      <c r="A102" s="39" t="s">
        <v>179</v>
      </c>
      <c r="B102" s="154">
        <v>1.6900000000000001E-5</v>
      </c>
      <c r="C102" s="154">
        <v>2.1299999999999999E-2</v>
      </c>
      <c r="D102" s="1">
        <f>((C14/$B102)*$C102)*Input!$C$31</f>
        <v>2.8450718583864857E-6</v>
      </c>
      <c r="E102" s="1">
        <f>((D14/$B102)*$C102)*Input!$C$31</f>
        <v>2.4664999255433163E-9</v>
      </c>
      <c r="F102" s="1">
        <f>((E14/$B102)*$C102)*Input!$C$31</f>
        <v>3.0282673454918575E-7</v>
      </c>
      <c r="G102" s="1">
        <f>((F14/$B102)*$C102)*Input!$C$31</f>
        <v>2.4513846441656803E-8</v>
      </c>
      <c r="H102" s="1">
        <f>((G14/$B102)*$C102)*Input!$C$31</f>
        <v>4.8020950833532081E-7</v>
      </c>
      <c r="I102" s="1">
        <f>((H14/$B102)*$C102)*Input!$C$31</f>
        <v>6.8091294132775371E-8</v>
      </c>
      <c r="J102" s="1">
        <f>((I14/$B102)*$C102)*Input!$C$31</f>
        <v>1.7097964981602147E-8</v>
      </c>
      <c r="K102" s="1">
        <f>((J14/$B102)*$C102)*Input!$C$31</f>
        <v>1.2974582563681187E-8</v>
      </c>
      <c r="L102" s="1">
        <f>((K14/$B102)*$C102)*Input!$C$31</f>
        <v>-3.0862999374155659E-6</v>
      </c>
      <c r="M102" s="1">
        <f t="shared" si="37"/>
        <v>3.6550884476381925E-3</v>
      </c>
      <c r="N102" s="1">
        <f t="shared" si="38"/>
        <v>3.7532522893162505E-3</v>
      </c>
      <c r="O102" s="1">
        <f t="shared" si="39"/>
        <v>6.6695235190068465E-4</v>
      </c>
    </row>
    <row r="103" spans="1:18" x14ac:dyDescent="0.35">
      <c r="A103" s="39" t="s">
        <v>181</v>
      </c>
      <c r="B103" s="154">
        <v>2.3000000000000001E-4</v>
      </c>
      <c r="C103" s="154">
        <v>1.84E-2</v>
      </c>
      <c r="D103" s="1">
        <f>((C15/$B103)*$C103)*Input!$C$31</f>
        <v>5.2704629043953584E-6</v>
      </c>
      <c r="E103" s="1">
        <f>((D15/$B103)*$C103)*Input!$C$31</f>
        <v>4.1729377883782286E-9</v>
      </c>
      <c r="F103" s="1">
        <f>((E15/$B103)*$C103)*Input!$C$31</f>
        <v>1.4899872495659876E-6</v>
      </c>
      <c r="G103" s="1">
        <f>((F15/$B103)*$C103)*Input!$C$31</f>
        <v>1.2660350976E-7</v>
      </c>
      <c r="H103" s="1">
        <f>((G15/$B103)*$C103)*Input!$C$31</f>
        <v>5.8823276622727842E-7</v>
      </c>
      <c r="I103" s="1">
        <f>((H15/$B103)*$C103)*Input!$C$31</f>
        <v>3.5166234894335998E-7</v>
      </c>
      <c r="J103" s="1">
        <f>((I15/$B103)*$C103)*Input!$C$31</f>
        <v>2.8927121966313752E-8</v>
      </c>
      <c r="K103" s="1">
        <f>((J15/$B103)*$C103)*Input!$C$31</f>
        <v>2.1950994325082815E-8</v>
      </c>
      <c r="L103" s="1">
        <f>((K15/$B103)*$C103)*Input!$C$31</f>
        <v>-6.2088471715383732E-6</v>
      </c>
      <c r="M103" s="1">
        <f t="shared" si="37"/>
        <v>7.4794593677370022E-3</v>
      </c>
      <c r="N103" s="1">
        <f t="shared" si="38"/>
        <v>7.8819998329717582E-3</v>
      </c>
      <c r="O103" s="1">
        <f t="shared" si="39"/>
        <v>1.6731526614333857E-3</v>
      </c>
    </row>
    <row r="104" spans="1:18" x14ac:dyDescent="0.35">
      <c r="A104" s="39" t="s">
        <v>182</v>
      </c>
      <c r="B104" s="154">
        <v>4220</v>
      </c>
      <c r="C104" s="154">
        <v>5.0099999999999999E-2</v>
      </c>
      <c r="D104" s="1">
        <f>((C16/$B104)*$C104)*Input!$C$31</f>
        <v>1.0140981056428592E-6</v>
      </c>
      <c r="E104" s="1">
        <f>((D16/$B104)*$C104)*Input!$C$31</f>
        <v>1.5162746847144538E-9</v>
      </c>
      <c r="F104" s="1">
        <f>((E16/$B104)*$C104)*Input!$C$31</f>
        <v>2.2969613881824404E-7</v>
      </c>
      <c r="G104" s="1">
        <f>((F16/$B104)*$C104)*Input!$C$31</f>
        <v>1.5899952242047395E-8</v>
      </c>
      <c r="H104" s="1">
        <f>((G16/$B104)*$C104)*Input!$C$31</f>
        <v>5.5758837540252708E-6</v>
      </c>
      <c r="I104" s="1">
        <f>((H16/$B104)*$C104)*Input!$C$31</f>
        <v>4.4164767344326967E-8</v>
      </c>
      <c r="J104" s="1">
        <f>((I16/$B104)*$C104)*Input!$C$31</f>
        <v>1.0510931378206635E-8</v>
      </c>
      <c r="K104" s="1">
        <f>((J16/$B104)*$C104)*Input!$C$31</f>
        <v>7.9760923089076543E-9</v>
      </c>
      <c r="L104" s="1">
        <f>((K16/$B104)*$C104)*Input!$C$31</f>
        <v>-1.2871346450494503E-6</v>
      </c>
      <c r="M104" s="1">
        <f t="shared" si="37"/>
        <v>6.8370942254131362E-3</v>
      </c>
      <c r="N104" s="1">
        <f t="shared" si="38"/>
        <v>6.8997460164445766E-3</v>
      </c>
      <c r="O104" s="1">
        <f t="shared" si="39"/>
        <v>5.6126113713951256E-3</v>
      </c>
    </row>
    <row r="105" spans="1:18" x14ac:dyDescent="0.35">
      <c r="A105" s="39" t="s">
        <v>184</v>
      </c>
      <c r="B105" s="154">
        <v>819000</v>
      </c>
      <c r="C105" s="154">
        <v>7.9399999999999998E-2</v>
      </c>
      <c r="D105" s="1">
        <f>((C17/$B105)*$C105)*Input!$C$31</f>
        <v>7.4715283908328657E-6</v>
      </c>
      <c r="E105" s="1">
        <f>((D17/$B105)*$C105)*Input!$C$31</f>
        <v>2.1202116516272084E-9</v>
      </c>
      <c r="F105" s="1">
        <f>((E17/$B105)*$C105)*Input!$C$31</f>
        <v>3.0035520944949276E-7</v>
      </c>
      <c r="G105" s="1">
        <f>((F17/$B105)*$C105)*Input!$C$31</f>
        <v>1.8061437825294064E-8</v>
      </c>
      <c r="H105" s="1">
        <f>((G17/$B105)*$C105)*Input!$C$31</f>
        <v>2.3787841077615692E-7</v>
      </c>
      <c r="I105" s="1">
        <f>((H17/$B105)*$C105)*Input!$C$31</f>
        <v>5.016865379939182E-8</v>
      </c>
      <c r="J105" s="1">
        <f>((I17/$B105)*$C105)*Input!$C$31</f>
        <v>1.469746834276571E-8</v>
      </c>
      <c r="K105" s="1">
        <f>((J17/$B105)*$C105)*Input!$C$31</f>
        <v>1.115299491462846E-8</v>
      </c>
      <c r="L105" s="1">
        <f>((K17/$B105)*$C105)*Input!$C$31</f>
        <v>-9.3322675202621748E-6</v>
      </c>
      <c r="M105" s="1">
        <f t="shared" si="37"/>
        <v>8.0299436605354366E-3</v>
      </c>
      <c r="N105" s="1">
        <f t="shared" si="38"/>
        <v>8.1059627775922211E-3</v>
      </c>
      <c r="O105" s="1">
        <f t="shared" si="39"/>
        <v>-1.2263047426699532E-3</v>
      </c>
    </row>
    <row r="106" spans="1:18" x14ac:dyDescent="0.35">
      <c r="A106" s="39" t="s">
        <v>186</v>
      </c>
      <c r="B106" s="154">
        <v>65000</v>
      </c>
      <c r="C106" s="154">
        <v>8.3199999999999996E-2</v>
      </c>
      <c r="D106" s="1">
        <f>((C18/$B106)*$C106)*Input!$C$31</f>
        <v>5.1107718009756136E-11</v>
      </c>
      <c r="E106" s="1">
        <f>((D18/$B106)*$C106)*Input!$C$31</f>
        <v>6.3917100249552833E-15</v>
      </c>
      <c r="F106" s="1">
        <f>((E18/$B106)*$C106)*Input!$C$31</f>
        <v>3.7835166985360015E-12</v>
      </c>
      <c r="G106" s="1">
        <f>((F18/$B106)*$C106)*Input!$C$31</f>
        <v>3.0990001766399994E-13</v>
      </c>
      <c r="H106" s="1">
        <f>((G18/$B106)*$C106)*Input!$C$31</f>
        <v>7.3678965072579963E-12</v>
      </c>
      <c r="I106" s="1">
        <f>((H18/$B106)*$C106)*Input!$C$31</f>
        <v>8.6079894906470382E-13</v>
      </c>
      <c r="J106" s="1">
        <f>((I18/$B106)*$C106)*Input!$C$31</f>
        <v>4.4307819776304149E-14</v>
      </c>
      <c r="K106" s="1">
        <f>((J18/$B106)*$C106)*Input!$C$31</f>
        <v>3.36224496028004E-14</v>
      </c>
      <c r="L106" s="1">
        <f>((K18/$B106)*$C106)*Input!$C$31</f>
        <v>-4.1151764375318697E-12</v>
      </c>
      <c r="M106" s="1">
        <f t="shared" si="37"/>
        <v>6.2575422943239093E-8</v>
      </c>
      <c r="N106" s="1">
        <f t="shared" si="38"/>
        <v>6.3514152161682897E-8</v>
      </c>
      <c r="O106" s="1">
        <f t="shared" si="39"/>
        <v>5.9398975724151022E-8</v>
      </c>
    </row>
    <row r="107" spans="1:18" x14ac:dyDescent="0.35">
      <c r="A107" s="39" t="s">
        <v>188</v>
      </c>
      <c r="B107" s="154">
        <v>5.3600000000000002E-2</v>
      </c>
      <c r="C107" s="154">
        <v>6.3099999999999989E-2</v>
      </c>
      <c r="D107" s="1">
        <f>((C19/$B107)*$C107)*Input!$C$31</f>
        <v>1.0469505150631078E-8</v>
      </c>
      <c r="E107" s="1">
        <f>((D19/$B107)*$C107)*Input!$C$31</f>
        <v>8.4954596053707516E-10</v>
      </c>
      <c r="F107" s="1">
        <f>((E19/$B107)*$C107)*Input!$C$31</f>
        <v>6.8874408257280828E-8</v>
      </c>
      <c r="G107" s="1">
        <f>((F19/$B107)*$C107)*Input!$C$31</f>
        <v>5.7444817518805957E-9</v>
      </c>
      <c r="H107" s="1">
        <f>((G19/$B107)*$C107)*Input!$C$31</f>
        <v>6.0945926869757493E-7</v>
      </c>
      <c r="I107" s="1">
        <f>((H19/$B107)*$C107)*Input!$C$31</f>
        <v>1.5956255479473666E-8</v>
      </c>
      <c r="J107" s="1">
        <f>((I19/$B107)*$C107)*Input!$C$31</f>
        <v>5.8891171790020722E-9</v>
      </c>
      <c r="K107" s="1">
        <f>((J19/$B107)*$C107)*Input!$C$31</f>
        <v>4.4688848730462096E-9</v>
      </c>
      <c r="L107" s="1">
        <f>((K19/$B107)*$C107)*Input!$C$31</f>
        <v>-4.6035192549959649E-8</v>
      </c>
      <c r="M107" s="1">
        <f t="shared" si="37"/>
        <v>6.9539720981790453E-4</v>
      </c>
      <c r="N107" s="1">
        <f t="shared" si="38"/>
        <v>7.217114673494264E-4</v>
      </c>
      <c r="O107" s="1">
        <f t="shared" si="39"/>
        <v>6.7567627479946666E-4</v>
      </c>
    </row>
    <row r="108" spans="1:18" x14ac:dyDescent="0.35">
      <c r="A108" s="39" t="s">
        <v>190</v>
      </c>
      <c r="B108" s="154">
        <v>5.9500000000000004E-4</v>
      </c>
      <c r="C108" s="154">
        <v>8.9600000000000013E-2</v>
      </c>
      <c r="D108" s="1">
        <f>((C20/$B108)*$C108)*Input!$C$31</f>
        <v>3.8638027826715553E-5</v>
      </c>
      <c r="E108" s="1">
        <f>((D20/$B108)*$C108)*Input!$C$31</f>
        <v>4.7497063705476585E-8</v>
      </c>
      <c r="F108" s="1">
        <f>((E20/$B108)*$C108)*Input!$C$31</f>
        <v>2.4028151180373475E-5</v>
      </c>
      <c r="G108" s="1">
        <f>((F20/$B108)*$C108)*Input!$C$31</f>
        <v>2.0483345420047058E-6</v>
      </c>
      <c r="H108" s="1">
        <f>((G20/$B108)*$C108)*Input!$C$31</f>
        <v>2.558529038438815E-6</v>
      </c>
      <c r="I108" s="1">
        <f>((H20/$B108)*$C108)*Input!$C$31</f>
        <v>5.6895905795084039E-6</v>
      </c>
      <c r="J108" s="1">
        <f>((I20/$B108)*$C108)*Input!$C$31</f>
        <v>3.2925325622553048E-7</v>
      </c>
      <c r="K108" s="1">
        <f>((J20/$B108)*$C108)*Input!$C$31</f>
        <v>2.4984982492686832E-7</v>
      </c>
      <c r="L108" s="1">
        <f>((K20/$B108)*$C108)*Input!$C$31</f>
        <v>-5.0195219814015049E-5</v>
      </c>
      <c r="M108" s="1">
        <f t="shared" si="37"/>
        <v>6.7320539651238034E-2</v>
      </c>
      <c r="N108" s="1">
        <f t="shared" si="38"/>
        <v>7.358923331189883E-2</v>
      </c>
      <c r="O108" s="1">
        <f t="shared" si="39"/>
        <v>2.3394013497883781E-2</v>
      </c>
    </row>
    <row r="109" spans="1:18" x14ac:dyDescent="0.35">
      <c r="A109" s="39" t="s">
        <v>192</v>
      </c>
      <c r="B109" s="154">
        <v>40.6</v>
      </c>
      <c r="C109" s="154">
        <v>4.7800000000000002E-2</v>
      </c>
      <c r="D109" s="1">
        <f>((C21/$B109)*$C109)*Input!$C$31</f>
        <v>2.081521688388295E-5</v>
      </c>
      <c r="E109" s="1">
        <f>((D21/$B109)*$C109)*Input!$C$31</f>
        <v>9.2867227116512568E-8</v>
      </c>
      <c r="F109" s="1">
        <f>((E21/$B109)*$C109)*Input!$C$31</f>
        <v>9.4134331399820851E-6</v>
      </c>
      <c r="G109" s="1">
        <f>((F21/$B109)*$C109)*Input!$C$31</f>
        <v>6.7171785722955667E-7</v>
      </c>
      <c r="H109" s="1">
        <f>((G21/$B109)*$C109)*Input!$C$31</f>
        <v>4.3036784849318678E-6</v>
      </c>
      <c r="I109" s="1">
        <f>((H21/$B109)*$C109)*Input!$C$31</f>
        <v>1.8658083014312979E-6</v>
      </c>
      <c r="J109" s="1">
        <f>((I21/$B109)*$C109)*Input!$C$31</f>
        <v>6.4376267792785716E-7</v>
      </c>
      <c r="K109" s="1">
        <f>((J21/$B109)*$C109)*Input!$C$31</f>
        <v>4.8851147052757718E-7</v>
      </c>
      <c r="L109" s="1">
        <f>((K21/$B109)*$C109)*Input!$C$31</f>
        <v>-2.6179479280363774E-5</v>
      </c>
      <c r="M109" s="1">
        <f t="shared" si="37"/>
        <v>3.5296913593142971E-2</v>
      </c>
      <c r="N109" s="1">
        <f t="shared" si="38"/>
        <v>3.829499604302971E-2</v>
      </c>
      <c r="O109" s="1">
        <f t="shared" si="39"/>
        <v>1.2115516762665935E-2</v>
      </c>
    </row>
    <row r="110" spans="1:18" x14ac:dyDescent="0.35">
      <c r="A110" s="39" t="s">
        <v>194</v>
      </c>
      <c r="B110" s="154">
        <v>11500</v>
      </c>
      <c r="C110" s="154">
        <v>8.5099999999999995E-2</v>
      </c>
      <c r="D110" s="1">
        <f>((C22/$B110)*$C110)*Input!$C$31</f>
        <v>6.0573267687237203E-6</v>
      </c>
      <c r="E110" s="1">
        <f>((D22/$B110)*$C110)*Input!$C$31</f>
        <v>4.2601343026467376E-9</v>
      </c>
      <c r="F110" s="1">
        <f>((E22/$B110)*$C110)*Input!$C$31</f>
        <v>6.5611538851785654E-7</v>
      </c>
      <c r="G110" s="1">
        <f>((F22/$B110)*$C110)*Input!$C$31</f>
        <v>4.9779945584639993E-8</v>
      </c>
      <c r="H110" s="1">
        <f>((G22/$B110)*$C110)*Input!$C$31</f>
        <v>1.1820101182978572E-6</v>
      </c>
      <c r="I110" s="1">
        <f>((H22/$B110)*$C110)*Input!$C$31</f>
        <v>1.3827209551893501E-7</v>
      </c>
      <c r="J110" s="1">
        <f>((I22/$B110)*$C110)*Input!$C$31</f>
        <v>2.9531574831704496E-8</v>
      </c>
      <c r="K110" s="1">
        <f>((J22/$B110)*$C110)*Input!$C$31</f>
        <v>2.2409676022951813E-8</v>
      </c>
      <c r="L110" s="1">
        <f>((K22/$B110)*$C110)*Input!$C$31</f>
        <v>-6.761885574182234E-6</v>
      </c>
      <c r="M110" s="1">
        <f t="shared" si="37"/>
        <v>7.9494923554267218E-3</v>
      </c>
      <c r="N110" s="1">
        <f t="shared" si="38"/>
        <v>8.1397057018003111E-3</v>
      </c>
      <c r="O110" s="1">
        <f t="shared" si="39"/>
        <v>1.3778201276180779E-3</v>
      </c>
    </row>
    <row r="111" spans="1:18" x14ac:dyDescent="0.35">
      <c r="A111" s="376" t="s">
        <v>200</v>
      </c>
      <c r="B111" s="377"/>
      <c r="C111" s="330">
        <f>SUM(C92:C110)</f>
        <v>1</v>
      </c>
      <c r="D111" s="13">
        <f>SUM(D92:D110)*1000</f>
        <v>0.48733894939114109</v>
      </c>
      <c r="E111" s="13">
        <f t="shared" ref="E111:L111" si="40">SUM(E92:E110)*1000</f>
        <v>1.575494878296462E-3</v>
      </c>
      <c r="F111" s="13">
        <f t="shared" si="40"/>
        <v>0.15913415167932873</v>
      </c>
      <c r="G111" s="13">
        <f>SUM(G92:G110)*1000</f>
        <v>1.2905775889788217E-2</v>
      </c>
      <c r="H111" s="13">
        <f t="shared" si="40"/>
        <v>0.21037577322022852</v>
      </c>
      <c r="I111" s="13">
        <f t="shared" si="40"/>
        <v>3.5847943496535084E-2</v>
      </c>
      <c r="J111" s="13">
        <f t="shared" si="40"/>
        <v>1.0921450261902051E-2</v>
      </c>
      <c r="K111" s="13">
        <f t="shared" si="40"/>
        <v>8.2876095658553448E-3</v>
      </c>
      <c r="L111" s="13">
        <f t="shared" si="40"/>
        <v>-0.58877588147902438</v>
      </c>
      <c r="M111" s="1">
        <f>SUM(M92:M110)</f>
        <v>0.87133014505878315</v>
      </c>
      <c r="N111" s="1">
        <f>SUM(N92:N110)</f>
        <v>0.92638714838307568</v>
      </c>
      <c r="O111" s="1">
        <f>SUM(O92:O110)</f>
        <v>0.33761126690405119</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2.8744722069093451</v>
      </c>
      <c r="D118" s="1">
        <f>'C3'' - Secondary Raw Material '!$F$321*Input!$C$31</f>
        <v>3.2023744887117074E-2</v>
      </c>
      <c r="E118" s="1">
        <f>'A2 - Transport'!$Z$119*Input!$C$31</f>
        <v>2.650460890107516</v>
      </c>
      <c r="F118" s="1">
        <f>('C2''- Transport Secondary'!$D$59+'C2''- Transport Secondary'!$G$59)*Input!$C$31</f>
        <v>0.21944889308160001</v>
      </c>
      <c r="G118" s="1">
        <f>'A3 - Production '!$D$207*Input!$C$31</f>
        <v>3.8509116517379609</v>
      </c>
      <c r="H118" s="1">
        <f>'A4 - Transport'!$B$18*Input!$C$31</f>
        <v>0.60955587534965749</v>
      </c>
      <c r="I118" s="1">
        <f>'A5 - Construction'!$E$140*Input!$C$31</f>
        <v>0.22199103393002423</v>
      </c>
      <c r="J118" s="1">
        <f>'C1 - Deconstruction'!$B$88*Input!$C$31</f>
        <v>0.16845519342338494</v>
      </c>
      <c r="K118" s="1">
        <f>'D- Benefits &amp; Burdens'!$N$162*Input!$C$31</f>
        <v>-4.3189900636561909</v>
      </c>
      <c r="L118" s="1">
        <f>SUM(C118:G118)</f>
        <v>9.6273173867235382</v>
      </c>
      <c r="M118" s="1">
        <f>SUM(C118:J118)</f>
        <v>10.627319489426606</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0.42802594561767537</v>
      </c>
      <c r="D125" s="1">
        <f>D68*Input!$C$31</f>
        <v>2.3170320707001091</v>
      </c>
      <c r="E125" s="1">
        <f>F68*Input!$C$31</f>
        <v>2.2550015999999999</v>
      </c>
      <c r="F125" s="1">
        <f>G68*Input!$C$31</f>
        <v>0.17695871073893374</v>
      </c>
      <c r="G125" s="1">
        <f>I68*Input!$C$31</f>
        <v>6.5831490932352826E-2</v>
      </c>
      <c r="H125" s="1">
        <f>J68*Input!$C$31</f>
        <v>3.1850568509759994E-2</v>
      </c>
      <c r="I125" s="1">
        <f>L68*Input!C31</f>
        <v>3.2023744887117074E-2</v>
      </c>
      <c r="J125" s="1">
        <f>M68*Input!C31</f>
        <v>0.21944889308160001</v>
      </c>
      <c r="K125" s="1">
        <f>O68*Input!$C$31</f>
        <v>0</v>
      </c>
      <c r="L125" s="1">
        <f>P68*Input!$C$31</f>
        <v>0</v>
      </c>
      <c r="M125" s="1">
        <f>R68*Input!$C$31</f>
        <v>0.12561317035931716</v>
      </c>
      <c r="N125" s="1">
        <f>S68*Input!$C$31</f>
        <v>0.12461954015871358</v>
      </c>
      <c r="O125" s="1">
        <f>U68*Input!$C$31</f>
        <v>3.8509116517379609</v>
      </c>
      <c r="P125" s="1">
        <f>V68*Input!$C$31</f>
        <v>0.60955587534965749</v>
      </c>
      <c r="Q125" s="1">
        <f>Z68*Input!$C$31</f>
        <v>0.22199103393002423</v>
      </c>
      <c r="R125" s="1">
        <f>AA68*Input!$C$31</f>
        <v>0.16845519342338494</v>
      </c>
      <c r="S125" s="1">
        <f>$AC$68*Input!$C$31</f>
        <v>0.14598502034476504</v>
      </c>
      <c r="T125" s="1">
        <f>$AB$68*Input!$C$31</f>
        <v>0.52201803709439998</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6.6392536851410571E-3</v>
      </c>
      <c r="D133" s="1">
        <f>D67*Input!$C$31</f>
        <v>4.2967197283027116E-3</v>
      </c>
      <c r="E133" s="62">
        <f>E67*Input!$C$31</f>
        <v>1.0935973413443769E-2</v>
      </c>
      <c r="F133" s="1">
        <f>F67*Input!$C$31</f>
        <v>7.3181183999999995E-3</v>
      </c>
      <c r="G133" s="1">
        <f>G67*Input!$C$31</f>
        <v>2.6388268689407998E-4</v>
      </c>
      <c r="H133" s="62">
        <f>H67*Input!$C$31</f>
        <v>7.5820010868940793E-3</v>
      </c>
      <c r="I133" s="1">
        <f>I67*Input!$C$31</f>
        <v>5.0365660055101214E-4</v>
      </c>
      <c r="J133" s="1">
        <f>J67*Input!$C$31</f>
        <v>4.7495902080000005E-5</v>
      </c>
      <c r="K133" s="62">
        <f>K67*Input!$C$31</f>
        <v>5.5115250263101207E-4</v>
      </c>
      <c r="L133" s="1">
        <f>L67*Input!$C$31</f>
        <v>4.0941947860662124E-5</v>
      </c>
      <c r="M133" s="1">
        <f>M67*Input!$C$31</f>
        <v>3.272444928E-4</v>
      </c>
      <c r="N133" s="62">
        <f>N67*Input!$C$31</f>
        <v>3.681864406606621E-4</v>
      </c>
      <c r="O133" s="1">
        <f>O67*Input!$C$31</f>
        <v>0</v>
      </c>
      <c r="P133" s="1">
        <f>P67*Input!$C$31</f>
        <v>0</v>
      </c>
      <c r="Q133" s="62">
        <f>Q67*Input!$C$31</f>
        <v>0</v>
      </c>
      <c r="R133" s="1">
        <f>R67*Input!$C$31</f>
        <v>1.0016361889498566E-3</v>
      </c>
      <c r="S133" s="1">
        <f>S67*Input!$C$31</f>
        <v>1.8583396634880002E-4</v>
      </c>
      <c r="T133" s="62">
        <f>T67*Input!$C$31</f>
        <v>1.1874701552986565E-3</v>
      </c>
      <c r="U133" s="62">
        <f>U67*Input!$C$31</f>
        <v>3.8428346136680112E-3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1.4280924672E-3</v>
      </c>
      <c r="AC133" s="89">
        <f>AC67*Input!$C$31</f>
        <v>1.8663997956708492E-4</v>
      </c>
      <c r="AD133" s="250">
        <f>AD67*Input!$C$31</f>
        <v>1.6147324467670849E-3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-1.7730120830658409E-2</v>
      </c>
    </row>
    <row r="134" spans="1:40" x14ac:dyDescent="0.35">
      <c r="A134" s="39" t="s">
        <v>164</v>
      </c>
      <c r="B134" s="39" t="s">
        <v>165</v>
      </c>
      <c r="C134" s="1">
        <f>C68*Input!$C$31</f>
        <v>0.42802594561767537</v>
      </c>
      <c r="D134" s="1">
        <f>D68*Input!$C$31</f>
        <v>2.3170320707001091</v>
      </c>
      <c r="E134" s="62">
        <f>E68*Input!$C$31</f>
        <v>2.7450580163177842</v>
      </c>
      <c r="F134" s="1">
        <f>F68*Input!$C$31</f>
        <v>2.2550015999999999</v>
      </c>
      <c r="G134" s="1">
        <f>G68*Input!$C$31</f>
        <v>0.17695871073893374</v>
      </c>
      <c r="H134" s="62">
        <f>H68*Input!$C$31</f>
        <v>2.4319603107389338</v>
      </c>
      <c r="I134" s="1">
        <f>I68*Input!$C$31</f>
        <v>6.5831490932352826E-2</v>
      </c>
      <c r="J134" s="1">
        <f>J68*Input!$C$31</f>
        <v>3.1850568509759994E-2</v>
      </c>
      <c r="K134" s="62">
        <f>K68*Input!$C$31</f>
        <v>9.7682059442112834E-2</v>
      </c>
      <c r="L134" s="1">
        <f>L68*Input!$C$31</f>
        <v>3.2023744887117074E-2</v>
      </c>
      <c r="M134" s="1">
        <f>M68*Input!$C$31</f>
        <v>0.21944889308160001</v>
      </c>
      <c r="N134" s="62">
        <f>N68*Input!$C$31</f>
        <v>0.25147263796871711</v>
      </c>
      <c r="O134" s="1">
        <f>O68*Input!$C$31</f>
        <v>0</v>
      </c>
      <c r="P134" s="1">
        <f>P68*Input!$C$31</f>
        <v>0</v>
      </c>
      <c r="Q134" s="62">
        <f>Q68*Input!$C$31</f>
        <v>0</v>
      </c>
      <c r="R134" s="1">
        <f>R68*Input!$C$31</f>
        <v>0.12561317035931716</v>
      </c>
      <c r="S134" s="1">
        <f>S68*Input!$C$31</f>
        <v>0.12461954015871358</v>
      </c>
      <c r="T134" s="62">
        <f>T68*Input!$C$31</f>
        <v>0.25023271051803075</v>
      </c>
      <c r="U134" s="62">
        <f>U68*Input!$C$31</f>
        <v>3.8509116517379609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0.52201803709439998</v>
      </c>
      <c r="AC134" s="1">
        <f>AC68*Input!$C$31</f>
        <v>0.14598502034476504</v>
      </c>
      <c r="AD134" s="62">
        <f>AD68*Input!$C$31</f>
        <v>0.6680030574391651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-4.3189900636561909</v>
      </c>
    </row>
    <row r="135" spans="1:40" x14ac:dyDescent="0.35">
      <c r="A135" s="39" t="s">
        <v>166</v>
      </c>
      <c r="B135" s="39" t="s">
        <v>165</v>
      </c>
      <c r="C135" s="1">
        <f>C69*Input!$C$31</f>
        <v>8.1028261963275977E-4</v>
      </c>
      <c r="D135" s="1">
        <f>D69*Input!$C$31</f>
        <v>1.060699869927327E-3</v>
      </c>
      <c r="E135" s="62">
        <f>E69*Input!$C$31</f>
        <v>1.8709824895600867E-3</v>
      </c>
      <c r="F135" s="1">
        <f>F69*Input!$C$31</f>
        <v>8.9349119999999997E-3</v>
      </c>
      <c r="G135" s="1">
        <f>G69*Input!$C$31</f>
        <v>8.2702645742592002E-5</v>
      </c>
      <c r="H135" s="62">
        <f>H69*Input!$C$31</f>
        <v>9.0176146457425933E-3</v>
      </c>
      <c r="I135" s="1">
        <f>I69*Input!$C$31</f>
        <v>1.0266644810281592E-3</v>
      </c>
      <c r="J135" s="1">
        <f>J69*Input!$C$31</f>
        <v>1.4885541792000001E-5</v>
      </c>
      <c r="K135" s="62">
        <f>K69*Input!$C$31</f>
        <v>1.0415500228201592E-3</v>
      </c>
      <c r="L135" s="1">
        <f>L69*Input!$C$31</f>
        <v>6.6184957912473123E-6</v>
      </c>
      <c r="M135" s="1">
        <f>M69*Input!$C$31</f>
        <v>1.0256067072000001E-4</v>
      </c>
      <c r="N135" s="62">
        <f>N69*Input!$C$31</f>
        <v>1.0917916651124732E-4</v>
      </c>
      <c r="O135" s="1">
        <f>O69*Input!$C$31</f>
        <v>0</v>
      </c>
      <c r="P135" s="1">
        <f>P69*Input!$C$31</f>
        <v>0</v>
      </c>
      <c r="Q135" s="62">
        <f>Q69*Input!$C$31</f>
        <v>0</v>
      </c>
      <c r="R135" s="1">
        <f>R69*Input!$C$31</f>
        <v>2.0518677208664949E-2</v>
      </c>
      <c r="S135" s="1">
        <f>S69*Input!$C$31</f>
        <v>5.8241640885120005E-5</v>
      </c>
      <c r="T135" s="62">
        <f>T69*Input!$C$31</f>
        <v>2.0576918849550069E-2</v>
      </c>
      <c r="U135" s="62">
        <f>U69*Input!$C$31</f>
        <v>1.2986558302062014E-3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2.4127100927999999E-4</v>
      </c>
      <c r="AC135" s="1">
        <f>AC69*Input!$C$31</f>
        <v>3.0171400819698537E-5</v>
      </c>
      <c r="AD135" s="62">
        <f>AD69*Input!$C$31</f>
        <v>2.7144241009969855E-4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-1.3352827561071753E-2</v>
      </c>
    </row>
    <row r="136" spans="1:40" x14ac:dyDescent="0.35">
      <c r="A136" s="39" t="s">
        <v>167</v>
      </c>
      <c r="B136" s="39" t="s">
        <v>165</v>
      </c>
      <c r="C136" s="1">
        <f>C70*Input!$C$31</f>
        <v>0.42710423579823575</v>
      </c>
      <c r="D136" s="1">
        <f>D70*Input!$C$31</f>
        <v>2.3156890825063163</v>
      </c>
      <c r="E136" s="62">
        <f>E70*Input!$C$31</f>
        <v>2.7427933183045519</v>
      </c>
      <c r="F136" s="1">
        <f>F70*Input!$C$31</f>
        <v>2.2464921599999998</v>
      </c>
      <c r="G136" s="1">
        <f>G70*Input!$C$31</f>
        <v>0.17686193264805888</v>
      </c>
      <c r="H136" s="62">
        <f>H70*Input!$C$31</f>
        <v>2.4233540926480588</v>
      </c>
      <c r="I136" s="1">
        <f>I70*Input!$C$31</f>
        <v>6.4693567324098908E-2</v>
      </c>
      <c r="J136" s="1">
        <f>J70*Input!$C$31</f>
        <v>3.1833149546880005E-2</v>
      </c>
      <c r="K136" s="62">
        <f>K70*Input!$C$31</f>
        <v>9.6526716870978899E-2</v>
      </c>
      <c r="L136" s="1">
        <f>L70*Input!$C$31</f>
        <v>3.2015710217664466E-2</v>
      </c>
      <c r="M136" s="1">
        <f>M70*Input!$C$31</f>
        <v>0.2193288772608</v>
      </c>
      <c r="N136" s="62">
        <f>N70*Input!$C$31</f>
        <v>0.2513445874784645</v>
      </c>
      <c r="O136" s="1">
        <f>O70*Input!$C$31</f>
        <v>0</v>
      </c>
      <c r="P136" s="1">
        <f>P70*Input!$C$31</f>
        <v>0</v>
      </c>
      <c r="Q136" s="62">
        <f>Q70*Input!$C$31</f>
        <v>0</v>
      </c>
      <c r="R136" s="1">
        <f>R70*Input!$C$31</f>
        <v>0.10500791454553669</v>
      </c>
      <c r="S136" s="1">
        <f>S70*Input!$C$31</f>
        <v>0.12455138617447681</v>
      </c>
      <c r="T136" s="62">
        <f>T70*Input!$C$31</f>
        <v>0.22955930072001351</v>
      </c>
      <c r="U136" s="62">
        <f>U70*Input!$C$31</f>
        <v>3.8489397842911441</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0.52173571967999999</v>
      </c>
      <c r="AC136" s="1">
        <f>AC70*Input!$C$31</f>
        <v>0.14594839310495791</v>
      </c>
      <c r="AD136" s="62">
        <f>AD70*Input!$C$31</f>
        <v>0.66768411278495798</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-4.3055868891533304</v>
      </c>
    </row>
    <row r="137" spans="1:40" x14ac:dyDescent="0.35">
      <c r="A137" s="39" t="s">
        <v>168</v>
      </c>
      <c r="B137" s="39" t="s">
        <v>165</v>
      </c>
      <c r="C137" s="1">
        <f>C71*Input!$C$31</f>
        <v>1.1142719980682941E-4</v>
      </c>
      <c r="D137" s="1">
        <f>D71*Input!$C$31</f>
        <v>2.8228555027191247E-4</v>
      </c>
      <c r="E137" s="62">
        <f>E71*Input!$C$31</f>
        <v>3.937127500787419E-4</v>
      </c>
      <c r="F137" s="1">
        <f>F71*Input!$C$31</f>
        <v>1.1275008000000001E-3</v>
      </c>
      <c r="G137" s="1">
        <f>G71*Input!$C$31</f>
        <v>1.4075222184960002E-5</v>
      </c>
      <c r="H137" s="62">
        <f>H71*Input!$C$31</f>
        <v>1.1415760221849601E-3</v>
      </c>
      <c r="I137" s="1">
        <f>I71*Input!$C$31</f>
        <v>1.1125912722574701E-4</v>
      </c>
      <c r="J137" s="1">
        <f>J71*Input!$C$31</f>
        <v>2.5333809599999997E-6</v>
      </c>
      <c r="K137" s="62">
        <f>K71*Input!$C$31</f>
        <v>1.1379250818574701E-4</v>
      </c>
      <c r="L137" s="1">
        <f>L71*Input!$C$31</f>
        <v>1.4161736613608893E-6</v>
      </c>
      <c r="M137" s="1">
        <f>M71*Input!$C$31</f>
        <v>1.74548736E-5</v>
      </c>
      <c r="N137" s="62">
        <f>N71*Input!$C$31</f>
        <v>1.8871047261360887E-5</v>
      </c>
      <c r="O137" s="1">
        <f>O71*Input!$C$31</f>
        <v>0</v>
      </c>
      <c r="P137" s="1">
        <f>P71*Input!$C$31</f>
        <v>0</v>
      </c>
      <c r="Q137" s="62">
        <f>Q71*Input!$C$31</f>
        <v>0</v>
      </c>
      <c r="R137" s="1">
        <f>R71*Input!$C$31</f>
        <v>8.6578605115472321E-5</v>
      </c>
      <c r="S137" s="1">
        <f>S71*Input!$C$31</f>
        <v>9.9121863456000014E-6</v>
      </c>
      <c r="T137" s="62">
        <f>T71*Input!$C$31</f>
        <v>9.6490791461072319E-5</v>
      </c>
      <c r="U137" s="62">
        <f>U71*Input!$C$31</f>
        <v>6.7321161661042836E-4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4.1045437439999992E-5</v>
      </c>
      <c r="AC137" s="1">
        <f>AC71*Input!$C$31</f>
        <v>6.4558389874214863E-6</v>
      </c>
      <c r="AD137" s="62">
        <f>AD71*Input!$C$31</f>
        <v>4.7501276427421485E-5</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-1.6874408723380355E-3</v>
      </c>
    </row>
    <row r="138" spans="1:40" x14ac:dyDescent="0.35">
      <c r="A138" s="39" t="s">
        <v>169</v>
      </c>
      <c r="B138" s="39" t="s">
        <v>170</v>
      </c>
      <c r="C138" s="1">
        <f>C72*Input!$C$31</f>
        <v>2.8465144632645609</v>
      </c>
      <c r="D138" s="1">
        <f>D72*Input!$C$31</f>
        <v>2.0078138155421619</v>
      </c>
      <c r="E138" s="62">
        <f>E72*Input!$C$31</f>
        <v>4.8543282788067224</v>
      </c>
      <c r="F138" s="1">
        <f>F72*Input!$C$31</f>
        <v>121.25951999999999</v>
      </c>
      <c r="G138" s="1">
        <f>G72*Input!$C$31</f>
        <v>0.15198759559259137</v>
      </c>
      <c r="H138" s="62">
        <f>H72*Input!$C$31</f>
        <v>121.41150759559258</v>
      </c>
      <c r="I138" s="1">
        <f>I72*Input!$C$31</f>
        <v>0.20549306353978389</v>
      </c>
      <c r="J138" s="1">
        <f>J72*Input!$C$31</f>
        <v>2.7356049927359995E-2</v>
      </c>
      <c r="K138" s="62">
        <f>K72*Input!$C$31</f>
        <v>0.2328491134671439</v>
      </c>
      <c r="L138" s="1">
        <f>L72*Input!$C$31</f>
        <v>1.4149071245162414E-2</v>
      </c>
      <c r="M138" s="1">
        <f>M72*Input!$C$31</f>
        <v>0.1884818750976</v>
      </c>
      <c r="N138" s="62">
        <f>N72*Input!$C$31</f>
        <v>0.20263094634276241</v>
      </c>
      <c r="O138" s="1">
        <f>O72*Input!$C$31</f>
        <v>0</v>
      </c>
      <c r="P138" s="1">
        <f>P72*Input!$C$31</f>
        <v>0</v>
      </c>
      <c r="Q138" s="62">
        <f>Q72*Input!$C$31</f>
        <v>0</v>
      </c>
      <c r="R138" s="1">
        <f>R72*Input!$C$31</f>
        <v>0.52461785879565603</v>
      </c>
      <c r="S138" s="1">
        <f>S72*Input!$C$31</f>
        <v>0.10703414482104959</v>
      </c>
      <c r="T138" s="62">
        <f>T72*Input!$C$31</f>
        <v>0.63165200361670559</v>
      </c>
      <c r="U138" s="62">
        <f>U72*Input!$C$31</f>
        <v>2.1106272156829866</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0.44363879239679999</v>
      </c>
      <c r="AC138" s="1">
        <f>AC72*Input!$C$31</f>
        <v>6.4500652901950964E-2</v>
      </c>
      <c r="AD138" s="62">
        <f>AD72*Input!$C$31</f>
        <v>0.50813944529875099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-131.2726017969683</v>
      </c>
    </row>
    <row r="139" spans="1:40" ht="29" x14ac:dyDescent="0.35">
      <c r="A139" s="39" t="s">
        <v>171</v>
      </c>
      <c r="B139" s="39" t="s">
        <v>172</v>
      </c>
      <c r="C139" s="1">
        <f>C73*Input!$C$31</f>
        <v>5.8855572222615651</v>
      </c>
      <c r="D139" s="1">
        <f>D73*Input!$C$31</f>
        <v>31.046964280429105</v>
      </c>
      <c r="E139" s="62">
        <f>E73*Input!$C$31</f>
        <v>36.932521502690669</v>
      </c>
      <c r="F139" s="1">
        <f>F73*Input!$C$31</f>
        <v>194.866176</v>
      </c>
      <c r="G139" s="1">
        <f>G73*Input!$C$31</f>
        <v>2.3816802680254465</v>
      </c>
      <c r="H139" s="62">
        <f>H73*Input!$C$31</f>
        <v>197.24785626802546</v>
      </c>
      <c r="I139" s="1">
        <f>I73*Input!$C$31</f>
        <v>1.1023818802532117</v>
      </c>
      <c r="J139" s="1">
        <f>J73*Input!$C$31</f>
        <v>0.42867553808639997</v>
      </c>
      <c r="K139" s="62">
        <f>K73*Input!$C$31</f>
        <v>1.5310574183396117</v>
      </c>
      <c r="L139" s="1">
        <f>L73*Input!$C$31</f>
        <v>0.42536093574717587</v>
      </c>
      <c r="M139" s="1">
        <f>M73*Input!$C$31</f>
        <v>2.9535539466239999</v>
      </c>
      <c r="N139" s="62">
        <f>N73*Input!$C$31</f>
        <v>3.3789148823711752</v>
      </c>
      <c r="O139" s="1">
        <f>O73*Input!$C$31</f>
        <v>0</v>
      </c>
      <c r="P139" s="1">
        <f>P73*Input!$C$31</f>
        <v>0</v>
      </c>
      <c r="Q139" s="62">
        <f>Q73*Input!$C$31</f>
        <v>0</v>
      </c>
      <c r="R139" s="1">
        <f>R73*Input!$C$31</f>
        <v>1.4499807105429279</v>
      </c>
      <c r="S139" s="1">
        <f>S73*Input!$C$31</f>
        <v>1.677249447439104</v>
      </c>
      <c r="T139" s="62">
        <f>T73*Input!$C$31</f>
        <v>3.1272301579820314</v>
      </c>
      <c r="U139" s="62">
        <f>U73*Input!$C$31</f>
        <v>71.785275895324105</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7.0187108060159993</v>
      </c>
      <c r="AC139" s="1">
        <f>AC73*Input!$C$31</f>
        <v>1.9390713071755914</v>
      </c>
      <c r="AD139" s="62">
        <f>AD73*Input!$C$31</f>
        <v>8.9577821131915911</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-232.17366551367914</v>
      </c>
    </row>
    <row r="140" spans="1:40" ht="29" x14ac:dyDescent="0.35">
      <c r="A140" s="39" t="s">
        <v>173</v>
      </c>
      <c r="B140" s="39" t="s">
        <v>174</v>
      </c>
      <c r="C140" s="1">
        <f>C74*Input!$C$31</f>
        <v>2.7216973757624703E-5</v>
      </c>
      <c r="D140" s="1">
        <f>D74*Input!$C$31</f>
        <v>6.1769377484824063E-5</v>
      </c>
      <c r="E140" s="62">
        <f>E74*Input!$C$31</f>
        <v>8.898635124244876E-5</v>
      </c>
      <c r="F140" s="1">
        <f>F74*Input!$C$31</f>
        <v>1.8933504E-6</v>
      </c>
      <c r="G140" s="1">
        <f>G74*Input!$C$31</f>
        <v>4.1275242095615997E-6</v>
      </c>
      <c r="H140" s="62">
        <f>H74*Input!$C$31</f>
        <v>6.0208746095615997E-6</v>
      </c>
      <c r="I140" s="1">
        <f>I74*Input!$C$31</f>
        <v>3.9556946014784309E-5</v>
      </c>
      <c r="J140" s="1">
        <f>J74*Input!$C$31</f>
        <v>7.4290772159999999E-7</v>
      </c>
      <c r="K140" s="62">
        <f>K74*Input!$C$31</f>
        <v>4.0299853736384317E-5</v>
      </c>
      <c r="L140" s="1">
        <f>L74*Input!$C$31</f>
        <v>3.3853426610781397E-7</v>
      </c>
      <c r="M140" s="1">
        <f>M74*Input!$C$31</f>
        <v>5.1185986559999998E-6</v>
      </c>
      <c r="N140" s="62">
        <f>N74*Input!$C$31</f>
        <v>5.4571329221078142E-6</v>
      </c>
      <c r="O140" s="1">
        <f>O74*Input!$C$31</f>
        <v>0</v>
      </c>
      <c r="P140" s="1">
        <f>P74*Input!$C$31</f>
        <v>0</v>
      </c>
      <c r="Q140" s="62">
        <f>Q74*Input!$C$31</f>
        <v>0</v>
      </c>
      <c r="R140" s="1">
        <f>R74*Input!$C$31</f>
        <v>3.312277560601401E-5</v>
      </c>
      <c r="S140" s="1">
        <f>S74*Input!$C$31</f>
        <v>2.9067242117759998E-6</v>
      </c>
      <c r="T140" s="62">
        <f>T74*Input!$C$31</f>
        <v>3.6029499817790011E-5</v>
      </c>
      <c r="U140" s="62">
        <f>U74*Input!$C$31</f>
        <v>1.3280139916736051E-4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1.2008908800000003E-5</v>
      </c>
      <c r="AC140" s="1">
        <f>AC74*Input!$C$31</f>
        <v>1.5432589754682634E-6</v>
      </c>
      <c r="AD140" s="62">
        <f>AD74*Input!$C$31</f>
        <v>1.3552167775468265E-5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-1.6533516210569569E-4</v>
      </c>
    </row>
    <row r="141" spans="1:40" ht="29" x14ac:dyDescent="0.35">
      <c r="A141" s="39" t="s">
        <v>175</v>
      </c>
      <c r="B141" s="39" t="s">
        <v>176</v>
      </c>
      <c r="C141" s="1">
        <f>C75*Input!$C$31</f>
        <v>2.5195314929932662E-3</v>
      </c>
      <c r="D141" s="1">
        <f>D75*Input!$C$31</f>
        <v>1.175198914727533E-3</v>
      </c>
      <c r="E141" s="62">
        <f>E75*Input!$C$31</f>
        <v>3.6947304077207996E-3</v>
      </c>
      <c r="F141" s="1">
        <f>F75*Input!$C$31</f>
        <v>1.88909568E-3</v>
      </c>
      <c r="G141" s="1">
        <f>G75*Input!$C$31</f>
        <v>5.7517289361408002E-5</v>
      </c>
      <c r="H141" s="62">
        <f>H75*Input!$C$31</f>
        <v>1.9466129693614079E-3</v>
      </c>
      <c r="I141" s="1">
        <f>I75*Input!$C$31</f>
        <v>1.1406337373686712E-4</v>
      </c>
      <c r="J141" s="1">
        <f>J75*Input!$C$31</f>
        <v>1.0352462207999998E-5</v>
      </c>
      <c r="K141" s="62">
        <f>K75*Input!$C$31</f>
        <v>1.244158359448671E-4</v>
      </c>
      <c r="L141" s="1">
        <f>L75*Input!$C$31</f>
        <v>9.2583083121698704E-6</v>
      </c>
      <c r="M141" s="1">
        <f>M75*Input!$C$31</f>
        <v>7.1327969279999989E-5</v>
      </c>
      <c r="N141" s="62">
        <f>N75*Input!$C$31</f>
        <v>8.0586277592169863E-5</v>
      </c>
      <c r="O141" s="1">
        <f>O75*Input!$C$31</f>
        <v>0</v>
      </c>
      <c r="P141" s="1">
        <f>P75*Input!$C$31</f>
        <v>0</v>
      </c>
      <c r="Q141" s="62">
        <f>Q75*Input!$C$31</f>
        <v>0</v>
      </c>
      <c r="R141" s="1">
        <f>R75*Input!$C$31</f>
        <v>1.9790745591982768E-4</v>
      </c>
      <c r="S141" s="1">
        <f>S75*Input!$C$31</f>
        <v>4.0505370554879999E-5</v>
      </c>
      <c r="T141" s="62">
        <f>T75*Input!$C$31</f>
        <v>2.384128264747077E-4</v>
      </c>
      <c r="U141" s="62">
        <f>U75*Input!$C$31</f>
        <v>1.0032288104415814E-3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5.1239946239999988E-4</v>
      </c>
      <c r="AC141" s="1">
        <f>AC75*Input!$C$31</f>
        <v>4.220538016632635E-5</v>
      </c>
      <c r="AD141" s="62">
        <f>AD75*Input!$C$31</f>
        <v>5.5460484256632627E-4</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-5.5984487556182795E-3</v>
      </c>
    </row>
    <row r="142" spans="1:40" x14ac:dyDescent="0.35">
      <c r="A142" s="39" t="s">
        <v>177</v>
      </c>
      <c r="B142" s="39" t="s">
        <v>178</v>
      </c>
      <c r="C142" s="1">
        <f>C76*Input!$C$31</f>
        <v>3.3304306474648403E-2</v>
      </c>
      <c r="D142" s="1">
        <f>D76*Input!$C$31</f>
        <v>1.2770908879034039E-2</v>
      </c>
      <c r="E142" s="62">
        <f>E76*Input!$C$31</f>
        <v>4.607521535368244E-2</v>
      </c>
      <c r="F142" s="1">
        <f>F76*Input!$C$31</f>
        <v>2.0677939200000002E-2</v>
      </c>
      <c r="G142" s="1">
        <f>G76*Input!$C$31</f>
        <v>6.2257261028351996E-4</v>
      </c>
      <c r="H142" s="62">
        <f>H76*Input!$C$31</f>
        <v>2.1300511810283522E-2</v>
      </c>
      <c r="I142" s="1">
        <f>I76*Input!$C$31</f>
        <v>1.3519684261212555E-3</v>
      </c>
      <c r="J142" s="1">
        <f>J76*Input!$C$31</f>
        <v>1.1205603552E-4</v>
      </c>
      <c r="K142" s="62">
        <f>K76*Input!$C$31</f>
        <v>1.4640244616412554E-3</v>
      </c>
      <c r="L142" s="1">
        <f>L76*Input!$C$31</f>
        <v>1.0064921983916307E-4</v>
      </c>
      <c r="M142" s="1">
        <f>M76*Input!$C$31</f>
        <v>7.7206072320000008E-4</v>
      </c>
      <c r="N142" s="62">
        <f>N76*Input!$C$31</f>
        <v>8.7270994303916319E-4</v>
      </c>
      <c r="O142" s="1">
        <f>O76*Input!$C$31</f>
        <v>0</v>
      </c>
      <c r="P142" s="1">
        <f>P76*Input!$C$31</f>
        <v>0</v>
      </c>
      <c r="Q142" s="62">
        <f>Q76*Input!$C$31</f>
        <v>0</v>
      </c>
      <c r="R142" s="1">
        <f>R76*Input!$C$31</f>
        <v>2.0312124714815557E-3</v>
      </c>
      <c r="S142" s="1">
        <f>S76*Input!$C$31</f>
        <v>4.3843398318719996E-4</v>
      </c>
      <c r="T142" s="62">
        <f>T76*Input!$C$31</f>
        <v>2.4696464546687556E-3</v>
      </c>
      <c r="U142" s="62">
        <f>U76*Input!$C$31</f>
        <v>1.0821174564307735E-2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5.5894970879999993E-3</v>
      </c>
      <c r="AC142" s="1">
        <f>AC76*Input!$C$31</f>
        <v>4.5882448969345726E-4</v>
      </c>
      <c r="AD142" s="62">
        <f>AD76*Input!$C$31</f>
        <v>6.048321577693457E-3</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-6.4575027975238855E-2</v>
      </c>
    </row>
    <row r="143" spans="1:40" x14ac:dyDescent="0.35">
      <c r="A143" s="39" t="s">
        <v>179</v>
      </c>
      <c r="B143" s="39" t="s">
        <v>180</v>
      </c>
      <c r="C143" s="1">
        <f>C77*Input!$C$31</f>
        <v>6.7550838864074646E-11</v>
      </c>
      <c r="D143" s="1">
        <f>D77*Input!$C$31</f>
        <v>2.1071888024683498E-10</v>
      </c>
      <c r="E143" s="62">
        <f>E77*Input!$C$31</f>
        <v>2.7826971911090958E-10</v>
      </c>
      <c r="F143" s="1">
        <f>F77*Input!$C$31</f>
        <v>2.11034112E-9</v>
      </c>
      <c r="G143" s="1">
        <f>G77*Input!$C$31</f>
        <v>1.5684010103807996E-11</v>
      </c>
      <c r="H143" s="62">
        <f>H77*Input!$C$31</f>
        <v>2.1260251301038078E-9</v>
      </c>
      <c r="I143" s="1">
        <f>I77*Input!$C$31</f>
        <v>1.3565714297368255E-11</v>
      </c>
      <c r="J143" s="1">
        <f>J77*Input!$C$31</f>
        <v>2.8229446080000001E-12</v>
      </c>
      <c r="K143" s="62">
        <f>K77*Input!$C$31</f>
        <v>1.6388658905368256E-11</v>
      </c>
      <c r="L143" s="1">
        <f>L77*Input!$C$31</f>
        <v>1.9569882038348375E-12</v>
      </c>
      <c r="M143" s="1">
        <f>M77*Input!$C$31</f>
        <v>1.9449953279999998E-11</v>
      </c>
      <c r="N143" s="62">
        <f>N77*Input!$C$31</f>
        <v>2.1406941483834835E-11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3.8101130004070061E-10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4.8793973759999995E-11</v>
      </c>
      <c r="AC143" s="1">
        <f>AC77*Input!$C$31</f>
        <v>8.9212227913489734E-12</v>
      </c>
      <c r="AD143" s="62">
        <f>AD77*Input!$C$31</f>
        <v>5.7715196551348973E-11</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-2.4487544104377029E-9</v>
      </c>
    </row>
    <row r="144" spans="1:40" x14ac:dyDescent="0.35">
      <c r="A144" s="39" t="s">
        <v>181</v>
      </c>
      <c r="B144" s="39" t="s">
        <v>180</v>
      </c>
      <c r="C144" s="1">
        <f>C78*Input!$C$31</f>
        <v>1.6052839613760655E-9</v>
      </c>
      <c r="D144" s="1">
        <f>D78*Input!$C$31</f>
        <v>1.6220336648323644E-8</v>
      </c>
      <c r="E144" s="62">
        <f>E78*Input!$C$31</f>
        <v>1.782562060969971E-8</v>
      </c>
      <c r="F144" s="1">
        <f>F78*Input!$C$31</f>
        <v>6.0842495999999996E-8</v>
      </c>
      <c r="G144" s="1">
        <f>G78*Input!$C$31</f>
        <v>1.2761282107392001E-9</v>
      </c>
      <c r="H144" s="62">
        <f>H78*Input!$C$31</f>
        <v>6.2118624210739191E-8</v>
      </c>
      <c r="I144" s="1">
        <f>I78*Input!$C$31</f>
        <v>5.1544596263419286E-10</v>
      </c>
      <c r="J144" s="1">
        <f>J78*Input!$C$31</f>
        <v>2.2968865920000001E-10</v>
      </c>
      <c r="K144" s="62">
        <f>K78*Input!$C$31</f>
        <v>7.4513462183419297E-10</v>
      </c>
      <c r="L144" s="1">
        <f>L78*Input!$C$31</f>
        <v>5.2161722354727859E-11</v>
      </c>
      <c r="M144" s="1">
        <f>M78*Input!$C$31</f>
        <v>1.5825438720000002E-9</v>
      </c>
      <c r="N144" s="62">
        <f>N78*Input!$C$31</f>
        <v>1.6347055943547279E-9</v>
      </c>
      <c r="O144" s="1">
        <f>O78*Input!$C$31</f>
        <v>0</v>
      </c>
      <c r="P144" s="1">
        <f>P78*Input!$C$31</f>
        <v>0</v>
      </c>
      <c r="Q144" s="62">
        <f>Q78*Input!$C$31</f>
        <v>0</v>
      </c>
      <c r="R144" s="1">
        <f>R78*Input!$C$31</f>
        <v>2.917560380931721E-9</v>
      </c>
      <c r="S144" s="1">
        <f>S78*Input!$C$31</f>
        <v>8.9868710131199999E-10</v>
      </c>
      <c r="T144" s="62">
        <f>T78*Input!$C$31</f>
        <v>3.8162474822437207E-9</v>
      </c>
      <c r="U144" s="62">
        <f>U78*Input!$C$31</f>
        <v>7.3529095778409802E-9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3.7412121599999998E-9</v>
      </c>
      <c r="AC144" s="1">
        <f>AC78*Input!$C$31</f>
        <v>2.3778699605605235E-10</v>
      </c>
      <c r="AD144" s="62">
        <f>AD78*Input!$C$31</f>
        <v>3.9789991560560525E-9</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-7.7610589644229672E-8</v>
      </c>
    </row>
    <row r="145" spans="1:40" ht="29" x14ac:dyDescent="0.35">
      <c r="A145" s="39" t="s">
        <v>182</v>
      </c>
      <c r="B145" s="39" t="s">
        <v>183</v>
      </c>
      <c r="C145" s="1">
        <f>C79*Input!$C$31</f>
        <v>1.169865400918345E-2</v>
      </c>
      <c r="D145" s="1">
        <f>D79*Input!$C$31</f>
        <v>1.7312771855868232E-2</v>
      </c>
      <c r="E145" s="62">
        <f>E79*Input!$C$31</f>
        <v>2.9011425865051683E-2</v>
      </c>
      <c r="F145" s="1">
        <f>F79*Input!$C$31</f>
        <v>3.2123135999999997E-2</v>
      </c>
      <c r="G145" s="1">
        <f>G79*Input!$C$31</f>
        <v>1.07996354525184E-3</v>
      </c>
      <c r="H145" s="62">
        <f>H79*Input!$C$31</f>
        <v>3.3203099545251837E-2</v>
      </c>
      <c r="I145" s="1">
        <f>I79*Input!$C$31</f>
        <v>2.1162069122549879E-2</v>
      </c>
      <c r="J145" s="1">
        <f>J79*Input!$C$31</f>
        <v>1.9438123583999999E-4</v>
      </c>
      <c r="K145" s="62">
        <f>K79*Input!$C$31</f>
        <v>2.1356450358389879E-2</v>
      </c>
      <c r="L145" s="1">
        <f>L79*Input!$C$31</f>
        <v>1.277181470957085E-4</v>
      </c>
      <c r="M145" s="1">
        <f>M79*Input!$C$31</f>
        <v>1.3392774144000003E-3</v>
      </c>
      <c r="N145" s="62">
        <f>N79*Input!$C$31</f>
        <v>1.4669955614957087E-3</v>
      </c>
      <c r="O145" s="1">
        <f>O79*Input!$C$31</f>
        <v>0</v>
      </c>
      <c r="P145" s="1">
        <f>P79*Input!$C$31</f>
        <v>0</v>
      </c>
      <c r="Q145" s="62">
        <f>Q79*Input!$C$31</f>
        <v>0</v>
      </c>
      <c r="R145" s="1">
        <f>R79*Input!$C$31</f>
        <v>2.0435182900459595E-2</v>
      </c>
      <c r="S145" s="1">
        <f>S79*Input!$C$31</f>
        <v>7.6054216170240007E-4</v>
      </c>
      <c r="T145" s="62">
        <f>T79*Input!$C$31</f>
        <v>2.1195725062161996E-2</v>
      </c>
      <c r="U145" s="62">
        <f>U79*Input!$C$31</f>
        <v>0.4696652583230867</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3.1598880768E-3</v>
      </c>
      <c r="AC145" s="1">
        <f>AC79*Input!$C$31</f>
        <v>5.8222223440405397E-4</v>
      </c>
      <c r="AD145" s="62">
        <f>AD79*Input!$C$31</f>
        <v>3.7421103112040537E-3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-0.10841732938340679</v>
      </c>
    </row>
    <row r="146" spans="1:40" x14ac:dyDescent="0.35">
      <c r="A146" s="39" t="s">
        <v>184</v>
      </c>
      <c r="B146" s="39" t="s">
        <v>185</v>
      </c>
      <c r="C146" s="1">
        <f>C80*Input!$C$31</f>
        <v>75.047475845286556</v>
      </c>
      <c r="D146" s="1">
        <f>D80*Input!$C$31</f>
        <v>2.8150578397864359</v>
      </c>
      <c r="E146" s="62">
        <f>E80*Input!$C$31</f>
        <v>77.862533685072989</v>
      </c>
      <c r="F146" s="1">
        <f>F80*Input!$C$31</f>
        <v>1.1189913600000001</v>
      </c>
      <c r="G146" s="1">
        <f>G80*Input!$C$31</f>
        <v>0.15022917100087296</v>
      </c>
      <c r="H146" s="62">
        <f>H80*Input!$C$31</f>
        <v>1.2692205310008731</v>
      </c>
      <c r="I146" s="1">
        <f>I80*Input!$C$31</f>
        <v>0.33994034830656672</v>
      </c>
      <c r="J146" s="1">
        <f>J80*Input!$C$31</f>
        <v>2.7039553368959999E-2</v>
      </c>
      <c r="K146" s="62">
        <f>K80*Input!$C$31</f>
        <v>0.36697990167552674</v>
      </c>
      <c r="L146" s="1">
        <f>L80*Input!$C$31</f>
        <v>2.1869689454441864E-2</v>
      </c>
      <c r="M146" s="1">
        <f>M80*Input!$C$31</f>
        <v>0.18630122895359999</v>
      </c>
      <c r="N146" s="62">
        <f>N80*Input!$C$31</f>
        <v>0.20817091840804186</v>
      </c>
      <c r="O146" s="1">
        <f>O80*Input!$C$31</f>
        <v>0</v>
      </c>
      <c r="P146" s="1">
        <f>P80*Input!$C$31</f>
        <v>0</v>
      </c>
      <c r="Q146" s="62">
        <f>Q80*Input!$C$31</f>
        <v>0</v>
      </c>
      <c r="R146" s="1">
        <f>R80*Input!$C$31</f>
        <v>0.56137269945621215</v>
      </c>
      <c r="S146" s="1">
        <f>S80*Input!$C$31</f>
        <v>0.10579581039202561</v>
      </c>
      <c r="T146" s="62">
        <f>T80*Input!$C$31</f>
        <v>0.66716850984823772</v>
      </c>
      <c r="U146" s="62">
        <f>U80*Input!$C$31</f>
        <v>2.4536828517087219</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0.44042935910399994</v>
      </c>
      <c r="AC146" s="1">
        <f>AC80*Input!$C$31</f>
        <v>9.9696243246828034E-2</v>
      </c>
      <c r="AD146" s="62">
        <f>AD80*Input!$C$31</f>
        <v>0.54012560235082796</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-96.261046588094743</v>
      </c>
    </row>
    <row r="147" spans="1:40" ht="29" x14ac:dyDescent="0.35">
      <c r="A147" s="39" t="s">
        <v>186</v>
      </c>
      <c r="B147" s="39" t="s">
        <v>187</v>
      </c>
      <c r="C147" s="1">
        <f>C81*Input!$C$31</f>
        <v>8.948569055373333E-7</v>
      </c>
      <c r="D147" s="1">
        <f>D81*Input!$C$31</f>
        <v>2.5880134329667713E-6</v>
      </c>
      <c r="E147" s="62">
        <f>E81*Input!$C$31</f>
        <v>3.4828703385041044E-6</v>
      </c>
      <c r="F147" s="1">
        <f>F81*Input!$C$31</f>
        <v>4.3398144000000001E-7</v>
      </c>
      <c r="G147" s="1">
        <f>G81*Input!$C$31</f>
        <v>1.9523163091967999E-7</v>
      </c>
      <c r="H147" s="62">
        <f>H81*Input!$C$31</f>
        <v>6.2921307091968003E-7</v>
      </c>
      <c r="I147" s="1">
        <f>I81*Input!$C$31</f>
        <v>1.9364976295262905E-7</v>
      </c>
      <c r="J147" s="1">
        <f>J81*Input!$C$31</f>
        <v>3.5139487679999996E-8</v>
      </c>
      <c r="K147" s="62">
        <f>K81*Input!$C$31</f>
        <v>2.2878925063262903E-7</v>
      </c>
      <c r="L147" s="1">
        <f>L81*Input!$C$31</f>
        <v>4.9935234569963153E-9</v>
      </c>
      <c r="M147" s="1">
        <f>M81*Input!$C$31</f>
        <v>2.4210938880000001E-7</v>
      </c>
      <c r="N147" s="62">
        <f>N81*Input!$C$31</f>
        <v>2.4710291225699627E-7</v>
      </c>
      <c r="O147" s="1">
        <f>O81*Input!$C$31</f>
        <v>0</v>
      </c>
      <c r="P147" s="1">
        <f>P81*Input!$C$31</f>
        <v>0</v>
      </c>
      <c r="Q147" s="62">
        <f>Q81*Input!$C$31</f>
        <v>0</v>
      </c>
      <c r="R147" s="1">
        <f>R81*Input!$C$31</f>
        <v>3.8405416586632021E-5</v>
      </c>
      <c r="S147" s="1">
        <f>S81*Input!$C$31</f>
        <v>1.374878691648E-7</v>
      </c>
      <c r="T147" s="62">
        <f>T81*Input!$C$31</f>
        <v>3.8542904455796822E-5</v>
      </c>
      <c r="U147" s="62">
        <f>U81*Input!$C$31</f>
        <v>5.7561691462953093E-6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5.6583797759999998E-7</v>
      </c>
      <c r="AC147" s="1">
        <f>AC81*Input!$C$31</f>
        <v>2.2763721920446975E-8</v>
      </c>
      <c r="AD147" s="62">
        <f>AD81*Input!$C$31</f>
        <v>5.8860169952044689E-7</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-3.2149815918217731E-6</v>
      </c>
    </row>
    <row r="148" spans="1:40" x14ac:dyDescent="0.35">
      <c r="A148" s="39" t="s">
        <v>188</v>
      </c>
      <c r="B148" s="39" t="s">
        <v>189</v>
      </c>
      <c r="C148" s="1">
        <f>C82*Input!$C$31</f>
        <v>6.7653035519931625E-9</v>
      </c>
      <c r="D148" s="1">
        <f>D82*Input!$C$31</f>
        <v>5.1090985320169463E-8</v>
      </c>
      <c r="E148" s="62">
        <f>E82*Input!$C$31</f>
        <v>5.7856288872162633E-8</v>
      </c>
      <c r="F148" s="1">
        <f>F82*Input!$C$31</f>
        <v>1.4125670399999999E-12</v>
      </c>
      <c r="G148" s="1">
        <f>G82*Input!$C$31</f>
        <v>3.9348196866048007E-9</v>
      </c>
      <c r="H148" s="62">
        <f>H82*Input!$C$31</f>
        <v>3.936232253644801E-9</v>
      </c>
      <c r="I148" s="1">
        <f>I82*Input!$C$31</f>
        <v>8.427034907322138E-10</v>
      </c>
      <c r="J148" s="1">
        <f>J82*Input!$C$31</f>
        <v>7.0822308479999998E-10</v>
      </c>
      <c r="K148" s="62">
        <f>K82*Input!$C$31</f>
        <v>1.5509265755322139E-9</v>
      </c>
      <c r="L148" s="1">
        <f>L82*Input!$C$31</f>
        <v>7.2164284444987708E-10</v>
      </c>
      <c r="M148" s="1">
        <f>M82*Input!$C$31</f>
        <v>4.8796231679999997E-9</v>
      </c>
      <c r="N148" s="62">
        <f>N82*Input!$C$31</f>
        <v>5.6012660124498768E-9</v>
      </c>
      <c r="O148" s="1">
        <f>O82*Input!$C$31</f>
        <v>0</v>
      </c>
      <c r="P148" s="1">
        <f>P82*Input!$C$31</f>
        <v>0</v>
      </c>
      <c r="Q148" s="62">
        <f>Q82*Input!$C$31</f>
        <v>0</v>
      </c>
      <c r="R148" s="1">
        <f>R82*Input!$C$31</f>
        <v>1.2838525942572228E-9</v>
      </c>
      <c r="S148" s="1">
        <f>S82*Input!$C$31</f>
        <v>2.771016006528E-9</v>
      </c>
      <c r="T148" s="62">
        <f>T82*Input!$C$31</f>
        <v>4.0548686007852228E-9</v>
      </c>
      <c r="U148" s="62">
        <f>U82*Input!$C$31</f>
        <v>5.1770232650063438E-7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1.1611708415999997E-8</v>
      </c>
      <c r="AC148" s="1">
        <f>AC82*Input!$C$31</f>
        <v>3.2897166056006967E-9</v>
      </c>
      <c r="AD148" s="62">
        <f>AD82*Input!$C$31</f>
        <v>1.4901425021600692E-8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-3.9104379091566362E-8</v>
      </c>
    </row>
    <row r="149" spans="1:40" x14ac:dyDescent="0.35">
      <c r="A149" s="39" t="s">
        <v>190</v>
      </c>
      <c r="B149" s="39" t="s">
        <v>191</v>
      </c>
      <c r="C149" s="1">
        <f>C83*Input!$C$31</f>
        <v>1.2379916014480458E-7</v>
      </c>
      <c r="D149" s="1">
        <f>D83*Input!$C$31</f>
        <v>1.3889483933359479E-7</v>
      </c>
      <c r="E149" s="62">
        <f>E83*Input!$C$31</f>
        <v>2.6269399947839937E-7</v>
      </c>
      <c r="F149" s="1">
        <f>F83*Input!$C$31</f>
        <v>1.14026496E-7</v>
      </c>
      <c r="G149" s="1">
        <f>G83*Input!$C$31</f>
        <v>1.0968529200844799E-8</v>
      </c>
      <c r="H149" s="62">
        <f>H83*Input!$C$31</f>
        <v>1.2499502520084483E-7</v>
      </c>
      <c r="I149" s="1">
        <f>I83*Input!$C$31</f>
        <v>5.3282518696060506E-9</v>
      </c>
      <c r="J149" s="1">
        <f>J83*Input!$C$31</f>
        <v>1.9742113247999997E-9</v>
      </c>
      <c r="K149" s="62">
        <f>K83*Input!$C$31</f>
        <v>7.3024631944060507E-9</v>
      </c>
      <c r="L149" s="1">
        <f>L83*Input!$C$31</f>
        <v>3.1541018866918046E-10</v>
      </c>
      <c r="M149" s="1">
        <f>M83*Input!$C$31</f>
        <v>1.3602221568E-8</v>
      </c>
      <c r="N149" s="62">
        <f>N83*Input!$C$31</f>
        <v>1.391763175666918E-8</v>
      </c>
      <c r="O149" s="1">
        <f>O83*Input!$C$31</f>
        <v>0</v>
      </c>
      <c r="P149" s="1">
        <f>P83*Input!$C$31</f>
        <v>0</v>
      </c>
      <c r="Q149" s="62">
        <f>Q83*Input!$C$31</f>
        <v>0</v>
      </c>
      <c r="R149" s="1">
        <f>R83*Input!$C$31</f>
        <v>1.3426745522372374E-8</v>
      </c>
      <c r="S149" s="1">
        <f>S83*Input!$C$31</f>
        <v>7.7243615729279995E-9</v>
      </c>
      <c r="T149" s="62">
        <f>T83*Input!$C$31</f>
        <v>2.1151107095300375E-8</v>
      </c>
      <c r="U149" s="62">
        <f>U83*Input!$C$31</f>
        <v>1.6990231895882753E-8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3.52977408E-8</v>
      </c>
      <c r="AC149" s="1">
        <f>AC83*Input!$C$31</f>
        <v>1.4378444173885529E-9</v>
      </c>
      <c r="AD149" s="62">
        <f>AD83*Input!$C$31</f>
        <v>3.6735585217388553E-8</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-3.3332763157744366E-7</v>
      </c>
    </row>
    <row r="150" spans="1:40" ht="29" x14ac:dyDescent="0.35">
      <c r="A150" s="39" t="s">
        <v>192</v>
      </c>
      <c r="B150" s="39" t="s">
        <v>193</v>
      </c>
      <c r="C150" s="1">
        <f>C84*Input!$C$31</f>
        <v>8.0151259366533553E-3</v>
      </c>
      <c r="D150" s="1">
        <f>D84*Input!$C$31</f>
        <v>7.128638564633181E-3</v>
      </c>
      <c r="E150" s="62">
        <f>E84*Input!$C$31</f>
        <v>1.5143764501286537E-2</v>
      </c>
      <c r="F150" s="1">
        <f>F84*Input!$C$31</f>
        <v>8.6370815999999989E-3</v>
      </c>
      <c r="G150" s="1">
        <f>G84*Input!$C$31</f>
        <v>4.6006964711423998E-4</v>
      </c>
      <c r="H150" s="62">
        <f>H84*Input!$C$31</f>
        <v>9.0971512471142383E-3</v>
      </c>
      <c r="I150" s="1">
        <f>I84*Input!$C$31</f>
        <v>3.5708735720420661E-4</v>
      </c>
      <c r="J150" s="1">
        <f>J84*Input!$C$31</f>
        <v>8.2807338239999996E-5</v>
      </c>
      <c r="K150" s="62">
        <f>K84*Input!$C$31</f>
        <v>4.3989469544420659E-4</v>
      </c>
      <c r="L150" s="1">
        <f>L84*Input!$C$31</f>
        <v>7.8878858178460463E-5</v>
      </c>
      <c r="M150" s="1">
        <f>M84*Input!$C$31</f>
        <v>5.705385983999999E-4</v>
      </c>
      <c r="N150" s="62">
        <f>N84*Input!$C$31</f>
        <v>6.4941745657846038E-4</v>
      </c>
      <c r="O150" s="1">
        <f>O84*Input!$C$31</f>
        <v>0</v>
      </c>
      <c r="P150" s="1">
        <f>P84*Input!$C$31</f>
        <v>0</v>
      </c>
      <c r="Q150" s="62">
        <f>Q84*Input!$C$31</f>
        <v>0</v>
      </c>
      <c r="R150" s="1">
        <f>R84*Input!$C$31</f>
        <v>6.7057551379197172E-4</v>
      </c>
      <c r="S150" s="1">
        <f>S84*Input!$C$31</f>
        <v>3.239946065664E-4</v>
      </c>
      <c r="T150" s="62">
        <f>T84*Input!$C$31</f>
        <v>9.9457012035837188E-4</v>
      </c>
      <c r="U150" s="62">
        <f>U84*Input!$C$31</f>
        <v>3.6554256587496624E-3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2.2484206079999998E-3</v>
      </c>
      <c r="AC150" s="1">
        <f>AC84*Input!$C$31</f>
        <v>3.5958104701823445E-4</v>
      </c>
      <c r="AD150" s="62">
        <f>AD84*Input!$C$31</f>
        <v>2.6080016550182341E-3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-2.2236126752777599E-2</v>
      </c>
    </row>
    <row r="151" spans="1:40" ht="29" x14ac:dyDescent="0.35">
      <c r="A151" s="39" t="s">
        <v>194</v>
      </c>
      <c r="B151" s="39" t="s">
        <v>195</v>
      </c>
      <c r="C151" s="1">
        <f>C85*Input!$C$31</f>
        <v>0.58708308418058019</v>
      </c>
      <c r="D151" s="1">
        <f>D85*Input!$C$31</f>
        <v>7.8443264058031675E-2</v>
      </c>
      <c r="E151" s="62">
        <f>E85*Input!$C$31</f>
        <v>0.6655263482386119</v>
      </c>
      <c r="F151" s="1">
        <f>F85*Input!$C$31</f>
        <v>3.0676531199999999E-2</v>
      </c>
      <c r="G151" s="1">
        <f>G85*Input!$C$31</f>
        <v>5.4245191754649603E-3</v>
      </c>
      <c r="H151" s="62">
        <f>H85*Input!$C$31</f>
        <v>3.610105037546496E-2</v>
      </c>
      <c r="I151" s="1">
        <f>I85*Input!$C$31</f>
        <v>0.13739690283460484</v>
      </c>
      <c r="J151" s="1">
        <f>J85*Input!$C$31</f>
        <v>9.7635216095999999E-4</v>
      </c>
      <c r="K151" s="62">
        <f>K85*Input!$C$31</f>
        <v>0.13837325499556485</v>
      </c>
      <c r="L151" s="1">
        <f>L85*Input!$C$31</f>
        <v>5.7569382468199148E-4</v>
      </c>
      <c r="M151" s="1">
        <f>M85*Input!$C$31</f>
        <v>6.7270196735999994E-3</v>
      </c>
      <c r="N151" s="62">
        <f>N85*Input!$C$31</f>
        <v>7.3027134982819909E-3</v>
      </c>
      <c r="O151" s="1">
        <f>O85*Input!$C$31</f>
        <v>0</v>
      </c>
      <c r="P151" s="1">
        <f>P85*Input!$C$31</f>
        <v>0</v>
      </c>
      <c r="Q151" s="62">
        <f>Q85*Input!$C$31</f>
        <v>0</v>
      </c>
      <c r="R151" s="1">
        <f>R85*Input!$C$31</f>
        <v>6.3401153233966473E-2</v>
      </c>
      <c r="S151" s="1">
        <f>S85*Input!$C$31</f>
        <v>3.8201062971456E-3</v>
      </c>
      <c r="T151" s="62">
        <f>T85*Input!$C$31</f>
        <v>6.7221259531112076E-2</v>
      </c>
      <c r="U151" s="62">
        <f>U85*Input!$C$31</f>
        <v>0.15973109706727803</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1.5841702195199998E-2</v>
      </c>
      <c r="AC151" s="1">
        <f>AC85*Input!$C$31</f>
        <v>2.6243862173148248E-3</v>
      </c>
      <c r="AD151" s="62">
        <f>AD85*Input!$C$31</f>
        <v>1.8466088412514823E-2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-0.91376832083543702</v>
      </c>
    </row>
    <row r="152" spans="1:40" x14ac:dyDescent="0.35">
      <c r="A152" s="148" t="s">
        <v>58</v>
      </c>
      <c r="B152" s="338">
        <f>+SUM(E133:E151,H133:H151,K133:K151,N133:N151,Q133:Q151,T133:T151,U133:V151,Z133:Z151,AA133:AA151,AD133:AD151,AM133:AM151)-SUM(C4:K22)*Input!$C$31</f>
        <v>5.6843418860808015E-13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2.2293018000920592</v>
      </c>
      <c r="D159" s="1">
        <f>+D125/Input!$C$31</f>
        <v>12.067875368229734</v>
      </c>
      <c r="E159" s="1">
        <f>+E125/Input!$C$31</f>
        <v>11.7448</v>
      </c>
      <c r="F159" s="1">
        <f>+F125/Input!$C$31</f>
        <v>0.92165995176527982</v>
      </c>
      <c r="G159" s="1">
        <f>+G125/Input!$C$31</f>
        <v>0.3428723486060043</v>
      </c>
      <c r="H159" s="1">
        <f>+H125/Input!$C$31</f>
        <v>0.16588837765499997</v>
      </c>
      <c r="I159" s="1">
        <f>+I125/Input!$C$31</f>
        <v>0.16679033795373477</v>
      </c>
      <c r="J159" s="1">
        <f>+J125/Input!$C$31</f>
        <v>1.1429629848</v>
      </c>
      <c r="K159" s="1">
        <f>+K125/Input!$C$31</f>
        <v>0</v>
      </c>
      <c r="L159" s="1">
        <f>+L125/Input!$C$31</f>
        <v>0</v>
      </c>
      <c r="M159" s="1">
        <f>+M125/Input!$C$31</f>
        <v>0.65423526228811013</v>
      </c>
      <c r="N159" s="1">
        <f>+N125/Input!$C$31</f>
        <v>0.64906010499329991</v>
      </c>
      <c r="O159" s="1">
        <f>+O125/Input!$C$31</f>
        <v>20.056831519468545</v>
      </c>
      <c r="P159" s="1">
        <f>+P125/Input!$C$31</f>
        <v>3.1747701841127993</v>
      </c>
      <c r="Q159" s="1">
        <f>+Q125/Input!$C$31</f>
        <v>1.1562033017188762</v>
      </c>
      <c r="R159" s="1">
        <f>+R125/Input!$C$31</f>
        <v>0.87737079908012994</v>
      </c>
      <c r="S159" s="1">
        <f>+S125/Input!$C$31</f>
        <v>0.76033864762898462</v>
      </c>
      <c r="T159" s="1">
        <f>+T125/Input!$C$31</f>
        <v>2.7188439432</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8.0534712888760032E-2</v>
      </c>
      <c r="F23" s="158">
        <f t="shared" ref="F23:W23" si="0">SUM(F4:F22)</f>
        <v>14.97120941098617</v>
      </c>
      <c r="G23" s="158">
        <f t="shared" si="0"/>
        <v>0.16297154327773888</v>
      </c>
      <c r="H23" s="158">
        <f t="shared" si="0"/>
        <v>14.808843112853497</v>
      </c>
      <c r="I23" s="158">
        <f t="shared" si="0"/>
        <v>7.4831548549377522E-3</v>
      </c>
      <c r="J23" s="158">
        <f t="shared" si="0"/>
        <v>650.18825721666656</v>
      </c>
      <c r="K23" s="158">
        <f t="shared" si="0"/>
        <v>1058.8754990263419</v>
      </c>
      <c r="L23" s="158">
        <f t="shared" si="0"/>
        <v>5.3015648842928654E-4</v>
      </c>
      <c r="M23" s="158">
        <f t="shared" si="0"/>
        <v>2.4586447930468547E-2</v>
      </c>
      <c r="N23" s="158">
        <f t="shared" si="0"/>
        <v>0.29877826339714175</v>
      </c>
      <c r="O23" s="158">
        <f t="shared" si="0"/>
        <v>1.1757070228563087E-8</v>
      </c>
      <c r="P23" s="158">
        <f t="shared" si="0"/>
        <v>3.431290953382395E-7</v>
      </c>
      <c r="Q23" s="158">
        <f t="shared" si="0"/>
        <v>0.44489084391767142</v>
      </c>
      <c r="R23" s="158">
        <f t="shared" si="0"/>
        <v>401.39468881796523</v>
      </c>
      <c r="S23" s="158">
        <f t="shared" si="0"/>
        <v>2.0795783695376033E-4</v>
      </c>
      <c r="T23" s="158">
        <f t="shared" si="0"/>
        <v>4.6319126062617698E-8</v>
      </c>
      <c r="U23" s="158">
        <f t="shared" si="0"/>
        <v>1.3363575705040778E-6</v>
      </c>
      <c r="V23" s="158">
        <f t="shared" si="0"/>
        <v>9.2082658373174656E-2</v>
      </c>
      <c r="W23" s="158">
        <f t="shared" si="0"/>
        <v>4.2633212054643304</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8.0534712888760032E-2</v>
      </c>
      <c r="F54" s="154">
        <f t="shared" ref="F54:W54" si="2">F23+F47</f>
        <v>14.97120941098617</v>
      </c>
      <c r="G54" s="154">
        <f t="shared" si="2"/>
        <v>0.16297154327773888</v>
      </c>
      <c r="H54" s="154">
        <f t="shared" si="2"/>
        <v>14.808843112853497</v>
      </c>
      <c r="I54" s="154">
        <f t="shared" si="2"/>
        <v>7.4831548549377522E-3</v>
      </c>
      <c r="J54" s="154">
        <f t="shared" si="2"/>
        <v>650.18825721666656</v>
      </c>
      <c r="K54" s="154">
        <f t="shared" si="2"/>
        <v>1058.8754990263419</v>
      </c>
      <c r="L54" s="154">
        <f t="shared" si="2"/>
        <v>5.3015648842928654E-4</v>
      </c>
      <c r="M54" s="154">
        <f t="shared" si="2"/>
        <v>2.4586447930468547E-2</v>
      </c>
      <c r="N54" s="154">
        <f t="shared" si="2"/>
        <v>0.29877826339714175</v>
      </c>
      <c r="O54" s="154">
        <f t="shared" si="2"/>
        <v>1.1757070228563087E-8</v>
      </c>
      <c r="P54" s="154">
        <f t="shared" si="2"/>
        <v>3.431290953382395E-7</v>
      </c>
      <c r="Q54" s="154">
        <f t="shared" si="2"/>
        <v>0.44489084391767142</v>
      </c>
      <c r="R54" s="154">
        <f t="shared" si="2"/>
        <v>401.39468881796523</v>
      </c>
      <c r="S54" s="154">
        <f t="shared" si="2"/>
        <v>2.0795783695376033E-4</v>
      </c>
      <c r="T54" s="154">
        <f t="shared" si="2"/>
        <v>4.6319126062617698E-8</v>
      </c>
      <c r="U54" s="154">
        <f t="shared" si="2"/>
        <v>1.3363575705040778E-6</v>
      </c>
      <c r="V54" s="154">
        <f t="shared" si="2"/>
        <v>9.2082658373174656E-2</v>
      </c>
      <c r="W54" s="154">
        <f t="shared" si="2"/>
        <v>4.2633212054643304</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444.19212303070401</v>
      </c>
      <c r="N84">
        <f>+SUM(N65:N83)</f>
        <v>10.106269682160319</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8.0534712888760032E-2</v>
      </c>
    </row>
    <row r="115" spans="1:26" x14ac:dyDescent="0.35">
      <c r="A115" s="1" t="s">
        <v>280</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14.971209410986173</v>
      </c>
    </row>
    <row r="116" spans="1:26" x14ac:dyDescent="0.35">
      <c r="A116" s="1" t="s">
        <v>281</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0.16297154327773888</v>
      </c>
    </row>
    <row r="117" spans="1:26" x14ac:dyDescent="0.35">
      <c r="A117" s="1" t="s">
        <v>282</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14.808843112853495</v>
      </c>
    </row>
    <row r="118" spans="1:26" x14ac:dyDescent="0.35">
      <c r="A118" s="1" t="s">
        <v>283</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7.4831548549377539E-3</v>
      </c>
    </row>
    <row r="119" spans="1:26" x14ac:dyDescent="0.35">
      <c r="A119" s="1" t="s">
        <v>284</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650.18825721666656</v>
      </c>
    </row>
    <row r="120" spans="1:26" x14ac:dyDescent="0.35">
      <c r="A120" s="1" t="s">
        <v>285</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1058.8754990263421</v>
      </c>
    </row>
    <row r="121" spans="1:26" x14ac:dyDescent="0.35">
      <c r="A121" s="1" t="s">
        <v>286</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5.3015648842928654E-4</v>
      </c>
    </row>
    <row r="122" spans="1:26" x14ac:dyDescent="0.35">
      <c r="A122" s="1" t="s">
        <v>287</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2.4586447930468547E-2</v>
      </c>
    </row>
    <row r="123" spans="1:26" x14ac:dyDescent="0.35">
      <c r="A123" s="1" t="s">
        <v>288</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0.29877826339714175</v>
      </c>
    </row>
    <row r="124" spans="1:26" x14ac:dyDescent="0.35">
      <c r="A124" s="1" t="s">
        <v>289</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1.1757070228563089E-8</v>
      </c>
    </row>
    <row r="125" spans="1:26" x14ac:dyDescent="0.35">
      <c r="A125" s="1" t="s">
        <v>319</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3.4312909533823945E-7</v>
      </c>
    </row>
    <row r="126" spans="1:26" x14ac:dyDescent="0.35">
      <c r="A126" s="1" t="s">
        <v>291</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0.44489084391767153</v>
      </c>
    </row>
    <row r="127" spans="1:26" x14ac:dyDescent="0.35">
      <c r="A127" s="1" t="s">
        <v>292</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401.39468881796523</v>
      </c>
    </row>
    <row r="128" spans="1:26" x14ac:dyDescent="0.35">
      <c r="A128" s="1" t="s">
        <v>293</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2.0795783695376033E-4</v>
      </c>
    </row>
    <row r="129" spans="1:26" x14ac:dyDescent="0.35">
      <c r="A129" s="1" t="s">
        <v>294</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4.6319126062617698E-8</v>
      </c>
    </row>
    <row r="130" spans="1:26" x14ac:dyDescent="0.35">
      <c r="A130" s="1" t="s">
        <v>295</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1.3363575705040781E-6</v>
      </c>
    </row>
    <row r="131" spans="1:26" x14ac:dyDescent="0.35">
      <c r="A131" s="1" t="s">
        <v>296</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9.2082658373174656E-2</v>
      </c>
    </row>
    <row r="132" spans="1:26" x14ac:dyDescent="0.35">
      <c r="A132" s="1" t="s">
        <v>297</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4.2633212054643304</v>
      </c>
    </row>
    <row r="133" spans="1:26" x14ac:dyDescent="0.35">
      <c r="K133">
        <f>+SUM(K114:K132)</f>
        <v>444.19212303070401</v>
      </c>
      <c r="N133">
        <f>+SUM(N114:N132)</f>
        <v>10.106269682160319</v>
      </c>
      <c r="O133">
        <f>+SUM(O114:O132)</f>
        <v>1676.3414996832948</v>
      </c>
      <c r="R133">
        <f>+SUM(R114:R132)</f>
        <v>0</v>
      </c>
      <c r="U133">
        <f>+SUM(U114:U132)</f>
        <v>0</v>
      </c>
      <c r="Y133">
        <f>+SUM(Y114:Y132)</f>
        <v>14.973993870647137</v>
      </c>
      <c r="Z133">
        <f>+SUM(Z114:Z132)</f>
        <v>2145.6138862668063</v>
      </c>
    </row>
    <row r="136" spans="1:26" x14ac:dyDescent="0.35">
      <c r="B136" s="205" t="s">
        <v>324</v>
      </c>
      <c r="C136" s="205" t="s">
        <v>325</v>
      </c>
      <c r="D136" s="205" t="s">
        <v>200</v>
      </c>
    </row>
    <row r="137" spans="1:26" x14ac:dyDescent="0.35">
      <c r="A137" s="95" t="s">
        <v>326</v>
      </c>
      <c r="B137" s="1">
        <f>+SUM(E4:W22)</f>
        <v>2145.6138862668063</v>
      </c>
      <c r="C137" s="1">
        <f>+SUM(E28:W46)</f>
        <v>0</v>
      </c>
      <c r="D137" s="1">
        <f>+SUM(E54:W54)</f>
        <v>2145.6138862668058</v>
      </c>
    </row>
    <row r="138" spans="1:26" x14ac:dyDescent="0.35">
      <c r="A138" s="95" t="s">
        <v>327</v>
      </c>
      <c r="B138" s="1">
        <f>+SUM(B65:J83,L65:M83,O65:O83,P65:Q83,S65:T83,V65:X83)</f>
        <v>2145.6138862668054</v>
      </c>
      <c r="C138" s="1">
        <f>+SUM(B89:J107,L89:M107,O89:O107,P89:Q107,S89:T107,V89:X107)</f>
        <v>0</v>
      </c>
      <c r="D138" s="1">
        <f>+SUM(B114:G132,H114:J132,L114:M132,O114:O132,P114:Q132,S114:T132,V114:X132)</f>
        <v>2145.6138862668054</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2.4968397310549954E-2</v>
      </c>
      <c r="H34" s="139">
        <f t="shared" si="0"/>
        <v>13.804483802643313</v>
      </c>
      <c r="I34" s="139">
        <f t="shared" si="0"/>
        <v>6.3360921788908281E-3</v>
      </c>
      <c r="J34" s="139">
        <f t="shared" si="0"/>
        <v>13.79653932747777</v>
      </c>
      <c r="K34" s="139">
        <f t="shared" si="0"/>
        <v>1.6083663529295441E-3</v>
      </c>
      <c r="L34" s="139">
        <f t="shared" si="0"/>
        <v>11.948914613974807</v>
      </c>
      <c r="M34" s="139">
        <f t="shared" si="0"/>
        <v>185.07588298947945</v>
      </c>
      <c r="N34" s="139">
        <f t="shared" si="0"/>
        <v>3.6222152931125864E-4</v>
      </c>
      <c r="O34" s="139">
        <f t="shared" si="0"/>
        <v>6.6852814419365685E-3</v>
      </c>
      <c r="P34" s="139">
        <f t="shared" si="0"/>
        <v>7.2624851604295632E-2</v>
      </c>
      <c r="Q34" s="139">
        <f t="shared" si="0"/>
        <v>1.2514113394662655E-9</v>
      </c>
      <c r="R34" s="139">
        <f t="shared" si="0"/>
        <v>9.7004378226952321E-8</v>
      </c>
      <c r="S34" s="139">
        <f t="shared" si="0"/>
        <v>0.10076905624303371</v>
      </c>
      <c r="T34" s="139">
        <f t="shared" si="0"/>
        <v>16.136054034105701</v>
      </c>
      <c r="U34" s="139">
        <f t="shared" si="0"/>
        <v>1.5395168857975265E-5</v>
      </c>
      <c r="V34" s="139">
        <f t="shared" si="0"/>
        <v>3.0471377134428263E-7</v>
      </c>
      <c r="W34" s="139">
        <f t="shared" si="0"/>
        <v>8.3105177829253941E-7</v>
      </c>
      <c r="X34" s="139">
        <f t="shared" si="0"/>
        <v>4.1643282065384486E-2</v>
      </c>
      <c r="Y34" s="139">
        <f t="shared" si="0"/>
        <v>0.46179292547709494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5.0999999999999997E-2</v>
      </c>
      <c r="D92" s="158">
        <f t="shared" si="3"/>
        <v>115</v>
      </c>
      <c r="E92" s="154" t="s">
        <v>346</v>
      </c>
      <c r="F92" s="154" t="s">
        <v>346</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0.01</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2.4968397310549954E-2</v>
      </c>
      <c r="H110" s="139">
        <f t="shared" si="19"/>
        <v>13.804483802643313</v>
      </c>
      <c r="I110" s="139">
        <f t="shared" si="19"/>
        <v>6.3360921788908281E-3</v>
      </c>
      <c r="J110" s="139">
        <f t="shared" si="19"/>
        <v>13.79653932747777</v>
      </c>
      <c r="K110" s="139">
        <f t="shared" si="19"/>
        <v>1.6083663529295441E-3</v>
      </c>
      <c r="L110" s="139">
        <f t="shared" si="19"/>
        <v>11.948914613974807</v>
      </c>
      <c r="M110" s="139">
        <f t="shared" si="19"/>
        <v>185.07588298947945</v>
      </c>
      <c r="N110" s="139">
        <f t="shared" si="19"/>
        <v>3.6222152931125864E-4</v>
      </c>
      <c r="O110" s="139">
        <f t="shared" si="19"/>
        <v>6.6852814419365685E-3</v>
      </c>
      <c r="P110" s="139">
        <f t="shared" si="19"/>
        <v>7.2624851604295632E-2</v>
      </c>
      <c r="Q110" s="139">
        <f t="shared" si="19"/>
        <v>1.2514113394662655E-9</v>
      </c>
      <c r="R110" s="139">
        <f t="shared" si="19"/>
        <v>9.7004378226952321E-8</v>
      </c>
      <c r="S110" s="139">
        <f t="shared" si="19"/>
        <v>0.10076905624303371</v>
      </c>
      <c r="T110" s="139">
        <f t="shared" si="19"/>
        <v>16.136054034105701</v>
      </c>
      <c r="U110" s="139">
        <f t="shared" si="19"/>
        <v>1.5395168857975265E-5</v>
      </c>
      <c r="V110" s="139">
        <f t="shared" si="19"/>
        <v>3.0471377134428263E-7</v>
      </c>
      <c r="W110" s="139">
        <f t="shared" si="19"/>
        <v>8.3105177829253941E-7</v>
      </c>
      <c r="X110" s="139">
        <f t="shared" si="19"/>
        <v>4.1643282065384486E-2</v>
      </c>
      <c r="Y110" s="139">
        <f t="shared" si="19"/>
        <v>0.46179292547709494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1.38837453E-3</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2.2378748584909954E-2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2.4968397310549954E-2</v>
      </c>
      <c r="AB118" s="87"/>
    </row>
    <row r="119" spans="1:28" x14ac:dyDescent="0.35">
      <c r="A119" s="1" t="s">
        <v>280</v>
      </c>
      <c r="B119" s="154">
        <f>'A2 - Transport'!H91</f>
        <v>0.92165995176527982</v>
      </c>
      <c r="C119" s="154">
        <f>H16+H41+H66</f>
        <v>0.931038598035</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12.067875368229734</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13.804483802643313</v>
      </c>
      <c r="AB119" s="87"/>
    </row>
    <row r="120" spans="1:28" x14ac:dyDescent="0.35">
      <c r="A120" s="1" t="s">
        <v>281</v>
      </c>
      <c r="B120" s="154">
        <f>'A2 - Transport'!I91</f>
        <v>4.30742946576E-4</v>
      </c>
      <c r="C120" s="154">
        <f>I16+I41+I66</f>
        <v>4.3512610949999998E-4</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5.5244784892048279E-3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6.3360921788908281E-3</v>
      </c>
      <c r="AB120" s="87"/>
    </row>
    <row r="121" spans="1:28" x14ac:dyDescent="0.35">
      <c r="A121" s="1" t="s">
        <v>282</v>
      </c>
      <c r="B121" s="154">
        <f>'A2 - Transport'!J91</f>
        <v>0.92115589920863994</v>
      </c>
      <c r="C121" s="154">
        <f>J16+J41+J66</f>
        <v>0.93052941632999997</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12.06088063805373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13.79653932747777</v>
      </c>
      <c r="AB121" s="87"/>
    </row>
    <row r="122" spans="1:28" x14ac:dyDescent="0.35">
      <c r="A122" s="1" t="s">
        <v>283</v>
      </c>
      <c r="B122" s="154">
        <f>'A2 - Transport'!K91</f>
        <v>7.3308448880000007E-5</v>
      </c>
      <c r="C122" s="154">
        <f>K16+K41+K66</f>
        <v>7.4054422499999985E-5</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1.470237240999544E-3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1.6083663529295441E-3</v>
      </c>
      <c r="AB122" s="87"/>
    </row>
    <row r="123" spans="1:28" x14ac:dyDescent="0.35">
      <c r="A123" s="1" t="s">
        <v>284</v>
      </c>
      <c r="B123" s="154">
        <f>'A2 - Transport'!L91</f>
        <v>0.79160206037808001</v>
      </c>
      <c r="C123" s="154">
        <f>L16+L41+L66</f>
        <v>0.79965726088499989</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10.457363622615427</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11.948914613974807</v>
      </c>
      <c r="AB123" s="87"/>
    </row>
    <row r="124" spans="1:28" x14ac:dyDescent="0.35">
      <c r="A124" s="1" t="s">
        <v>285</v>
      </c>
      <c r="B124" s="154">
        <f>'A2 - Transport'!M91</f>
        <v>12.4045847292992</v>
      </c>
      <c r="C124" s="154">
        <f>M16+M41+M66</f>
        <v>12.530811557399998</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161.70293896056825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185.07588298947945</v>
      </c>
      <c r="AB124" s="87"/>
    </row>
    <row r="125" spans="1:28" x14ac:dyDescent="0.35">
      <c r="A125" s="1" t="s">
        <v>286</v>
      </c>
      <c r="B125" s="154">
        <f>'A2 - Transport'!N91</f>
        <v>2.1497521924799997E-5</v>
      </c>
      <c r="C125" s="154">
        <f>N16+N41+N66</f>
        <v>2.1716276849999997E-5</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3.2171550773345866E-4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3.6222152931125864E-4</v>
      </c>
      <c r="AB125" s="87"/>
    </row>
    <row r="126" spans="1:28" x14ac:dyDescent="0.35">
      <c r="A126" s="1" t="s">
        <v>287</v>
      </c>
      <c r="B126" s="154">
        <f>'A2 - Transport'!O91</f>
        <v>2.99569215424E-4</v>
      </c>
      <c r="C126" s="154">
        <f>O16+O41+O66</f>
        <v>3.02617578E-4</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6.1208276808725681E-3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6.6852814419365685E-3</v>
      </c>
      <c r="AB126" s="87"/>
    </row>
    <row r="127" spans="1:28" x14ac:dyDescent="0.35">
      <c r="A127" s="1" t="s">
        <v>288</v>
      </c>
      <c r="B127" s="154">
        <f>'A2 - Transport'!P91</f>
        <v>3.2425656785599996E-3</v>
      </c>
      <c r="C127" s="154">
        <f>P16+P41+P66</f>
        <v>3.2755614449999997E-3</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6.6515150411635623E-2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7.2624851604295632E-2</v>
      </c>
      <c r="AB127" s="87"/>
    </row>
    <row r="128" spans="1:28" x14ac:dyDescent="0.35">
      <c r="A128" s="1" t="s">
        <v>289</v>
      </c>
      <c r="B128" s="154">
        <f>'A2 - Transport'!Q91</f>
        <v>8.168755262399998E-11</v>
      </c>
      <c r="C128" s="154">
        <f>Q16+Q41+Q66</f>
        <v>8.2518790499999987E-11</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1.0974941679522655E-9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1.2514113394662655E-9</v>
      </c>
      <c r="AB128" s="87"/>
    </row>
    <row r="129" spans="1:28" x14ac:dyDescent="0.35">
      <c r="A129" s="1" t="s">
        <v>319</v>
      </c>
      <c r="B129" s="154">
        <f>'A2 - Transport'!R91</f>
        <v>6.6465010976000005E-9</v>
      </c>
      <c r="C129" s="154">
        <f>R16+R41+R66</f>
        <v>6.7141346999999997E-9</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8.4480920043352312E-8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9.7004378226952321E-8</v>
      </c>
      <c r="AB129" s="87"/>
    </row>
    <row r="130" spans="1:28" x14ac:dyDescent="0.35">
      <c r="A130" s="1" t="s">
        <v>291</v>
      </c>
      <c r="B130" s="154">
        <f>'A2 - Transport'!S91</f>
        <v>5.6248101315199998E-3</v>
      </c>
      <c r="C130" s="154">
        <f>S16+S41+S66</f>
        <v>5.6820471900000001E-3</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9.0170686749313708E-2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0.10076905624303371</v>
      </c>
      <c r="AB130" s="87"/>
    </row>
    <row r="131" spans="1:28" x14ac:dyDescent="0.35">
      <c r="A131" s="1" t="s">
        <v>292</v>
      </c>
      <c r="B131" s="154">
        <f>'A2 - Transport'!T91</f>
        <v>0.78244359896287996</v>
      </c>
      <c r="C131" s="154">
        <f>T16+T41+T66</f>
        <v>0.79040560460999998</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14.66175958222102</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16.136054034105701</v>
      </c>
      <c r="AB131" s="87"/>
    </row>
    <row r="132" spans="1:28" x14ac:dyDescent="0.35">
      <c r="A132" s="1" t="s">
        <v>293</v>
      </c>
      <c r="B132" s="154">
        <f>'A2 - Transport'!U91</f>
        <v>1.0168314110399999E-6</v>
      </c>
      <c r="C132" s="154">
        <f>U16+U41+U66</f>
        <v>1.0271785049999999E-6</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1.3479236630035266E-5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1.5395168857975265E-5</v>
      </c>
      <c r="AB132" s="87"/>
    </row>
    <row r="133" spans="1:28" x14ac:dyDescent="0.35">
      <c r="A133" s="1" t="s">
        <v>294</v>
      </c>
      <c r="B133" s="154">
        <f>'A2 - Transport'!V91</f>
        <v>2.0493852534400002E-8</v>
      </c>
      <c r="C133" s="154">
        <f>V16+V41+V66</f>
        <v>2.0702394300000001E-8</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2.6609888187588262E-7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3.0471377134428263E-7</v>
      </c>
      <c r="AB133" s="87"/>
    </row>
    <row r="134" spans="1:28" x14ac:dyDescent="0.35">
      <c r="A134" s="1" t="s">
        <v>295</v>
      </c>
      <c r="B134" s="154">
        <f>'A2 - Transport'!W91</f>
        <v>5.7127756254399995E-8</v>
      </c>
      <c r="C134" s="154">
        <f>W16+W41+W66</f>
        <v>5.7709078049999987E-8</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7.2341062152913949E-7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8.3105177829253952E-7</v>
      </c>
      <c r="AB134" s="87"/>
    </row>
    <row r="135" spans="1:28" x14ac:dyDescent="0.35">
      <c r="A135" s="1" t="s">
        <v>296</v>
      </c>
      <c r="B135" s="154">
        <f>'A2 - Transport'!X91</f>
        <v>2.3961960787199999E-3</v>
      </c>
      <c r="C135" s="154">
        <f>X16+X41+X66</f>
        <v>2.4205793399999995E-3</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3.7128325857464485E-2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4.1643282065384486E-2</v>
      </c>
      <c r="AB135" s="87"/>
    </row>
    <row r="136" spans="1:28" x14ac:dyDescent="0.35">
      <c r="A136" s="1" t="s">
        <v>297</v>
      </c>
      <c r="B136" s="154">
        <f>'A2 - Transport'!Y91</f>
        <v>2.825270403888E-2</v>
      </c>
      <c r="C136" s="154">
        <f>Y16+Y41+Y66</f>
        <v>2.8540198485000001E-2</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0.40855866696891496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0.461792925477095</v>
      </c>
      <c r="AB136" s="87"/>
    </row>
    <row r="140" spans="1:28" x14ac:dyDescent="0.35">
      <c r="B140" t="s">
        <v>352</v>
      </c>
    </row>
    <row r="141" spans="1:28" x14ac:dyDescent="0.35">
      <c r="A141" s="95" t="s">
        <v>326</v>
      </c>
      <c r="B141" s="1">
        <f>SUM(G110:Y110)</f>
        <v>241.47868187107468</v>
      </c>
    </row>
    <row r="142" spans="1:28" x14ac:dyDescent="0.35">
      <c r="A142" s="95" t="s">
        <v>327</v>
      </c>
      <c r="B142" s="1">
        <f>SUM(B118:K136)+SUM(M118:N136)+SUM(P118:Q136)+SUM(S118:T136)+SUM(V118:X136)</f>
        <v>241.47868187107463</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24</v>
      </c>
      <c r="E15" s="158" t="str">
        <f>Input!$J51</f>
        <v>Truck</v>
      </c>
      <c r="F15" s="158" t="str">
        <f>Input!$K51</f>
        <v>Diesel_Euro6</v>
      </c>
      <c r="G15" s="158" cm="1">
        <f t="array" ref="G15">INDEX(LCI!H$2:H$73, MATCH($E15&amp;$F15, LCI!$B$2:$B$73&amp;LCI!$D$2:$D$73, 0))* IF(AND($E15="Truck", OR($F15="Electric", $F15="Electric_green")), $B$6, 1)* $C15* $D15</f>
        <v>1.7043983999999999E-3</v>
      </c>
      <c r="H15" s="158" cm="1">
        <f t="array" ref="H15">INDEX(LCI!I$2:I$73, MATCH($E15&amp;$F15, LCI!$B$2:$B$73&amp;LCI!$D$2:$D$73, 0))* IF(AND($E15="Truck", OR($F15="Electric", $F15="Electric_green")), $B$6, 1)* $C15* $D15</f>
        <v>1.1429629848</v>
      </c>
      <c r="I15" s="158" cm="1">
        <f t="array" ref="I15">INDEX(LCI!J$2:J$73, MATCH($E15&amp;$F15, LCI!$B$2:$B$73&amp;LCI!$D$2:$D$73, 0))* IF(AND($E15="Truck", OR($F15="Electric", $F15="Electric_green")), $B$6, 1)* $C15* $D15</f>
        <v>5.3417016000000006E-4</v>
      </c>
      <c r="J15" s="158" cm="1">
        <f t="array" ref="J15">INDEX(LCI!K$2:K$73, MATCH($E15&amp;$F15, LCI!$B$2:$B$73&amp;LCI!$D$2:$D$73, 0))* IF(AND($E15="Truck", OR($F15="Electric", $F15="Electric_green")), $B$6, 1)* $C15* $D15</f>
        <v>1.1423379024</v>
      </c>
      <c r="K15" s="158" cm="1">
        <f t="array" ref="K15">INDEX(LCI!L$2:L$73, MATCH($E15&amp;$F15, LCI!$B$2:$B$73&amp;LCI!$D$2:$D$73, 0))* IF(AND($E15="Truck", OR($F15="Electric", $F15="Electric_green")), $B$6, 1)* $C15* $D15</f>
        <v>9.0910799999999997E-5</v>
      </c>
      <c r="L15" s="158" cm="1">
        <f t="array" ref="L15">INDEX(LCI!M$2:M$73, MATCH($E15&amp;$F15, LCI!$B$2:$B$73&amp;LCI!$D$2:$D$73, 0))* IF(AND($E15="Truck", OR($F15="Electric", $F15="Electric_green")), $B$6, 1)* $C15* $D15</f>
        <v>0.98167643279999994</v>
      </c>
      <c r="M15" s="158" cm="1">
        <f t="array" ref="M15">INDEX(LCI!N$2:N$73, MATCH($E15&amp;$F15, LCI!$B$2:$B$73&amp;LCI!$D$2:$D$73, 0))* IF(AND($E15="Truck", OR($F15="Electric", $F15="Electric_green")), $B$6, 1)* $C15* $D15</f>
        <v>15.383093471999999</v>
      </c>
      <c r="N15" s="158" cm="1">
        <f t="array" ref="N15">INDEX(LCI!O$2:O$73, MATCH($E15&amp;$F15, LCI!$B$2:$B$73&amp;LCI!$D$2:$D$73, 0))* IF(AND($E15="Truck", OR($F15="Electric", $F15="Electric_green")), $B$6, 1)* $C15* $D15</f>
        <v>2.6659368E-5</v>
      </c>
      <c r="O15" s="158" cm="1">
        <f t="array" ref="O15">INDEX(LCI!P$2:P$73, MATCH($E15&amp;$F15, LCI!$B$2:$B$73&amp;LCI!$D$2:$D$73, 0))* IF(AND($E15="Truck", OR($F15="Electric", $F15="Electric_green")), $B$6, 1)* $C15* $D15</f>
        <v>3.7149983999999997E-4</v>
      </c>
      <c r="P15" s="158" cm="1">
        <f t="array" ref="P15">INDEX(LCI!Q$2:Q$73, MATCH($E15&amp;$F15, LCI!$B$2:$B$73&amp;LCI!$D$2:$D$73, 0))* IF(AND($E15="Truck", OR($F15="Electric", $F15="Electric_green")), $B$6, 1)* $C15* $D15</f>
        <v>4.0211496000000001E-3</v>
      </c>
      <c r="Q15" s="158" cm="1">
        <f t="array" ref="Q15">INDEX(LCI!R$2:R$73, MATCH($E15&amp;$F15, LCI!$B$2:$B$73&amp;LCI!$D$2:$D$73, 0))* IF(AND($E15="Truck", OR($F15="Electric", $F15="Electric_green")), $B$6, 1)* $C15* $D15</f>
        <v>1.0130183999999999E-10</v>
      </c>
      <c r="R15" s="158" cm="1">
        <f t="array" ref="R15">INDEX(LCI!S$2:S$73, MATCH($E15&amp;$F15, LCI!$B$2:$B$73&amp;LCI!$D$2:$D$73, 0))* IF(AND($E15="Truck", OR($F15="Electric", $F15="Electric_green")), $B$6, 1)* $C15* $D15</f>
        <v>8.2424160000000005E-9</v>
      </c>
      <c r="S15" s="158" cm="1">
        <f t="array" ref="S15">INDEX(LCI!T$2:T$73, MATCH($E15&amp;$F15, LCI!$B$2:$B$73&amp;LCI!$D$2:$D$73, 0))* IF(AND($E15="Truck", OR($F15="Electric", $F15="Electric_green")), $B$6, 1)* $C15* $D15</f>
        <v>6.9754032000000007E-3</v>
      </c>
      <c r="T15" s="158" cm="1">
        <f t="array" ref="T15">INDEX(LCI!U$2:U$73, MATCH($E15&amp;$F15, LCI!$B$2:$B$73&amp;LCI!$D$2:$D$73, 0))* IF(AND($E15="Truck", OR($F15="Electric", $F15="Electric_green")), $B$6, 1)* $C15* $D15</f>
        <v>0.97031890079999994</v>
      </c>
      <c r="U15" s="158" cm="1">
        <f t="array" ref="U15">INDEX(LCI!V$2:V$73, MATCH($E15&amp;$F15, LCI!$B$2:$B$73&amp;LCI!$D$2:$D$73, 0))* IF(AND($E15="Truck", OR($F15="Electric", $F15="Electric_green")), $B$6, 1)* $C15* $D15</f>
        <v>1.2609863999999999E-6</v>
      </c>
      <c r="V15" s="158" cm="1">
        <f t="array" ref="V15">INDEX(LCI!W$2:W$73, MATCH($E15&amp;$F15, LCI!$B$2:$B$73&amp;LCI!$D$2:$D$73, 0))* IF(AND($E15="Truck", OR($F15="Electric", $F15="Electric_green")), $B$6, 1)* $C15* $D15</f>
        <v>2.5414703999999998E-8</v>
      </c>
      <c r="W15" s="158" cm="1">
        <f t="array" ref="W15">INDEX(LCI!X$2:X$73, MATCH($E15&amp;$F15, LCI!$B$2:$B$73&amp;LCI!$D$2:$D$73, 0))* IF(AND($E15="Truck", OR($F15="Electric", $F15="Electric_green")), $B$6, 1)* $C15* $D15</f>
        <v>7.0844903999999993E-8</v>
      </c>
      <c r="X15" s="158" cm="1">
        <f t="array" ref="X15">INDEX(LCI!Y$2:Y$73, MATCH($E15&amp;$F15, LCI!$B$2:$B$73&amp;LCI!$D$2:$D$73, 0))* IF(AND($E15="Truck", OR($F15="Electric", $F15="Electric_green")), $B$6, 1)* $C15* $D15</f>
        <v>2.9715551999999995E-3</v>
      </c>
      <c r="Y15" s="158" cm="1">
        <f t="array" ref="Y15">INDEX(LCI!Z$2:Z$73, MATCH($E15&amp;$F15, LCI!$B$2:$B$73&amp;LCI!$D$2:$D$73, 0))* IF(AND($E15="Truck", OR($F15="Electric", $F15="Electric_green")), $B$6, 1)* $C15* $D15</f>
        <v>3.5036560799999998E-2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1.7043983999999999E-3</v>
      </c>
      <c r="H19" s="139">
        <f t="shared" si="0"/>
        <v>1.1429629848</v>
      </c>
      <c r="I19" s="139">
        <f t="shared" si="0"/>
        <v>5.3417016000000006E-4</v>
      </c>
      <c r="J19" s="139">
        <f t="shared" si="0"/>
        <v>1.1423379024</v>
      </c>
      <c r="K19" s="139">
        <f t="shared" si="0"/>
        <v>9.0910799999999997E-5</v>
      </c>
      <c r="L19" s="139">
        <f t="shared" si="0"/>
        <v>0.98167643279999994</v>
      </c>
      <c r="M19" s="139">
        <f t="shared" si="0"/>
        <v>15.383093471999999</v>
      </c>
      <c r="N19" s="139">
        <f t="shared" si="0"/>
        <v>2.6659368E-5</v>
      </c>
      <c r="O19" s="139">
        <f t="shared" si="0"/>
        <v>3.7149983999999997E-4</v>
      </c>
      <c r="P19" s="139">
        <f t="shared" si="0"/>
        <v>4.0211496000000001E-3</v>
      </c>
      <c r="Q19" s="139">
        <f t="shared" si="0"/>
        <v>1.0130183999999999E-10</v>
      </c>
      <c r="R19" s="139">
        <f t="shared" si="0"/>
        <v>8.2424160000000005E-9</v>
      </c>
      <c r="S19" s="139">
        <f t="shared" si="0"/>
        <v>6.9754032000000007E-3</v>
      </c>
      <c r="T19" s="139">
        <f t="shared" si="0"/>
        <v>0.97031890079999994</v>
      </c>
      <c r="U19" s="139">
        <f t="shared" si="0"/>
        <v>1.2609863999999999E-6</v>
      </c>
      <c r="V19" s="139">
        <f t="shared" si="0"/>
        <v>2.5414703999999998E-8</v>
      </c>
      <c r="W19" s="139">
        <f t="shared" si="0"/>
        <v>7.0844903999999993E-8</v>
      </c>
      <c r="X19" s="139">
        <f t="shared" si="0"/>
        <v>2.9715551999999995E-3</v>
      </c>
      <c r="Y19" s="139">
        <f t="shared" si="0"/>
        <v>3.5036560799999998E-2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24</v>
      </c>
      <c r="E46" s="154" t="s">
        <v>346</v>
      </c>
      <c r="F46" s="154" t="s">
        <v>346</v>
      </c>
      <c r="G46" s="154">
        <f t="shared" ref="G46:Y46" si="3">G15+G25+G35</f>
        <v>1.7043983999999999E-3</v>
      </c>
      <c r="H46" s="154">
        <f t="shared" si="3"/>
        <v>1.1429629848</v>
      </c>
      <c r="I46" s="154">
        <f t="shared" si="3"/>
        <v>5.3417016000000006E-4</v>
      </c>
      <c r="J46" s="154">
        <f t="shared" si="3"/>
        <v>1.1423379024</v>
      </c>
      <c r="K46" s="154">
        <f t="shared" si="3"/>
        <v>9.0910799999999997E-5</v>
      </c>
      <c r="L46" s="154">
        <f t="shared" si="3"/>
        <v>0.98167643279999994</v>
      </c>
      <c r="M46" s="154">
        <f t="shared" si="3"/>
        <v>15.383093471999999</v>
      </c>
      <c r="N46" s="154">
        <f t="shared" si="3"/>
        <v>2.6659368E-5</v>
      </c>
      <c r="O46" s="154">
        <f t="shared" si="3"/>
        <v>3.7149983999999997E-4</v>
      </c>
      <c r="P46" s="154">
        <f t="shared" si="3"/>
        <v>4.0211496000000001E-3</v>
      </c>
      <c r="Q46" s="154">
        <f t="shared" si="3"/>
        <v>1.0130183999999999E-10</v>
      </c>
      <c r="R46" s="154">
        <f t="shared" si="3"/>
        <v>8.2424160000000005E-9</v>
      </c>
      <c r="S46" s="154">
        <f t="shared" si="3"/>
        <v>6.9754032000000007E-3</v>
      </c>
      <c r="T46" s="154">
        <f t="shared" si="3"/>
        <v>0.97031890079999994</v>
      </c>
      <c r="U46" s="154">
        <f t="shared" si="3"/>
        <v>1.2609863999999999E-6</v>
      </c>
      <c r="V46" s="154">
        <f t="shared" si="3"/>
        <v>2.5414703999999998E-8</v>
      </c>
      <c r="W46" s="154">
        <f t="shared" si="3"/>
        <v>7.0844903999999993E-8</v>
      </c>
      <c r="X46" s="154">
        <f t="shared" si="3"/>
        <v>2.9715551999999995E-3</v>
      </c>
      <c r="Y46" s="154">
        <f t="shared" si="3"/>
        <v>3.5036560799999998E-2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1.7043983999999999E-3</v>
      </c>
      <c r="H50" s="139">
        <f t="shared" si="7"/>
        <v>1.1429629848</v>
      </c>
      <c r="I50" s="139">
        <f t="shared" si="7"/>
        <v>5.3417016000000006E-4</v>
      </c>
      <c r="J50" s="139">
        <f t="shared" si="7"/>
        <v>1.1423379024</v>
      </c>
      <c r="K50" s="139">
        <f t="shared" si="7"/>
        <v>9.0910799999999997E-5</v>
      </c>
      <c r="L50" s="139">
        <f t="shared" si="7"/>
        <v>0.98167643279999994</v>
      </c>
      <c r="M50" s="139">
        <f t="shared" si="7"/>
        <v>15.383093471999999</v>
      </c>
      <c r="N50" s="139">
        <f t="shared" si="7"/>
        <v>2.6659368E-5</v>
      </c>
      <c r="O50" s="139">
        <f t="shared" si="7"/>
        <v>3.7149983999999997E-4</v>
      </c>
      <c r="P50" s="139">
        <f t="shared" si="7"/>
        <v>4.0211496000000001E-3</v>
      </c>
      <c r="Q50" s="139">
        <f t="shared" si="7"/>
        <v>1.0130183999999999E-10</v>
      </c>
      <c r="R50" s="139">
        <f t="shared" si="7"/>
        <v>8.2424160000000005E-9</v>
      </c>
      <c r="S50" s="139">
        <f t="shared" si="7"/>
        <v>6.9754032000000007E-3</v>
      </c>
      <c r="T50" s="139">
        <f t="shared" si="7"/>
        <v>0.97031890079999994</v>
      </c>
      <c r="U50" s="139">
        <f t="shared" si="7"/>
        <v>1.2609863999999999E-6</v>
      </c>
      <c r="V50" s="139">
        <f t="shared" si="7"/>
        <v>2.5414703999999998E-8</v>
      </c>
      <c r="W50" s="139">
        <f t="shared" si="7"/>
        <v>7.0844903999999993E-8</v>
      </c>
      <c r="X50" s="139">
        <f t="shared" si="7"/>
        <v>2.9715551999999995E-3</v>
      </c>
      <c r="Y50" s="139">
        <f t="shared" si="7"/>
        <v>3.5036560799999998E-2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1.7043983999999999E-3</v>
      </c>
      <c r="C58" s="154">
        <f>'C2''- Transport Secondary'!G47</f>
        <v>0</v>
      </c>
      <c r="D58" s="154">
        <f>SUM(B58:C58)</f>
        <v>1.7043983999999999E-3</v>
      </c>
      <c r="E58" s="154">
        <f>'C2''- Transport Secondary'!G48</f>
        <v>0</v>
      </c>
      <c r="F58" s="154">
        <f>'C2''- Transport Secondary'!G49</f>
        <v>0</v>
      </c>
      <c r="G58" s="154">
        <f>SUM(E58:F58)</f>
        <v>0</v>
      </c>
      <c r="H58" s="154">
        <f>+D58+G58</f>
        <v>1.7043983999999999E-3</v>
      </c>
    </row>
    <row r="59" spans="1:25" x14ac:dyDescent="0.35">
      <c r="A59" s="1" t="s">
        <v>280</v>
      </c>
      <c r="B59" s="154">
        <f>'C2''- Transport Secondary'!H46</f>
        <v>1.1429629848</v>
      </c>
      <c r="C59" s="154">
        <f>'C2''- Transport Secondary'!H47</f>
        <v>0</v>
      </c>
      <c r="D59" s="154">
        <f t="shared" ref="D59:D76" si="8">SUM(B59:C59)</f>
        <v>1.1429629848</v>
      </c>
      <c r="E59" s="154">
        <f>'C2''- Transport Secondary'!H48</f>
        <v>0</v>
      </c>
      <c r="F59" s="154">
        <f>'C2''- Transport Secondary'!H49</f>
        <v>0</v>
      </c>
      <c r="G59" s="154">
        <f>SUM(E59:F59)</f>
        <v>0</v>
      </c>
      <c r="H59" s="154">
        <f t="shared" ref="H59:H76" si="9">+D59+G59</f>
        <v>1.1429629848</v>
      </c>
    </row>
    <row r="60" spans="1:25" x14ac:dyDescent="0.35">
      <c r="A60" s="1" t="s">
        <v>281</v>
      </c>
      <c r="B60" s="154">
        <f>'C2''- Transport Secondary'!I46</f>
        <v>5.3417016000000006E-4</v>
      </c>
      <c r="C60" s="154">
        <f>'C2''- Transport Secondary'!I47</f>
        <v>0</v>
      </c>
      <c r="D60" s="154">
        <f t="shared" si="8"/>
        <v>5.3417016000000006E-4</v>
      </c>
      <c r="E60" s="154">
        <f>'C2''- Transport Secondary'!I48</f>
        <v>0</v>
      </c>
      <c r="F60" s="154">
        <f>'C2''- Transport Secondary'!I49</f>
        <v>0</v>
      </c>
      <c r="G60" s="154">
        <f t="shared" ref="G60:G76" si="10">SUM(E60:F60)</f>
        <v>0</v>
      </c>
      <c r="H60" s="154">
        <f t="shared" si="9"/>
        <v>5.3417016000000006E-4</v>
      </c>
    </row>
    <row r="61" spans="1:25" x14ac:dyDescent="0.35">
      <c r="A61" s="1" t="s">
        <v>282</v>
      </c>
      <c r="B61" s="154">
        <f>'C2''- Transport Secondary'!J46</f>
        <v>1.1423379024</v>
      </c>
      <c r="C61" s="154">
        <f>'C2''- Transport Secondary'!J47</f>
        <v>0</v>
      </c>
      <c r="D61" s="154">
        <f t="shared" si="8"/>
        <v>1.1423379024</v>
      </c>
      <c r="E61" s="154">
        <f>'C2''- Transport Secondary'!J48</f>
        <v>0</v>
      </c>
      <c r="F61" s="154">
        <f>'C2''- Transport Secondary'!J49</f>
        <v>0</v>
      </c>
      <c r="G61" s="154">
        <f t="shared" si="10"/>
        <v>0</v>
      </c>
      <c r="H61" s="154">
        <f t="shared" si="9"/>
        <v>1.1423379024</v>
      </c>
    </row>
    <row r="62" spans="1:25" x14ac:dyDescent="0.35">
      <c r="A62" s="1" t="s">
        <v>283</v>
      </c>
      <c r="B62" s="154">
        <f>'C2''- Transport Secondary'!K46</f>
        <v>9.0910799999999997E-5</v>
      </c>
      <c r="C62" s="154">
        <f>'C2''- Transport Secondary'!K47</f>
        <v>0</v>
      </c>
      <c r="D62" s="154">
        <f t="shared" si="8"/>
        <v>9.0910799999999997E-5</v>
      </c>
      <c r="E62" s="154">
        <f>'C2''- Transport Secondary'!K48</f>
        <v>0</v>
      </c>
      <c r="F62" s="154">
        <f>'C2''- Transport Secondary'!K49</f>
        <v>0</v>
      </c>
      <c r="G62" s="154">
        <f t="shared" si="10"/>
        <v>0</v>
      </c>
      <c r="H62" s="154">
        <f t="shared" si="9"/>
        <v>9.0910799999999997E-5</v>
      </c>
    </row>
    <row r="63" spans="1:25" x14ac:dyDescent="0.35">
      <c r="A63" s="1" t="s">
        <v>284</v>
      </c>
      <c r="B63" s="154">
        <f>'C2''- Transport Secondary'!L46</f>
        <v>0.98167643279999994</v>
      </c>
      <c r="C63" s="154">
        <f>'C2''- Transport Secondary'!L47</f>
        <v>0</v>
      </c>
      <c r="D63" s="154">
        <f t="shared" si="8"/>
        <v>0.98167643279999994</v>
      </c>
      <c r="E63" s="154">
        <f>'C2''- Transport Secondary'!L48</f>
        <v>0</v>
      </c>
      <c r="F63" s="154">
        <f>'C2''- Transport Secondary'!L49</f>
        <v>0</v>
      </c>
      <c r="G63" s="154">
        <f t="shared" si="10"/>
        <v>0</v>
      </c>
      <c r="H63" s="154">
        <f t="shared" si="9"/>
        <v>0.98167643279999994</v>
      </c>
    </row>
    <row r="64" spans="1:25" x14ac:dyDescent="0.35">
      <c r="A64" s="1" t="s">
        <v>285</v>
      </c>
      <c r="B64" s="154">
        <f>'C2''- Transport Secondary'!M46</f>
        <v>15.383093471999999</v>
      </c>
      <c r="C64" s="154">
        <f>'C2''- Transport Secondary'!M47</f>
        <v>0</v>
      </c>
      <c r="D64" s="154">
        <f t="shared" si="8"/>
        <v>15.383093471999999</v>
      </c>
      <c r="E64" s="154">
        <f>'C2''- Transport Secondary'!M48</f>
        <v>0</v>
      </c>
      <c r="F64" s="154">
        <f>'C2''- Transport Secondary'!M49</f>
        <v>0</v>
      </c>
      <c r="G64" s="154">
        <f t="shared" si="10"/>
        <v>0</v>
      </c>
      <c r="H64" s="154">
        <f t="shared" si="9"/>
        <v>15.383093471999999</v>
      </c>
    </row>
    <row r="65" spans="1:8" x14ac:dyDescent="0.35">
      <c r="A65" s="1" t="s">
        <v>286</v>
      </c>
      <c r="B65" s="154">
        <f>'C2''- Transport Secondary'!N46</f>
        <v>2.6659368E-5</v>
      </c>
      <c r="C65" s="154">
        <f>'C2''- Transport Secondary'!N47</f>
        <v>0</v>
      </c>
      <c r="D65" s="154">
        <f t="shared" si="8"/>
        <v>2.6659368E-5</v>
      </c>
      <c r="E65" s="154">
        <f>'C2''- Transport Secondary'!N48</f>
        <v>0</v>
      </c>
      <c r="F65" s="154">
        <f>'C2''- Transport Secondary'!N49</f>
        <v>0</v>
      </c>
      <c r="G65" s="154">
        <f t="shared" si="10"/>
        <v>0</v>
      </c>
      <c r="H65" s="154">
        <f t="shared" si="9"/>
        <v>2.6659368E-5</v>
      </c>
    </row>
    <row r="66" spans="1:8" x14ac:dyDescent="0.35">
      <c r="A66" s="1" t="s">
        <v>287</v>
      </c>
      <c r="B66" s="154">
        <f>'C2''- Transport Secondary'!O46</f>
        <v>3.7149983999999997E-4</v>
      </c>
      <c r="C66" s="154">
        <f>'C2''- Transport Secondary'!O47</f>
        <v>0</v>
      </c>
      <c r="D66" s="154">
        <f t="shared" si="8"/>
        <v>3.7149983999999997E-4</v>
      </c>
      <c r="E66" s="154">
        <f>'C2''- Transport Secondary'!O48</f>
        <v>0</v>
      </c>
      <c r="F66" s="154">
        <f>'C2''- Transport Secondary'!O49</f>
        <v>0</v>
      </c>
      <c r="G66" s="154">
        <f t="shared" si="10"/>
        <v>0</v>
      </c>
      <c r="H66" s="154">
        <f t="shared" si="9"/>
        <v>3.7149983999999997E-4</v>
      </c>
    </row>
    <row r="67" spans="1:8" x14ac:dyDescent="0.35">
      <c r="A67" s="1" t="s">
        <v>288</v>
      </c>
      <c r="B67" s="154">
        <f>'C2''- Transport Secondary'!P46</f>
        <v>4.0211496000000001E-3</v>
      </c>
      <c r="C67" s="154">
        <f>'C2''- Transport Secondary'!P47</f>
        <v>0</v>
      </c>
      <c r="D67" s="154">
        <f t="shared" si="8"/>
        <v>4.0211496000000001E-3</v>
      </c>
      <c r="E67" s="154">
        <f>'C2''- Transport Secondary'!P48</f>
        <v>0</v>
      </c>
      <c r="F67" s="154">
        <f>'C2''- Transport Secondary'!P49</f>
        <v>0</v>
      </c>
      <c r="G67" s="154">
        <f t="shared" si="10"/>
        <v>0</v>
      </c>
      <c r="H67" s="154">
        <f t="shared" si="9"/>
        <v>4.0211496000000001E-3</v>
      </c>
    </row>
    <row r="68" spans="1:8" x14ac:dyDescent="0.35">
      <c r="A68" s="1" t="s">
        <v>289</v>
      </c>
      <c r="B68" s="154">
        <f>'C2''- Transport Secondary'!Q46</f>
        <v>1.0130183999999999E-10</v>
      </c>
      <c r="C68" s="154">
        <f>'C2''- Transport Secondary'!Q47</f>
        <v>0</v>
      </c>
      <c r="D68" s="154">
        <f t="shared" si="8"/>
        <v>1.0130183999999999E-10</v>
      </c>
      <c r="E68" s="154">
        <f>'C2''- Transport Secondary'!Q48</f>
        <v>0</v>
      </c>
      <c r="F68" s="154">
        <f>'C2''- Transport Secondary'!Q49</f>
        <v>0</v>
      </c>
      <c r="G68" s="154">
        <f t="shared" si="10"/>
        <v>0</v>
      </c>
      <c r="H68" s="154">
        <f t="shared" si="9"/>
        <v>1.0130183999999999E-10</v>
      </c>
    </row>
    <row r="69" spans="1:8" x14ac:dyDescent="0.35">
      <c r="A69" s="1" t="s">
        <v>319</v>
      </c>
      <c r="B69" s="154">
        <f>'C2''- Transport Secondary'!R46</f>
        <v>8.2424160000000005E-9</v>
      </c>
      <c r="C69" s="154">
        <f>'C2''- Transport Secondary'!R47</f>
        <v>0</v>
      </c>
      <c r="D69" s="154">
        <f t="shared" si="8"/>
        <v>8.2424160000000005E-9</v>
      </c>
      <c r="E69" s="154">
        <f>'C2''- Transport Secondary'!R48</f>
        <v>0</v>
      </c>
      <c r="F69" s="154">
        <f>'C2''- Transport Secondary'!R49</f>
        <v>0</v>
      </c>
      <c r="G69" s="154">
        <f t="shared" si="10"/>
        <v>0</v>
      </c>
      <c r="H69" s="154">
        <f t="shared" si="9"/>
        <v>8.2424160000000005E-9</v>
      </c>
    </row>
    <row r="70" spans="1:8" x14ac:dyDescent="0.35">
      <c r="A70" s="1" t="s">
        <v>291</v>
      </c>
      <c r="B70" s="154">
        <f>'C2''- Transport Secondary'!S46</f>
        <v>6.9754032000000007E-3</v>
      </c>
      <c r="C70" s="154">
        <f>'C2''- Transport Secondary'!S47</f>
        <v>0</v>
      </c>
      <c r="D70" s="154">
        <f t="shared" si="8"/>
        <v>6.9754032000000007E-3</v>
      </c>
      <c r="E70" s="154">
        <f>'C2''- Transport Secondary'!S48</f>
        <v>0</v>
      </c>
      <c r="F70" s="154">
        <f>'C2''- Transport Secondary'!S49</f>
        <v>0</v>
      </c>
      <c r="G70" s="154">
        <f t="shared" si="10"/>
        <v>0</v>
      </c>
      <c r="H70" s="154">
        <f t="shared" si="9"/>
        <v>6.9754032000000007E-3</v>
      </c>
    </row>
    <row r="71" spans="1:8" x14ac:dyDescent="0.35">
      <c r="A71" s="1" t="s">
        <v>292</v>
      </c>
      <c r="B71" s="154">
        <f>'C2''- Transport Secondary'!T46</f>
        <v>0.97031890079999994</v>
      </c>
      <c r="C71" s="154">
        <f>'C2''- Transport Secondary'!T47</f>
        <v>0</v>
      </c>
      <c r="D71" s="154">
        <f t="shared" si="8"/>
        <v>0.97031890079999994</v>
      </c>
      <c r="E71" s="154">
        <f>'C2''- Transport Secondary'!T48</f>
        <v>0</v>
      </c>
      <c r="F71" s="154">
        <f>'C2''- Transport Secondary'!T49</f>
        <v>0</v>
      </c>
      <c r="G71" s="154">
        <f t="shared" si="10"/>
        <v>0</v>
      </c>
      <c r="H71" s="154">
        <f t="shared" si="9"/>
        <v>0.97031890079999994</v>
      </c>
    </row>
    <row r="72" spans="1:8" x14ac:dyDescent="0.35">
      <c r="A72" s="1" t="s">
        <v>293</v>
      </c>
      <c r="B72" s="154">
        <f>'C2''- Transport Secondary'!U46</f>
        <v>1.2609863999999999E-6</v>
      </c>
      <c r="C72" s="154">
        <f>'C2''- Transport Secondary'!U47</f>
        <v>0</v>
      </c>
      <c r="D72" s="154">
        <f t="shared" si="8"/>
        <v>1.2609863999999999E-6</v>
      </c>
      <c r="E72" s="154">
        <f>'C2''- Transport Secondary'!U48</f>
        <v>0</v>
      </c>
      <c r="F72" s="154">
        <f>'C2''- Transport Secondary'!U49</f>
        <v>0</v>
      </c>
      <c r="G72" s="154">
        <f t="shared" si="10"/>
        <v>0</v>
      </c>
      <c r="H72" s="154">
        <f t="shared" si="9"/>
        <v>1.2609863999999999E-6</v>
      </c>
    </row>
    <row r="73" spans="1:8" x14ac:dyDescent="0.35">
      <c r="A73" s="1" t="s">
        <v>294</v>
      </c>
      <c r="B73" s="154">
        <f>'C2''- Transport Secondary'!V46</f>
        <v>2.5414703999999998E-8</v>
      </c>
      <c r="C73" s="154">
        <f>'C2''- Transport Secondary'!V47</f>
        <v>0</v>
      </c>
      <c r="D73" s="154">
        <f t="shared" si="8"/>
        <v>2.5414703999999998E-8</v>
      </c>
      <c r="E73" s="154">
        <f>'C2''- Transport Secondary'!V48</f>
        <v>0</v>
      </c>
      <c r="F73" s="154">
        <f>'C2''- Transport Secondary'!V49</f>
        <v>0</v>
      </c>
      <c r="G73" s="154">
        <f t="shared" si="10"/>
        <v>0</v>
      </c>
      <c r="H73" s="154">
        <f t="shared" si="9"/>
        <v>2.5414703999999998E-8</v>
      </c>
    </row>
    <row r="74" spans="1:8" ht="14" customHeight="1" x14ac:dyDescent="0.35">
      <c r="A74" s="1" t="s">
        <v>295</v>
      </c>
      <c r="B74" s="154">
        <f>'C2''- Transport Secondary'!W46</f>
        <v>7.0844903999999993E-8</v>
      </c>
      <c r="C74" s="154">
        <f>'C2''- Transport Secondary'!W47</f>
        <v>0</v>
      </c>
      <c r="D74" s="154">
        <f t="shared" si="8"/>
        <v>7.0844903999999993E-8</v>
      </c>
      <c r="E74" s="154">
        <f>'C2''- Transport Secondary'!W48</f>
        <v>0</v>
      </c>
      <c r="F74" s="154">
        <f>'C2''- Transport Secondary'!W49</f>
        <v>0</v>
      </c>
      <c r="G74" s="154">
        <f t="shared" si="10"/>
        <v>0</v>
      </c>
      <c r="H74" s="154">
        <f t="shared" si="9"/>
        <v>7.0844903999999993E-8</v>
      </c>
    </row>
    <row r="75" spans="1:8" x14ac:dyDescent="0.35">
      <c r="A75" s="1" t="s">
        <v>296</v>
      </c>
      <c r="B75" s="154">
        <f>'C2''- Transport Secondary'!X46</f>
        <v>2.9715551999999995E-3</v>
      </c>
      <c r="C75" s="154">
        <f>'C2''- Transport Secondary'!X47</f>
        <v>0</v>
      </c>
      <c r="D75" s="154">
        <f t="shared" si="8"/>
        <v>2.9715551999999995E-3</v>
      </c>
      <c r="E75" s="154">
        <f>'C2''- Transport Secondary'!X48</f>
        <v>0</v>
      </c>
      <c r="F75" s="154">
        <f>'C2''- Transport Secondary'!X49</f>
        <v>0</v>
      </c>
      <c r="G75" s="154">
        <f t="shared" si="10"/>
        <v>0</v>
      </c>
      <c r="H75" s="154">
        <f t="shared" si="9"/>
        <v>2.9715551999999995E-3</v>
      </c>
    </row>
    <row r="76" spans="1:8" x14ac:dyDescent="0.35">
      <c r="A76" s="1" t="s">
        <v>297</v>
      </c>
      <c r="B76" s="154">
        <f>'C2''- Transport Secondary'!Y46</f>
        <v>3.5036560799999998E-2</v>
      </c>
      <c r="C76" s="154">
        <f>'C2''- Transport Secondary'!Y47</f>
        <v>0</v>
      </c>
      <c r="D76" s="154">
        <f t="shared" si="8"/>
        <v>3.5036560799999998E-2</v>
      </c>
      <c r="E76" s="154">
        <f>'C2''- Transport Secondary'!Y48</f>
        <v>0</v>
      </c>
      <c r="F76" s="154">
        <f>'C2''- Transport Secondary'!Y49</f>
        <v>0</v>
      </c>
      <c r="G76" s="154">
        <f t="shared" si="10"/>
        <v>0</v>
      </c>
      <c r="H76" s="154">
        <f t="shared" si="9"/>
        <v>3.5036560799999998E-2</v>
      </c>
    </row>
    <row r="79" spans="1:8" x14ac:dyDescent="0.35">
      <c r="B79" t="s">
        <v>354</v>
      </c>
    </row>
    <row r="80" spans="1:8" x14ac:dyDescent="0.35">
      <c r="A80" s="95" t="s">
        <v>326</v>
      </c>
      <c r="B80" s="1">
        <f>SUM(G50:Y50)</f>
        <v>19.67212336575772</v>
      </c>
    </row>
    <row r="81" spans="1:2" x14ac:dyDescent="0.35">
      <c r="A81" s="95" t="s">
        <v>327</v>
      </c>
      <c r="B81" s="1">
        <f>SUM(B58:C76)+SUM(E58:F76)</f>
        <v>19.67212336575772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1.7043983999999999E-3</v>
      </c>
      <c r="AB109" s="87" t="e">
        <f>+AA109-Z109</f>
        <v>#REF!</v>
      </c>
    </row>
    <row r="110" spans="26:28" x14ac:dyDescent="0.35">
      <c r="Z110" t="e">
        <f>+SUM(#REF!+#REF!+#REF!+D59+G59+#REF!)</f>
        <v>#REF!</v>
      </c>
      <c r="AA110">
        <f>+$H$50</f>
        <v>1.1429629848</v>
      </c>
      <c r="AB110" s="87" t="e">
        <f t="shared" ref="AB110:AB127" si="11">+AA110-Z110</f>
        <v>#REF!</v>
      </c>
    </row>
    <row r="111" spans="26:28" x14ac:dyDescent="0.35">
      <c r="Z111" t="e">
        <f>+SUM(#REF!+#REF!+#REF!+D60+G60+#REF!)</f>
        <v>#REF!</v>
      </c>
      <c r="AA111">
        <f>+$I$50</f>
        <v>5.3417016000000006E-4</v>
      </c>
      <c r="AB111" s="87" t="e">
        <f t="shared" si="11"/>
        <v>#REF!</v>
      </c>
    </row>
    <row r="112" spans="26:28" x14ac:dyDescent="0.35">
      <c r="Z112" t="e">
        <f>+SUM(#REF!+#REF!+#REF!+D61+G61+#REF!)</f>
        <v>#REF!</v>
      </c>
      <c r="AA112">
        <f>+$J$50</f>
        <v>1.1423379024</v>
      </c>
      <c r="AB112" s="87" t="e">
        <f t="shared" si="11"/>
        <v>#REF!</v>
      </c>
    </row>
    <row r="113" spans="26:28" x14ac:dyDescent="0.35">
      <c r="Z113" t="e">
        <f>+SUM(#REF!+#REF!+#REF!+D62+G62+#REF!)</f>
        <v>#REF!</v>
      </c>
      <c r="AA113">
        <f>+$K$50</f>
        <v>9.0910799999999997E-5</v>
      </c>
      <c r="AB113" s="87" t="e">
        <f t="shared" si="11"/>
        <v>#REF!</v>
      </c>
    </row>
    <row r="114" spans="26:28" x14ac:dyDescent="0.35">
      <c r="Z114" t="e">
        <f>+SUM(#REF!+#REF!+#REF!+D63+G63+#REF!)</f>
        <v>#REF!</v>
      </c>
      <c r="AA114">
        <f>+$L$50</f>
        <v>0.98167643279999994</v>
      </c>
      <c r="AB114" s="87" t="e">
        <f t="shared" si="11"/>
        <v>#REF!</v>
      </c>
    </row>
    <row r="115" spans="26:28" x14ac:dyDescent="0.35">
      <c r="Z115" t="e">
        <f>+SUM(#REF!+#REF!+#REF!+D64+G64+#REF!)</f>
        <v>#REF!</v>
      </c>
      <c r="AA115">
        <f>+$M$50</f>
        <v>15.383093471999999</v>
      </c>
      <c r="AB115" s="87" t="e">
        <f t="shared" si="11"/>
        <v>#REF!</v>
      </c>
    </row>
    <row r="116" spans="26:28" x14ac:dyDescent="0.35">
      <c r="Z116" t="e">
        <f>+SUM(#REF!+#REF!+#REF!+D65+G65+#REF!)</f>
        <v>#REF!</v>
      </c>
      <c r="AA116">
        <f>+N$50</f>
        <v>2.6659368E-5</v>
      </c>
      <c r="AB116" s="87" t="e">
        <f t="shared" si="11"/>
        <v>#REF!</v>
      </c>
    </row>
    <row r="117" spans="26:28" x14ac:dyDescent="0.35">
      <c r="Z117" t="e">
        <f>+SUM(#REF!+#REF!+#REF!+D66+G66+#REF!)</f>
        <v>#REF!</v>
      </c>
      <c r="AA117">
        <f>+$O$50</f>
        <v>3.7149983999999997E-4</v>
      </c>
      <c r="AB117" s="87" t="e">
        <f t="shared" si="11"/>
        <v>#REF!</v>
      </c>
    </row>
    <row r="118" spans="26:28" x14ac:dyDescent="0.35">
      <c r="Z118" t="e">
        <f>+SUM(#REF!+#REF!+#REF!+D67+G67+#REF!)</f>
        <v>#REF!</v>
      </c>
      <c r="AA118">
        <f>+$P$50</f>
        <v>4.0211496000000001E-3</v>
      </c>
      <c r="AB118" s="87" t="e">
        <f t="shared" si="11"/>
        <v>#REF!</v>
      </c>
    </row>
    <row r="119" spans="26:28" x14ac:dyDescent="0.35">
      <c r="Z119" t="e">
        <f>+SUM(#REF!+#REF!+#REF!+D68+G68+#REF!)</f>
        <v>#REF!</v>
      </c>
      <c r="AA119">
        <f>+$Q$50</f>
        <v>1.0130183999999999E-10</v>
      </c>
      <c r="AB119" s="87" t="e">
        <f t="shared" si="11"/>
        <v>#REF!</v>
      </c>
    </row>
    <row r="120" spans="26:28" x14ac:dyDescent="0.35">
      <c r="Z120" t="e">
        <f>+SUM(#REF!+#REF!+#REF!+D69+G69+#REF!)</f>
        <v>#REF!</v>
      </c>
      <c r="AA120">
        <f>+$R$50</f>
        <v>8.2424160000000005E-9</v>
      </c>
      <c r="AB120" s="87" t="e">
        <f t="shared" si="11"/>
        <v>#REF!</v>
      </c>
    </row>
    <row r="121" spans="26:28" x14ac:dyDescent="0.35">
      <c r="Z121" t="e">
        <f>+SUM(#REF!+#REF!+#REF!+D70+G70+#REF!)</f>
        <v>#REF!</v>
      </c>
      <c r="AA121">
        <f>+$S$50</f>
        <v>6.9754032000000007E-3</v>
      </c>
      <c r="AB121" s="87" t="e">
        <f t="shared" si="11"/>
        <v>#REF!</v>
      </c>
    </row>
    <row r="122" spans="26:28" x14ac:dyDescent="0.35">
      <c r="Z122" t="e">
        <f>+SUM(#REF!+#REF!+#REF!+D71+G71+#REF!)</f>
        <v>#REF!</v>
      </c>
      <c r="AA122">
        <f>+$T$50</f>
        <v>0.97031890079999994</v>
      </c>
      <c r="AB122" s="87" t="e">
        <f t="shared" si="11"/>
        <v>#REF!</v>
      </c>
    </row>
    <row r="123" spans="26:28" x14ac:dyDescent="0.35">
      <c r="Z123" t="e">
        <f>+SUM(#REF!+#REF!+#REF!+D72+G72+#REF!)</f>
        <v>#REF!</v>
      </c>
      <c r="AA123">
        <f>+$U$50</f>
        <v>1.2609863999999999E-6</v>
      </c>
      <c r="AB123" s="87" t="e">
        <f t="shared" si="11"/>
        <v>#REF!</v>
      </c>
    </row>
    <row r="124" spans="26:28" x14ac:dyDescent="0.35">
      <c r="Z124" t="e">
        <f>+SUM(#REF!+#REF!+#REF!+D73+G73+#REF!)</f>
        <v>#REF!</v>
      </c>
      <c r="AA124">
        <f>+$V$50</f>
        <v>2.5414703999999998E-8</v>
      </c>
      <c r="AB124" s="87" t="e">
        <f t="shared" si="11"/>
        <v>#REF!</v>
      </c>
    </row>
    <row r="125" spans="26:28" x14ac:dyDescent="0.35">
      <c r="Z125" t="e">
        <f>+SUM(#REF!+#REF!+#REF!+D74+G74+#REF!)</f>
        <v>#REF!</v>
      </c>
      <c r="AA125">
        <f>+$W$50</f>
        <v>7.0844903999999993E-8</v>
      </c>
      <c r="AB125" s="87" t="e">
        <f t="shared" si="11"/>
        <v>#REF!</v>
      </c>
    </row>
    <row r="126" spans="26:28" x14ac:dyDescent="0.35">
      <c r="Z126" t="e">
        <f>+SUM(#REF!+#REF!+#REF!+D75+G75+#REF!)</f>
        <v>#REF!</v>
      </c>
      <c r="AA126">
        <f>+$X$50</f>
        <v>2.9715551999999995E-3</v>
      </c>
      <c r="AB126" s="87" t="e">
        <f t="shared" si="11"/>
        <v>#REF!</v>
      </c>
    </row>
    <row r="127" spans="26:28" x14ac:dyDescent="0.35">
      <c r="Z127" t="e">
        <f>+SUM(#REF!+#REF!+#REF!+D76+G76+#REF!)</f>
        <v>#REF!</v>
      </c>
      <c r="AA127">
        <f>+$Y$50</f>
        <v>3.5036560799999998E-2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5.0999999999999997E-2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Limestone_residue</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7.4499188399999996</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1.4756742000000003</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3.7207200000000003E-2</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2.3021399999999996</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0.22570000000000001</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0.16026749999999998</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1.5712500000000001E-2</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10.29183978</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1.7542939000000004</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269.69590471330002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0.34825718554734947</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1.5951801744929772E-2</v>
      </c>
      <c r="G196" s="154" cm="1">
        <f t="array" ref="G196">INDEX(LCI!I$2:I$137,MATCH('A3 - Production '!$A$196&amp;'A3 - Production '!$D$196,LCI!$B$2:$B$137&amp;LCI!$D$2:$D$137,0))*$C$188*IF(OR($D$196="Electricity", $D$196="Electricity_green"),$B$52, 1)*IF($D$196="Hydrogen (grey)",$B$53,1)*$E$196</f>
        <v>18.885502457196569</v>
      </c>
      <c r="H196" s="154" cm="1">
        <f t="array" ref="H196">INDEX(LCI!J$2:J$137,MATCH('A3 - Production '!$A$196&amp;'A3 - Production '!$D$196,LCI!$B$2:$B$137&amp;LCI!$D$2:$D$137,0))*$C$188*IF(OR($D$196="Electricity", $D$196="Electricity_green"),$B$52, 1)*IF($D$196="Hydrogen (grey)",$B$53,1)*$E$196</f>
        <v>4.9375434518401651E-3</v>
      </c>
      <c r="I196" s="154" cm="1">
        <f t="array" ref="I196">INDEX(LCI!K$2:K$137,MATCH('A3 - Production '!$A$196&amp;'A3 - Production '!$D$196,LCI!$B$2:$B$137&amp;LCI!$D$2:$D$137,0))*$C$188*IF(OR($D$196="Electricity", $D$196="Electricity_green"),$B$52, 1)*IF($D$196="Hydrogen (grey)",$B$53,1)*$E$196</f>
        <v>18.879795230499425</v>
      </c>
      <c r="J196" s="154" cm="1">
        <f t="array" ref="J196">INDEX(LCI!L$2:L$137,MATCH('A3 - Production '!$A$196&amp;'A3 - Production '!$D$196,LCI!$B$2:$B$137&amp;LCI!$D$2:$D$137,0))*$C$188*IF(OR($D$196="Electricity", $D$196="Electricity_green"),$B$52, 1)*IF($D$196="Hydrogen (grey)",$B$53,1)*$E$196</f>
        <v>7.6968324530471009E-4</v>
      </c>
      <c r="K196" s="154" cm="1">
        <f t="array" ref="K196">INDEX(LCI!M$2:M$137,MATCH('A3 - Production '!$A$196&amp;'A3 - Production '!$D$196,LCI!$B$2:$B$137&amp;LCI!$D$2:$D$137,0))*$C$188*IF(OR($D$196="Electricity", $D$196="Electricity_green"),$B$52, 1)*IF($D$196="Hydrogen (grey)",$B$53,1)*$E$196</f>
        <v>7.1423595068156569</v>
      </c>
      <c r="L196" s="154" cm="1">
        <f t="array" ref="L196">INDEX(LCI!N$2:N$137,MATCH('A3 - Production '!$A$196&amp;'A3 - Production '!$D$196,LCI!$B$2:$B$137&amp;LCI!$D$2:$D$137,0))*$C$188*IF(OR($D$196="Electricity", $D$196="Electricity_green"),$B$52, 1)*IF($D$196="Hydrogen (grey)",$B$53,1)*$E$196</f>
        <v>319.3717587115936</v>
      </c>
      <c r="M196" s="154" cm="1">
        <f t="array" ref="M196">INDEX(LCI!O$2:O$137,MATCH('A3 - Production '!$A$196&amp;'A3 - Production '!$D$196,LCI!$B$2:$B$137&amp;LCI!$D$2:$D$137,0))*$C$188*IF(OR($D$196="Electricity", $D$196="Electricity_green"),$B$52, 1)*IF($D$196="Hydrogen (grey)",$B$53,1)*$E$196</f>
        <v>2.8311543729231029E-4</v>
      </c>
      <c r="N196" s="154" cm="1">
        <f t="array" ref="N196">INDEX(LCI!P$2:P$137,MATCH('A3 - Production '!$A$196&amp;'A3 - Production '!$D$196,LCI!$B$2:$B$137&amp;LCI!$D$2:$D$137,0))*$C$188*IF(OR($D$196="Electricity", $D$196="Electricity_green"),$B$52, 1)*IF($D$196="Hydrogen (grey)",$B$53,1)*$E$196</f>
        <v>4.3874975202259385E-3</v>
      </c>
      <c r="O196" s="154" cm="1">
        <f t="array" ref="O196">INDEX(LCI!Q$2:Q$137,MATCH('A3 - Production '!$A$196&amp;'A3 - Production '!$D$196,LCI!$B$2:$B$137&amp;LCI!$D$2:$D$137,0))*$C$188*IF(OR($D$196="Electricity", $D$196="Electricity_green"),$B$52, 1)*IF($D$196="Hydrogen (grey)",$B$53,1)*$E$196</f>
        <v>4.8376554469774173E-2</v>
      </c>
      <c r="P196" s="154" cm="1">
        <f t="array" ref="P196">INDEX(LCI!R$2:R$137,MATCH('A3 - Production '!$A$196&amp;'A3 - Production '!$D$196,LCI!$B$2:$B$137&amp;LCI!$D$2:$D$137,0))*$C$188*IF(OR($D$196="Electricity", $D$196="Electricity_green"),$B$52, 1)*IF($D$196="Hydrogen (grey)",$B$53,1)*$E$196</f>
        <v>1.5251299815702949E-9</v>
      </c>
      <c r="Q196" s="154" cm="1">
        <f t="array" ref="Q196">INDEX(LCI!S$2:S$137,MATCH('A3 - Production '!$A$196&amp;'A3 - Production '!$D$196,LCI!$B$2:$B$137&amp;LCI!$D$2:$D$137,0))*$C$188*IF(OR($D$196="Electricity", $D$196="Electricity_green"),$B$52, 1)*IF($D$196="Hydrogen (grey)",$B$53,1)*$E$196</f>
        <v>1.3040758528916107E-8</v>
      </c>
      <c r="R196" s="154" cm="1">
        <f t="array" ref="R196">INDEX(LCI!T$2:T$137,MATCH('A3 - Production '!$A$196&amp;'A3 - Production '!$D$196,LCI!$B$2:$B$137&amp;LCI!$D$2:$D$137,0))*$C$188*IF(OR($D$196="Electricity", $D$196="Electricity_green"),$B$52, 1)*IF($D$196="Hydrogen (grey)",$B$53,1)*$E$196</f>
        <v>0.20101936927999847</v>
      </c>
      <c r="S196" s="154" cm="1">
        <f t="array" ref="S196">INDEX(LCI!U$2:U$137,MATCH('A3 - Production '!$A$196&amp;'A3 - Production '!$D$196,LCI!$B$2:$B$137&amp;LCI!$D$2:$D$137,0))*$C$188*IF(OR($D$196="Electricity", $D$196="Electricity_green"),$B$52, 1)*IF($D$196="Hydrogen (grey)",$B$53,1)*$E$196</f>
        <v>4.2915313730323126</v>
      </c>
      <c r="T196" s="154" cm="1">
        <f t="array" ref="T196">INDEX(LCI!V$2:V$137,MATCH('A3 - Production '!$A$196&amp;'A3 - Production '!$D$196,LCI!$B$2:$B$137&amp;LCI!$D$2:$D$137,0))*$C$188*IF(OR($D$196="Electricity", $D$196="Electricity_green"),$B$52, 1)*IF($D$196="Hydrogen (grey)",$B$53,1)*$E$196</f>
        <v>1.028212433763163E-6</v>
      </c>
      <c r="U196" s="154" cm="1">
        <f t="array" ref="U196">INDEX(LCI!W$2:W$137,MATCH('A3 - Production '!$A$196&amp;'A3 - Production '!$D$196,LCI!$B$2:$B$137&amp;LCI!$D$2:$D$137,0))*$C$188*IF(OR($D$196="Electricity", $D$196="Electricity_green"),$B$52, 1)*IF($D$196="Hydrogen (grey)",$B$53,1)*$E$196</f>
        <v>2.6598486288981922E-6</v>
      </c>
      <c r="V196" s="154" cm="1">
        <f t="array" ref="V196">INDEX(LCI!X$2:X$137,MATCH('A3 - Production '!$A$196&amp;'A3 - Production '!$D$196,LCI!$B$2:$B$137&amp;LCI!$D$2:$D$137,0))*$C$188*IF(OR($D$196="Electricity", $D$196="Electricity_green"),$B$52, 1)*IF($D$196="Hydrogen (grey)",$B$53,1)*$E$196</f>
        <v>5.8597718033694384E-8</v>
      </c>
      <c r="W196" s="154" cm="1">
        <f t="array" ref="W196">INDEX(LCI!Y$2:Y$137,MATCH('A3 - Production '!$A$196&amp;'A3 - Production '!$D$196,LCI!$B$2:$B$137&amp;LCI!$D$2:$D$137,0))*$C$188*IF(OR($D$196="Electricity", $D$196="Electricity_green"),$B$52, 1)*IF($D$196="Hydrogen (grey)",$B$53,1)*$E$196</f>
        <v>1.6369874165588005E-2</v>
      </c>
      <c r="X196" s="154" cm="1">
        <f t="array" ref="X196">INDEX(LCI!Z$2:Z$137,MATCH('A3 - Production '!$A$196&amp;'A3 - Production '!$D$196,LCI!$B$2:$B$137&amp;LCI!$D$2:$D$137,0))*$C$188*IF(OR($D$196="Electricity", $D$196="Electricity_green"),$B$52, 1)*IF($D$196="Hydrogen (grey)",$B$53,1)*$E$196</f>
        <v>0.18850358161555844</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1.9911768013240849E-2</v>
      </c>
      <c r="G199" s="139">
        <f t="shared" si="9"/>
        <v>19.976270994655721</v>
      </c>
      <c r="H199" s="139">
        <f t="shared" si="9"/>
        <v>6.7471826319160265E-3</v>
      </c>
      <c r="I199" s="139">
        <f t="shared" si="9"/>
        <v>19.966021064117498</v>
      </c>
      <c r="J199" s="139">
        <f t="shared" si="9"/>
        <v>3.5027479063066656E-3</v>
      </c>
      <c r="K199" s="139">
        <f t="shared" si="9"/>
        <v>10.957255974586307</v>
      </c>
      <c r="L199" s="139">
        <f t="shared" si="9"/>
        <v>372.81158616984345</v>
      </c>
      <c r="M199" s="139">
        <f t="shared" si="9"/>
        <v>6.908223203654089E-4</v>
      </c>
      <c r="N199" s="139">
        <f t="shared" si="9"/>
        <v>5.2018593936832939E-3</v>
      </c>
      <c r="O199" s="139">
        <f t="shared" si="9"/>
        <v>5.6107086007540129E-2</v>
      </c>
      <c r="P199" s="139">
        <f t="shared" si="9"/>
        <v>1.9795107575544277E-9</v>
      </c>
      <c r="Q199" s="139">
        <f t="shared" si="9"/>
        <v>3.8165183429093319E-8</v>
      </c>
      <c r="R199" s="139">
        <f t="shared" si="9"/>
        <v>2.4458519263119456</v>
      </c>
      <c r="S199" s="139">
        <f t="shared" si="9"/>
        <v>12.724581707861653</v>
      </c>
      <c r="T199" s="139">
        <f t="shared" si="9"/>
        <v>2.9967485681075472E-5</v>
      </c>
      <c r="U199" s="139">
        <f t="shared" si="9"/>
        <v>2.6945508832389224E-6</v>
      </c>
      <c r="V199" s="139">
        <f t="shared" si="9"/>
        <v>8.7697329572029669E-8</v>
      </c>
      <c r="W199" s="139">
        <f t="shared" si="9"/>
        <v>1.8840243728610075E-2</v>
      </c>
      <c r="X199" s="139">
        <f t="shared" si="9"/>
        <v>0.83048455321736281</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1.9911768013240849E-2</v>
      </c>
      <c r="C206" s="154">
        <f>'A3 - Production '!H28</f>
        <v>1.0299559961337281E-4</v>
      </c>
      <c r="D206" s="154">
        <f>SUM(B206:C206)</f>
        <v>2.0014763612854224E-2</v>
      </c>
    </row>
    <row r="207" spans="1:24" x14ac:dyDescent="0.35">
      <c r="A207" s="1" t="s">
        <v>280</v>
      </c>
      <c r="B207" s="154">
        <f>SUM(G196:G198)</f>
        <v>19.976270994655721</v>
      </c>
      <c r="C207" s="154">
        <f>'A3 - Production '!I28</f>
        <v>8.056052481282612E-2</v>
      </c>
      <c r="D207" s="154">
        <f t="shared" ref="D207:D224" si="10">SUM(B207:C207)</f>
        <v>20.056831519468545</v>
      </c>
    </row>
    <row r="208" spans="1:24" x14ac:dyDescent="0.35">
      <c r="A208" s="1" t="s">
        <v>281</v>
      </c>
      <c r="B208" s="154">
        <f>SUM(H196:H198)</f>
        <v>6.7471826319160265E-3</v>
      </c>
      <c r="C208" s="154">
        <f>'A3 - Production '!J28</f>
        <v>1.66498170746065E-5</v>
      </c>
      <c r="D208" s="154">
        <f t="shared" si="10"/>
        <v>6.7638324489906329E-3</v>
      </c>
    </row>
    <row r="209" spans="1:4" x14ac:dyDescent="0.35">
      <c r="A209" s="1" t="s">
        <v>282</v>
      </c>
      <c r="B209" s="154">
        <f>SUM(I196:I198)</f>
        <v>19.966021064117498</v>
      </c>
      <c r="C209" s="154">
        <f>'A3 - Production '!K28</f>
        <v>8.0540312398878863E-2</v>
      </c>
      <c r="D209" s="154">
        <f t="shared" si="10"/>
        <v>20.046561376516376</v>
      </c>
    </row>
    <row r="210" spans="1:4" x14ac:dyDescent="0.35">
      <c r="A210" s="1" t="s">
        <v>283</v>
      </c>
      <c r="B210" s="154">
        <f>SUM(J196:J198)</f>
        <v>3.5027479063066656E-3</v>
      </c>
      <c r="C210" s="154">
        <f>'A3 - Production '!L28</f>
        <v>3.5625968726484402E-6</v>
      </c>
      <c r="D210" s="154">
        <f t="shared" si="10"/>
        <v>3.5063105031793141E-3</v>
      </c>
    </row>
    <row r="211" spans="1:4" x14ac:dyDescent="0.35">
      <c r="A211" s="1" t="s">
        <v>284</v>
      </c>
      <c r="B211" s="154">
        <f>SUM(K196:K198)</f>
        <v>10.957255974586307</v>
      </c>
      <c r="C211" s="154">
        <f>'A3 - Production '!M28</f>
        <v>3.5594107095916434E-2</v>
      </c>
      <c r="D211" s="154">
        <f t="shared" si="10"/>
        <v>10.992850081682223</v>
      </c>
    </row>
    <row r="212" spans="1:4" x14ac:dyDescent="0.35">
      <c r="A212" s="1" t="s">
        <v>285</v>
      </c>
      <c r="B212" s="154">
        <f>SUM(L196:L198)</f>
        <v>372.81158616984345</v>
      </c>
      <c r="C212" s="154">
        <f>'A3 - Production '!N28</f>
        <v>1.0700591183029562</v>
      </c>
      <c r="D212" s="154">
        <f t="shared" si="10"/>
        <v>373.88164528814639</v>
      </c>
    </row>
    <row r="213" spans="1:4" x14ac:dyDescent="0.35">
      <c r="A213" s="1" t="s">
        <v>286</v>
      </c>
      <c r="B213" s="154">
        <f>SUM(M196:M198)</f>
        <v>6.908223203654089E-4</v>
      </c>
      <c r="C213" s="154">
        <f>'A3 - Production '!O28</f>
        <v>8.5163363126034537E-7</v>
      </c>
      <c r="D213" s="154">
        <f t="shared" si="10"/>
        <v>6.9167395399666928E-4</v>
      </c>
    </row>
    <row r="214" spans="1:4" x14ac:dyDescent="0.35">
      <c r="A214" s="1" t="s">
        <v>287</v>
      </c>
      <c r="B214" s="154">
        <f>SUM(N196:N198)</f>
        <v>5.2018593936832939E-3</v>
      </c>
      <c r="C214" s="154">
        <f>'A3 - Production '!P28</f>
        <v>2.3290660699942286E-5</v>
      </c>
      <c r="D214" s="154">
        <f t="shared" si="10"/>
        <v>5.2251500543832362E-3</v>
      </c>
    </row>
    <row r="215" spans="1:4" x14ac:dyDescent="0.35">
      <c r="A215" s="1" t="s">
        <v>288</v>
      </c>
      <c r="B215" s="154">
        <f>SUM(O196:O198)</f>
        <v>5.6107086007540129E-2</v>
      </c>
      <c r="C215" s="154">
        <f>'A3 - Production '!Q28</f>
        <v>2.5319818156265738E-4</v>
      </c>
      <c r="D215" s="154">
        <f t="shared" si="10"/>
        <v>5.6360284189102786E-2</v>
      </c>
    </row>
    <row r="216" spans="1:4" x14ac:dyDescent="0.35">
      <c r="A216" s="1" t="s">
        <v>289</v>
      </c>
      <c r="B216" s="154">
        <f>SUM(P196:P198)</f>
        <v>1.9795107575544277E-9</v>
      </c>
      <c r="C216" s="154">
        <f>'A3 - Production '!R28</f>
        <v>4.9230968242214656E-12</v>
      </c>
      <c r="D216" s="154">
        <f t="shared" si="10"/>
        <v>1.9844338543786491E-9</v>
      </c>
    </row>
    <row r="217" spans="1:4" x14ac:dyDescent="0.35">
      <c r="A217" s="1" t="s">
        <v>319</v>
      </c>
      <c r="B217" s="154">
        <f>SUM(Q196:Q198)</f>
        <v>3.8165183429093319E-8</v>
      </c>
      <c r="C217" s="154">
        <f>'A3 - Production '!S28</f>
        <v>1.3122062216178557E-10</v>
      </c>
      <c r="D217" s="154">
        <f t="shared" si="10"/>
        <v>3.8296404051255106E-8</v>
      </c>
    </row>
    <row r="218" spans="1:4" x14ac:dyDescent="0.35">
      <c r="A218" s="1" t="s">
        <v>291</v>
      </c>
      <c r="B218" s="154">
        <f>SUM(R196:R198)</f>
        <v>2.4458519263119456</v>
      </c>
      <c r="C218" s="154">
        <f>'A3 - Production '!T28</f>
        <v>3.212941207975714E-4</v>
      </c>
      <c r="D218" s="154">
        <f t="shared" si="10"/>
        <v>2.4461732204327431</v>
      </c>
    </row>
    <row r="219" spans="1:4" x14ac:dyDescent="0.35">
      <c r="A219" s="1" t="s">
        <v>292</v>
      </c>
      <c r="B219" s="154">
        <f>SUM(S196:S198)</f>
        <v>12.724581707861653</v>
      </c>
      <c r="C219" s="154">
        <f>'A3 - Production '!U28</f>
        <v>5.5016478121274907E-2</v>
      </c>
      <c r="D219" s="154">
        <f t="shared" si="10"/>
        <v>12.779598185982927</v>
      </c>
    </row>
    <row r="220" spans="1:4" x14ac:dyDescent="0.35">
      <c r="A220" s="1" t="s">
        <v>293</v>
      </c>
      <c r="B220" s="154">
        <f>SUM(T196:T198)</f>
        <v>2.9967485681075472E-5</v>
      </c>
      <c r="C220" s="154">
        <f>'A3 - Production '!V28</f>
        <v>1.2561955879264319E-8</v>
      </c>
      <c r="D220" s="154">
        <f t="shared" si="10"/>
        <v>2.9980047636954735E-5</v>
      </c>
    </row>
    <row r="221" spans="1:4" x14ac:dyDescent="0.35">
      <c r="A221" s="1" t="s">
        <v>294</v>
      </c>
      <c r="B221" s="154">
        <f>SUM(U196:U198)</f>
        <v>2.6945508832389224E-6</v>
      </c>
      <c r="C221" s="154">
        <f>'A3 - Production '!W28</f>
        <v>1.8154006185482207E-9</v>
      </c>
      <c r="D221" s="154">
        <f t="shared" si="10"/>
        <v>2.6963662838574704E-6</v>
      </c>
    </row>
    <row r="222" spans="1:4" x14ac:dyDescent="0.35">
      <c r="A222" s="1" t="s">
        <v>295</v>
      </c>
      <c r="B222" s="154">
        <f>SUM(V196:V198)</f>
        <v>8.7697329572029669E-8</v>
      </c>
      <c r="C222" s="154">
        <f>'A3 - Production '!X28</f>
        <v>7.9346155235966147E-10</v>
      </c>
      <c r="D222" s="154">
        <f t="shared" si="10"/>
        <v>8.8490791124389334E-8</v>
      </c>
    </row>
    <row r="223" spans="1:4" x14ac:dyDescent="0.35">
      <c r="A223" s="1" t="s">
        <v>296</v>
      </c>
      <c r="B223" s="154">
        <f>SUM(W196:W198)</f>
        <v>1.8840243728610075E-2</v>
      </c>
      <c r="C223" s="154">
        <f>'A3 - Production '!Y28</f>
        <v>1.9843157737774877E-4</v>
      </c>
      <c r="D223" s="154">
        <f t="shared" si="10"/>
        <v>1.9038675305987823E-2</v>
      </c>
    </row>
    <row r="224" spans="1:4" x14ac:dyDescent="0.35">
      <c r="A224" s="1" t="s">
        <v>297</v>
      </c>
      <c r="B224" s="154">
        <f>SUM(X196:X198)</f>
        <v>0.83048455321736281</v>
      </c>
      <c r="C224" s="154">
        <f>'A3 - Production '!Z28</f>
        <v>1.4482440080436057E-3</v>
      </c>
      <c r="D224" s="154">
        <f t="shared" si="10"/>
        <v>0.83193279722540636</v>
      </c>
    </row>
    <row r="227" spans="1:3" x14ac:dyDescent="0.35">
      <c r="B227" t="s">
        <v>352</v>
      </c>
    </row>
    <row r="228" spans="1:3" x14ac:dyDescent="0.35">
      <c r="B228" s="205" t="s">
        <v>623</v>
      </c>
      <c r="C228" s="205" t="s">
        <v>622</v>
      </c>
    </row>
    <row r="229" spans="1:3" x14ac:dyDescent="0.35">
      <c r="A229" s="95" t="s">
        <v>624</v>
      </c>
      <c r="B229" s="1">
        <f>SUM($F$199:$X$199)+SUM($H$28:$Z$28)</f>
        <v>441.14722596470875</v>
      </c>
      <c r="C229" s="1">
        <f>+SUM(H28:Z28)</f>
        <v>1.3241390742344876</v>
      </c>
    </row>
    <row r="230" spans="1:3" x14ac:dyDescent="0.35">
      <c r="A230" s="95" t="s">
        <v>625</v>
      </c>
      <c r="B230" s="1">
        <f>SUM($D$206:$D$224)</f>
        <v>441.14722596470864</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24</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24</v>
      </c>
      <c r="E30" s="154" t="str">
        <f>$B$12</f>
        <v>Truck</v>
      </c>
      <c r="F30" s="154" t="str">
        <f>$C$12</f>
        <v>Diesel_Euro5</v>
      </c>
      <c r="G30" s="154" cm="1">
        <f t="array" ref="G30">INDEX(LCI!H$2:H$137,MATCH('D- Benefits &amp; Burdens'!$E$30&amp;'D- Benefits &amp; Burdens'!$F$30,LCI!$B$2:$B$137&amp;LCI!$D$2:$D$137,0))*IF(AND($E30="Truck",$F30="Electric"),$B$26,1)*$D$30*$C$30</f>
        <v>7.4379816E-3</v>
      </c>
      <c r="H30" s="154" cm="1">
        <f t="array" ref="H30">INDEX(LCI!I$2:I$137,MATCH('D- Benefits &amp; Burdens'!$E$30&amp;'D- Benefits &amp; Burdens'!$F$30,LCI!$B$2:$B$137&amp;LCI!$D$2:$D$137,0))*IF(AND($E30="Truck",$F30="Electric"),$B$26,1)*$D$30*$C$30</f>
        <v>2.7188439432</v>
      </c>
      <c r="I30" s="154" cm="1">
        <f t="array" ref="I30">INDEX(LCI!J$2:J$137,MATCH('D- Benefits &amp; Burdens'!$E$30&amp;'D- Benefits &amp; Burdens'!$F$30,LCI!$B$2:$B$137&amp;LCI!$D$2:$D$137,0))*IF(AND($E30="Truck",$F30="Electric"),$B$26,1)*$D$30*$C$30</f>
        <v>1.2566198399999999E-3</v>
      </c>
      <c r="J30" s="154" cm="1">
        <f t="array" ref="J30">INDEX(LCI!K$2:K$137,MATCH('D- Benefits &amp; Burdens'!$E$30&amp;'D- Benefits &amp; Burdens'!$F$30,LCI!$B$2:$B$137&amp;LCI!$D$2:$D$137,0))*IF(AND($E30="Truck",$F30="Electric"),$B$26,1)*$D$30*$C$30</f>
        <v>2.7173735400000001</v>
      </c>
      <c r="K30" s="154" cm="1">
        <f t="array" ref="K30">INDEX(LCI!L$2:L$137,MATCH('D- Benefits &amp; Burdens'!$E$30&amp;'D- Benefits &amp; Burdens'!$F$30,LCI!$B$2:$B$137&amp;LCI!$D$2:$D$137,0))*IF(AND($E30="Truck",$F30="Electric"),$B$26,1)*$D$30*$C$30</f>
        <v>2.1377831999999997E-4</v>
      </c>
      <c r="L30" s="154" cm="1">
        <f t="array" ref="L30">INDEX(LCI!M$2:M$137,MATCH('D- Benefits &amp; Burdens'!$E$30&amp;'D- Benefits &amp; Burdens'!$F$30,LCI!$B$2:$B$137&amp;LCI!$D$2:$D$137,0))*IF(AND($E30="Truck",$F30="Electric"),$B$26,1)*$D$30*$C$30</f>
        <v>2.3106187104</v>
      </c>
      <c r="M30" s="154" cm="1">
        <f t="array" ref="M30">INDEX(LCI!N$2:N$137,MATCH('D- Benefits &amp; Burdens'!$E$30&amp;'D- Benefits &amp; Burdens'!$F$30,LCI!$B$2:$B$137&amp;LCI!$D$2:$D$137,0))*IF(AND($E30="Truck",$F30="Electric"),$B$26,1)*$D$30*$C$30</f>
        <v>36.555785447999995</v>
      </c>
      <c r="N30" s="154" cm="1">
        <f t="array" ref="N30">INDEX(LCI!O$2:O$137,MATCH('D- Benefits &amp; Burdens'!$E$30&amp;'D- Benefits &amp; Burdens'!$F$30,LCI!$B$2:$B$137&amp;LCI!$D$2:$D$137,0))*IF(AND($E30="Truck",$F30="Electric"),$B$26,1)*$D$30*$C$30</f>
        <v>6.2546400000000008E-5</v>
      </c>
      <c r="O30" s="154" cm="1">
        <f t="array" ref="O30">INDEX(LCI!P$2:P$137,MATCH('D- Benefits &amp; Burdens'!$E$30&amp;'D- Benefits &amp; Burdens'!$F$30,LCI!$B$2:$B$137&amp;LCI!$D$2:$D$137,0))*IF(AND($E30="Truck",$F30="Electric"),$B$26,1)*$D$30*$C$30</f>
        <v>2.6687471999999996E-3</v>
      </c>
      <c r="P30" s="154" cm="1">
        <f t="array" ref="P30">INDEX(LCI!Q$2:Q$137,MATCH('D- Benefits &amp; Burdens'!$E$30&amp;'D- Benefits &amp; Burdens'!$F$30,LCI!$B$2:$B$137&amp;LCI!$D$2:$D$137,0))*IF(AND($E30="Truck",$F30="Electric"),$B$26,1)*$D$30*$C$30</f>
        <v>2.9111963999999997E-2</v>
      </c>
      <c r="Q30" s="154" cm="1">
        <f t="array" ref="Q30">INDEX(LCI!R$2:R$137,MATCH('D- Benefits &amp; Burdens'!$E$30&amp;'D- Benefits &amp; Burdens'!$F$30,LCI!$B$2:$B$137&amp;LCI!$D$2:$D$137,0))*IF(AND($E30="Truck",$F30="Electric"),$B$26,1)*$D$30*$C$30</f>
        <v>2.5413527999999998E-10</v>
      </c>
      <c r="R30" s="154" cm="1">
        <f t="array" ref="R30">INDEX(LCI!S$2:S$137,MATCH('D- Benefits &amp; Burdens'!$E$30&amp;'D- Benefits &amp; Burdens'!$F$30,LCI!$B$2:$B$137&amp;LCI!$D$2:$D$137,0))*IF(AND($E30="Truck",$F30="Electric"),$B$26,1)*$D$30*$C$30</f>
        <v>1.948548E-8</v>
      </c>
      <c r="S30" s="154" cm="1">
        <f t="array" ref="S30">INDEX(LCI!T$2:T$137,MATCH('D- Benefits &amp; Burdens'!$E$30&amp;'D- Benefits &amp; Burdens'!$F$30,LCI!$B$2:$B$137&amp;LCI!$D$2:$D$137,0))*IF(AND($E30="Truck",$F30="Electric"),$B$26,1)*$D$30*$C$30</f>
        <v>1.6457750399999999E-2</v>
      </c>
      <c r="T30" s="154" cm="1">
        <f t="array" ref="T30">INDEX(LCI!U$2:U$137,MATCH('D- Benefits &amp; Burdens'!$E$30&amp;'D- Benefits &amp; Burdens'!$F$30,LCI!$B$2:$B$137&amp;LCI!$D$2:$D$137,0))*IF(AND($E30="Truck",$F30="Electric"),$B$26,1)*$D$30*$C$30</f>
        <v>2.2939029119999996</v>
      </c>
      <c r="U30" s="154" cm="1">
        <f t="array" ref="U30">INDEX(LCI!V$2:V$137,MATCH('D- Benefits &amp; Burdens'!$E$30&amp;'D- Benefits &amp; Burdens'!$F$30,LCI!$B$2:$B$137&amp;LCI!$D$2:$D$137,0))*IF(AND($E30="Truck",$F30="Electric"),$B$26,1)*$D$30*$C$30</f>
        <v>2.9470727999999997E-6</v>
      </c>
      <c r="V30" s="154" cm="1">
        <f t="array" ref="V30">INDEX(LCI!W$2:W$137,MATCH('D- Benefits &amp; Burdens'!$E$30&amp;'D- Benefits &amp; Burdens'!$F$30,LCI!$B$2:$B$137&amp;LCI!$D$2:$D$137,0))*IF(AND($E30="Truck",$F30="Electric"),$B$26,1)*$D$30*$C$30</f>
        <v>6.0477647999999988E-8</v>
      </c>
      <c r="W30" s="154" cm="1">
        <f t="array" ref="W30">INDEX(LCI!X$2:X$137,MATCH('D- Benefits &amp; Burdens'!$E$30&amp;'D- Benefits &amp; Burdens'!$F$30,LCI!$B$2:$B$137&amp;LCI!$D$2:$D$137,0))*IF(AND($E30="Truck",$F30="Electric"),$B$26,1)*$D$30*$C$30</f>
        <v>1.8384240000000001E-7</v>
      </c>
      <c r="X30" s="154" cm="1">
        <f t="array" ref="X30">INDEX(LCI!Y$2:Y$137,MATCH('D- Benefits &amp; Burdens'!$E$30&amp;'D- Benefits &amp; Burdens'!$F$30,LCI!$B$2:$B$137&amp;LCI!$D$2:$D$137,0))*IF(AND($E30="Truck",$F30="Electric"),$B$26,1)*$D$30*$C$30</f>
        <v>1.1710523999999998E-2</v>
      </c>
      <c r="Y30" s="154" cm="1">
        <f t="array" ref="Y30">INDEX(LCI!Z$2:Z$137,MATCH('D- Benefits &amp; Burdens'!$E$30&amp;'D- Benefits &amp; Burdens'!$F$30,LCI!$B$2:$B$137&amp;LCI!$D$2:$D$137,0))*IF(AND($E30="Truck",$F30="Electric"),$B$26,1)*$D$30*$C$30</f>
        <v>8.2508865599999995E-2</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7.4379816E-3</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8.4100648269119001E-3</v>
      </c>
      <c r="M161" s="154">
        <f>SUM(D161:K161)</f>
        <v>-0.10075444415325778</v>
      </c>
      <c r="N161" s="154">
        <f>SUM(L161:M161)</f>
        <v>-9.2344379326345885E-2</v>
      </c>
    </row>
    <row r="162" spans="1:14" ht="14" customHeight="1" x14ac:dyDescent="0.35">
      <c r="A162" s="53" t="s">
        <v>280</v>
      </c>
      <c r="B162" s="154" cm="1">
        <f t="array" ref="B162">INDEX(LCI!I$2:I$137,MATCH('D- Benefits &amp; Burdens'!$E$30&amp;'D- Benefits &amp; Burdens'!$F$30,LCI!$B$2:$B$137&amp;LCI!$D$2:$D$137,0))*IF(AND($E30="Truck",$F30="Electric"),$B$26,1)*$D$30*$C$30</f>
        <v>2.7188439432</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3.4791825908289846</v>
      </c>
      <c r="M162" s="154">
        <f t="shared" ref="M162:M179" si="5">SUM(D162:K162)</f>
        <v>-25.973922505704977</v>
      </c>
      <c r="N162" s="154">
        <f t="shared" ref="N162:N179" si="6">SUM(L162:M162)</f>
        <v>-22.494739914875993</v>
      </c>
    </row>
    <row r="163" spans="1:14" ht="14" customHeight="1" x14ac:dyDescent="0.35">
      <c r="A163" s="53" t="s">
        <v>281</v>
      </c>
      <c r="B163" s="154" cm="1">
        <f t="array" ref="B163">INDEX(LCI!J$2:J$137,MATCH('D- Benefits &amp; Burdens'!$E$30&amp;'D- Benefits &amp; Burdens'!$F$30,LCI!$B$2:$B$137&amp;LCI!$D$2:$D$137,0))*IF(AND($E30="Truck",$F30="Electric"),$B$26,1)*$D$30*$C$30</f>
        <v>1.2566198399999999E-3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1.4137625526025965E-3</v>
      </c>
      <c r="M163" s="154">
        <f t="shared" si="5"/>
        <v>-7.0959739433184649E-2</v>
      </c>
      <c r="N163" s="154">
        <f t="shared" si="6"/>
        <v>-6.9545976880582047E-2</v>
      </c>
    </row>
    <row r="164" spans="1:14" ht="14" customHeight="1" x14ac:dyDescent="0.35">
      <c r="A164" s="53" t="s">
        <v>282</v>
      </c>
      <c r="B164" s="154" cm="1">
        <f t="array" ref="B164">INDEX(LCI!K$2:K$137,MATCH('D- Benefits &amp; Burdens'!$E$30&amp;'D- Benefits &amp; Burdens'!$F$30,LCI!$B$2:$B$137&amp;LCI!$D$2:$D$137,0))*IF(AND($E30="Truck",$F30="Electric"),$B$26,1)*$D$30*$C$30</f>
        <v>2.7173735400000001</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3.4775214207549894</v>
      </c>
      <c r="M164" s="154">
        <f t="shared" si="5"/>
        <v>-25.90245313509525</v>
      </c>
      <c r="N164" s="154">
        <f t="shared" si="6"/>
        <v>-22.424931714340261</v>
      </c>
    </row>
    <row r="165" spans="1:14" ht="14" customHeight="1" x14ac:dyDescent="0.35">
      <c r="A165" s="53" t="s">
        <v>283</v>
      </c>
      <c r="B165" s="154" cm="1">
        <f t="array" ref="B165">INDEX(LCI!L$2:L$137,MATCH('D- Benefits &amp; Burdens'!$E$30&amp;'D- Benefits &amp; Burdens'!$F$30,LCI!$B$2:$B$137&amp;LCI!$D$2:$D$137,0))*IF(AND($E30="Truck",$F30="Electric"),$B$26,1)*$D$30*$C$30</f>
        <v>2.1377831999999997E-4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2.4740248139282022E-4</v>
      </c>
      <c r="M165" s="154">
        <f t="shared" si="5"/>
        <v>-9.0361570248200882E-3</v>
      </c>
      <c r="N165" s="154">
        <f t="shared" si="6"/>
        <v>-8.7887545434272678E-3</v>
      </c>
    </row>
    <row r="166" spans="1:14" ht="14" customHeight="1" x14ac:dyDescent="0.35">
      <c r="A166" s="53" t="s">
        <v>284</v>
      </c>
      <c r="B166" s="154" cm="1">
        <f t="array" ref="B166">INDEX(LCI!M$2:M$137,MATCH('D- Benefits &amp; Burdens'!$E$30&amp;'D- Benefits &amp; Burdens'!$F$30,LCI!$B$2:$B$137&amp;LCI!$D$2:$D$137,0))*IF(AND($E30="Truck",$F30="Electric"),$B$26,1)*$D$30*$C$30</f>
        <v>2.3106187104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2.6465596109309946</v>
      </c>
      <c r="M166" s="154">
        <f t="shared" si="5"/>
        <v>-686.35802730347427</v>
      </c>
      <c r="N166" s="154">
        <f t="shared" si="6"/>
        <v>-683.71146769254324</v>
      </c>
    </row>
    <row r="167" spans="1:14" ht="14" customHeight="1" x14ac:dyDescent="0.35">
      <c r="A167" s="53" t="s">
        <v>285</v>
      </c>
      <c r="B167" s="154" cm="1">
        <f t="array" ref="B167">INDEX(LCI!N$2:N$137,MATCH('D- Benefits &amp; Burdens'!$E$30&amp;'D- Benefits &amp; Burdens'!$F$30,LCI!$B$2:$B$137&amp;LCI!$D$2:$D$137,0))*IF(AND($E30="Truck",$F30="Electric"),$B$26,1)*$D$30*$C$30</f>
        <v>36.555785447999995</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46.655115172872868</v>
      </c>
      <c r="M167" s="154">
        <f t="shared" si="5"/>
        <v>-1255.8929563899517</v>
      </c>
      <c r="N167" s="154">
        <f t="shared" si="6"/>
        <v>-1209.2378412170788</v>
      </c>
    </row>
    <row r="168" spans="1:14" ht="14" customHeight="1" x14ac:dyDescent="0.35">
      <c r="A168" s="53" t="s">
        <v>286</v>
      </c>
      <c r="B168" s="154" cm="1">
        <f t="array" ref="B168">INDEX(LCI!O$2:O$137,MATCH('D- Benefits &amp; Burdens'!$E$30&amp;'D- Benefits &amp; Burdens'!$F$30,LCI!$B$2:$B$137&amp;LCI!$D$2:$D$137,0))*IF(AND($E30="Truck",$F30="Electric"),$B$26,1)*$D$30*$C$30</f>
        <v>6.2546400000000008E-5</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7.0584207163897216E-5</v>
      </c>
      <c r="M168" s="154">
        <f t="shared" si="5"/>
        <v>-9.3170484313106225E-4</v>
      </c>
      <c r="N168" s="154">
        <f t="shared" si="6"/>
        <v>-8.6112063596716505E-4</v>
      </c>
    </row>
    <row r="169" spans="1:14" ht="14" customHeight="1" x14ac:dyDescent="0.35">
      <c r="A169" s="53" t="s">
        <v>287</v>
      </c>
      <c r="B169" s="154" cm="1">
        <f t="array" ref="B169">INDEX(LCI!P$2:P$137,MATCH('D- Benefits &amp; Burdens'!$E$30&amp;'D- Benefits &amp; Burdens'!$F$30,LCI!$B$2:$B$137&amp;LCI!$D$2:$D$137,0))*IF(AND($E30="Truck",$F30="Electric"),$B$26,1)*$D$30*$C$30</f>
        <v>2.6687471999999996E-3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2.8885668883662828E-3</v>
      </c>
      <c r="M169" s="154">
        <f t="shared" si="5"/>
        <v>-3.2047154157211488E-2</v>
      </c>
      <c r="N169" s="154">
        <f t="shared" si="6"/>
        <v>-2.9158587268845206E-2</v>
      </c>
    </row>
    <row r="170" spans="1:14" ht="14" customHeight="1" x14ac:dyDescent="0.35">
      <c r="A170" s="53" t="s">
        <v>288</v>
      </c>
      <c r="B170" s="154" cm="1">
        <f t="array" ref="B170">INDEX(LCI!Q$2:Q$137,MATCH('D- Benefits &amp; Burdens'!$E$30&amp;'D- Benefits &amp; Burdens'!$F$30,LCI!$B$2:$B$137&amp;LCI!$D$2:$D$137,0))*IF(AND($E30="Truck",$F30="Electric"),$B$26,1)*$D$30*$C$30</f>
        <v>2.9111963999999997E-2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3.1501674883820087E-2</v>
      </c>
      <c r="M170" s="154">
        <f t="shared" si="5"/>
        <v>-0.36782994558818916</v>
      </c>
      <c r="N170" s="154">
        <f t="shared" si="6"/>
        <v>-0.33632827070436905</v>
      </c>
    </row>
    <row r="171" spans="1:14" ht="14" customHeight="1" x14ac:dyDescent="0.35">
      <c r="A171" s="53" t="s">
        <v>289</v>
      </c>
      <c r="B171" s="154" cm="1">
        <f t="array" ref="B171">INDEX(LCI!R$2:R$137,MATCH('D- Benefits &amp; Burdens'!$E$30&amp;'D- Benefits &amp; Burdens'!$F$30,LCI!$B$2:$B$137&amp;LCI!$D$2:$D$137,0))*IF(AND($E30="Truck",$F30="Electric"),$B$26,1)*$D$30*$C$30</f>
        <v>2.5413527999999998E-10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3.005999820382759E-10</v>
      </c>
      <c r="M171" s="154">
        <f t="shared" si="5"/>
        <v>-1.3054529203067979E-8</v>
      </c>
      <c r="N171" s="154">
        <f t="shared" si="6"/>
        <v>-1.2753929221029702E-8</v>
      </c>
    </row>
    <row r="172" spans="1:14" ht="14" customHeight="1" x14ac:dyDescent="0.35">
      <c r="A172" s="53" t="s">
        <v>290</v>
      </c>
      <c r="B172" s="154" cm="1">
        <f t="array" ref="B172">INDEX(LCI!S$2:S$137,MATCH('D- Benefits &amp; Burdens'!$E$30&amp;'D- Benefits &amp; Burdens'!$F$30,LCI!$B$2:$B$137&amp;LCI!$D$2:$D$137,0))*IF(AND($E30="Truck",$F30="Electric"),$B$26,1)*$D$30*$C$30</f>
        <v>1.948548E-8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2.0723953937791938E-8</v>
      </c>
      <c r="M172" s="154">
        <f t="shared" si="5"/>
        <v>-4.2494577500148811E-7</v>
      </c>
      <c r="N172" s="154">
        <f t="shared" si="6"/>
        <v>-4.0422182106369618E-7</v>
      </c>
    </row>
    <row r="173" spans="1:14" ht="14" customHeight="1" x14ac:dyDescent="0.35">
      <c r="A173" s="53" t="s">
        <v>291</v>
      </c>
      <c r="B173" s="154" cm="1">
        <f t="array" ref="B173">INDEX(LCI!T$2:T$137,MATCH('D- Benefits &amp; Burdens'!$E$30&amp;'D- Benefits &amp; Burdens'!$F$30,LCI!$B$2:$B$137&amp;LCI!$D$2:$D$137,0))*IF(AND($E30="Truck",$F30="Electric"),$B$26,1)*$D$30*$C$30</f>
        <v>1.6457750399999999E-2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1.9490157870854445E-2</v>
      </c>
      <c r="M173" s="154">
        <f t="shared" si="5"/>
        <v>-0.58416374840943142</v>
      </c>
      <c r="N173" s="154">
        <f t="shared" si="6"/>
        <v>-0.56467359053857702</v>
      </c>
    </row>
    <row r="174" spans="1:14" ht="14" customHeight="1" x14ac:dyDescent="0.35">
      <c r="A174" s="53" t="s">
        <v>292</v>
      </c>
      <c r="B174" s="154" cm="1">
        <f t="array" ref="B174">INDEX(LCI!U$2:U$137,MATCH('D- Benefits &amp; Burdens'!$E$30&amp;'D- Benefits &amp; Burdens'!$F$30,LCI!$B$2:$B$137&amp;LCI!$D$2:$D$137,0))*IF(AND($E30="Truck",$F30="Electric"),$B$26,1)*$D$30*$C$30</f>
        <v>2.2939029119999996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2.8131541789105623</v>
      </c>
      <c r="M174" s="154">
        <f t="shared" si="5"/>
        <v>-504.17277182523731</v>
      </c>
      <c r="N174" s="154">
        <f t="shared" si="6"/>
        <v>-501.35961764632674</v>
      </c>
    </row>
    <row r="175" spans="1:14" ht="14" customHeight="1" x14ac:dyDescent="0.35">
      <c r="A175" s="53" t="s">
        <v>293</v>
      </c>
      <c r="B175" s="154" cm="1">
        <f t="array" ref="B175">INDEX(LCI!V$2:V$137,MATCH('D- Benefits &amp; Burdens'!$E$30&amp;'D- Benefits &amp; Burdens'!$F$30,LCI!$B$2:$B$137&amp;LCI!$D$2:$D$137,0))*IF(AND($E30="Truck",$F30="Electric"),$B$26,1)*$D$30*$C$30</f>
        <v>2.9470727999999997E-6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3.0656338516689942E-6</v>
      </c>
      <c r="M175" s="154">
        <f t="shared" si="5"/>
        <v>-1.9810329642407397E-5</v>
      </c>
      <c r="N175" s="154">
        <f t="shared" si="6"/>
        <v>-1.6744695790738401E-5</v>
      </c>
    </row>
    <row r="176" spans="1:14" ht="14" customHeight="1" x14ac:dyDescent="0.35">
      <c r="A176" s="53" t="s">
        <v>294</v>
      </c>
      <c r="B176" s="154" cm="1">
        <f t="array" ref="B176">INDEX(LCI!W$2:W$137,MATCH('D- Benefits &amp; Burdens'!$E$30&amp;'D- Benefits &amp; Burdens'!$F$30,LCI!$B$2:$B$137&amp;LCI!$D$2:$D$137,0))*IF(AND($E30="Truck",$F30="Electric"),$B$26,1)*$D$30*$C$30</f>
        <v>6.0477647999999988E-8</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7.7611588654170277E-8</v>
      </c>
      <c r="M176" s="154">
        <f t="shared" si="5"/>
        <v>-2.8128022975607842E-7</v>
      </c>
      <c r="N176" s="154">
        <f t="shared" si="6"/>
        <v>-2.0366864110190814E-7</v>
      </c>
    </row>
    <row r="177" spans="1:14" ht="14" customHeight="1" x14ac:dyDescent="0.35">
      <c r="A177" s="53" t="s">
        <v>295</v>
      </c>
      <c r="B177" s="154" cm="1">
        <f t="array" ref="B177">INDEX(LCI!X$2:X$137,MATCH('D- Benefits &amp; Burdens'!$E$30&amp;'D- Benefits &amp; Burdens'!$F$30,LCI!$B$2:$B$137&amp;LCI!$D$2:$D$137,0))*IF(AND($E30="Truck",$F30="Electric"),$B$26,1)*$D$30*$C$30</f>
        <v>1.8384240000000001E-7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1.9133117300723205E-7</v>
      </c>
      <c r="M177" s="154">
        <f t="shared" si="5"/>
        <v>-1.9274125874730844E-6</v>
      </c>
      <c r="N177" s="154">
        <f t="shared" si="6"/>
        <v>-1.7360814144658524E-6</v>
      </c>
    </row>
    <row r="178" spans="1:14" ht="14" customHeight="1" x14ac:dyDescent="0.35">
      <c r="A178" s="53" t="s">
        <v>296</v>
      </c>
      <c r="B178" s="154" cm="1">
        <f t="array" ref="B178">INDEX(LCI!Y$2:Y$137,MATCH('D- Benefits &amp; Burdens'!$E$30&amp;'D- Benefits &amp; Burdens'!$F$30,LCI!$B$2:$B$137&amp;LCI!$D$2:$D$137,0))*IF(AND($E30="Truck",$F30="Electric"),$B$26,1)*$D$30*$C$30</f>
        <v>1.1710523999999998E-2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1.3583341953219969E-2</v>
      </c>
      <c r="M178" s="154">
        <f t="shared" si="5"/>
        <v>-0.12939650212393664</v>
      </c>
      <c r="N178" s="154">
        <f t="shared" si="6"/>
        <v>-0.11581316017071666</v>
      </c>
    </row>
    <row r="179" spans="1:14" ht="14" customHeight="1" x14ac:dyDescent="0.35">
      <c r="A179" s="53" t="s">
        <v>297</v>
      </c>
      <c r="B179" s="154" cm="1">
        <f t="array" ref="B179">INDEX(LCI!Z$2:Z$137,MATCH('D- Benefits &amp; Burdens'!$E$30&amp;'D- Benefits &amp; Burdens'!$F$30,LCI!$B$2:$B$137&amp;LCI!$D$2:$D$137,0))*IF(AND($E30="Truck",$F30="Electric"),$B$26,1)*$D$30*$C$30</f>
        <v>8.2508865599999995E-2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9.6177543815181371E-2</v>
      </c>
      <c r="M179" s="154">
        <f t="shared" si="5"/>
        <v>-4.8553875481664157</v>
      </c>
      <c r="N179" s="154">
        <f t="shared" si="6"/>
        <v>-4.7592100043512344</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1.4280924672E-3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1.6147324467670849E-3</v>
      </c>
      <c r="M187" s="154">
        <f>SUM(D187:K187)</f>
        <v>-1.9344853277425494E-2</v>
      </c>
      <c r="N187" s="154">
        <f>SUM(L187:M187)</f>
        <v>-1.7730120830658409E-2</v>
      </c>
    </row>
    <row r="188" spans="1:14" ht="14" customHeight="1" x14ac:dyDescent="0.35">
      <c r="A188" s="53" t="s">
        <v>280</v>
      </c>
      <c r="B188" s="154">
        <f>B162*Input!$C$31</f>
        <v>0.52201803709439998</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0.66800305743916499</v>
      </c>
      <c r="M188" s="154">
        <f t="shared" ref="M188:M205" si="8">SUM(D188:K188)</f>
        <v>-4.9869931210953569</v>
      </c>
      <c r="N188" s="154">
        <f t="shared" ref="N188:N205" si="9">SUM(L188:M188)</f>
        <v>-4.3189900636561918</v>
      </c>
    </row>
    <row r="189" spans="1:14" ht="14" customHeight="1" x14ac:dyDescent="0.35">
      <c r="A189" s="53" t="s">
        <v>281</v>
      </c>
      <c r="B189" s="154">
        <f>B163*Input!$C$31</f>
        <v>2.4127100927999999E-4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2.7144241009969855E-4</v>
      </c>
      <c r="M189" s="154">
        <f t="shared" si="8"/>
        <v>-1.3624269971171452E-2</v>
      </c>
      <c r="N189" s="154">
        <f t="shared" si="9"/>
        <v>-1.3352827561071753E-2</v>
      </c>
    </row>
    <row r="190" spans="1:14" ht="14" customHeight="1" x14ac:dyDescent="0.35">
      <c r="A190" s="53" t="s">
        <v>282</v>
      </c>
      <c r="B190" s="154">
        <f>B164*Input!$C$31</f>
        <v>0.52173571967999999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0.66768411278495787</v>
      </c>
      <c r="M190" s="154">
        <f t="shared" si="8"/>
        <v>-4.9732710019382882</v>
      </c>
      <c r="N190" s="154">
        <f t="shared" si="9"/>
        <v>-4.3055868891533304</v>
      </c>
    </row>
    <row r="191" spans="1:14" ht="14" customHeight="1" x14ac:dyDescent="0.35">
      <c r="A191" s="53" t="s">
        <v>283</v>
      </c>
      <c r="B191" s="154">
        <f>B165*Input!$C$31</f>
        <v>4.1045437439999992E-5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4.7501276427421478E-5</v>
      </c>
      <c r="M191" s="154">
        <f t="shared" si="8"/>
        <v>-1.7349421487654567E-3</v>
      </c>
      <c r="N191" s="154">
        <f t="shared" si="9"/>
        <v>-1.6874408723380353E-3</v>
      </c>
    </row>
    <row r="192" spans="1:14" ht="14" customHeight="1" x14ac:dyDescent="0.35">
      <c r="A192" s="53" t="s">
        <v>284</v>
      </c>
      <c r="B192" s="154">
        <f>B166*Input!$C$31</f>
        <v>0.44363879239679999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0.50813944529875099</v>
      </c>
      <c r="M192" s="154">
        <f t="shared" si="8"/>
        <v>-131.78074124226706</v>
      </c>
      <c r="N192" s="154">
        <f t="shared" si="9"/>
        <v>-131.2726017969683</v>
      </c>
    </row>
    <row r="193" spans="1:14" ht="14" customHeight="1" x14ac:dyDescent="0.35">
      <c r="A193" s="53" t="s">
        <v>285</v>
      </c>
      <c r="B193" s="154">
        <f>B167*Input!$C$31</f>
        <v>7.0187108060159993</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8.9577821131915911</v>
      </c>
      <c r="M193" s="154">
        <f t="shared" si="8"/>
        <v>-241.13144762687071</v>
      </c>
      <c r="N193" s="154">
        <f t="shared" si="9"/>
        <v>-232.17366551367911</v>
      </c>
    </row>
    <row r="194" spans="1:14" ht="14" customHeight="1" x14ac:dyDescent="0.35">
      <c r="A194" s="53" t="s">
        <v>286</v>
      </c>
      <c r="B194" s="154">
        <f>B168*Input!$C$31</f>
        <v>1.2008908800000003E-5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1.3552167775468265E-5</v>
      </c>
      <c r="M194" s="154">
        <f t="shared" si="8"/>
        <v>-1.7888732988116397E-4</v>
      </c>
      <c r="N194" s="154">
        <f t="shared" si="9"/>
        <v>-1.6533516210569569E-4</v>
      </c>
    </row>
    <row r="195" spans="1:14" ht="14" customHeight="1" x14ac:dyDescent="0.35">
      <c r="A195" s="53" t="s">
        <v>287</v>
      </c>
      <c r="B195" s="154">
        <f>B169*Input!$C$31</f>
        <v>5.1239946239999988E-4</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5.5460484256632627E-4</v>
      </c>
      <c r="M195" s="154">
        <f t="shared" si="8"/>
        <v>-6.1530535981846064E-3</v>
      </c>
      <c r="N195" s="154">
        <f t="shared" si="9"/>
        <v>-5.5984487556182804E-3</v>
      </c>
    </row>
    <row r="196" spans="1:14" ht="14" customHeight="1" x14ac:dyDescent="0.35">
      <c r="A196" s="53" t="s">
        <v>288</v>
      </c>
      <c r="B196" s="154">
        <f>B170*Input!$C$31</f>
        <v>5.5894970879999993E-3</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6.0483215776934562E-3</v>
      </c>
      <c r="M196" s="154">
        <f t="shared" si="8"/>
        <v>-7.0623349552932299E-2</v>
      </c>
      <c r="N196" s="154">
        <f t="shared" si="9"/>
        <v>-6.4575027975238841E-2</v>
      </c>
    </row>
    <row r="197" spans="1:14" ht="14" customHeight="1" x14ac:dyDescent="0.35">
      <c r="A197" s="53" t="s">
        <v>289</v>
      </c>
      <c r="B197" s="154">
        <f>B171*Input!$C$31</f>
        <v>4.8793973759999995E-11</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5.7715196551348967E-11</v>
      </c>
      <c r="M197" s="154">
        <f t="shared" si="8"/>
        <v>-2.5064696069890519E-9</v>
      </c>
      <c r="N197" s="154">
        <f t="shared" si="9"/>
        <v>-2.4487544104377029E-9</v>
      </c>
    </row>
    <row r="198" spans="1:14" ht="14" customHeight="1" x14ac:dyDescent="0.35">
      <c r="A198" s="53" t="s">
        <v>290</v>
      </c>
      <c r="B198" s="154">
        <f>B172*Input!$C$31</f>
        <v>3.7412121599999998E-9</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3.9789991560560525E-9</v>
      </c>
      <c r="M198" s="154">
        <f t="shared" si="8"/>
        <v>-8.1589588800285707E-8</v>
      </c>
      <c r="N198" s="154">
        <f t="shared" si="9"/>
        <v>-7.7610589644229659E-8</v>
      </c>
    </row>
    <row r="199" spans="1:14" ht="14" customHeight="1" x14ac:dyDescent="0.35">
      <c r="A199" s="53" t="s">
        <v>291</v>
      </c>
      <c r="B199" s="154">
        <f>B173*Input!$C$31</f>
        <v>3.1598880768E-3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3.7421103112040537E-3</v>
      </c>
      <c r="M199" s="154">
        <f t="shared" si="8"/>
        <v>-0.11215943969461083</v>
      </c>
      <c r="N199" s="154">
        <f t="shared" si="9"/>
        <v>-0.10841732938340677</v>
      </c>
    </row>
    <row r="200" spans="1:14" ht="14" customHeight="1" x14ac:dyDescent="0.35">
      <c r="A200" s="53" t="s">
        <v>292</v>
      </c>
      <c r="B200" s="154">
        <f>B174*Input!$C$31</f>
        <v>0.44042935910399994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0.54012560235082796</v>
      </c>
      <c r="M200" s="154">
        <f t="shared" si="8"/>
        <v>-96.80117219044557</v>
      </c>
      <c r="N200" s="154">
        <f t="shared" si="9"/>
        <v>-96.261046588094743</v>
      </c>
    </row>
    <row r="201" spans="1:14" ht="14" customHeight="1" x14ac:dyDescent="0.35">
      <c r="A201" s="53" t="s">
        <v>293</v>
      </c>
      <c r="B201" s="154">
        <f>B175*Input!$C$31</f>
        <v>5.6583797759999998E-7</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5.8860169952044699E-7</v>
      </c>
      <c r="M201" s="154">
        <f t="shared" si="8"/>
        <v>-3.8035832913422207E-6</v>
      </c>
      <c r="N201" s="154">
        <f t="shared" si="9"/>
        <v>-3.214981591821774E-6</v>
      </c>
    </row>
    <row r="202" spans="1:14" ht="14" customHeight="1" x14ac:dyDescent="0.35">
      <c r="A202" s="53" t="s">
        <v>294</v>
      </c>
      <c r="B202" s="154">
        <f>B176*Input!$C$31</f>
        <v>1.1611708415999997E-8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1.4901425021600692E-8</v>
      </c>
      <c r="M202" s="154">
        <f t="shared" si="8"/>
        <v>-5.400580411316706E-8</v>
      </c>
      <c r="N202" s="154">
        <f t="shared" si="9"/>
        <v>-3.9104379091566368E-8</v>
      </c>
    </row>
    <row r="203" spans="1:14" ht="14" customHeight="1" x14ac:dyDescent="0.35">
      <c r="A203" s="53" t="s">
        <v>295</v>
      </c>
      <c r="B203" s="154">
        <f>B177*Input!$C$31</f>
        <v>3.52977408E-8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3.6735585217388553E-8</v>
      </c>
      <c r="M203" s="154">
        <f t="shared" si="8"/>
        <v>-3.7006321679483225E-7</v>
      </c>
      <c r="N203" s="154">
        <f t="shared" si="9"/>
        <v>-3.3332763157744371E-7</v>
      </c>
    </row>
    <row r="204" spans="1:14" ht="14" customHeight="1" x14ac:dyDescent="0.35">
      <c r="A204" s="53" t="s">
        <v>296</v>
      </c>
      <c r="B204" s="154">
        <f>B178*Input!$C$31</f>
        <v>2.2484206079999998E-3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2.6080016550182345E-3</v>
      </c>
      <c r="M204" s="154">
        <f t="shared" si="8"/>
        <v>-2.4844128407795832E-2</v>
      </c>
      <c r="N204" s="154">
        <f t="shared" si="9"/>
        <v>-2.2236126752777599E-2</v>
      </c>
    </row>
    <row r="205" spans="1:14" ht="14" customHeight="1" x14ac:dyDescent="0.35">
      <c r="A205" s="53" t="s">
        <v>297</v>
      </c>
      <c r="B205" s="154">
        <f>B179*Input!$C$31</f>
        <v>1.5841702195199998E-2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1.8466088412514823E-2</v>
      </c>
      <c r="M205" s="154">
        <f t="shared" si="8"/>
        <v>-0.93223440924795153</v>
      </c>
      <c r="N205" s="154">
        <f t="shared" si="9"/>
        <v>-0.91376832083543669</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-2445.2053411310067</v>
      </c>
      <c r="C211" s="1">
        <f>+SUM(B161:N179)*Input!C31</f>
        <v>-1408.4382764914606</v>
      </c>
    </row>
    <row r="212" spans="1:3" ht="14" customHeight="1" x14ac:dyDescent="0.35">
      <c r="A212" s="95" t="s">
        <v>531</v>
      </c>
      <c r="B212" s="1">
        <f>SUM($B$161:$K$179)</f>
        <v>-2445.2053411310076</v>
      </c>
      <c r="C212" s="1">
        <f>+SUM(B187:N205)</f>
        <v>-1408.438276491461</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2026-04-28T11:56:06Z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