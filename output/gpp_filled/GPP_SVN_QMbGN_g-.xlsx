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output\gpp_filled\"/>
    </mc:Choice>
  </mc:AlternateContent>
  <xr:revisionPtr revIDLastSave="0" documentId="8_{C5CF7E8E-3F5C-43D9-91A7-DE8D7242D974}" xr6:coauthVersionLast="47" xr6:coauthVersionMax="47" xr10:uidLastSave="{00000000-0000-0000-0000-000000000000}"/>
  <bookViews>
    <workbookView xWindow="-110" yWindow="-110" windowWidth="23260" windowHeight="14860" tabRatio="941" firstSheet="1" activeTab="1"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3" i="1" l="1"/>
  <c r="B2" i="43" s="1"/>
  <c r="C6" i="43" s="1"/>
  <c r="B3" i="43"/>
  <c r="B6" i="43" s="1"/>
  <c r="B54" i="18"/>
  <c r="D74" i="1"/>
  <c r="D75" i="1"/>
  <c r="D76" i="1"/>
  <c r="D73" i="1"/>
  <c r="D70" i="1"/>
  <c r="D68" i="1"/>
  <c r="D69" i="1"/>
  <c r="C29" i="43" l="1"/>
  <c r="B29" i="43"/>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AN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69" i="20" l="1"/>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W108" i="10" l="1"/>
  <c r="M84" i="10"/>
  <c r="N59" i="10"/>
  <c r="Q59" i="10"/>
  <c r="X126" i="5"/>
  <c r="Y77" i="5"/>
  <c r="Y126" i="5" s="1"/>
  <c r="R79" i="20" s="1"/>
  <c r="X115" i="5"/>
  <c r="Y66" i="5"/>
  <c r="Y115" i="5" s="1"/>
  <c r="R68" i="20" s="1"/>
  <c r="X128" i="5"/>
  <c r="Y79" i="5"/>
  <c r="Y128" i="5" s="1"/>
  <c r="R81" i="20" s="1"/>
  <c r="X116" i="5"/>
  <c r="Y67" i="5"/>
  <c r="Y116" i="5" s="1"/>
  <c r="R69" i="20" s="1"/>
  <c r="X123" i="5"/>
  <c r="Y74" i="5"/>
  <c r="Y123" i="5" s="1"/>
  <c r="R76" i="20" s="1"/>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Y133" i="10"/>
  <c r="S82" i="20" s="1"/>
  <c r="T82" i="20" s="1"/>
  <c r="O124" i="10"/>
  <c r="J73" i="20" s="1"/>
  <c r="K73" i="20" s="1"/>
  <c r="Y127" i="10"/>
  <c r="Y132" i="10"/>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S70" i="20"/>
  <c r="T70" i="20" s="1"/>
  <c r="R121" i="10"/>
  <c r="R119" i="10"/>
  <c r="R134" i="10"/>
  <c r="R133" i="10"/>
  <c r="Y118" i="10"/>
  <c r="S67" i="20" s="1"/>
  <c r="S133" i="20" s="1"/>
  <c r="V23" i="5"/>
  <c r="V54" i="5" s="1"/>
  <c r="T23" i="5"/>
  <c r="T54" i="5" s="1"/>
  <c r="Q23" i="5"/>
  <c r="Q54" i="5" s="1"/>
  <c r="L23" i="5"/>
  <c r="L54" i="5" s="1"/>
  <c r="R128" i="10"/>
  <c r="R129" i="10"/>
  <c r="S78" i="20"/>
  <c r="T78" i="20" s="1"/>
  <c r="S76" i="20"/>
  <c r="T76" i="20" s="1"/>
  <c r="S74" i="20"/>
  <c r="T74" i="20" s="1"/>
  <c r="S81" i="20"/>
  <c r="T81"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I92" i="20" l="1"/>
  <c r="C30" i="43"/>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<sst xmlns="http://schemas.openxmlformats.org/spreadsheetml/2006/main" count="4829" uniqueCount="1051">
  <si>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</si>
  <si>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</si>
  <si>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</si>
  <si>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</si>
  <si>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</si>
  <si>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</si>
  <si>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</si>
  <si>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</si>
  <si>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</si>
  <si>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</si>
  <si>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</si>
  <si>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</si>
  <si>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</si>
  <si>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</si>
  <si>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</si>
  <si>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</si>
  <si>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</si>
  <si>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</si>
  <si>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</si>
  <si>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</si>
  <si>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</si>
  <si>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</si>
  <si>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</si>
  <si>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</si>
  <si>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</si>
  <si>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</si>
  <si>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</si>
  <si>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</si>
  <si>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</si>
  <si>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t>155⁰C - 185⁰C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</si>
  <si>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</si>
  <si>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</si>
  <si>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</si>
  <si>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</si>
  <si>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</si>
  <si>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</si>
  <si>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</si>
  <si>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</si>
  <si>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</si>
  <si>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</si>
  <si>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</si>
  <si>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</si>
  <si>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</si>
  <si>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</si>
  <si>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</si>
  <si>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</si>
  <si>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</si>
  <si>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</si>
  <si>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</si>
  <si>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</si>
  <si>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</si>
  <si>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</si>
  <si>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</si>
  <si>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</si>
  <si>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</si>
  <si>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</si>
  <si>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</si>
  <si>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</si>
  <si>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</si>
  <si>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</si>
  <si>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</si>
  <si>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Barge_tanker</t>
  </si>
  <si>
    <t>Virgin crushed coarse aggregate 1 (&gt;2 mm)</t>
  </si>
  <si>
    <t>Ship</t>
  </si>
  <si>
    <t>heavy_fuel_oil</t>
  </si>
  <si>
    <t>Virgin crushed coarse aggregate 2 (&gt;2 mm)</t>
  </si>
  <si>
    <t>Virgin crushed coarse aggregate 3 (&gt;2 mm)</t>
  </si>
  <si>
    <t>Virgin crushed fine aggregate 1 (≤2 mm)</t>
  </si>
  <si>
    <t>Gaurain-Ramecroix</t>
  </si>
  <si>
    <t>Truck</t>
  </si>
  <si>
    <t>Diesel_Euro5</t>
  </si>
  <si>
    <t>Virgin crushed fine aggregate 2 (≤2 mm)</t>
  </si>
  <si>
    <t>Virgin crushed fine aggregate 3 (≤2 mm)</t>
  </si>
  <si>
    <t>Virgin natural fine aggregate 1 (≤2 mm)</t>
  </si>
  <si>
    <t>Train</t>
  </si>
  <si>
    <t>Virgin natural fine aggregate 2 (≤2 mm)</t>
  </si>
  <si>
    <t>Virgin natural fine aggregate 3 (≤2 mm)</t>
  </si>
  <si>
    <t>Filler 1</t>
  </si>
  <si>
    <t>Limestone_residue</t>
  </si>
  <si>
    <t>Biodiesel_20%</t>
  </si>
  <si>
    <t>Filler 2</t>
  </si>
  <si>
    <t>RAP 1</t>
  </si>
  <si>
    <t>Electric</t>
  </si>
  <si>
    <t>RAP 2</t>
  </si>
  <si>
    <t>Other_waste 1</t>
  </si>
  <si>
    <t>Steel_slag_aggregate</t>
  </si>
  <si>
    <t>Schoten</t>
  </si>
  <si>
    <t>Biodiesel_4.5%</t>
  </si>
  <si>
    <t>Other_waste 2</t>
  </si>
  <si>
    <t>Crumb_rubber</t>
  </si>
  <si>
    <t>Additive 1</t>
  </si>
  <si>
    <t>No_additives</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</si>
  <si>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</si>
  <si>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</si>
  <si>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</si>
  <si>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</si>
  <si>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</si>
  <si>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</si>
  <si>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</si>
  <si>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</si>
  <si>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</si>
  <si>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</si>
  <si>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</si>
  <si>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</si>
  <si>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</si>
  <si>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</si>
  <si>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</si>
  <si>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</si>
  <si>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</si>
  <si>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</si>
  <si>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</si>
  <si>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</si>
  <si>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</si>
  <si>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</si>
  <si>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</si>
  <si>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</si>
  <si>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</si>
  <si>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</si>
  <si>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</si>
  <si>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</si>
  <si>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</si>
  <si>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</si>
  <si>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</si>
  <si>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</si>
  <si>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</si>
  <si>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</si>
  <si>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</si>
  <si>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</si>
  <si>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</si>
  <si>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</si>
  <si>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</si>
  <si>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</si>
  <si>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</si>
  <si>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</si>
  <si>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</si>
  <si>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</si>
  <si>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</si>
  <si>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</si>
  <si>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</si>
  <si>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</si>
  <si>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</si>
  <si>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</si>
  <si>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</si>
  <si>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</si>
  <si>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</si>
  <si>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</si>
  <si>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</si>
  <si>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</si>
  <si>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</si>
  <si>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</si>
  <si>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</si>
  <si>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</si>
  <si>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</si>
  <si>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</si>
  <si>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</si>
  <si>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</si>
  <si>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</si>
  <si>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</si>
  <si>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</si>
  <si>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</si>
  <si>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</si>
  <si>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</si>
  <si>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</si>
  <si>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</si>
  <si>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</si>
  <si>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</si>
  <si>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</si>
  <si>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</si>
  <si>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</si>
  <si>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</si>
  <si>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</si>
  <si>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</si>
  <si>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</si>
  <si>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</si>
  <si>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</si>
  <si>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</si>
  <si>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</si>
  <si>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</si>
  <si>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</si>
  <si>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</si>
  <si>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</si>
  <si>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</si>
  <si>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</si>
  <si>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</si>
  <si>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</si>
  <si>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</si>
  <si>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</si>
  <si>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</si>
  <si>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</si>
  <si>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</si>
  <si>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</si>
  <si>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</si>
  <si>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</si>
  <si>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</si>
  <si>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</si>
  <si>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</si>
  <si>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</si>
  <si>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</si>
  <si>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</si>
  <si>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</si>
  <si>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</si>
  <si>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</si>
  <si>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</si>
  <si>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</si>
  <si>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</si>
  <si>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</si>
  <si>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</si>
  <si>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</si>
  <si>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</si>
  <si>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</si>
  <si>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</si>
  <si>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</si>
  <si>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</si>
  <si>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</si>
  <si>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</si>
  <si>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</si>
  <si>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</si>
  <si>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</si>
  <si>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</si>
  <si>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</si>
  <si>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</si>
  <si>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</si>
  <si>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</si>
  <si>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</si>
  <si>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</si>
  <si>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</si>
  <si>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</si>
  <si>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</si>
  <si>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</si>
  <si>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</si>
  <si>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</si>
  <si>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</si>
  <si>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</si>
  <si>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</si>
  <si>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</si>
  <si>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</si>
  <si>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</si>
  <si>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</si>
  <si>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</si>
  <si>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</si>
  <si>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</si>
  <si>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</si>
  <si>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</si>
  <si>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</si>
  <si>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</si>
  <si>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</si>
  <si>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</si>
  <si>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</si>
  <si>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</si>
  <si>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</si>
  <si>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</si>
  <si>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</si>
  <si>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</si>
  <si>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</si>
  <si>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</si>
  <si>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</si>
  <si>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</si>
  <si>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</si>
  <si>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</si>
  <si>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</si>
  <si>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</si>
  <si>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</si>
  <si>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</si>
  <si>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</si>
  <si>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</si>
  <si>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</si>
  <si>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</si>
  <si>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</si>
  <si>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</si>
  <si>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</si>
  <si>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</si>
  <si>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</si>
  <si>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</si>
  <si>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</si>
  <si>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</si>
  <si>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</si>
  <si>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</si>
  <si>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</si>
  <si>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</si>
  <si>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</si>
  <si>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</si>
  <si>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</si>
  <si>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</si>
  <si>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</si>
  <si>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</si>
  <si>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</si>
  <si>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</si>
  <si>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</si>
  <si>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</si>
  <si>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</si>
  <si>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</si>
  <si>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</si>
  <si>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</si>
  <si>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</si>
  <si>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</si>
  <si>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</si>
  <si>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</si>
  <si>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</si>
  <si>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</si>
  <si>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</si>
  <si>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</si>
  <si>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</si>
  <si>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</si>
  <si>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</si>
  <si>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</si>
  <si>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</si>
  <si>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</si>
  <si>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</si>
  <si>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</si>
  <si>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</si>
  <si>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</si>
  <si>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</si>
  <si>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</si>
  <si>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</si>
  <si>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</si>
  <si>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</si>
  <si>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</si>
  <si>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</si>
  <si>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</si>
  <si>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</si>
  <si>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</si>
  <si>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</si>
  <si>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</si>
  <si>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</si>
  <si>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</si>
  <si>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</si>
  <si>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</si>
  <si>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</si>
  <si>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</si>
  <si>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</si>
  <si>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</si>
  <si>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</si>
  <si>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</si>
  <si>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</si>
  <si>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</si>
  <si>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</si>
  <si>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</si>
  <si>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</si>
  <si>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</si>
  <si>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</si>
  <si>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</si>
  <si>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</si>
  <si>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</si>
  <si>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</si>
  <si>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</si>
  <si>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</si>
  <si>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</si>
  <si>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</si>
  <si>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</si>
  <si>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</si>
  <si>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</si>
  <si>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</si>
  <si>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</si>
  <si>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</si>
  <si>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</si>
  <si>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</si>
  <si>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</si>
  <si>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</si>
  <si>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</si>
  <si>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</si>
  <si>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</si>
  <si>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</si>
  <si>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</si>
  <si>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</si>
  <si>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</si>
  <si>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</si>
  <si>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</si>
  <si>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</si>
  <si>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</si>
  <si>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</si>
  <si>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</si>
  <si>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</si>
  <si>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</si>
  <si>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</si>
  <si>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</si>
  <si>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</si>
  <si>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</si>
  <si>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</si>
  <si>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</si>
  <si>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</si>
  <si>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</si>
  <si>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</si>
  <si>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</si>
  <si>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</si>
  <si>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</si>
  <si>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</si>
  <si>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</si>
  <si>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</si>
  <si>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</si>
  <si>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</si>
  <si>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</si>
  <si>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</si>
  <si>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</si>
  <si>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</si>
  <si>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</si>
  <si>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</si>
  <si>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</si>
  <si>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</si>
  <si>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</si>
  <si>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</si>
  <si>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</si>
  <si>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</si>
  <si>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</si>
  <si>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</si>
  <si>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</si>
  <si>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</si>
  <si>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</si>
  <si>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</si>
  <si>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</si>
  <si>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</si>
  <si>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</si>
  <si>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</si>
  <si>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</si>
  <si>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</si>
  <si>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</si>
  <si>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</si>
  <si>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</si>
  <si>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</si>
  <si>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</si>
  <si>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</si>
  <si>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</si>
  <si>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</si>
  <si>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</si>
  <si>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</si>
  <si>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</si>
  <si>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</si>
  <si>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</si>
  <si>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</si>
  <si>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</si>
  <si>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</si>
  <si>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</si>
  <si>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</si>
  <si>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</si>
  <si>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</si>
  <si>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</si>
  <si>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</si>
  <si>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</si>
  <si>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</si>
  <si>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</si>
  <si>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</si>
  <si>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</si>
  <si>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</si>
  <si>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</si>
  <si>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</si>
  <si>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</si>
  <si>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</si>
  <si>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</si>
  <si>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</si>
  <si>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</si>
  <si>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</si>
  <si>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</si>
  <si>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</si>
  <si>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</si>
  <si>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</si>
  <si>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</si>
  <si>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</si>
  <si>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</si>
  <si>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</si>
  <si>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</si>
  <si>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</si>
  <si>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</si>
  <si>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</si>
  <si>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</si>
  <si>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</si>
  <si>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</si>
  <si>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</si>
  <si>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</si>
  <si>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</si>
  <si>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</si>
  <si>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</si>
  <si>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</si>
  <si>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</si>
  <si>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</si>
  <si>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</si>
  <si>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</si>
  <si>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</si>
  <si>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</si>
  <si>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</si>
  <si>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</si>
  <si>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</si>
  <si>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</si>
  <si>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</si>
  <si>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</si>
  <si>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</si>
  <si>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</si>
  <si>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</si>
  <si>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</si>
  <si>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</si>
  <si>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</si>
  <si>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</si>
  <si>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</si>
  <si>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</si>
  <si>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</si>
  <si>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</si>
  <si>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</si>
  <si>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</si>
  <si>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</si>
  <si>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</si>
  <si>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</si>
  <si>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</si>
  <si>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</si>
  <si>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</si>
  <si>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</si>
  <si>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</si>
  <si>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</si>
  <si>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</si>
  <si>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</si>
  <si>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</si>
  <si>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</si>
  <si>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</si>
  <si>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</si>
  <si>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</si>
  <si>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</si>
  <si>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</si>
  <si>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</si>
  <si>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</si>
  <si>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</si>
  <si>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</si>
  <si>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</si>
  <si>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</si>
  <si>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</si>
  <si>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</si>
  <si>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</si>
  <si>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</si>
  <si>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</si>
  <si>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</si>
  <si>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</si>
  <si>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</si>
  <si>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</si>
  <si>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</si>
  <si>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</si>
  <si>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</si>
  <si>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</si>
  <si>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</si>
  <si>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</si>
  <si>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</si>
  <si>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</si>
  <si>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</si>
  <si>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</si>
  <si>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</si>
  <si>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</si>
  <si>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</si>
  <si>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</si>
  <si>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</si>
  <si>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</si>
  <si>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</si>
  <si>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</si>
  <si>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</si>
  <si>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</si>
  <si>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</si>
  <si>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</si>
  <si>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</si>
  <si>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</si>
  <si>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</si>
  <si>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</si>
  <si>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</si>
  <si>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</si>
  <si>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</si>
  <si>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</si>
  <si>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</si>
  <si>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</si>
  <si>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</si>
  <si>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</si>
  <si>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</si>
  <si>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</si>
  <si>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</si>
  <si>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</si>
  <si>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</si>
  <si>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</si>
  <si>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</si>
  <si>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</si>
  <si>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</si>
  <si>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</si>
  <si>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</si>
  <si>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</si>
  <si>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</si>
  <si>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</si>
  <si>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</si>
  <si>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</si>
  <si>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</si>
  <si>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</si>
  <si>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</si>
  <si>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</si>
  <si>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</si>
  <si>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</si>
  <si>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</si>
  <si>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</si>
  <si>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</si>
  <si>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</si>
  <si>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</si>
  <si>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</si>
  <si>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</si>
  <si>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</si>
  <si>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</si>
  <si>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</si>
  <si>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</si>
  <si>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</si>
  <si>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</si>
  <si>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</si>
  <si>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</si>
  <si>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</si>
  <si>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</si>
  <si>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</si>
  <si>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</si>
  <si>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</si>
  <si>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</si>
  <si>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</si>
  <si>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</si>
  <si>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</si>
  <si>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</si>
  <si>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</si>
  <si>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</si>
  <si>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</si>
  <si>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</si>
  <si>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</si>
  <si>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</si>
  <si>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</si>
  <si>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</si>
  <si>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</si>
  <si>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</si>
  <si>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</si>
  <si>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</si>
  <si>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</si>
  <si>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</si>
  <si>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</si>
  <si>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</si>
  <si>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</si>
  <si>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</si>
  <si>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</si>
  <si>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</si>
  <si>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</si>
  <si>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</si>
  <si>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</si>
  <si>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</si>
  <si>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</si>
  <si>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</si>
  <si>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</si>
  <si>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</si>
  <si>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</si>
  <si>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</si>
  <si>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</si>
  <si>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</si>
  <si>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</si>
  <si>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</si>
  <si>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</si>
  <si>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</si>
  <si>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</si>
  <si>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</si>
  <si>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</si>
  <si>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</si>
  <si>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</si>
  <si>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</si>
  <si>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</si>
  <si>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</si>
  <si>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</si>
  <si>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</si>
  <si>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</si>
  <si>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</si>
  <si>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</si>
  <si>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</si>
  <si>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</si>
  <si>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</si>
  <si>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</si>
  <si>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</si>
  <si>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</si>
  <si>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</si>
  <si>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</si>
  <si>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</si>
  <si>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</si>
  <si>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</si>
  <si>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</si>
  <si>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</si>
  <si>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</si>
  <si>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</si>
  <si>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</si>
  <si>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</si>
  <si>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</si>
  <si>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</si>
  <si>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</si>
  <si>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</si>
  <si>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</si>
  <si>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</si>
  <si>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</si>
  <si>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</si>
  <si>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</si>
  <si>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</si>
  <si>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</si>
  <si>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</si>
  <si>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</si>
  <si>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</si>
  <si>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</si>
  <si>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</si>
  <si>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</si>
  <si>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</si>
  <si>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</si>
  <si>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</si>
  <si>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</si>
  <si>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</si>
  <si>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</si>
  <si>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</si>
  <si>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</si>
  <si>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</si>
  <si>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</si>
  <si>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</si>
  <si>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</si>
  <si>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</si>
  <si>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</si>
  <si>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</si>
  <si>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</si>
  <si>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</si>
  <si>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</si>
  <si>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</si>
  <si>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</si>
  <si>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</si>
  <si>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</si>
  <si>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</si>
  <si>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</si>
  <si>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</si>
  <si>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</si>
  <si>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</si>
  <si>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</si>
  <si>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</si>
  <si>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</si>
  <si>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</si>
  <si>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</si>
  <si>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</si>
  <si>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</si>
  <si>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</si>
  <si>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</si>
  <si>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</si>
  <si>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</si>
  <si>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</si>
  <si>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</si>
  <si>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</si>
  <si>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</si>
  <si>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</si>
  <si>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</si>
  <si>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</si>
  <si>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</si>
  <si>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</si>
  <si>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</si>
  <si>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</si>
  <si>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</si>
  <si>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</si>
  <si>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</si>
  <si>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</si>
  <si>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</si>
  <si>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</si>
  <si>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</si>
  <si>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</si>
  <si>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</si>
  <si>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</si>
  <si>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</si>
  <si>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</si>
  <si>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</si>
  <si>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</si>
  <si>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</si>
  <si>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</si>
  <si>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</si>
  <si>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</si>
  <si>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</si>
  <si>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</si>
  <si>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</si>
  <si>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</si>
  <si>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</si>
  <si>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</si>
  <si>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</si>
  <si>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</si>
  <si>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</si>
  <si>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</si>
  <si>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</si>
  <si>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</si>
  <si>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</si>
  <si>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</si>
  <si>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</si>
  <si>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</si>
  <si>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</si>
  <si>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</si>
  <si>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</si>
  <si>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</si>
  <si>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</si>
  <si>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</si>
  <si>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</si>
  <si>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</si>
  <si>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</si>
  <si>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</si>
  <si>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</si>
  <si>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</si>
  <si>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</si>
  <si>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</si>
  <si>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</si>
  <si>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</si>
  <si>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</si>
  <si>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</si>
  <si>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</si>
  <si>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</si>
  <si>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</si>
  <si>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</si>
  <si>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</si>
  <si>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</si>
  <si>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</si>
  <si>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</si>
  <si>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</si>
  <si>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</si>
  <si>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</si>
  <si>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</si>
  <si>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</si>
  <si>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</si>
  <si>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</si>
  <si>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</si>
  <si>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</si>
  <si>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</si>
  <si>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</si>
  <si>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</si>
  <si>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</si>
  <si>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</si>
  <si>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</si>
  <si>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</si>
  <si>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</si>
  <si>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</si>
  <si>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</si>
  <si>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</si>
  <si>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</si>
  <si>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</si>
  <si>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</si>
  <si>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</si>
  <si>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</si>
  <si>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</si>
  <si>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</si>
  <si>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</si>
  <si>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</si>
  <si>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</si>
  <si>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</si>
  <si>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</si>
  <si>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</si>
  <si>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</si>
  <si>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</si>
  <si>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</si>
  <si>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</si>
  <si>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</si>
  <si>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</si>
  <si>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</si>
  <si>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</si>
  <si>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</si>
  <si>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</si>
  <si>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</si>
  <si>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</si>
  <si>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</si>
  <si>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</si>
  <si>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</si>
  <si>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</si>
  <si>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</si>
  <si>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</si>
  <si>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</si>
  <si>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</si>
  <si>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</si>
  <si>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</si>
  <si>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</si>
  <si>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</si>
  <si>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</si>
  <si>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</si>
  <si>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</si>
  <si>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</si>
  <si>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</si>
  <si>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</si>
  <si>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</si>
  <si>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</si>
  <si>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</si>
  <si>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</si>
  <si>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</si>
  <si>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</si>
  <si>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</si>
  <si>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</si>
  <si>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</si>
  <si>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</si>
  <si>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</si>
  <si>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</si>
  <si>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</si>
  <si>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</si>
  <si>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</si>
  <si>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</si>
  <si>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</si>
  <si>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</si>
  <si>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</si>
  <si>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</si>
  <si>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</si>
  <si>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</si>
  <si>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</si>
  <si>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</si>
  <si>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</si>
  <si>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</si>
  <si>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</si>
  <si>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</si>
  <si>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</si>
  <si>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</si>
  <si>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</si>
  <si>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</si>
  <si>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</si>
  <si>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</si>
  <si>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</si>
  <si>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</si>
  <si>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</si>
  <si>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</si>
  <si>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</si>
  <si>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</si>
  <si>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</si>
  <si>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</si>
  <si>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</si>
  <si>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</si>
  <si>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</si>
  <si>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</si>
  <si>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</si>
  <si>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</si>
  <si>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</si>
  <si>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</si>
  <si>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</si>
  <si>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</si>
  <si>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</si>
  <si>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</si>
  <si>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</si>
  <si>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</si>
  <si>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</si>
  <si>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</si>
  <si>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</si>
  <si>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</si>
  <si>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</si>
  <si>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</si>
  <si>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</si>
  <si>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</si>
  <si>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</si>
  <si>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</si>
  <si>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</si>
  <si>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</si>
  <si>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</si>
  <si>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</si>
  <si>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</si>
  <si>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</si>
  <si>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</si>
  <si>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</si>
  <si>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</si>
  <si>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</si>
  <si>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</si>
  <si>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</si>
  <si>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</si>
  <si>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</si>
  <si>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</si>
  <si>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</si>
  <si>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</si>
  <si>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</si>
  <si>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</si>
  <si>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</si>
  <si>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</si>
  <si>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</si>
  <si>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</si>
  <si>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</si>
  <si>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</si>
  <si>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</si>
  <si>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</si>
  <si>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</si>
  <si>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</si>
  <si>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</si>
  <si>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</si>
  <si>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</si>
  <si>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</si>
  <si>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</si>
  <si>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</si>
  <si>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</si>
  <si>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</si>
  <si>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</si>
  <si>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</si>
  <si>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</si>
  <si>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</si>
  <si>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</si>
  <si>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</si>
  <si>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</si>
  <si>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</si>
  <si>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</si>
  <si>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</si>
  <si>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</si>
  <si>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</si>
  <si>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</si>
  <si>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</si>
  <si>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</si>
  <si>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</si>
  <si>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</si>
  <si>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</si>
  <si>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</si>
  <si>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</si>
  <si>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</si>
  <si>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</si>
  <si>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</si>
  <si>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</si>
  <si>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</si>
  <si>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</si>
  <si>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</si>
  <si>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</si>
  <si>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</si>
  <si>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</si>
  <si>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</si>
  <si>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</si>
  <si>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</si>
  <si>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</si>
  <si>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</si>
  <si>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</si>
  <si>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</si>
  <si>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</si>
  <si>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</si>
  <si>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</si>
  <si>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</si>
  <si>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</si>
  <si>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</si>
  <si>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</si>
  <si>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</si>
  <si>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</si>
  <si>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</si>
  <si>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</si>
  <si>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</si>
  <si>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</si>
  <si>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</si>
  <si>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</si>
  <si>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</si>
  <si>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</si>
  <si>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</si>
  <si>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</si>
  <si>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</si>
  <si>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</si>
  <si>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</si>
  <si>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</si>
  <si>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</si>
  <si>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</si>
  <si>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</si>
  <si>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</si>
  <si>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</si>
  <si>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</si>
  <si>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</si>
  <si>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</si>
  <si>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</si>
  <si>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</si>
  <si>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</si>
  <si>
    <t>801/64/2010/13RE-1234/0</t>
  </si>
  <si>
    <t>AB-3A1</t>
  </si>
  <si>
    <t>AC 20 onderlaag 50/70</t>
  </si>
  <si>
    <t>straat 1, 1000 Gaurain-Ramecroix</t>
  </si>
  <si>
    <t>Koudekerk-aan-de-Rijn</t>
  </si>
  <si>
    <t>Beez</t>
  </si>
  <si>
    <t>Soignies</t>
  </si>
  <si>
    <t>Neufvilles</t>
  </si>
  <si>
    <t>Genk</t>
  </si>
  <si>
    <t>Ankersmit Maastricht</t>
  </si>
  <si>
    <t>Iepermanlei 29, Antwerpen</t>
  </si>
  <si>
    <t>Rosenberg,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</si>
</sst>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2.5186986337852799</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0.84010095420454578</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7.5619780604227846E-2</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1.0969059883315928</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-3.0443339721978986</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0.14141961381350313</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1.3079799213028989</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0.30309485477016967</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1.9014625628604664</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2.5911905044009514E-2</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5.5937973593914711E-2</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9.051093623912472E-2</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1.9025727170537347E-2</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3.9020785166129911E-2</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3.4806282378822058E-2</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4.1773419184578574E-2</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3.2565920621534685E-7</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3.6317778394368018E-3</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0.35237015106794878</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0.18422127650959044</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3.8363546816436445E-2</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14.778290576162606</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13.995167663623754</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1.2858333578999999</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20.080838114471401</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-22.15587366654762</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3.1747701841127993</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2.257590932111079</c:v>
                </c:pt>
                <c:pt idx="1">
                  <c:v>12.259422769494162</c:v>
                </c:pt>
                <c:pt idx="2">
                  <c:v>11.7448</c:v>
                </c:pt>
                <c:pt idx="3">
                  <c:v>0.9203231930566127</c:v>
                </c:pt>
                <c:pt idx="4">
                  <c:v>0.12166438176342087</c:v>
                </c:pt>
                <c:pt idx="5">
                  <c:v>0.16619396150857496</c:v>
                </c:pt>
                <c:pt idx="6">
                  <c:v>0.16679033795373477</c:v>
                </c:pt>
                <c:pt idx="7">
                  <c:v>1.2858333578999999</c:v>
                </c:pt>
                <c:pt idx="8">
                  <c:v>0</c:v>
                </c:pt>
                <c:pt idx="9">
                  <c:v>0</c:v>
                </c:pt>
                <c:pt idx="10">
                  <c:v>0.65423526228811013</c:v>
                </c:pt>
                <c:pt idx="11">
                  <c:v>0.64922773956440383</c:v>
                </c:pt>
                <c:pt idx="12">
                  <c:v>20.080838114471401</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2.5186986337852799</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0.84010095420454578</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7.5619780604227846E-2</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1.0969059883315928</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0.18670803904445349</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-3.0443339721978986</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0.14959798148801254</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1.4433968727106061</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0.30472495060791488</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1.9824687267931607</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2.7573617472381573E-2</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5.8396784068466295E-2</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9.4191769150782215E-2</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1.9536997179277236E-2</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4.1117350089227601E-2</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3.5132593790444151E-2</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4.2169352085916011E-2</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3.305484208947417E-7</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3.7688312640801456E-3</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0.38501959721722384</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0.19983628926941716</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3.9354241328798896E-2</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2.257590932111079</c:v>
                </c:pt>
                <c:pt idx="1">
                  <c:v>12.259422769494162</c:v>
                </c:pt>
                <c:pt idx="2">
                  <c:v>11.7448</c:v>
                </c:pt>
                <c:pt idx="3">
                  <c:v>0.9203231930566127</c:v>
                </c:pt>
                <c:pt idx="4">
                  <c:v>0.12166438176342087</c:v>
                </c:pt>
                <c:pt idx="5">
                  <c:v>0.16619396150857496</c:v>
                </c:pt>
                <c:pt idx="6">
                  <c:v>0.16679033795373477</c:v>
                </c:pt>
                <c:pt idx="7">
                  <c:v>1.2858333578999999</c:v>
                </c:pt>
                <c:pt idx="8">
                  <c:v>0</c:v>
                </c:pt>
                <c:pt idx="9">
                  <c:v>0</c:v>
                </c:pt>
                <c:pt idx="10">
                  <c:v>0.65423526228811013</c:v>
                </c:pt>
                <c:pt idx="11">
                  <c:v>0.64922773956440383</c:v>
                </c:pt>
                <c:pt idx="12">
                  <c:v>20.080838114471401</c:v>
                </c:pt>
                <c:pt idx="13">
                  <c:v>3.1747701841127993</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14.778290576162606</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13.995167663623754</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1.2858333578999999</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20.080838114471401</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3.1747701841127993</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-22.15587366654762</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0.48359013768677367</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1.575494878296462E-3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0.16129938320727275</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1.4518997876011748E-2</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0.21060594975966582</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3.5847943496535084E-2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-0.58451212266199659</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2.8374317906232212</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3.2023744887117074E-2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2.6870721914157607</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0.24688000471679997</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3.855520917978509</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0.60955587534965749</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-4.253927743977143</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2.8722812445698419E-2</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0.27713219956043628</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5.8507190516719661E-2</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0.3806339955442869</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5.2941345546972619E-3</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1.1212182541145529E-2</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1.8084819676950182E-2</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3.7511034584212294E-3</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7.8945312171316978E-3</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6.7454580077652756E-3</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8.0965156004958721E-3</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6.3465296811790402E-8</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7.2361560270338789E-4</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7.3923762665706966E-2</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3.8368567539728102E-2</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7.5560143351293893E-3</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0.43345745896532717</c:v>
                </c:pt>
                <c:pt idx="1">
                  <c:v>2.3538091717428791</c:v>
                </c:pt>
                <c:pt idx="2">
                  <c:v>2.2550015999999999</c:v>
                </c:pt>
                <c:pt idx="3">
                  <c:v>0.17670205306686965</c:v>
                </c:pt>
                <c:pt idx="4">
                  <c:v>2.3359561298576807E-2</c:v>
                </c:pt>
                <c:pt idx="5">
                  <c:v>3.1909240609646394E-2</c:v>
                </c:pt>
                <c:pt idx="6">
                  <c:v>3.2023744887117074E-2</c:v>
                </c:pt>
                <c:pt idx="7">
                  <c:v>0.24688000471679997</c:v>
                </c:pt>
                <c:pt idx="8">
                  <c:v>0</c:v>
                </c:pt>
                <c:pt idx="9">
                  <c:v>0</c:v>
                </c:pt>
                <c:pt idx="10">
                  <c:v>0.12561317035931716</c:v>
                </c:pt>
                <c:pt idx="11">
                  <c:v>0.12465172599636554</c:v>
                </c:pt>
                <c:pt idx="12">
                  <c:v>3.855520917978509</c:v>
                </c:pt>
                <c:pt idx="13">
                  <c:v>0.60955587534965749</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0.10558400668661869</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1.6508804957386556</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2.4521771509575341E-2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0.99263000016556768</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2.5756813164521726E-2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3.1327508285439995E-2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4.6823189822345762E-2</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7.0928431388307678E-3</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3.6631494681599999E-2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4.6004965983673929E-3</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5.2259014374366475E-3</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8.9666557194239993E-8</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1.6621099457785069E-3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0.59266568536545872</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0.19435503139909355</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1.4403343283222398E-2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63.460678271327993</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1009</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tabSelected="1" zoomScale="90" zoomScaleNormal="90" workbookViewId="0">
      <pane xSplit="1" ySplit="2" topLeftCell="B50" activePane="bottomRight" state="frozen"/>
      <selection pane="topRight" activeCell="B1" sqref="B1"/>
      <selection pane="bottomLeft" activeCell="A3" sqref="A3"/>
      <selection pane="bottomRight" activeCell="B65" sqref="B65"/>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1025</v>
      </c>
      <c r="F4" s="93"/>
      <c r="G4" s="93"/>
      <c r="H4" s="93"/>
    </row>
    <row r="5" spans="1:13" x14ac:dyDescent="0.35">
      <c r="A5" s="1" t="s">
        <v>7</v>
      </c>
      <c r="B5" s="229">
        <v>40409</v>
      </c>
      <c r="C5" s="345">
        <v>45747</v>
      </c>
      <c r="F5" s="93"/>
      <c r="G5" s="93"/>
      <c r="H5" s="93"/>
    </row>
    <row r="6" spans="1:13" x14ac:dyDescent="0.35">
      <c r="A6" s="1" t="s">
        <v>8</v>
      </c>
      <c r="B6" s="315" t="s">
        <v>1039</v>
      </c>
      <c r="C6" s="346">
        <v>2221</v>
      </c>
      <c r="F6" s="93"/>
      <c r="G6" s="93"/>
      <c r="H6" s="93"/>
    </row>
    <row r="7" spans="1:13" x14ac:dyDescent="0.35">
      <c r="A7" s="1" t="s">
        <v>9</v>
      </c>
      <c r="B7" s="230" t="s">
        <v>1040</v>
      </c>
      <c r="C7" s="346" t="s">
        <v>10</v>
      </c>
      <c r="F7" s="93"/>
      <c r="G7" s="93"/>
      <c r="H7" s="93"/>
    </row>
    <row r="8" spans="1:13" x14ac:dyDescent="0.35">
      <c r="A8" s="1" t="s">
        <v>11</v>
      </c>
      <c r="B8" s="230" t="s">
        <v>1041</v>
      </c>
      <c r="C8" s="347" t="s">
        <v>12</v>
      </c>
      <c r="F8" s="93"/>
      <c r="G8" s="93"/>
      <c r="H8" s="93"/>
    </row>
    <row r="9" spans="1:13" x14ac:dyDescent="0.35">
      <c r="A9" s="1" t="s">
        <v>13</v>
      </c>
      <c r="B9" s="231">
        <v>3.7159999999999999E-2</v>
      </c>
      <c r="C9" s="348">
        <v>4.2999999999999997E-2</v>
      </c>
      <c r="D9" s="11"/>
      <c r="F9" s="93"/>
      <c r="G9" s="93"/>
      <c r="H9" s="93"/>
    </row>
    <row r="10" spans="1:13" x14ac:dyDescent="0.35">
      <c r="A10" s="13" t="s">
        <v>14</v>
      </c>
      <c r="B10" s="151">
        <f>(B9-B39)/B9</f>
        <v>0.40365984930032295</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1042</v>
      </c>
      <c r="M14" s="11"/>
    </row>
    <row r="15" spans="1:13" x14ac:dyDescent="0.35">
      <c r="A15" s="1" t="s">
        <v>17</v>
      </c>
      <c r="B15" s="232" t="s">
        <v>18</v>
      </c>
      <c r="E15" s="11"/>
    </row>
    <row r="16" spans="1:13" x14ac:dyDescent="0.35">
      <c r="A16" s="1" t="s">
        <v>19</v>
      </c>
      <c r="B16" s="230">
        <v>350</v>
      </c>
      <c r="L16" s="11"/>
    </row>
    <row r="17" spans="1:21" x14ac:dyDescent="0.35">
      <c r="A17" s="1" t="s">
        <v>20</v>
      </c>
      <c r="B17" s="232" t="s">
        <v>21</v>
      </c>
      <c r="C17" s="235">
        <v>1</v>
      </c>
      <c r="D17" s="24" t="str">
        <f>IF(AND(C17 + C18 = 100%, OR(B18 &lt;&gt; "No", C18 = 0%)), "Correct", IF(B18 = "No", "Error", "Error: Check %"))</f>
        <v>Correct</v>
      </c>
    </row>
    <row r="18" spans="1:21" ht="14" customHeight="1" x14ac:dyDescent="0.35">
      <c r="A18" s="1" t="s">
        <v>22</v>
      </c>
      <c r="B18" s="232" t="s">
        <v>27</v>
      </c>
      <c r="C18" s="235">
        <v>0</v>
      </c>
      <c r="E18" s="11"/>
    </row>
    <row r="19" spans="1:21" x14ac:dyDescent="0.35">
      <c r="A19" s="1" t="s">
        <v>23</v>
      </c>
      <c r="B19" s="233" t="s">
        <v>24</v>
      </c>
      <c r="C19" s="236" t="s">
        <v>25</v>
      </c>
      <c r="D19" t="str">
        <f>IF(OR(AND(B19="Yes", C19&lt;&gt;"No"), AND(B19="No",C19="No")), "Correct", "Error")</f>
        <v>Correct</v>
      </c>
    </row>
    <row r="20" spans="1:21" ht="14.5" hidden="1" customHeight="1" x14ac:dyDescent="0.35">
      <c r="A20" s="8" t="s">
        <v>26</v>
      </c>
      <c r="B20" s="234" t="s">
        <v>27</v>
      </c>
      <c r="C20" s="131"/>
    </row>
    <row r="21" spans="1:21" x14ac:dyDescent="0.35">
      <c r="A21" s="1" t="s">
        <v>28</v>
      </c>
      <c r="B21" s="230" t="s">
        <v>29</v>
      </c>
      <c r="D21" s="11"/>
    </row>
    <row r="22" spans="1:21" ht="16.5" x14ac:dyDescent="0.35">
      <c r="A22" s="1" t="s">
        <v>30</v>
      </c>
      <c r="B22" s="230">
        <v>2400</v>
      </c>
      <c r="D22" s="11"/>
    </row>
    <row r="24" spans="1:21" x14ac:dyDescent="0.35">
      <c r="B24" s="29"/>
    </row>
    <row r="25" spans="1:21" x14ac:dyDescent="0.35">
      <c r="B25" s="4" t="s">
        <v>32</v>
      </c>
      <c r="C25" s="4" t="s">
        <v>33</v>
      </c>
      <c r="D25" s="3"/>
      <c r="E25" s="59"/>
      <c r="F25" s="59"/>
      <c r="H25" s="3"/>
      <c r="J25" s="3"/>
      <c r="K25" s="3"/>
      <c r="L25" s="3"/>
      <c r="M25" s="3"/>
    </row>
    <row r="26" spans="1:21" ht="14" customHeight="1" x14ac:dyDescent="0.35">
      <c r="A26" s="1" t="s">
        <v>34</v>
      </c>
      <c r="B26" s="232" t="s">
        <v>35</v>
      </c>
      <c r="C26" s="232" t="s">
        <v>36</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37</v>
      </c>
      <c r="B29" s="72"/>
      <c r="C29" s="72"/>
    </row>
    <row r="30" spans="1:21" ht="16.5" x14ac:dyDescent="0.35">
      <c r="A30" s="18" t="s">
        <v>38</v>
      </c>
      <c r="B30" s="18" t="s">
        <v>39</v>
      </c>
      <c r="C30" s="18" t="s">
        <v>1024</v>
      </c>
    </row>
    <row r="31" spans="1:21" x14ac:dyDescent="0.35">
      <c r="A31" s="1" t="s">
        <v>40</v>
      </c>
      <c r="B31" s="237">
        <v>80</v>
      </c>
      <c r="C31" s="152">
        <f>($B$22/1000)*($B$31/1000)</f>
        <v>0.192</v>
      </c>
      <c r="F31" s="67"/>
    </row>
    <row r="32" spans="1:21" x14ac:dyDescent="0.35">
      <c r="F32" s="71"/>
    </row>
    <row r="33" spans="1:24" ht="14" customHeight="1" x14ac:dyDescent="0.35">
      <c r="E33" s="11"/>
      <c r="J33" s="11"/>
      <c r="W33" s="17"/>
    </row>
    <row r="34" spans="1:24" ht="18.5" x14ac:dyDescent="0.45">
      <c r="A34" s="72" t="s">
        <v>41</v>
      </c>
    </row>
    <row r="35" spans="1:24" ht="116" x14ac:dyDescent="0.35">
      <c r="A35" s="28" t="s">
        <v>42</v>
      </c>
    </row>
    <row r="36" spans="1:24" ht="30.65" customHeight="1" x14ac:dyDescent="0.35">
      <c r="A36" s="371" t="s">
        <v>43</v>
      </c>
      <c r="B36" s="371" t="s">
        <v>44</v>
      </c>
      <c r="C36" s="371" t="s">
        <v>32</v>
      </c>
      <c r="D36" s="372" t="s">
        <v>45</v>
      </c>
      <c r="E36" s="372" t="s">
        <v>46</v>
      </c>
      <c r="F36" s="368" t="s">
        <v>47</v>
      </c>
      <c r="G36" s="365" t="s">
        <v>48</v>
      </c>
      <c r="H36" s="358" t="s">
        <v>49</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50</v>
      </c>
      <c r="I37" s="364" t="s">
        <v>51</v>
      </c>
      <c r="J37" s="361" t="s">
        <v>52</v>
      </c>
      <c r="K37" s="362"/>
      <c r="L37" s="363"/>
      <c r="M37" s="361" t="s">
        <v>53</v>
      </c>
      <c r="N37" s="362"/>
      <c r="O37" s="363"/>
      <c r="P37" s="361" t="s">
        <v>54</v>
      </c>
      <c r="Q37" s="362"/>
      <c r="R37" s="363"/>
    </row>
    <row r="38" spans="1:24" ht="29" customHeight="1" x14ac:dyDescent="0.35">
      <c r="A38" s="371"/>
      <c r="B38" s="371"/>
      <c r="C38" s="371"/>
      <c r="D38" s="372"/>
      <c r="E38" s="372"/>
      <c r="F38" s="370"/>
      <c r="G38" s="367"/>
      <c r="H38" s="364"/>
      <c r="I38" s="364"/>
      <c r="J38" s="19" t="s">
        <v>55</v>
      </c>
      <c r="K38" s="19" t="s">
        <v>33</v>
      </c>
      <c r="L38" s="19" t="s">
        <v>56</v>
      </c>
      <c r="M38" s="19" t="s">
        <v>55</v>
      </c>
      <c r="N38" s="19" t="s">
        <v>33</v>
      </c>
      <c r="O38" s="19" t="s">
        <v>56</v>
      </c>
      <c r="P38" s="19" t="s">
        <v>55</v>
      </c>
      <c r="Q38" s="19" t="s">
        <v>33</v>
      </c>
      <c r="R38" s="19" t="s">
        <v>56</v>
      </c>
      <c r="T38" s="341" t="s">
        <v>57</v>
      </c>
      <c r="U38" s="341" t="s">
        <v>58</v>
      </c>
    </row>
    <row r="39" spans="1:24" ht="15" customHeight="1" x14ac:dyDescent="0.4">
      <c r="A39" s="1" t="s">
        <v>59</v>
      </c>
      <c r="B39" s="238">
        <v>2.2159999999999999E-2</v>
      </c>
      <c r="C39" s="232" t="s">
        <v>60</v>
      </c>
      <c r="D39" s="232" t="s">
        <v>27</v>
      </c>
      <c r="E39" s="239">
        <v>0</v>
      </c>
      <c r="F39" s="134" t="str">
        <f>IF(AND(D39="No",E39&gt;0), "Check biogenic content","Correct")</f>
        <v>Correct</v>
      </c>
      <c r="G39" s="1"/>
      <c r="H39" s="1" t="s">
        <v>1043</v>
      </c>
      <c r="I39" s="154" t="str">
        <f>IF($B39=0%,"Do not fill Transport", "Fill Transport")</f>
        <v>Fill Transport</v>
      </c>
      <c r="J39" s="232" t="s">
        <v>69</v>
      </c>
      <c r="K39" s="232" t="s">
        <v>489</v>
      </c>
      <c r="L39" s="240">
        <v>261.62</v>
      </c>
      <c r="M39" s="232" t="s">
        <v>27</v>
      </c>
      <c r="N39" s="232" t="s">
        <v>27</v>
      </c>
      <c r="O39" s="232">
        <v>0</v>
      </c>
      <c r="P39" s="232" t="s">
        <v>27</v>
      </c>
      <c r="Q39" s="232" t="s">
        <v>27</v>
      </c>
      <c r="R39" s="232">
        <v>0</v>
      </c>
      <c r="U39" s="339">
        <f>+IF(B39&gt;0,IF(K39="No",1,IF(SUM(L39,O39,R39)&gt;0,0,2)),0)</f>
        <v>0</v>
      </c>
    </row>
    <row r="40" spans="1:24" x14ac:dyDescent="0.35">
      <c r="A40" s="1" t="s">
        <v>62</v>
      </c>
      <c r="B40" s="238">
        <v>6.0999999999999999E-2</v>
      </c>
      <c r="C40" s="1"/>
      <c r="D40" s="9"/>
      <c r="E40" s="9"/>
      <c r="F40" s="9"/>
      <c r="G40" s="232" t="s">
        <v>27</v>
      </c>
      <c r="H40" s="1" t="s">
        <v>1044</v>
      </c>
      <c r="I40" s="154" t="str">
        <f t="shared" ref="I40:I57" si="0">IF($B40=0%,"Do not fill Transport", "Fill Transport")</f>
        <v>Fill Transport</v>
      </c>
      <c r="J40" s="232" t="s">
        <v>69</v>
      </c>
      <c r="K40" s="232" t="s">
        <v>489</v>
      </c>
      <c r="L40" s="240">
        <v>114.54</v>
      </c>
      <c r="M40" s="232" t="s">
        <v>27</v>
      </c>
      <c r="N40" s="232" t="s">
        <v>27</v>
      </c>
      <c r="O40" s="240">
        <v>0</v>
      </c>
      <c r="P40" s="232" t="s">
        <v>27</v>
      </c>
      <c r="Q40" s="232" t="s">
        <v>27</v>
      </c>
      <c r="R40" s="240">
        <v>0</v>
      </c>
      <c r="U40" s="339">
        <f t="shared" ref="U40:U57" si="1">+IF(B40&gt;0,IF(K40="No",1,IF(SUM(L40,O40,R40)&gt;0,0,2)),0)</f>
        <v>0</v>
      </c>
    </row>
    <row r="41" spans="1:24" x14ac:dyDescent="0.35">
      <c r="A41" s="1" t="s">
        <v>65</v>
      </c>
      <c r="B41" s="238">
        <v>0.10199999999999999</v>
      </c>
      <c r="C41" s="1"/>
      <c r="D41" s="45"/>
      <c r="E41" s="45"/>
      <c r="F41" s="45"/>
      <c r="G41" s="232" t="s">
        <v>27</v>
      </c>
      <c r="H41" s="1" t="s">
        <v>1045</v>
      </c>
      <c r="I41" s="154" t="str">
        <f t="shared" si="0"/>
        <v>Fill Transport</v>
      </c>
      <c r="J41" s="232" t="s">
        <v>925</v>
      </c>
      <c r="K41" s="232" t="s">
        <v>36</v>
      </c>
      <c r="L41" s="240">
        <v>50.91</v>
      </c>
      <c r="M41" s="232" t="s">
        <v>27</v>
      </c>
      <c r="N41" s="232" t="s">
        <v>27</v>
      </c>
      <c r="O41" s="240">
        <v>0</v>
      </c>
      <c r="P41" s="232" t="s">
        <v>27</v>
      </c>
      <c r="Q41" s="232" t="s">
        <v>27</v>
      </c>
      <c r="R41" s="240">
        <v>0</v>
      </c>
      <c r="U41" s="339">
        <f t="shared" si="1"/>
        <v>0</v>
      </c>
    </row>
    <row r="42" spans="1:24" x14ac:dyDescent="0.35">
      <c r="A42" s="1" t="s">
        <v>66</v>
      </c>
      <c r="B42" s="238">
        <v>0.35299999999999998</v>
      </c>
      <c r="C42" s="1"/>
      <c r="D42" s="45"/>
      <c r="E42" s="45"/>
      <c r="F42" s="45"/>
      <c r="G42" s="232" t="s">
        <v>24</v>
      </c>
      <c r="H42" s="1" t="s">
        <v>1047</v>
      </c>
      <c r="I42" s="154" t="str">
        <f t="shared" si="0"/>
        <v>Fill Transport</v>
      </c>
      <c r="J42" s="232" t="s">
        <v>69</v>
      </c>
      <c r="K42" s="232" t="s">
        <v>489</v>
      </c>
      <c r="L42" s="240">
        <v>188.2</v>
      </c>
      <c r="M42" s="232" t="s">
        <v>27</v>
      </c>
      <c r="N42" s="232" t="s">
        <v>27</v>
      </c>
      <c r="O42" s="240">
        <v>0</v>
      </c>
      <c r="P42" s="232" t="s">
        <v>27</v>
      </c>
      <c r="Q42" s="232" t="s">
        <v>27</v>
      </c>
      <c r="R42" s="240">
        <v>0</v>
      </c>
      <c r="U42" s="339">
        <f t="shared" si="1"/>
        <v>0</v>
      </c>
    </row>
    <row r="43" spans="1:24" x14ac:dyDescent="0.35">
      <c r="A43" s="1" t="s">
        <v>67</v>
      </c>
      <c r="B43" s="238">
        <v>0</v>
      </c>
      <c r="C43" s="1"/>
      <c r="D43" s="45"/>
      <c r="E43" s="45"/>
      <c r="F43" s="45"/>
      <c r="G43" s="232" t="s">
        <v>27</v>
      </c>
      <c r="H43" s="1" t="s">
        <v>68</v>
      </c>
      <c r="I43" s="154" t="str">
        <f t="shared" si="0"/>
        <v>Do not fill Transport</v>
      </c>
      <c r="J43" s="232" t="s">
        <v>27</v>
      </c>
      <c r="K43" s="232" t="s">
        <v>27</v>
      </c>
      <c r="L43" s="240">
        <v>0</v>
      </c>
      <c r="M43" s="232" t="s">
        <v>27</v>
      </c>
      <c r="N43" s="232" t="s">
        <v>27</v>
      </c>
      <c r="O43" s="240">
        <v>0</v>
      </c>
      <c r="P43" s="232" t="s">
        <v>27</v>
      </c>
      <c r="Q43" s="232" t="s">
        <v>27</v>
      </c>
      <c r="R43" s="240">
        <v>0</v>
      </c>
      <c r="U43" s="339">
        <f t="shared" si="1"/>
        <v>0</v>
      </c>
    </row>
    <row r="44" spans="1:24" x14ac:dyDescent="0.35">
      <c r="A44" s="1" t="s">
        <v>71</v>
      </c>
      <c r="B44" s="238">
        <v>0</v>
      </c>
      <c r="C44" s="1"/>
      <c r="D44" s="45"/>
      <c r="E44" s="45"/>
      <c r="F44" s="45"/>
      <c r="G44" s="232" t="s">
        <v>27</v>
      </c>
      <c r="H44" s="1"/>
      <c r="I44" s="154" t="str">
        <f t="shared" si="0"/>
        <v>Do not fill Transport</v>
      </c>
      <c r="J44" s="232" t="s">
        <v>27</v>
      </c>
      <c r="K44" s="232" t="s">
        <v>27</v>
      </c>
      <c r="L44" s="240">
        <v>0</v>
      </c>
      <c r="M44" s="232" t="s">
        <v>27</v>
      </c>
      <c r="N44" s="232" t="s">
        <v>27</v>
      </c>
      <c r="O44" s="240">
        <v>0</v>
      </c>
      <c r="P44" s="232" t="s">
        <v>27</v>
      </c>
      <c r="Q44" s="232" t="s">
        <v>27</v>
      </c>
      <c r="R44" s="240">
        <v>0</v>
      </c>
      <c r="U44" s="339">
        <f t="shared" si="1"/>
        <v>0</v>
      </c>
    </row>
    <row r="45" spans="1:24" x14ac:dyDescent="0.35">
      <c r="A45" s="1" t="s">
        <v>72</v>
      </c>
      <c r="B45" s="238">
        <v>0</v>
      </c>
      <c r="C45" s="1"/>
      <c r="D45" s="45"/>
      <c r="E45" s="45"/>
      <c r="F45" s="45"/>
      <c r="G45" s="232" t="s">
        <v>27</v>
      </c>
      <c r="H45" s="1"/>
      <c r="I45" s="154" t="str">
        <f t="shared" si="0"/>
        <v>Do not fill Transport</v>
      </c>
      <c r="J45" s="232" t="s">
        <v>27</v>
      </c>
      <c r="K45" s="232" t="s">
        <v>27</v>
      </c>
      <c r="L45" s="240">
        <v>0</v>
      </c>
      <c r="M45" s="232" t="s">
        <v>27</v>
      </c>
      <c r="N45" s="232" t="s">
        <v>27</v>
      </c>
      <c r="O45" s="240">
        <v>0</v>
      </c>
      <c r="P45" s="232" t="s">
        <v>27</v>
      </c>
      <c r="Q45" s="232" t="s">
        <v>27</v>
      </c>
      <c r="R45" s="240">
        <v>0</v>
      </c>
      <c r="U45" s="339">
        <f t="shared" si="1"/>
        <v>0</v>
      </c>
    </row>
    <row r="46" spans="1:24" x14ac:dyDescent="0.35">
      <c r="A46" s="1" t="s">
        <v>73</v>
      </c>
      <c r="B46" s="238">
        <v>0.153</v>
      </c>
      <c r="C46" s="1"/>
      <c r="D46" s="45"/>
      <c r="E46" s="45"/>
      <c r="F46" s="45"/>
      <c r="G46" s="232" t="s">
        <v>27</v>
      </c>
      <c r="H46" s="1" t="s">
        <v>1046</v>
      </c>
      <c r="I46" s="154" t="str">
        <f t="shared" si="0"/>
        <v>Fill Transport</v>
      </c>
      <c r="J46" s="232" t="s">
        <v>925</v>
      </c>
      <c r="K46" s="232" t="s">
        <v>36</v>
      </c>
      <c r="L46" s="240">
        <v>44.35</v>
      </c>
      <c r="M46" s="232" t="s">
        <v>27</v>
      </c>
      <c r="N46" s="232" t="s">
        <v>27</v>
      </c>
      <c r="O46" s="240">
        <v>0</v>
      </c>
      <c r="P46" s="232" t="s">
        <v>27</v>
      </c>
      <c r="Q46" s="232" t="s">
        <v>27</v>
      </c>
      <c r="R46" s="240">
        <v>0</v>
      </c>
      <c r="U46" s="339">
        <f t="shared" si="1"/>
        <v>0</v>
      </c>
    </row>
    <row r="47" spans="1:24" x14ac:dyDescent="0.35">
      <c r="A47" s="1" t="s">
        <v>75</v>
      </c>
      <c r="B47" s="238">
        <v>0</v>
      </c>
      <c r="C47" s="1"/>
      <c r="D47" s="45"/>
      <c r="E47" s="45"/>
      <c r="F47" s="45"/>
      <c r="G47" s="232" t="s">
        <v>27</v>
      </c>
      <c r="H47" s="1"/>
      <c r="I47" s="154" t="str">
        <f t="shared" si="0"/>
        <v>Do not fill Transport</v>
      </c>
      <c r="J47" s="232" t="s">
        <v>27</v>
      </c>
      <c r="K47" s="232" t="s">
        <v>27</v>
      </c>
      <c r="L47" s="240">
        <v>0</v>
      </c>
      <c r="M47" s="232" t="s">
        <v>27</v>
      </c>
      <c r="N47" s="232" t="s">
        <v>27</v>
      </c>
      <c r="O47" s="240">
        <v>0</v>
      </c>
      <c r="P47" s="232" t="s">
        <v>27</v>
      </c>
      <c r="Q47" s="232" t="s">
        <v>27</v>
      </c>
      <c r="R47" s="240">
        <v>0</v>
      </c>
      <c r="U47" s="339">
        <f t="shared" si="1"/>
        <v>0</v>
      </c>
    </row>
    <row r="48" spans="1:24" x14ac:dyDescent="0.35">
      <c r="A48" s="1" t="s">
        <v>76</v>
      </c>
      <c r="B48" s="238">
        <v>0</v>
      </c>
      <c r="C48" s="1"/>
      <c r="D48" s="45"/>
      <c r="E48" s="45"/>
      <c r="F48" s="45"/>
      <c r="G48" s="232" t="s">
        <v>27</v>
      </c>
      <c r="H48" s="1"/>
      <c r="I48" s="154" t="str">
        <f t="shared" si="0"/>
        <v>Do not fill Transport</v>
      </c>
      <c r="J48" s="232" t="s">
        <v>27</v>
      </c>
      <c r="K48" s="232" t="s">
        <v>27</v>
      </c>
      <c r="L48" s="240">
        <v>0</v>
      </c>
      <c r="M48" s="232" t="s">
        <v>27</v>
      </c>
      <c r="N48" s="232" t="s">
        <v>27</v>
      </c>
      <c r="O48" s="240">
        <v>0</v>
      </c>
      <c r="P48" s="232" t="s">
        <v>27</v>
      </c>
      <c r="Q48" s="232" t="s">
        <v>27</v>
      </c>
      <c r="R48" s="240">
        <v>0</v>
      </c>
      <c r="U48" s="339">
        <f t="shared" si="1"/>
        <v>0</v>
      </c>
    </row>
    <row r="49" spans="1:21" x14ac:dyDescent="0.35">
      <c r="A49" s="13" t="s">
        <v>77</v>
      </c>
      <c r="B49" s="238">
        <v>5.4999999999999997E-3</v>
      </c>
      <c r="C49" s="232" t="s">
        <v>78</v>
      </c>
      <c r="D49" s="45"/>
      <c r="E49" s="45"/>
      <c r="F49" s="45"/>
      <c r="G49" s="232" t="s">
        <v>27</v>
      </c>
      <c r="H49" s="1" t="s">
        <v>1048</v>
      </c>
      <c r="I49" s="154" t="str">
        <f t="shared" si="0"/>
        <v>Fill Transport</v>
      </c>
      <c r="J49" s="232" t="s">
        <v>69</v>
      </c>
      <c r="K49" s="232" t="s">
        <v>489</v>
      </c>
      <c r="L49" s="240">
        <v>190.35</v>
      </c>
      <c r="M49" s="232" t="s">
        <v>27</v>
      </c>
      <c r="N49" s="232" t="s">
        <v>27</v>
      </c>
      <c r="O49" s="240">
        <v>0</v>
      </c>
      <c r="P49" s="232" t="s">
        <v>27</v>
      </c>
      <c r="Q49" s="232" t="s">
        <v>27</v>
      </c>
      <c r="R49" s="232">
        <v>0</v>
      </c>
      <c r="T49" s="339">
        <f>+IF(B49&gt;0,IF(C49="No_filler",1,0),0)</f>
        <v>0</v>
      </c>
      <c r="U49" s="339">
        <f t="shared" si="1"/>
        <v>0</v>
      </c>
    </row>
    <row r="50" spans="1:21" x14ac:dyDescent="0.35">
      <c r="A50" s="13" t="s">
        <v>80</v>
      </c>
      <c r="B50" s="238">
        <v>0</v>
      </c>
      <c r="C50" s="232" t="s">
        <v>576</v>
      </c>
      <c r="D50" s="45"/>
      <c r="E50" s="45"/>
      <c r="F50" s="45"/>
      <c r="G50" s="232" t="s">
        <v>27</v>
      </c>
      <c r="H50" s="1"/>
      <c r="I50" s="154" t="str">
        <f t="shared" si="0"/>
        <v>Do not fill Transport</v>
      </c>
      <c r="J50" s="232" t="s">
        <v>27</v>
      </c>
      <c r="K50" s="232" t="s">
        <v>27</v>
      </c>
      <c r="L50" s="240">
        <v>0</v>
      </c>
      <c r="M50" s="232" t="s">
        <v>27</v>
      </c>
      <c r="N50" s="232" t="s">
        <v>27</v>
      </c>
      <c r="O50" s="240">
        <v>0</v>
      </c>
      <c r="P50" s="232" t="s">
        <v>27</v>
      </c>
      <c r="Q50" s="232" t="s">
        <v>27</v>
      </c>
      <c r="R50" s="232">
        <v>0</v>
      </c>
      <c r="T50" s="339">
        <f>+IF(B50&gt;0,IF(C50="No_filler",1,0),0)</f>
        <v>0</v>
      </c>
      <c r="U50" s="339">
        <f t="shared" si="1"/>
        <v>0</v>
      </c>
    </row>
    <row r="51" spans="1:21" x14ac:dyDescent="0.35">
      <c r="A51" s="1" t="s">
        <v>81</v>
      </c>
      <c r="B51" s="238">
        <v>0.3</v>
      </c>
      <c r="C51" s="1" t="s">
        <v>213</v>
      </c>
      <c r="D51" s="45"/>
      <c r="E51" s="45"/>
      <c r="F51" s="45"/>
      <c r="G51" s="232" t="s">
        <v>27</v>
      </c>
      <c r="H51" s="1" t="s">
        <v>1049</v>
      </c>
      <c r="I51" s="154" t="str">
        <f t="shared" si="0"/>
        <v>Fill Transport</v>
      </c>
      <c r="J51" s="232" t="s">
        <v>69</v>
      </c>
      <c r="K51" s="232" t="s">
        <v>489</v>
      </c>
      <c r="L51" s="240">
        <v>27</v>
      </c>
      <c r="M51" s="232" t="s">
        <v>27</v>
      </c>
      <c r="N51" s="232" t="s">
        <v>27</v>
      </c>
      <c r="O51" s="240">
        <v>0</v>
      </c>
      <c r="P51" s="232" t="s">
        <v>27</v>
      </c>
      <c r="Q51" s="232" t="s">
        <v>27</v>
      </c>
      <c r="R51" s="240">
        <v>0</v>
      </c>
      <c r="U51" s="339">
        <f t="shared" si="1"/>
        <v>0</v>
      </c>
    </row>
    <row r="52" spans="1:21" x14ac:dyDescent="0.35">
      <c r="A52" s="1" t="s">
        <v>83</v>
      </c>
      <c r="B52" s="238">
        <v>0</v>
      </c>
      <c r="C52" s="1"/>
      <c r="D52" s="45"/>
      <c r="E52" s="45"/>
      <c r="F52" s="45"/>
      <c r="G52" s="232" t="s">
        <v>27</v>
      </c>
      <c r="H52" s="1"/>
      <c r="I52" s="154" t="str">
        <f t="shared" si="0"/>
        <v>Do not fill Transport</v>
      </c>
      <c r="J52" s="232" t="s">
        <v>27</v>
      </c>
      <c r="K52" s="232" t="s">
        <v>27</v>
      </c>
      <c r="L52" s="240">
        <v>0</v>
      </c>
      <c r="M52" s="232" t="s">
        <v>27</v>
      </c>
      <c r="N52" s="232" t="s">
        <v>27</v>
      </c>
      <c r="O52" s="240">
        <v>0</v>
      </c>
      <c r="P52" s="232" t="s">
        <v>27</v>
      </c>
      <c r="Q52" s="232" t="s">
        <v>27</v>
      </c>
      <c r="R52" s="240">
        <v>0</v>
      </c>
      <c r="U52" s="339">
        <f t="shared" si="1"/>
        <v>0</v>
      </c>
    </row>
    <row r="53" spans="1:21" x14ac:dyDescent="0.35">
      <c r="A53" s="13" t="s">
        <v>84</v>
      </c>
      <c r="B53" s="238">
        <v>0</v>
      </c>
      <c r="C53" s="232" t="s">
        <v>579</v>
      </c>
      <c r="D53" s="147"/>
      <c r="E53" s="147"/>
      <c r="F53" s="147"/>
      <c r="G53" s="232" t="s">
        <v>27</v>
      </c>
      <c r="H53" s="1" t="s">
        <v>86</v>
      </c>
      <c r="I53" s="154" t="str">
        <f t="shared" si="0"/>
        <v>Do not fill Transport</v>
      </c>
      <c r="J53" s="232" t="s">
        <v>27</v>
      </c>
      <c r="K53" s="232" t="s">
        <v>27</v>
      </c>
      <c r="L53" s="240">
        <v>0</v>
      </c>
      <c r="M53" s="232" t="s">
        <v>27</v>
      </c>
      <c r="N53" s="232" t="s">
        <v>27</v>
      </c>
      <c r="O53" s="240">
        <v>0</v>
      </c>
      <c r="P53" s="232" t="s">
        <v>27</v>
      </c>
      <c r="Q53" s="232" t="s">
        <v>27</v>
      </c>
      <c r="R53" s="240">
        <v>0</v>
      </c>
      <c r="T53" s="339">
        <f>+IF(B53&gt;0,IF(C53="No_other_waste",1,0),0)</f>
        <v>0</v>
      </c>
      <c r="U53" s="339">
        <f t="shared" si="1"/>
        <v>0</v>
      </c>
    </row>
    <row r="54" spans="1:21" x14ac:dyDescent="0.35">
      <c r="A54" s="13" t="s">
        <v>88</v>
      </c>
      <c r="B54" s="238">
        <v>0</v>
      </c>
      <c r="C54" s="232" t="s">
        <v>579</v>
      </c>
      <c r="D54" s="147"/>
      <c r="E54" s="147"/>
      <c r="F54" s="147"/>
      <c r="G54" s="232" t="s">
        <v>27</v>
      </c>
      <c r="H54" s="1"/>
      <c r="I54" s="154" t="str">
        <f t="shared" si="0"/>
        <v>Do not fill Transport</v>
      </c>
      <c r="J54" s="232" t="s">
        <v>27</v>
      </c>
      <c r="K54" s="232" t="s">
        <v>27</v>
      </c>
      <c r="L54" s="240">
        <v>0</v>
      </c>
      <c r="M54" s="232" t="s">
        <v>27</v>
      </c>
      <c r="N54" s="232" t="s">
        <v>27</v>
      </c>
      <c r="O54" s="240">
        <v>0</v>
      </c>
      <c r="P54" s="232" t="s">
        <v>27</v>
      </c>
      <c r="Q54" s="232" t="s">
        <v>27</v>
      </c>
      <c r="R54" s="240">
        <v>0</v>
      </c>
      <c r="T54" s="339">
        <f>+IF(B54&gt;0,IF(C54="No_other_waste",1,0),0)</f>
        <v>0</v>
      </c>
      <c r="U54" s="339">
        <f t="shared" si="1"/>
        <v>0</v>
      </c>
    </row>
    <row r="55" spans="1:21" x14ac:dyDescent="0.35">
      <c r="A55" s="1" t="s">
        <v>90</v>
      </c>
      <c r="B55" s="238">
        <v>3.3E-3</v>
      </c>
      <c r="C55" s="232" t="s">
        <v>581</v>
      </c>
      <c r="D55" s="147"/>
      <c r="E55" s="147"/>
      <c r="F55" s="147"/>
      <c r="G55" s="232" t="s">
        <v>27</v>
      </c>
      <c r="H55" s="1" t="s">
        <v>1050</v>
      </c>
      <c r="I55" s="154" t="str">
        <f t="shared" si="0"/>
        <v>Fill Transport</v>
      </c>
      <c r="J55" s="232" t="s">
        <v>69</v>
      </c>
      <c r="K55" s="232" t="s">
        <v>489</v>
      </c>
      <c r="L55" s="240">
        <v>1239.32</v>
      </c>
      <c r="M55" s="232" t="s">
        <v>27</v>
      </c>
      <c r="N55" s="232" t="s">
        <v>27</v>
      </c>
      <c r="O55" s="240">
        <v>0</v>
      </c>
      <c r="P55" s="232" t="s">
        <v>27</v>
      </c>
      <c r="Q55" s="232" t="s">
        <v>27</v>
      </c>
      <c r="R55" s="240">
        <v>0</v>
      </c>
      <c r="T55" s="339">
        <f>+IF(B55&gt;0,IF(C55="No_additives",1,0),0)</f>
        <v>0</v>
      </c>
      <c r="U55" s="339">
        <f t="shared" si="1"/>
        <v>0</v>
      </c>
    </row>
    <row r="56" spans="1:21" x14ac:dyDescent="0.35">
      <c r="A56" s="1" t="s">
        <v>93</v>
      </c>
      <c r="B56" s="238">
        <v>0</v>
      </c>
      <c r="C56" s="232" t="s">
        <v>91</v>
      </c>
      <c r="D56" s="147"/>
      <c r="E56" s="147"/>
      <c r="F56" s="147"/>
      <c r="G56" s="232" t="s">
        <v>27</v>
      </c>
      <c r="H56" s="1"/>
      <c r="I56" s="154" t="str">
        <f t="shared" si="0"/>
        <v>Do not fill Transport</v>
      </c>
      <c r="J56" s="232" t="s">
        <v>27</v>
      </c>
      <c r="K56" s="232" t="s">
        <v>27</v>
      </c>
      <c r="L56" s="240">
        <v>0</v>
      </c>
      <c r="M56" s="232" t="s">
        <v>27</v>
      </c>
      <c r="N56" s="232" t="s">
        <v>27</v>
      </c>
      <c r="O56" s="240">
        <v>0</v>
      </c>
      <c r="P56" s="232" t="s">
        <v>27</v>
      </c>
      <c r="Q56" s="232" t="s">
        <v>27</v>
      </c>
      <c r="R56" s="240">
        <v>0</v>
      </c>
      <c r="T56" s="339">
        <f>+IF(B56&gt;0,IF(C56="No_additives",1,0),0)</f>
        <v>0</v>
      </c>
      <c r="U56" s="339">
        <f t="shared" si="1"/>
        <v>0</v>
      </c>
    </row>
    <row r="57" spans="1:21" x14ac:dyDescent="0.35">
      <c r="A57" s="9" t="s">
        <v>95</v>
      </c>
      <c r="B57" s="238">
        <v>0</v>
      </c>
      <c r="C57" s="232" t="s">
        <v>91</v>
      </c>
      <c r="D57" s="291"/>
      <c r="E57" s="291"/>
      <c r="F57" s="291"/>
      <c r="G57" s="233" t="s">
        <v>27</v>
      </c>
      <c r="H57" s="1"/>
      <c r="I57" s="155" t="str">
        <f t="shared" si="0"/>
        <v>Do not fill Transport</v>
      </c>
      <c r="J57" s="233" t="s">
        <v>27</v>
      </c>
      <c r="K57" s="233" t="s">
        <v>27</v>
      </c>
      <c r="L57" s="241">
        <v>0</v>
      </c>
      <c r="M57" s="233" t="s">
        <v>27</v>
      </c>
      <c r="N57" s="233" t="s">
        <v>27</v>
      </c>
      <c r="O57" s="241">
        <v>0</v>
      </c>
      <c r="P57" s="233" t="s">
        <v>27</v>
      </c>
      <c r="Q57" s="233" t="s">
        <v>27</v>
      </c>
      <c r="R57" s="241">
        <v>0</v>
      </c>
      <c r="T57" s="339">
        <f>+IF(B57&gt;0,IF(C57="No_additives",1,0),0)</f>
        <v>0</v>
      </c>
      <c r="U57" s="339">
        <f t="shared" si="1"/>
        <v>0</v>
      </c>
    </row>
    <row r="58" spans="1:21" x14ac:dyDescent="0.35">
      <c r="A58" s="310" t="s">
        <v>96</v>
      </c>
      <c r="B58" s="211">
        <f>SUM(B39:B57)</f>
        <v>0.99995999999999985</v>
      </c>
      <c r="C58" s="149"/>
      <c r="D58" s="357" t="s">
        <v>97</v>
      </c>
      <c r="E58" s="357"/>
      <c r="F58" s="357"/>
      <c r="G58" s="166">
        <f>+'A3 - Production '!C189</f>
        <v>0.34915636496769581</v>
      </c>
      <c r="I58" s="149"/>
      <c r="J58" s="149"/>
      <c r="K58" s="149"/>
      <c r="L58" s="149" t="str">
        <f>IF(U58=0, "Correct", "Error: Fill in all transport information")</f>
        <v>Correct</v>
      </c>
      <c r="M58" s="149"/>
      <c r="N58" s="149"/>
      <c r="O58" s="149"/>
      <c r="P58" s="149"/>
      <c r="Q58" s="149"/>
      <c r="R58" s="149"/>
      <c r="U58" s="339">
        <f>+SUM(T39:U57)</f>
        <v>0</v>
      </c>
    </row>
    <row r="59" spans="1:21" ht="16" x14ac:dyDescent="0.4">
      <c r="B59" s="253" t="str">
        <f>IF(AND(B58&gt;=99.9%, B58&lt;=100.1%), "Correct", "Error: Percentage weight of Mixture")</f>
        <v>Correct</v>
      </c>
      <c r="C59" t="str">
        <f>+IF(SUM(T39:T57)=0,"Correct","Error: Select material type")</f>
        <v>Correct</v>
      </c>
      <c r="D59" s="135"/>
      <c r="F59" s="134"/>
    </row>
    <row r="60" spans="1:21" x14ac:dyDescent="0.35">
      <c r="C60" s="71"/>
      <c r="D60" s="210"/>
    </row>
    <row r="61" spans="1:21" ht="23" customHeight="1" x14ac:dyDescent="0.45">
      <c r="A61" s="72" t="s">
        <v>98</v>
      </c>
      <c r="E61" s="210"/>
    </row>
    <row r="62" spans="1:21" x14ac:dyDescent="0.35">
      <c r="A62" s="5" t="s">
        <v>43</v>
      </c>
      <c r="B62" s="70" t="s">
        <v>55</v>
      </c>
      <c r="C62" s="4" t="s">
        <v>33</v>
      </c>
      <c r="D62" s="4" t="s">
        <v>56</v>
      </c>
      <c r="E62" s="356" t="s">
        <v>1034</v>
      </c>
      <c r="F62" s="4" t="s">
        <v>1036</v>
      </c>
    </row>
    <row r="63" spans="1:21" x14ac:dyDescent="0.35">
      <c r="A63" s="1" t="s">
        <v>99</v>
      </c>
      <c r="B63" s="232" t="s">
        <v>69</v>
      </c>
      <c r="C63" s="232" t="s">
        <v>489</v>
      </c>
      <c r="D63" s="232">
        <v>20</v>
      </c>
      <c r="E63" s="120">
        <v>20000</v>
      </c>
      <c r="F63" s="154">
        <f>E63/1000</f>
        <v>20</v>
      </c>
      <c r="U63" s="339">
        <f>IF(AND(B63&lt;&gt;"No",D63&lt;=0),1,0)</f>
        <v>0</v>
      </c>
    </row>
    <row r="65" spans="1:21" ht="23" customHeight="1" x14ac:dyDescent="0.45">
      <c r="A65" s="72" t="s">
        <v>100</v>
      </c>
      <c r="G65" s="135"/>
    </row>
    <row r="66" spans="1:21" x14ac:dyDescent="0.35">
      <c r="A66" s="13" t="s">
        <v>101</v>
      </c>
      <c r="B66" s="232">
        <v>3.5</v>
      </c>
      <c r="G66" s="135"/>
    </row>
    <row r="67" spans="1:21" x14ac:dyDescent="0.35">
      <c r="A67" s="5" t="s">
        <v>102</v>
      </c>
      <c r="B67" s="4" t="s">
        <v>32</v>
      </c>
      <c r="C67" s="4" t="s">
        <v>33</v>
      </c>
      <c r="D67" s="63"/>
      <c r="E67" s="59"/>
      <c r="F67" s="59"/>
    </row>
    <row r="68" spans="1:21" ht="14" customHeight="1" x14ac:dyDescent="0.35">
      <c r="A68" s="1" t="s">
        <v>103</v>
      </c>
      <c r="B68" s="232" t="s">
        <v>106</v>
      </c>
      <c r="C68" s="232" t="s">
        <v>27</v>
      </c>
      <c r="D68" s="60" t="str">
        <f>IF(OR(AND(C68="No", B68="No_paver"), AND(B68="No_paver", C68="No"), AND(C68&lt;&gt;"No", B68&lt;&gt;"No_paver")), "", "Error")</f>
        <v/>
      </c>
      <c r="E68" s="11"/>
      <c r="G68" s="24"/>
      <c r="U68" s="339">
        <f>+IF(B68&lt;&gt;"No_paver",IF(C68="No",1,0),0)</f>
        <v>0</v>
      </c>
    </row>
    <row r="69" spans="1:21" x14ac:dyDescent="0.35">
      <c r="A69" s="1" t="s">
        <v>105</v>
      </c>
      <c r="B69" s="232" t="s">
        <v>104</v>
      </c>
      <c r="C69" s="232" t="s">
        <v>36</v>
      </c>
      <c r="D69" s="60" t="str">
        <f>IF(OR(AND(C69="No", B69="No_paver"), AND(B69="No_paver", C69="No"), AND(C69&lt;&gt;"No", B69&lt;&gt;"No_paver")), "", "Error")</f>
        <v/>
      </c>
      <c r="G69" s="24"/>
      <c r="U69" s="339">
        <f>+IF(B69&lt;&gt;"No_paver",IF(C69="No",1,0),0)</f>
        <v>0</v>
      </c>
    </row>
    <row r="70" spans="1:21" x14ac:dyDescent="0.35">
      <c r="A70" s="1" t="s">
        <v>107</v>
      </c>
      <c r="B70" s="232" t="s">
        <v>108</v>
      </c>
      <c r="C70" s="232" t="s">
        <v>36</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109</v>
      </c>
      <c r="B72" s="4" t="s">
        <v>32</v>
      </c>
      <c r="C72" s="4" t="s">
        <v>33</v>
      </c>
      <c r="D72" s="60"/>
      <c r="E72" s="59"/>
      <c r="F72" s="59"/>
    </row>
    <row r="73" spans="1:21" x14ac:dyDescent="0.35">
      <c r="A73" s="1" t="s">
        <v>110</v>
      </c>
      <c r="B73" s="232" t="s">
        <v>111</v>
      </c>
      <c r="C73" s="232" t="s">
        <v>36</v>
      </c>
      <c r="D73" s="60" t="str">
        <f>IF(OR(AND(C73="No", B73="No_roller"), AND(B73="No_roller", C73="No"), AND(C73&lt;&gt;"No", B73&lt;&gt;"No_roller")), "", "Error")</f>
        <v/>
      </c>
      <c r="G73" s="24"/>
      <c r="U73" s="339">
        <f>+IF(B73&lt;&gt;"No_roller",IF(C73="No",1,0),0)</f>
        <v>0</v>
      </c>
    </row>
    <row r="74" spans="1:21" x14ac:dyDescent="0.35">
      <c r="A74" s="1" t="s">
        <v>112</v>
      </c>
      <c r="B74" s="232" t="s">
        <v>111</v>
      </c>
      <c r="C74" s="232" t="s">
        <v>36</v>
      </c>
      <c r="D74" s="60" t="str">
        <f t="shared" ref="D74:D76" si="2">IF(OR(AND(C74="No", B74="No_roller"), AND(B74="No_roller", C74="No"), AND(C74&lt;&gt;"No", B74&lt;&gt;"No_roller")), "", "Error")</f>
        <v/>
      </c>
      <c r="G74" s="137"/>
      <c r="U74" s="339">
        <f>+IF(B74&lt;&gt;"No_roller",IF(C74="No",1,0),0)</f>
        <v>0</v>
      </c>
    </row>
    <row r="75" spans="1:21" x14ac:dyDescent="0.35">
      <c r="A75" s="351" t="s">
        <v>1026</v>
      </c>
      <c r="B75" s="232" t="s">
        <v>682</v>
      </c>
      <c r="C75" s="232" t="s">
        <v>27</v>
      </c>
      <c r="D75" s="60" t="str">
        <f t="shared" si="2"/>
        <v/>
      </c>
      <c r="G75" s="137"/>
    </row>
    <row r="76" spans="1:21" x14ac:dyDescent="0.35">
      <c r="A76" s="351" t="s">
        <v>1027</v>
      </c>
      <c r="B76" s="232" t="s">
        <v>682</v>
      </c>
      <c r="C76" s="232" t="s">
        <v>27</v>
      </c>
      <c r="D76" s="60" t="str">
        <f t="shared" si="2"/>
        <v/>
      </c>
      <c r="G76" s="137"/>
    </row>
    <row r="77" spans="1:21" x14ac:dyDescent="0.35">
      <c r="G77" s="138"/>
    </row>
    <row r="78" spans="1:21" ht="18.5" x14ac:dyDescent="0.45">
      <c r="A78" s="72" t="s">
        <v>113</v>
      </c>
      <c r="G78" s="138"/>
    </row>
    <row r="79" spans="1:21" x14ac:dyDescent="0.35">
      <c r="A79" s="73" t="s">
        <v>114</v>
      </c>
      <c r="B79" s="156">
        <f>+B31/1000</f>
        <v>0.08</v>
      </c>
      <c r="C79" s="157" t="str">
        <f>IF(B79&gt;0.35,"Error, milling depth of machines less than 0.35m", "OK")</f>
        <v>OK</v>
      </c>
      <c r="G79" s="138"/>
    </row>
    <row r="80" spans="1:21" x14ac:dyDescent="0.35">
      <c r="G80" s="138"/>
    </row>
    <row r="81" spans="1:21" x14ac:dyDescent="0.35">
      <c r="A81" s="5" t="s">
        <v>115</v>
      </c>
      <c r="B81" s="4" t="s">
        <v>32</v>
      </c>
      <c r="C81" s="4" t="s">
        <v>33</v>
      </c>
      <c r="D81" s="3"/>
      <c r="E81" s="59"/>
      <c r="F81" s="59"/>
      <c r="G81" s="138"/>
    </row>
    <row r="82" spans="1:21" x14ac:dyDescent="0.35">
      <c r="A82" s="1" t="s">
        <v>116</v>
      </c>
      <c r="B82" s="232" t="s">
        <v>119</v>
      </c>
      <c r="C82" s="232" t="s">
        <v>27</v>
      </c>
      <c r="D82" s="60" t="str">
        <f>IF(AND(B82&lt;&gt;"No_milling_machine", C82="No"), "Error", "")</f>
        <v/>
      </c>
      <c r="G82" s="137"/>
      <c r="U82" s="339">
        <f>+IF(B82&lt;&gt;"No_milling_machine",IF(C82="No",1,0),0)</f>
        <v>0</v>
      </c>
    </row>
    <row r="83" spans="1:21" x14ac:dyDescent="0.35">
      <c r="A83" s="1" t="s">
        <v>118</v>
      </c>
      <c r="B83" s="232" t="s">
        <v>119</v>
      </c>
      <c r="C83" s="232" t="s">
        <v>27</v>
      </c>
      <c r="D83" s="60" t="str">
        <f>IF(AND(B83&lt;&gt;"No_milling_machine", C83="No"), "Error", "")</f>
        <v/>
      </c>
      <c r="G83" s="137"/>
      <c r="U83" s="339">
        <f>+IF(B83&lt;&gt;"No_milling_machine",IF(C83="No",1,0),0)</f>
        <v>0</v>
      </c>
    </row>
    <row r="84" spans="1:21" x14ac:dyDescent="0.35">
      <c r="A84" s="1" t="s">
        <v>1030</v>
      </c>
      <c r="B84" s="232" t="s">
        <v>117</v>
      </c>
      <c r="C84" s="232" t="s">
        <v>36</v>
      </c>
      <c r="D84" s="60" t="str">
        <f>IF(AND(B84&lt;&gt;"No_milling_machine", C84="No"), "Error", "")</f>
        <v/>
      </c>
      <c r="G84" s="137"/>
    </row>
    <row r="85" spans="1:21" x14ac:dyDescent="0.35">
      <c r="A85" s="1" t="s">
        <v>120</v>
      </c>
      <c r="B85" s="232" t="s">
        <v>121</v>
      </c>
      <c r="C85" s="232" t="s">
        <v>36</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122</v>
      </c>
    </row>
    <row r="3" spans="1:11" x14ac:dyDescent="0.35">
      <c r="A3" s="150" t="s">
        <v>123</v>
      </c>
    </row>
    <row r="4" spans="1:11" x14ac:dyDescent="0.35">
      <c r="A4" s="269" t="s">
        <v>7</v>
      </c>
      <c r="B4" s="270">
        <f>Input!$B$5</f>
        <v>40409</v>
      </c>
      <c r="C4" s="271"/>
      <c r="D4" s="3" t="s">
        <v>124</v>
      </c>
    </row>
    <row r="5" spans="1:11" x14ac:dyDescent="0.35">
      <c r="A5" s="1" t="s">
        <v>8</v>
      </c>
      <c r="B5" s="21" t="str">
        <f>Input!$B$6</f>
        <v>801/64/2010/13RE-1234/0</v>
      </c>
      <c r="C5" s="271"/>
      <c r="D5" s="53" t="s">
        <v>125</v>
      </c>
      <c r="E5" s="373" t="s">
        <v>126</v>
      </c>
      <c r="F5" s="373"/>
    </row>
    <row r="6" spans="1:11" x14ac:dyDescent="0.35">
      <c r="A6" s="143" t="s">
        <v>9</v>
      </c>
      <c r="B6" s="268" t="str">
        <f>Input!$B$7</f>
        <v>AB-3A1</v>
      </c>
      <c r="C6" s="109"/>
      <c r="D6" s="53" t="s">
        <v>127</v>
      </c>
      <c r="E6" s="279">
        <f>IF(ABS('Aux - Check'!$B$11)&gt;10^-10,"Error",Results!$M$47)</f>
        <v>4.5395310594167722</v>
      </c>
      <c r="F6" s="280" t="s">
        <v>128</v>
      </c>
      <c r="G6" s="29"/>
    </row>
    <row r="7" spans="1:11" ht="16.5" x14ac:dyDescent="0.45">
      <c r="A7" s="9" t="s">
        <v>11</v>
      </c>
      <c r="B7" s="272" t="str">
        <f>+Input!B8</f>
        <v>AC 20 onderlaag 50/70</v>
      </c>
      <c r="C7" s="29"/>
      <c r="D7" s="125" t="s">
        <v>129</v>
      </c>
      <c r="E7" s="281">
        <f>IF(ABS('Aux - Check'!$B$11)&gt;10^-10,"Error",Results!$L$53)</f>
        <v>50.306920050111493</v>
      </c>
      <c r="F7" s="280" t="s">
        <v>130</v>
      </c>
      <c r="G7" s="29"/>
    </row>
    <row r="8" spans="1:11" x14ac:dyDescent="0.35">
      <c r="A8" s="9" t="s">
        <v>131</v>
      </c>
      <c r="B8" s="272" t="str">
        <f>Input!$B$14</f>
        <v>straat 1, 1000 Gaurain-Ramecroix</v>
      </c>
      <c r="C8" s="15"/>
      <c r="K8" s="11"/>
    </row>
    <row r="9" spans="1:11" x14ac:dyDescent="0.35">
      <c r="A9" s="143" t="s">
        <v>132</v>
      </c>
      <c r="B9" s="268" t="str">
        <f>Input!$B$21</f>
        <v>155⁰C - 185⁰C</v>
      </c>
      <c r="C9" s="109"/>
    </row>
    <row r="10" spans="1:11" x14ac:dyDescent="0.35">
      <c r="A10" s="89" t="s">
        <v>133</v>
      </c>
      <c r="B10" s="273">
        <f>Input!$B$9</f>
        <v>3.7159999999999999E-2</v>
      </c>
      <c r="C10" s="274"/>
    </row>
    <row r="11" spans="1:11" x14ac:dyDescent="0.35">
      <c r="A11" s="89" t="s">
        <v>14</v>
      </c>
      <c r="B11" s="275">
        <f>+Input!B10</f>
        <v>0.40365984930032295</v>
      </c>
      <c r="C11" s="276"/>
    </row>
    <row r="12" spans="1:11" ht="16.5" x14ac:dyDescent="0.35">
      <c r="A12" s="1" t="s">
        <v>134</v>
      </c>
      <c r="B12" s="21">
        <f>Input!$B$22</f>
        <v>2400</v>
      </c>
      <c r="C12" s="15"/>
      <c r="K12" s="11"/>
    </row>
    <row r="13" spans="1:11" x14ac:dyDescent="0.35">
      <c r="B13" s="15"/>
      <c r="C13" s="15"/>
    </row>
    <row r="19" spans="18:18" x14ac:dyDescent="0.35">
      <c r="R19" s="28"/>
    </row>
    <row r="53" spans="1:7" ht="16" x14ac:dyDescent="0.4">
      <c r="A53" s="278" t="s">
        <v>135</v>
      </c>
    </row>
    <row r="54" spans="1:7" x14ac:dyDescent="0.35">
      <c r="C54" s="15"/>
      <c r="G54" s="29"/>
    </row>
    <row r="55" spans="1:7" x14ac:dyDescent="0.35">
      <c r="A55" s="150" t="s">
        <v>123</v>
      </c>
      <c r="C55" s="15"/>
      <c r="G55" s="29"/>
    </row>
    <row r="56" spans="1:7" x14ac:dyDescent="0.35">
      <c r="A56" s="143" t="s">
        <v>7</v>
      </c>
      <c r="B56" s="270">
        <f>Input!$B$5</f>
        <v>40409</v>
      </c>
      <c r="C56" s="109"/>
      <c r="D56" s="3" t="s">
        <v>136</v>
      </c>
    </row>
    <row r="57" spans="1:7" x14ac:dyDescent="0.35">
      <c r="A57" s="1" t="s">
        <v>8</v>
      </c>
      <c r="B57" s="21" t="str">
        <f>Input!$B$6</f>
        <v>801/64/2010/13RE-1234/0</v>
      </c>
      <c r="C57" s="15"/>
      <c r="D57" s="53" t="s">
        <v>137</v>
      </c>
      <c r="E57" s="374" t="str">
        <f>+CONCATENATE("1 m2 (",Input!B31/10,"-cm thick)")</f>
        <v>1 m2 (8-cm thick)</v>
      </c>
      <c r="F57" s="374"/>
    </row>
    <row r="58" spans="1:7" ht="16.5" x14ac:dyDescent="0.35">
      <c r="A58" s="143" t="s">
        <v>9</v>
      </c>
      <c r="B58" s="268" t="str">
        <f>Input!$B$7</f>
        <v>AB-3A1</v>
      </c>
      <c r="C58" s="15"/>
      <c r="D58" s="53" t="s">
        <v>127</v>
      </c>
      <c r="E58" s="282">
        <f>IF(E6="Error","Error",Results!$N$111)</f>
        <v>0.92664696673231295</v>
      </c>
      <c r="F58" s="283" t="s">
        <v>138</v>
      </c>
    </row>
    <row r="59" spans="1:7" ht="17.5" x14ac:dyDescent="0.45">
      <c r="A59" s="9" t="s">
        <v>11</v>
      </c>
      <c r="B59" s="268" t="str">
        <f>Input!$B$8</f>
        <v>AC 20 onderlaag 50/70</v>
      </c>
      <c r="C59" s="15"/>
      <c r="D59" s="125" t="s">
        <v>129</v>
      </c>
      <c r="E59" s="282">
        <f>IF(E7="Error","Error",Results!$M$118)</f>
        <v>10.658930752324476</v>
      </c>
      <c r="F59" s="283" t="s">
        <v>139</v>
      </c>
    </row>
    <row r="60" spans="1:7" x14ac:dyDescent="0.35">
      <c r="A60" s="9" t="s">
        <v>140</v>
      </c>
      <c r="B60" s="272" t="str">
        <f>Input!$B$14</f>
        <v>straat 1, 1000 Gaurain-Ramecroix</v>
      </c>
      <c r="C60" s="15"/>
    </row>
    <row r="61" spans="1:7" x14ac:dyDescent="0.35">
      <c r="A61" s="143" t="s">
        <v>132</v>
      </c>
      <c r="B61" s="268" t="str">
        <f>Input!$B$21</f>
        <v>155⁰C - 185⁰C</v>
      </c>
      <c r="C61" s="15"/>
    </row>
    <row r="62" spans="1:7" x14ac:dyDescent="0.35">
      <c r="A62" s="89" t="s">
        <v>141</v>
      </c>
      <c r="B62" s="273">
        <f>Input!$B$9</f>
        <v>3.7159999999999999E-2</v>
      </c>
    </row>
    <row r="63" spans="1:7" x14ac:dyDescent="0.35">
      <c r="A63" s="89" t="s">
        <v>14</v>
      </c>
      <c r="B63" s="275">
        <f>+Input!B10</f>
        <v>0.40365984930032295</v>
      </c>
    </row>
    <row r="64" spans="1:7" ht="16.5" x14ac:dyDescent="0.35">
      <c r="A64" s="1" t="s">
        <v>134</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974</v>
      </c>
      <c r="C105" s="15"/>
    </row>
    <row r="106" spans="1:6" x14ac:dyDescent="0.35">
      <c r="C106" s="15"/>
    </row>
    <row r="107" spans="1:6" x14ac:dyDescent="0.35">
      <c r="A107" s="150" t="s">
        <v>123</v>
      </c>
      <c r="C107" s="109"/>
    </row>
    <row r="108" spans="1:6" x14ac:dyDescent="0.35">
      <c r="A108" s="143" t="s">
        <v>7</v>
      </c>
      <c r="B108" s="270">
        <f>Input!$B$5</f>
        <v>40409</v>
      </c>
      <c r="C108" s="15"/>
      <c r="D108" s="3" t="s">
        <v>142</v>
      </c>
    </row>
    <row r="109" spans="1:6" x14ac:dyDescent="0.35">
      <c r="A109" s="1" t="s">
        <v>8</v>
      </c>
      <c r="B109" s="21" t="str">
        <f>Input!$B$6</f>
        <v>801/64/2010/13RE-1234/0</v>
      </c>
      <c r="C109" s="15"/>
      <c r="D109" s="53" t="s">
        <v>125</v>
      </c>
      <c r="E109" s="375" t="str">
        <f>+CONCATENATE("1 ton (",Input!B31/10,"-cm thick)")</f>
        <v>1 ton (8-cm thick)</v>
      </c>
      <c r="F109" s="375"/>
    </row>
    <row r="110" spans="1:6" x14ac:dyDescent="0.35">
      <c r="A110" s="143" t="s">
        <v>9</v>
      </c>
      <c r="B110" s="268" t="str">
        <f>Input!$B$7</f>
        <v>AB-3A1</v>
      </c>
      <c r="C110" s="15"/>
      <c r="D110" s="53" t="s">
        <v>127</v>
      </c>
      <c r="E110" s="284">
        <f>IF(E6="Error","Error",Results!$N$47)</f>
        <v>4.8262862850641302</v>
      </c>
      <c r="F110" s="285" t="s">
        <v>128</v>
      </c>
    </row>
    <row r="111" spans="1:6" ht="16.5" x14ac:dyDescent="0.45">
      <c r="A111" s="9" t="s">
        <v>11</v>
      </c>
      <c r="B111" s="268" t="str">
        <f>Input!$B$8</f>
        <v>AC 20 onderlaag 50/70</v>
      </c>
      <c r="C111" s="15"/>
      <c r="D111" s="125" t="s">
        <v>129</v>
      </c>
      <c r="E111" s="286">
        <f>IF(E7="Error","Error",Results!$M$53)</f>
        <v>55.515264335023303</v>
      </c>
      <c r="F111" s="285" t="s">
        <v>143</v>
      </c>
    </row>
    <row r="112" spans="1:6" x14ac:dyDescent="0.35">
      <c r="A112" s="9" t="s">
        <v>140</v>
      </c>
      <c r="B112" s="272" t="str">
        <f>Input!$B$14</f>
        <v>straat 1, 1000 Gaurain-Ramecroix</v>
      </c>
      <c r="C112" s="15"/>
    </row>
    <row r="113" spans="1:2" x14ac:dyDescent="0.35">
      <c r="A113" s="143" t="s">
        <v>132</v>
      </c>
      <c r="B113" s="268" t="str">
        <f>Input!$B$21</f>
        <v>155⁰C - 185⁰C</v>
      </c>
    </row>
    <row r="114" spans="1:2" x14ac:dyDescent="0.35">
      <c r="A114" s="89" t="s">
        <v>141</v>
      </c>
      <c r="B114" s="273">
        <f>Input!$B$9</f>
        <v>3.7159999999999999E-2</v>
      </c>
    </row>
    <row r="115" spans="1:2" x14ac:dyDescent="0.35">
      <c r="A115" s="89" t="s">
        <v>14</v>
      </c>
      <c r="B115" s="275">
        <f>+Input!$B$10</f>
        <v>0.40365984930032295</v>
      </c>
    </row>
    <row r="116" spans="1:2" ht="16.5" x14ac:dyDescent="0.35">
      <c r="A116" s="1" t="s">
        <v>134</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144</v>
      </c>
      <c r="B2" s="154">
        <f>+Input!U86</f>
        <v>0</v>
      </c>
    </row>
    <row r="3" spans="1:2" x14ac:dyDescent="0.35">
      <c r="A3" s="1" t="s">
        <v>145</v>
      </c>
      <c r="B3" s="154">
        <f>+Input!U58</f>
        <v>0</v>
      </c>
    </row>
    <row r="4" spans="1:2" x14ac:dyDescent="0.35">
      <c r="A4" s="1" t="s">
        <v>146</v>
      </c>
      <c r="B4" s="154">
        <f>IF(Input!C17 + Input!C18 = 100%,0, 1)</f>
        <v>0</v>
      </c>
    </row>
    <row r="5" spans="1:2" x14ac:dyDescent="0.35">
      <c r="A5" s="1" t="s">
        <v>1019</v>
      </c>
      <c r="B5" s="154">
        <f>IF(OR(AND(Input!B19="Yes", Input!C19&lt;&gt;"No"), AND(Input!B19="No",Input!C19="No")), 0, 1)</f>
        <v>0</v>
      </c>
    </row>
    <row r="6" spans="1:2" x14ac:dyDescent="0.35">
      <c r="A6" s="1" t="s">
        <v>147</v>
      </c>
      <c r="B6" s="154">
        <f>IF(AND(Input!B58&gt;=99.9%, Input!B58&lt;=100.1%), 0, 1)</f>
        <v>0</v>
      </c>
    </row>
    <row r="7" spans="1:2" x14ac:dyDescent="0.35">
      <c r="A7" s="1" t="s">
        <v>148</v>
      </c>
      <c r="B7" s="154">
        <f>IF( COUNTIFS( _xlfn.XLOOKUP(Input!$B$19,'Aux - Lists'!B168:C168,'Aux - Lists'!B169:C170,Input!$C$19), Input!$C$19)=0,1, 0)</f>
        <v>0</v>
      </c>
    </row>
    <row r="8" spans="1:2" x14ac:dyDescent="0.35">
      <c r="A8" s="1" t="s">
        <v>149</v>
      </c>
      <c r="B8" s="154">
        <f>IF(COUNTIFS(_xlfn.XLOOKUP(Input!$B$26,'Aux - Lists'!B16:C16,'Aux - Lists'!B17:C24,Input!$C$26),Input!$C$26)=0,1,0)</f>
        <v>0</v>
      </c>
    </row>
    <row r="9" spans="1:2" x14ac:dyDescent="0.35">
      <c r="A9" s="1" t="s">
        <v>150</v>
      </c>
      <c r="B9" s="331">
        <f>+Results!B23+Results!B54+Results!B61+Results!B86+Results!B112+Results!B119+Results!B126+Results!B152+Results!B160</f>
        <v>6.8212102632969618E-13</v>
      </c>
    </row>
    <row r="10" spans="1:2" x14ac:dyDescent="0.35">
      <c r="A10" s="1" t="s">
        <v>151</v>
      </c>
      <c r="B10" s="154">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0</v>
      </c>
    </row>
    <row r="11" spans="1:2" x14ac:dyDescent="0.35">
      <c r="B11" s="251">
        <f>+SUM(B2:B10)</f>
        <v>6.8212102632969618E-13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152</v>
      </c>
    </row>
    <row r="3" spans="1:17" s="28" customFormat="1" ht="43.5" x14ac:dyDescent="0.35">
      <c r="A3" s="103" t="s">
        <v>153</v>
      </c>
      <c r="B3" s="103" t="s">
        <v>154</v>
      </c>
      <c r="C3" s="103" t="s">
        <v>1013</v>
      </c>
      <c r="D3" s="103" t="s">
        <v>160</v>
      </c>
      <c r="E3" s="103" t="s">
        <v>1014</v>
      </c>
      <c r="F3" s="103" t="s">
        <v>155</v>
      </c>
      <c r="G3" s="103" t="s">
        <v>156</v>
      </c>
      <c r="H3" s="103" t="s">
        <v>157</v>
      </c>
      <c r="I3" s="103" t="s">
        <v>158</v>
      </c>
      <c r="J3" s="103" t="s">
        <v>159</v>
      </c>
      <c r="K3" s="103" t="s">
        <v>161</v>
      </c>
      <c r="L3" s="103" t="s">
        <v>987</v>
      </c>
      <c r="M3" s="103" t="s">
        <v>991</v>
      </c>
    </row>
    <row r="4" spans="1:17" x14ac:dyDescent="0.35">
      <c r="A4" s="39" t="s">
        <v>162</v>
      </c>
      <c r="B4" s="39" t="s">
        <v>163</v>
      </c>
      <c r="C4" s="1">
        <f>'A1 - Raw Material Supply'!Z114</f>
        <v>7.9386688750677434E-2</v>
      </c>
      <c r="D4" s="1">
        <f>'C3'' - Secondary Raw Material '!F320</f>
        <v>2.132393117742819E-4</v>
      </c>
      <c r="E4" s="1">
        <f>'A2 - Transport'!Z118</f>
        <v>2.5269042877704657E-2</v>
      </c>
      <c r="F4" s="1">
        <f>'C2''- Transport Secondary'!H58</f>
        <v>1.9174482000000001E-3</v>
      </c>
      <c r="G4" s="1">
        <f>'A3 - Production '!D206</f>
        <v>2.0035040989372234E-2</v>
      </c>
      <c r="H4" s="1">
        <f>'A4 - Transport'!B17</f>
        <v>4.7342506223999993E-3</v>
      </c>
      <c r="I4" s="1">
        <f>'A5 - Construction'!E139</f>
        <v>1.4781911191886577E-3</v>
      </c>
      <c r="J4" s="1">
        <f>'C1 - Deconstruction'!B87</f>
        <v>1.1217073342617407E-3</v>
      </c>
      <c r="K4" s="1">
        <f>'D- Benefits &amp; Burdens'!N161</f>
        <v>-9.1417337917356095E-2</v>
      </c>
      <c r="L4" s="1">
        <f>+SUM(C4:G4)</f>
        <v>0.12682146012952861</v>
      </c>
      <c r="M4" s="1">
        <f t="shared" ref="M4:M22" si="0">SUM(C4:J4)</f>
        <v>0.13415560920537897</v>
      </c>
      <c r="Q4" s="67"/>
    </row>
    <row r="5" spans="1:17" x14ac:dyDescent="0.35">
      <c r="A5" s="39" t="s">
        <v>164</v>
      </c>
      <c r="B5" s="39" t="s">
        <v>165</v>
      </c>
      <c r="C5" s="1">
        <f>'A1 - Raw Material Supply'!Z115</f>
        <v>14.778290576162609</v>
      </c>
      <c r="D5" s="1">
        <f>'C3'' - Secondary Raw Material '!F321</f>
        <v>0.16679033795373477</v>
      </c>
      <c r="E5" s="1">
        <f>'A2 - Transport'!Z119</f>
        <v>13.995167663623754</v>
      </c>
      <c r="F5" s="1">
        <f>'C2''- Transport Secondary'!H59</f>
        <v>1.2858333578999999</v>
      </c>
      <c r="G5" s="1">
        <f>'A3 - Production '!D207</f>
        <v>20.080838114471401</v>
      </c>
      <c r="H5" s="1">
        <f>'A4 - Transport'!B18</f>
        <v>3.1747701841127993</v>
      </c>
      <c r="I5" s="1">
        <f>'A5 - Construction'!E140</f>
        <v>1.1562033017188762</v>
      </c>
      <c r="J5" s="1">
        <f>'C1 - Deconstruction'!B88</f>
        <v>0.87737079908012983</v>
      </c>
      <c r="K5" s="1">
        <f>'D- Benefits &amp; Burdens'!N162</f>
        <v>-22.15587366654762</v>
      </c>
      <c r="L5" s="1">
        <f t="shared" ref="L5:L22" si="1">+SUM(C5:G5)</f>
        <v>50.306920050111501</v>
      </c>
      <c r="M5" s="1">
        <f t="shared" si="0"/>
        <v>55.515264335023311</v>
      </c>
      <c r="Q5" s="67"/>
    </row>
    <row r="6" spans="1:17" x14ac:dyDescent="0.35">
      <c r="A6" s="39" t="s">
        <v>166</v>
      </c>
      <c r="B6" s="39" t="s">
        <v>165</v>
      </c>
      <c r="C6" s="1">
        <f>'A1 - Raw Material Supply'!Z116</f>
        <v>0.15960892697974377</v>
      </c>
      <c r="D6" s="1">
        <f>'C3'' - Secondary Raw Material '!F322</f>
        <v>3.4471332246079752E-5</v>
      </c>
      <c r="E6" s="1">
        <f>'A2 - Transport'!Z120</f>
        <v>6.4247798875774319E-3</v>
      </c>
      <c r="F6" s="1">
        <f>'C2''- Transport Secondary'!H60</f>
        <v>6.0094143000000004E-4</v>
      </c>
      <c r="G6" s="1">
        <f>'A3 - Production '!D208</f>
        <v>6.7701088827908972E-3</v>
      </c>
      <c r="H6" s="1">
        <f>'A4 - Transport'!B19</f>
        <v>1.4837466477599999E-3</v>
      </c>
      <c r="I6" s="1">
        <f>'A5 - Construction'!E141</f>
        <v>2.3895789556239896E-4</v>
      </c>
      <c r="J6" s="1">
        <f>'C1 - Deconstruction'!B89</f>
        <v>1.8133028980664895E-4</v>
      </c>
      <c r="K6" s="1">
        <f>'D- Benefits &amp; Burdens'!N163</f>
        <v>-6.9389356618569292E-2</v>
      </c>
      <c r="L6" s="1">
        <f t="shared" si="1"/>
        <v>0.17343922851235816</v>
      </c>
      <c r="M6" s="1">
        <f t="shared" si="0"/>
        <v>0.17534326334548719</v>
      </c>
      <c r="Q6" s="67"/>
    </row>
    <row r="7" spans="1:17" x14ac:dyDescent="0.35">
      <c r="A7" s="39" t="s">
        <v>167</v>
      </c>
      <c r="B7" s="39" t="s">
        <v>165</v>
      </c>
      <c r="C7" s="1">
        <f>'A1 - Raw Material Supply'!Z117</f>
        <v>14.619651449477002</v>
      </c>
      <c r="D7" s="1">
        <f>'C3'' - Secondary Raw Material '!F323</f>
        <v>0.16674849071700243</v>
      </c>
      <c r="E7" s="1">
        <f>'A2 - Transport'!Z121</f>
        <v>13.987117436092019</v>
      </c>
      <c r="F7" s="1">
        <f>'C2''- Transport Secondary'!H61</f>
        <v>1.2851301401999999</v>
      </c>
      <c r="G7" s="1">
        <f>'A3 - Production '!D209</f>
        <v>20.070560716690814</v>
      </c>
      <c r="H7" s="1">
        <f>'A4 - Transport'!B20</f>
        <v>3.1730339135663996</v>
      </c>
      <c r="I7" s="1">
        <f>'A5 - Construction'!E142</f>
        <v>1.1559132134927155</v>
      </c>
      <c r="J7" s="1">
        <f>'C1 - Deconstruction'!B90</f>
        <v>0.87715066916144513</v>
      </c>
      <c r="K7" s="1">
        <f>'D- Benefits &amp; Burdens'!N164</f>
        <v>-22.086248731409356</v>
      </c>
      <c r="L7" s="1">
        <f t="shared" si="1"/>
        <v>50.12920823317684</v>
      </c>
      <c r="M7" s="1">
        <f t="shared" si="0"/>
        <v>55.335306029397401</v>
      </c>
      <c r="Q7" s="67"/>
    </row>
    <row r="8" spans="1:17" x14ac:dyDescent="0.35">
      <c r="A8" s="39" t="s">
        <v>168</v>
      </c>
      <c r="B8" s="39" t="s">
        <v>165</v>
      </c>
      <c r="C8" s="1">
        <f>'A1 - Raw Material Supply'!Z118</f>
        <v>7.1185997058632669E-3</v>
      </c>
      <c r="D8" s="1">
        <f>'C3'' - Secondary Raw Material '!F324</f>
        <v>7.375904486254632E-6</v>
      </c>
      <c r="E8" s="1">
        <f>'A2 - Transport'!Z122</f>
        <v>1.6254307730154192E-3</v>
      </c>
      <c r="F8" s="1">
        <f>'C2''- Transport Secondary'!H62</f>
        <v>1.0227464999999999E-4</v>
      </c>
      <c r="G8" s="1">
        <f>'A3 - Production '!D210</f>
        <v>3.5072888977966876E-3</v>
      </c>
      <c r="H8" s="1">
        <f>'A4 - Transport'!B21</f>
        <v>2.5251989879999996E-4</v>
      </c>
      <c r="I8" s="1">
        <f>'A5 - Construction'!E143</f>
        <v>5.1130330598264246E-5</v>
      </c>
      <c r="J8" s="1">
        <f>'C1 - Deconstruction'!B91</f>
        <v>3.8799628878016996E-5</v>
      </c>
      <c r="K8" s="1">
        <f>'D- Benefits &amp; Burdens'!N165</f>
        <v>-8.7621100361345537E-3</v>
      </c>
      <c r="L8" s="1">
        <f t="shared" si="1"/>
        <v>1.2360969931161626E-2</v>
      </c>
      <c r="M8" s="1">
        <f t="shared" si="0"/>
        <v>1.2703419789437906E-2</v>
      </c>
      <c r="Q8" s="67"/>
    </row>
    <row r="9" spans="1:17" x14ac:dyDescent="0.35">
      <c r="A9" s="39" t="s">
        <v>169</v>
      </c>
      <c r="B9" s="39" t="s">
        <v>170</v>
      </c>
      <c r="C9" s="1">
        <f>'A1 - Raw Material Supply'!Z119</f>
        <v>649.7772856153839</v>
      </c>
      <c r="D9" s="1">
        <f>'C3'' - Secondary Raw Material '!F325</f>
        <v>7.3693079401887573E-2</v>
      </c>
      <c r="E9" s="1">
        <f>'A2 - Transport'!Z123</f>
        <v>12.113034173791052</v>
      </c>
      <c r="F9" s="1">
        <f>'C2''- Transport Secondary'!H63</f>
        <v>1.1043859868999999</v>
      </c>
      <c r="G9" s="1">
        <f>'A3 - Production '!D211</f>
        <v>11.001929201098481</v>
      </c>
      <c r="H9" s="1">
        <f>'A4 - Transport'!B22</f>
        <v>2.7267699048407996</v>
      </c>
      <c r="I9" s="1">
        <f>'A5 - Construction'!E144</f>
        <v>0.51084602839481119</v>
      </c>
      <c r="J9" s="1">
        <f>'C1 - Deconstruction'!B92</f>
        <v>0.38764928924986203</v>
      </c>
      <c r="K9" s="1">
        <f>'D- Benefits &amp; Burdens'!N166</f>
        <v>-683.42348106658449</v>
      </c>
      <c r="L9" s="1">
        <f t="shared" si="1"/>
        <v>674.07032805657536</v>
      </c>
      <c r="M9" s="1">
        <f t="shared" si="0"/>
        <v>677.69559327906086</v>
      </c>
      <c r="Q9" s="67"/>
    </row>
    <row r="10" spans="1:17" ht="29" x14ac:dyDescent="0.35">
      <c r="A10" s="39" t="s">
        <v>171</v>
      </c>
      <c r="B10" s="39" t="s">
        <v>172</v>
      </c>
      <c r="C10" s="1">
        <f>'A1 - Raw Material Supply'!Z120</f>
        <v>1055.5721086188687</v>
      </c>
      <c r="D10" s="1">
        <f>'C3'' - Secondary Raw Material '!F326</f>
        <v>2.2154215403498743</v>
      </c>
      <c r="E10" s="1">
        <f>'A2 - Transport'!Z124</f>
        <v>187.63961958834119</v>
      </c>
      <c r="F10" s="1">
        <f>'C2''- Transport Secondary'!H64</f>
        <v>17.305980155999997</v>
      </c>
      <c r="G10" s="1">
        <f>'A3 - Production '!D212</f>
        <v>374.28761957896103</v>
      </c>
      <c r="H10" s="1">
        <f>'A4 - Transport'!B23</f>
        <v>42.729105967391988</v>
      </c>
      <c r="I10" s="1">
        <f>'A5 - Construction'!E145</f>
        <v>15.357470529031247</v>
      </c>
      <c r="J10" s="1">
        <f>'C1 - Deconstruction'!B93</f>
        <v>11.65382953834693</v>
      </c>
      <c r="K10" s="1">
        <f>'D- Benefits &amp; Burdens'!N167</f>
        <v>-1204.6816687672247</v>
      </c>
      <c r="L10" s="1">
        <f t="shared" si="1"/>
        <v>1637.0207494825208</v>
      </c>
      <c r="M10" s="1">
        <f t="shared" si="0"/>
        <v>1706.7611555172907</v>
      </c>
      <c r="Q10" s="67"/>
    </row>
    <row r="11" spans="1:17" ht="29" x14ac:dyDescent="0.35">
      <c r="A11" s="39" t="s">
        <v>173</v>
      </c>
      <c r="B11" s="39" t="s">
        <v>174</v>
      </c>
      <c r="C11" s="1">
        <f>'A1 - Raw Material Supply'!Z121</f>
        <v>3.9932693024604944E-4</v>
      </c>
      <c r="D11" s="1">
        <f>'C3'' - Secondary Raw Material '!F327</f>
        <v>1.7631993026448645E-6</v>
      </c>
      <c r="E11" s="1">
        <f>'A2 - Transport'!Z125</f>
        <v>3.6681878097130692E-4</v>
      </c>
      <c r="F11" s="1">
        <f>'C2''- Transport Secondary'!H65</f>
        <v>2.9991789E-5</v>
      </c>
      <c r="G11" s="1">
        <f>'A3 - Production '!D213</f>
        <v>6.9203384051054603E-4</v>
      </c>
      <c r="H11" s="1">
        <f>'A4 - Transport'!B24</f>
        <v>7.4050837847999975E-5</v>
      </c>
      <c r="I11" s="1">
        <f>'A5 - Construction'!E146</f>
        <v>1.2222631600350229E-5</v>
      </c>
      <c r="J11" s="1">
        <f>'C1 - Deconstruction'!B94</f>
        <v>9.2749951830432911E-6</v>
      </c>
      <c r="K11" s="1">
        <f>'D- Benefits &amp; Burdens'!N168</f>
        <v>-8.5332509331843907E-4</v>
      </c>
      <c r="L11" s="1">
        <f t="shared" si="1"/>
        <v>1.4899345400305472E-3</v>
      </c>
      <c r="M11" s="1">
        <f t="shared" si="0"/>
        <v>1.5854830046619407E-3</v>
      </c>
      <c r="Q11" s="67"/>
    </row>
    <row r="12" spans="1:17" ht="29" x14ac:dyDescent="0.35">
      <c r="A12" s="39" t="s">
        <v>175</v>
      </c>
      <c r="B12" s="39" t="s">
        <v>176</v>
      </c>
      <c r="C12" s="1">
        <f>'A1 - Raw Material Supply'!Z122</f>
        <v>2.4398711628829516E-2</v>
      </c>
      <c r="D12" s="1">
        <f>'C3'' - Secondary Raw Material '!F328</f>
        <v>4.8220355792551409E-5</v>
      </c>
      <c r="E12" s="1">
        <f>'A2 - Transport'!Z126</f>
        <v>6.7554333078811502E-3</v>
      </c>
      <c r="F12" s="1">
        <f>'C2''- Transport Secondary'!H66</f>
        <v>4.1793731999999998E-4</v>
      </c>
      <c r="G12" s="1">
        <f>'A3 - Production '!D214</f>
        <v>5.2307272888932957E-3</v>
      </c>
      <c r="H12" s="1">
        <f>'A4 - Transport'!B25</f>
        <v>1.0319027222399997E-3</v>
      </c>
      <c r="I12" s="1">
        <f>'A5 - Construction'!E147</f>
        <v>3.3426717195615875E-4</v>
      </c>
      <c r="J12" s="1">
        <f>'C1 - Deconstruction'!B95</f>
        <v>2.5365457383613185E-4</v>
      </c>
      <c r="K12" s="1">
        <f>'D- Benefits &amp; Burdens'!N169</f>
        <v>-2.8825964885842055E-2</v>
      </c>
      <c r="L12" s="1">
        <f t="shared" si="1"/>
        <v>3.6851029901396513E-2</v>
      </c>
      <c r="M12" s="1">
        <f t="shared" si="0"/>
        <v>3.8470854369428799E-2</v>
      </c>
      <c r="Q12" s="67"/>
    </row>
    <row r="13" spans="1:17" x14ac:dyDescent="0.35">
      <c r="A13" s="39" t="s">
        <v>177</v>
      </c>
      <c r="B13" s="39" t="s">
        <v>178</v>
      </c>
      <c r="C13" s="1">
        <f>'A1 - Raw Material Supply'!Z123</f>
        <v>0.29696272858061312</v>
      </c>
      <c r="D13" s="1">
        <f>'C3'' - Secondary Raw Material '!F329</f>
        <v>5.2421468666230769E-4</v>
      </c>
      <c r="E13" s="1">
        <f>'A2 - Transport'!Z127</f>
        <v>7.3385158887823015E-2</v>
      </c>
      <c r="F13" s="1">
        <f>'C2''- Transport Secondary'!H67</f>
        <v>4.5237932999999996E-3</v>
      </c>
      <c r="G13" s="1">
        <f>'A3 - Production '!D215</f>
        <v>5.6421778785469584E-2</v>
      </c>
      <c r="H13" s="1">
        <f>'A4 - Transport'!B26</f>
        <v>1.1169413205599998E-2</v>
      </c>
      <c r="I13" s="1">
        <f>'A5 - Construction'!E148</f>
        <v>3.6338960575558604E-3</v>
      </c>
      <c r="J13" s="1">
        <f>'C1 - Deconstruction'!B96</f>
        <v>2.7575377816790978E-3</v>
      </c>
      <c r="K13" s="1">
        <f>'D- Benefits &amp; Burdens'!N170</f>
        <v>-0.33269986751969055</v>
      </c>
      <c r="L13" s="1">
        <f t="shared" si="1"/>
        <v>0.43181767424056805</v>
      </c>
      <c r="M13" s="1">
        <f t="shared" si="0"/>
        <v>0.44937852128540301</v>
      </c>
      <c r="Q13" s="67"/>
    </row>
    <row r="14" spans="1:17" x14ac:dyDescent="0.35">
      <c r="A14" s="39" t="s">
        <v>179</v>
      </c>
      <c r="B14" s="39" t="s">
        <v>180</v>
      </c>
      <c r="C14" s="1">
        <f>'A1 - Raw Material Supply'!Z124</f>
        <v>1.1716584664359557E-8</v>
      </c>
      <c r="D14" s="1">
        <f>'C3'' - Secondary Raw Material '!F330</f>
        <v>1.0192646894973112E-11</v>
      </c>
      <c r="E14" s="1">
        <f>'A2 - Transport'!Z128</f>
        <v>1.2684155806364766E-9</v>
      </c>
      <c r="F14" s="1">
        <f>'C2''- Transport Secondary'!H68</f>
        <v>1.1396456999999999E-10</v>
      </c>
      <c r="G14" s="1">
        <f>'A3 - Production '!D216</f>
        <v>1.9863725466574091E-9</v>
      </c>
      <c r="H14" s="1">
        <f>'A4 - Transport'!B27</f>
        <v>2.8138274423999994E-10</v>
      </c>
      <c r="I14" s="1">
        <f>'A5 - Construction'!E149</f>
        <v>7.0656203097876641E-11</v>
      </c>
      <c r="J14" s="1">
        <f>'C1 - Deconstruction'!B97</f>
        <v>5.3616599502692708E-11</v>
      </c>
      <c r="K14" s="1">
        <f>'D- Benefits &amp; Burdens'!N171</f>
        <v>-1.2722254777515993E-8</v>
      </c>
      <c r="L14" s="1">
        <f t="shared" si="1"/>
        <v>1.5095530008548416E-8</v>
      </c>
      <c r="M14" s="1">
        <f t="shared" si="0"/>
        <v>1.5501185555388989E-8</v>
      </c>
      <c r="Q14" s="67"/>
    </row>
    <row r="15" spans="1:17" x14ac:dyDescent="0.35">
      <c r="A15" s="39" t="s">
        <v>181</v>
      </c>
      <c r="B15" s="39" t="s">
        <v>180</v>
      </c>
      <c r="C15" s="1">
        <f>'A1 - Raw Material Supply'!Z125</f>
        <v>3.4153242088380752E-7</v>
      </c>
      <c r="D15" s="1">
        <f>'C3'' - Secondary Raw Material '!F331</f>
        <v>2.7167563726420761E-10</v>
      </c>
      <c r="E15" s="1">
        <f>'A2 - Transport'!Z129</f>
        <v>9.8370019044841292E-8</v>
      </c>
      <c r="F15" s="1">
        <f>'C2''- Transport Secondary'!H69</f>
        <v>9.2727180000000008E-9</v>
      </c>
      <c r="G15" s="1">
        <f>'A3 - Production '!D217</f>
        <v>3.8312981010710815E-8</v>
      </c>
      <c r="H15" s="1">
        <f>'A4 - Transport'!B28</f>
        <v>2.2894684175999996E-8</v>
      </c>
      <c r="I15" s="1">
        <f>'A5 - Construction'!E150</f>
        <v>1.8832761696818848E-9</v>
      </c>
      <c r="J15" s="1">
        <f>'C1 - Deconstruction'!B98</f>
        <v>1.4291011930392459E-9</v>
      </c>
      <c r="K15" s="1">
        <f>'D- Benefits &amp; Burdens'!N172</f>
        <v>-4.0179322580688041E-7</v>
      </c>
      <c r="L15" s="1">
        <f t="shared" si="1"/>
        <v>4.8775981457662385E-7</v>
      </c>
      <c r="M15" s="1">
        <f t="shared" si="0"/>
        <v>5.1396687611534502E-7</v>
      </c>
      <c r="Q15" s="67"/>
    </row>
    <row r="16" spans="1:17" ht="29" x14ac:dyDescent="0.35">
      <c r="A16" s="39" t="s">
        <v>182</v>
      </c>
      <c r="B16" s="39" t="s">
        <v>183</v>
      </c>
      <c r="C16" s="1">
        <f>'A1 - Raw Material Supply'!Z126</f>
        <v>0.37485117363209597</v>
      </c>
      <c r="D16" s="1">
        <f>'C3'' - Secondary Raw Material '!F332</f>
        <v>6.6519868279014841E-4</v>
      </c>
      <c r="E16" s="1">
        <f>'A2 - Transport'!Z130</f>
        <v>0.10199420926338004</v>
      </c>
      <c r="F16" s="1">
        <f>'C2''- Transport Secondary'!H70</f>
        <v>7.8473286E-3</v>
      </c>
      <c r="G16" s="1">
        <f>'A3 - Production '!D218</f>
        <v>2.446428749275408</v>
      </c>
      <c r="H16" s="1">
        <f>'A4 - Transport'!B29</f>
        <v>1.9375344955199998E-2</v>
      </c>
      <c r="I16" s="1">
        <f>'A5 - Construction'!E151</f>
        <v>4.6112078359980043E-3</v>
      </c>
      <c r="J16" s="1">
        <f>'C1 - Deconstruction'!B99</f>
        <v>3.4991589262714472E-3</v>
      </c>
      <c r="K16" s="1">
        <f>'D- Benefits &amp; Burdens'!N173</f>
        <v>-0.5626223598499156</v>
      </c>
      <c r="L16" s="1">
        <f t="shared" si="1"/>
        <v>2.9317866594536741</v>
      </c>
      <c r="M16" s="1">
        <f t="shared" si="0"/>
        <v>2.9592723711711435</v>
      </c>
      <c r="Q16" s="67"/>
    </row>
    <row r="17" spans="1:17" x14ac:dyDescent="0.35">
      <c r="A17" s="39" t="s">
        <v>184</v>
      </c>
      <c r="B17" s="39" t="s">
        <v>185</v>
      </c>
      <c r="C17" s="1">
        <f>'A1 - Raw Material Supply'!Z127</f>
        <v>400.58210845243951</v>
      </c>
      <c r="D17" s="1">
        <f>'C3'' - Secondary Raw Material '!F333</f>
        <v>0.11390463257521803</v>
      </c>
      <c r="E17" s="1">
        <f>'A2 - Transport'!Z131</f>
        <v>16.314356359345446</v>
      </c>
      <c r="F17" s="1">
        <f>'C2''- Transport Secondary'!H71</f>
        <v>1.0916087634</v>
      </c>
      <c r="G17" s="1">
        <f>'A3 - Production '!D219</f>
        <v>12.785053431658701</v>
      </c>
      <c r="H17" s="1">
        <f>'A4 - Transport'!B30</f>
        <v>2.6952224667887998</v>
      </c>
      <c r="I17" s="1">
        <f>'A5 - Construction'!E152</f>
        <v>0.78959557178350104</v>
      </c>
      <c r="J17" s="1">
        <f>'C1 - Deconstruction'!B100</f>
        <v>0.59917498655808599</v>
      </c>
      <c r="K17" s="1">
        <f>'D- Benefits &amp; Burdens'!N174</f>
        <v>-501.0737144131665</v>
      </c>
      <c r="L17" s="1">
        <f t="shared" si="1"/>
        <v>430.88703163941886</v>
      </c>
      <c r="M17" s="1">
        <f t="shared" si="0"/>
        <v>434.97102466454919</v>
      </c>
      <c r="Q17" s="67"/>
    </row>
    <row r="18" spans="1:17" ht="29" x14ac:dyDescent="0.35">
      <c r="A18" s="39" t="s">
        <v>186</v>
      </c>
      <c r="B18" s="39" t="s">
        <v>187</v>
      </c>
      <c r="C18" s="1">
        <f>'A1 - Raw Material Supply'!Z128</f>
        <v>2.0738912536104792E-4</v>
      </c>
      <c r="D18" s="1">
        <f>'C3'' - Secondary Raw Material '!F334</f>
        <v>2.6007934671855809E-8</v>
      </c>
      <c r="E18" s="1">
        <f>'A2 - Transport'!Z132</f>
        <v>1.5606157195119845E-5</v>
      </c>
      <c r="F18" s="1">
        <f>'C2''- Transport Secondary'!H72</f>
        <v>1.4186096999999999E-6</v>
      </c>
      <c r="G18" s="1">
        <f>'A3 - Production '!D220</f>
        <v>2.9981354664900123E-5</v>
      </c>
      <c r="H18" s="1">
        <f>'A4 - Transport'!B31</f>
        <v>3.5025998903999994E-6</v>
      </c>
      <c r="I18" s="1">
        <f>'A5 - Construction'!E153</f>
        <v>1.8028898020957092E-7</v>
      </c>
      <c r="J18" s="1">
        <f>'C1 - Deconstruction'!B101</f>
        <v>1.3681009766764487E-7</v>
      </c>
      <c r="K18" s="1">
        <f>'D- Benefits &amp; Burdens'!N175</f>
        <v>-1.6377383975809E-5</v>
      </c>
      <c r="L18" s="1">
        <f t="shared" si="1"/>
        <v>2.5442125485573977E-4</v>
      </c>
      <c r="M18" s="1">
        <f t="shared" si="0"/>
        <v>2.5824095382401697E-4</v>
      </c>
      <c r="Q18" s="67"/>
    </row>
    <row r="19" spans="1:17" x14ac:dyDescent="0.35">
      <c r="A19" s="39" t="s">
        <v>188</v>
      </c>
      <c r="B19" s="39" t="s">
        <v>189</v>
      </c>
      <c r="C19" s="1">
        <f>'A1 - Raw Material Supply'!Z129</f>
        <v>4.3953764770222923E-8</v>
      </c>
      <c r="D19" s="1">
        <f>'C3'' - Secondary Raw Material '!F335</f>
        <v>3.7585564815097762E-9</v>
      </c>
      <c r="E19" s="1">
        <f>'A2 - Transport'!Z133</f>
        <v>3.0894545238247491E-7</v>
      </c>
      <c r="F19" s="1">
        <f>'C2''- Transport Secondary'!H73</f>
        <v>2.8591541999999998E-8</v>
      </c>
      <c r="G19" s="1">
        <f>'A3 - Production '!D221</f>
        <v>2.6997473910823158E-6</v>
      </c>
      <c r="H19" s="1">
        <f>'A4 - Transport'!B32</f>
        <v>7.0593576143999996E-8</v>
      </c>
      <c r="I19" s="1">
        <f>'A5 - Construction'!E154</f>
        <v>2.6054599246773572E-8</v>
      </c>
      <c r="J19" s="1">
        <f>'C1 - Deconstruction'!B102</f>
        <v>1.9771215431464347E-8</v>
      </c>
      <c r="K19" s="1">
        <f>'D- Benefits &amp; Burdens'!N176</f>
        <v>-1.9613093974293878E-7</v>
      </c>
      <c r="L19" s="1">
        <f t="shared" si="1"/>
        <v>3.0849967067165232E-6</v>
      </c>
      <c r="M19" s="1">
        <f t="shared" si="0"/>
        <v>3.201416097538761E-6</v>
      </c>
      <c r="Q19" s="67"/>
    </row>
    <row r="20" spans="1:17" x14ac:dyDescent="0.35">
      <c r="A20" s="39" t="s">
        <v>190</v>
      </c>
      <c r="B20" s="39" t="s">
        <v>191</v>
      </c>
      <c r="C20" s="1">
        <f>'A1 - Raw Material Supply'!Z130</f>
        <v>1.3272698948377861E-6</v>
      </c>
      <c r="D20" s="1">
        <f>'C3'' - Secondary Raw Material '!F336</f>
        <v>1.6427613993186483E-9</v>
      </c>
      <c r="E20" s="1">
        <f>'A2 - Transport'!Z134</f>
        <v>8.4277958268950149E-7</v>
      </c>
      <c r="F20" s="1">
        <f>'C2''- Transport Secondary'!H74</f>
        <v>7.9700516999999988E-8</v>
      </c>
      <c r="G20" s="1">
        <f>'A3 - Production '!D222</f>
        <v>8.8565278508991073E-8</v>
      </c>
      <c r="H20" s="1">
        <f>'A4 - Transport'!B33</f>
        <v>1.9678352834399996E-7</v>
      </c>
      <c r="I20" s="1">
        <f>'A5 - Construction'!E155</f>
        <v>1.138774689907637E-8</v>
      </c>
      <c r="J20" s="1">
        <f>'C1 - Deconstruction'!B103</f>
        <v>8.6414530919530463E-9</v>
      </c>
      <c r="K20" s="1">
        <f>'D- Benefits &amp; Burdens'!N177</f>
        <v>-1.7131680050634864E-6</v>
      </c>
      <c r="L20" s="1">
        <f t="shared" si="1"/>
        <v>2.3399580344355969E-6</v>
      </c>
      <c r="M20" s="1">
        <f t="shared" si="0"/>
        <v>2.5567707627706262E-6</v>
      </c>
      <c r="Q20" s="67"/>
    </row>
    <row r="21" spans="1:17" ht="29" x14ac:dyDescent="0.35">
      <c r="A21" s="39" t="s">
        <v>192</v>
      </c>
      <c r="B21" s="39" t="s">
        <v>193</v>
      </c>
      <c r="C21" s="1">
        <f>'A1 - Raw Material Supply'!Z131</f>
        <v>9.1498727643183883E-2</v>
      </c>
      <c r="D21" s="1">
        <f>'C3'' - Secondary Raw Material '!F337</f>
        <v>4.1082738634614822E-4</v>
      </c>
      <c r="E21" s="1">
        <f>'A2 - Transport'!Z135</f>
        <v>4.2160426233952102E-2</v>
      </c>
      <c r="F21" s="1">
        <f>'C2''- Transport Secondary'!H75</f>
        <v>3.3429995999999995E-3</v>
      </c>
      <c r="G21" s="1">
        <f>'A3 - Production '!D223</f>
        <v>1.9059484121651142E-2</v>
      </c>
      <c r="H21" s="1">
        <f>'A4 - Transport'!B34</f>
        <v>8.2539898271999975E-3</v>
      </c>
      <c r="I21" s="1">
        <f>'A5 - Construction'!E156</f>
        <v>2.8478866723185801E-3</v>
      </c>
      <c r="J21" s="1">
        <f>'C1 - Deconstruction'!B104</f>
        <v>2.1610841291208631E-3</v>
      </c>
      <c r="K21" s="1">
        <f>'D- Benefits &amp; Burdens'!N178</f>
        <v>-0.11435360551559776</v>
      </c>
      <c r="L21" s="1">
        <f t="shared" si="1"/>
        <v>0.15647246498513329</v>
      </c>
      <c r="M21" s="1">
        <f t="shared" si="0"/>
        <v>0.16973542561377272</v>
      </c>
      <c r="Q21" s="67"/>
    </row>
    <row r="22" spans="1:17" ht="29" x14ac:dyDescent="0.35">
      <c r="A22" s="39" t="s">
        <v>194</v>
      </c>
      <c r="B22" s="39" t="s">
        <v>195</v>
      </c>
      <c r="C22" s="1">
        <f>'A1 - Raw Material Supply'!Z132</f>
        <v>3.8418943355339903</v>
      </c>
      <c r="D22" s="1">
        <f>'C3'' - Secondary Raw Material '!F338</f>
        <v>2.9984053368853725E-3</v>
      </c>
      <c r="E22" s="1">
        <f>'A2 - Transport'!Z136</f>
        <v>0.46778179509799556</v>
      </c>
      <c r="F22" s="1">
        <f>'C2''- Transport Secondary'!H76</f>
        <v>3.9416130899999999E-2</v>
      </c>
      <c r="G22" s="1">
        <f>'A3 - Production '!D224</f>
        <v>0.83217241643335116</v>
      </c>
      <c r="H22" s="1">
        <f>'A4 - Transport'!B35</f>
        <v>9.7319887048799986E-2</v>
      </c>
      <c r="I22" s="1">
        <f>'A5 - Construction'!E157</f>
        <v>2.0785173727269492E-2</v>
      </c>
      <c r="J22" s="1">
        <f>'C1 - Deconstruction'!B105</f>
        <v>1.5772576029667661E-2</v>
      </c>
      <c r="K22" s="1">
        <f>'D- Benefits &amp; Burdens'!N179</f>
        <v>-4.7489264167957099</v>
      </c>
      <c r="L22" s="1">
        <f t="shared" si="1"/>
        <v>5.1842630833022225</v>
      </c>
      <c r="M22" s="1">
        <f t="shared" si="0"/>
        <v>5.3181407201079596</v>
      </c>
      <c r="Q22" s="67"/>
    </row>
    <row r="23" spans="1:17" x14ac:dyDescent="0.35">
      <c r="A23" s="258" t="s">
        <v>58</v>
      </c>
      <c r="B23" s="338">
        <f>+SUM(C23:K23)</f>
        <v>0</v>
      </c>
      <c r="C23" s="325">
        <f>+SUM(C4:C22)-'A1 - Raw Material Supply'!D137</f>
        <v>0</v>
      </c>
      <c r="D23" s="325">
        <f>+SUM(D4:D22)-'C3'' - Secondary Raw Material '!B344</f>
        <v>0</v>
      </c>
      <c r="E23" s="325">
        <f>+SUM(E4:E22)-'A2 - Transport'!B142</f>
        <v>0</v>
      </c>
      <c r="F23" s="325">
        <f>+SUM(F4:F22)-'C2''- Transport Secondary'!B81</f>
        <v>0</v>
      </c>
      <c r="G23" s="325">
        <f>+SUM(G4:G22)-'A3 - Production '!B230</f>
        <v>0</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196</v>
      </c>
      <c r="B25" s="66"/>
    </row>
    <row r="26" spans="1:17" x14ac:dyDescent="0.35">
      <c r="A26" s="328" t="s">
        <v>197</v>
      </c>
      <c r="B26" s="66"/>
    </row>
    <row r="27" spans="1:17" ht="43.5" x14ac:dyDescent="0.35">
      <c r="A27" s="103" t="s">
        <v>153</v>
      </c>
      <c r="B27" s="103" t="s">
        <v>198</v>
      </c>
      <c r="C27" s="103" t="s">
        <v>199</v>
      </c>
      <c r="D27" s="108" t="s">
        <v>1011</v>
      </c>
      <c r="E27" s="103" t="s">
        <v>1012</v>
      </c>
      <c r="F27" s="108" t="s">
        <v>1015</v>
      </c>
      <c r="G27" s="108" t="s">
        <v>1010</v>
      </c>
      <c r="H27" s="108" t="s">
        <v>156</v>
      </c>
      <c r="I27" s="108" t="s">
        <v>157</v>
      </c>
      <c r="J27" s="103" t="s">
        <v>158</v>
      </c>
      <c r="K27" s="103" t="s">
        <v>159</v>
      </c>
      <c r="L27" s="103" t="s">
        <v>161</v>
      </c>
      <c r="M27" s="103" t="s">
        <v>987</v>
      </c>
      <c r="N27" s="103" t="s">
        <v>991</v>
      </c>
      <c r="O27" s="103" t="s">
        <v>1006</v>
      </c>
    </row>
    <row r="28" spans="1:17" x14ac:dyDescent="0.35">
      <c r="A28" s="39" t="s">
        <v>162</v>
      </c>
      <c r="B28" s="154">
        <v>55.6</v>
      </c>
      <c r="C28" s="154">
        <v>6.2E-2</v>
      </c>
      <c r="D28" s="1">
        <f t="shared" ref="D28" si="2">(C4/$B28)*$C28</f>
        <v>8.8524724865863318E-5</v>
      </c>
      <c r="E28" s="1">
        <f t="shared" ref="E28" si="3">(D4/$B28)*$C28</f>
        <v>2.3778484406484672E-7</v>
      </c>
      <c r="F28" s="1">
        <f t="shared" ref="F28" si="4">(E4/$B28)*$C28</f>
        <v>2.8177709683771379E-5</v>
      </c>
      <c r="G28" s="1">
        <f t="shared" ref="G28" si="5">(F4/$B28)*$C28</f>
        <v>2.1381616618705037E-6</v>
      </c>
      <c r="H28" s="1">
        <f t="shared" ref="H28" si="6">(G4/$B28)*$C28</f>
        <v>2.2341232757933063E-5</v>
      </c>
      <c r="I28" s="1">
        <f t="shared" ref="I28" si="7">(H4/$B28)*$C28</f>
        <v>5.279200334330934E-6</v>
      </c>
      <c r="J28" s="1">
        <f t="shared" ref="J28" si="8">(I4/$B28)*$C28</f>
        <v>1.6483426149226037E-6</v>
      </c>
      <c r="K28" s="1">
        <f t="shared" ref="K28" si="9">(J4/$B28)*$C28</f>
        <v>1.2508247252558979E-6</v>
      </c>
      <c r="L28" s="1">
        <f t="shared" ref="L28" si="10">(K4/$B28)*$C28</f>
        <v>-1.0194019695820284E-4</v>
      </c>
      <c r="M28" s="1">
        <f>SUM(D28:H28)*1000</f>
        <v>0.14141961381350313</v>
      </c>
      <c r="N28" s="1">
        <f>SUM(D28:K28)*1000</f>
        <v>0.14959798148801254</v>
      </c>
      <c r="O28" s="1">
        <f>SUM(D28:L28)*1000</f>
        <v>4.7657784529809698E-2</v>
      </c>
    </row>
    <row r="29" spans="1:17" x14ac:dyDescent="0.35">
      <c r="A29" s="39" t="s">
        <v>164</v>
      </c>
      <c r="B29" s="154">
        <v>8100</v>
      </c>
      <c r="C29" s="154">
        <v>0.21059999999999998</v>
      </c>
      <c r="D29" s="1">
        <f t="shared" ref="D29:D46" si="11">(C5/$B29)*$C29</f>
        <v>3.8423555498022781E-4</v>
      </c>
      <c r="E29" s="1">
        <f t="shared" ref="E29:E46" si="12">(D5/$B29)*$C29</f>
        <v>4.3365487867971042E-6</v>
      </c>
      <c r="F29" s="1">
        <f t="shared" ref="F29:F46" si="13">(E5/$B29)*$C29</f>
        <v>3.6387435925421755E-4</v>
      </c>
      <c r="G29" s="1">
        <f t="shared" ref="G29:G46" si="14">(F5/$B29)*$C29</f>
        <v>3.3431667305399996E-5</v>
      </c>
      <c r="H29" s="1">
        <f t="shared" ref="H29:H46" si="15">(G5/$B29)*$C29</f>
        <v>5.2210179097625636E-4</v>
      </c>
      <c r="I29" s="1">
        <f t="shared" ref="I29:I46" si="16">(H5/$B29)*$C29</f>
        <v>8.2544024786932775E-5</v>
      </c>
      <c r="J29" s="1">
        <f t="shared" ref="J29:J46" si="17">(I5/$B29)*$C29</f>
        <v>3.0061285844690778E-5</v>
      </c>
      <c r="K29" s="1">
        <f t="shared" ref="K29:K46" si="18">(J5/$B29)*$C29</f>
        <v>2.2811640776083373E-5</v>
      </c>
      <c r="L29" s="1">
        <f t="shared" ref="L29:L46" si="19">(K5/$B29)*$C29</f>
        <v>-5.7605271533023804E-4</v>
      </c>
      <c r="M29" s="1">
        <f>SUM(D29:H29)*1000</f>
        <v>1.3079799213028989</v>
      </c>
      <c r="N29" s="1">
        <f t="shared" ref="N29:N46" si="20">SUM(D29:K29)*1000</f>
        <v>1.4433968727106061</v>
      </c>
      <c r="O29" s="1">
        <f>SUM(D29:L29)*1000</f>
        <v>0.86734415738036796</v>
      </c>
    </row>
    <row r="30" spans="1:17" x14ac:dyDescent="0.35">
      <c r="A30" s="39" t="s">
        <v>166</v>
      </c>
      <c r="B30" s="333"/>
      <c r="C30" s="333"/>
      <c r="D30" s="333"/>
      <c r="E30" s="333"/>
      <c r="F30" s="333"/>
      <c r="G30" s="333"/>
      <c r="H30" s="333"/>
      <c r="I30" s="333"/>
      <c r="J30" s="333"/>
      <c r="K30" s="333"/>
      <c r="L30" s="333"/>
      <c r="M30" s="333"/>
      <c r="N30" s="333"/>
      <c r="O30" s="333"/>
    </row>
    <row r="31" spans="1:17" x14ac:dyDescent="0.35">
      <c r="A31" s="39" t="s">
        <v>167</v>
      </c>
      <c r="B31" s="333"/>
      <c r="C31" s="333"/>
      <c r="D31" s="333"/>
      <c r="E31" s="333"/>
      <c r="F31" s="333"/>
      <c r="G31" s="333"/>
      <c r="H31" s="333"/>
      <c r="I31" s="333"/>
      <c r="J31" s="333"/>
      <c r="K31" s="333"/>
      <c r="L31" s="333"/>
      <c r="M31" s="333"/>
      <c r="N31" s="333"/>
      <c r="O31" s="333"/>
    </row>
    <row r="32" spans="1:17" x14ac:dyDescent="0.35">
      <c r="A32" s="39" t="s">
        <v>168</v>
      </c>
      <c r="B32" s="333"/>
      <c r="C32" s="333"/>
      <c r="D32" s="333"/>
      <c r="E32" s="333"/>
      <c r="F32" s="333"/>
      <c r="G32" s="333"/>
      <c r="H32" s="333"/>
      <c r="I32" s="333"/>
      <c r="J32" s="333"/>
      <c r="K32" s="333"/>
      <c r="L32" s="333"/>
      <c r="M32" s="333"/>
      <c r="N32" s="333"/>
      <c r="O32" s="333"/>
    </row>
    <row r="33" spans="1:15" x14ac:dyDescent="0.35">
      <c r="A33" s="39" t="s">
        <v>169</v>
      </c>
      <c r="B33" s="154">
        <v>42700</v>
      </c>
      <c r="C33" s="154">
        <v>1.9199999999999998E-2</v>
      </c>
      <c r="D33" s="1">
        <f t="shared" si="11"/>
        <v>2.9217151952729204E-4</v>
      </c>
      <c r="E33" s="1">
        <f t="shared" si="12"/>
        <v>3.3135998232230473E-8</v>
      </c>
      <c r="F33" s="1">
        <f t="shared" si="13"/>
        <v>5.4466102139763039E-6</v>
      </c>
      <c r="G33" s="1">
        <f t="shared" si="14"/>
        <v>4.9658573649836059E-7</v>
      </c>
      <c r="H33" s="1">
        <f t="shared" si="15"/>
        <v>4.9470032941707446E-6</v>
      </c>
      <c r="I33" s="1">
        <f t="shared" si="16"/>
        <v>1.2260885754787671E-6</v>
      </c>
      <c r="J33" s="1">
        <f t="shared" si="17"/>
        <v>2.2970125866932963E-7</v>
      </c>
      <c r="K33" s="1">
        <f t="shared" si="18"/>
        <v>1.7430600359712764E-7</v>
      </c>
      <c r="L33" s="1">
        <f t="shared" si="19"/>
        <v>-3.0730048797373351E-4</v>
      </c>
      <c r="M33" s="1">
        <f t="shared" ref="M33:M46" si="21">SUM(D33:H33)*1000</f>
        <v>0.30309485477016967</v>
      </c>
      <c r="N33" s="1">
        <f t="shared" si="20"/>
        <v>0.30472495060791488</v>
      </c>
      <c r="O33" s="1">
        <f t="shared" ref="O33:O46" si="22">SUM(D33:L33)*1000</f>
        <v>-2.5755373658186125E-3</v>
      </c>
    </row>
    <row r="34" spans="1:15" x14ac:dyDescent="0.35">
      <c r="A34" s="39" t="s">
        <v>171</v>
      </c>
      <c r="B34" s="154">
        <v>65000</v>
      </c>
      <c r="C34" s="154">
        <v>7.5499999999999998E-2</v>
      </c>
      <c r="D34" s="1">
        <f t="shared" si="11"/>
        <v>1.2260876030880704E-3</v>
      </c>
      <c r="E34" s="1">
        <f t="shared" si="12"/>
        <v>2.5732973276371616E-6</v>
      </c>
      <c r="F34" s="1">
        <f t="shared" si="13"/>
        <v>2.17950635060304E-4</v>
      </c>
      <c r="G34" s="1">
        <f t="shared" si="14"/>
        <v>2.0101561565815377E-5</v>
      </c>
      <c r="H34" s="1">
        <f t="shared" si="15"/>
        <v>4.3474946581863937E-4</v>
      </c>
      <c r="I34" s="1">
        <f t="shared" si="16"/>
        <v>4.9631500008278386E-5</v>
      </c>
      <c r="J34" s="1">
        <f t="shared" si="17"/>
        <v>1.7838292691413218E-5</v>
      </c>
      <c r="K34" s="1">
        <f t="shared" si="18"/>
        <v>1.3536371233002972E-5</v>
      </c>
      <c r="L34" s="1">
        <f t="shared" si="19"/>
        <v>-1.3992840921834687E-3</v>
      </c>
      <c r="M34" s="1">
        <f t="shared" si="21"/>
        <v>1.9014625628604664</v>
      </c>
      <c r="N34" s="1">
        <f t="shared" si="20"/>
        <v>1.9824687267931607</v>
      </c>
      <c r="O34" s="1">
        <f t="shared" si="22"/>
        <v>0.58318463460969183</v>
      </c>
    </row>
    <row r="35" spans="1:15" x14ac:dyDescent="0.35">
      <c r="A35" s="39" t="s">
        <v>173</v>
      </c>
      <c r="B35" s="154">
        <v>1.61</v>
      </c>
      <c r="C35" s="154">
        <v>2.7999999999999997E-2</v>
      </c>
      <c r="D35" s="1">
        <f t="shared" si="11"/>
        <v>6.944816178192163E-6</v>
      </c>
      <c r="E35" s="1">
        <f t="shared" si="12"/>
        <v>3.0664335698171552E-8</v>
      </c>
      <c r="F35" s="1">
        <f t="shared" si="13"/>
        <v>6.3794570603705534E-6</v>
      </c>
      <c r="G35" s="1">
        <f t="shared" si="14"/>
        <v>5.2159633043478248E-7</v>
      </c>
      <c r="H35" s="1">
        <f t="shared" si="15"/>
        <v>1.2035371139313842E-5</v>
      </c>
      <c r="I35" s="1">
        <f t="shared" si="16"/>
        <v>1.2878406582260863E-6</v>
      </c>
      <c r="J35" s="1">
        <f t="shared" si="17"/>
        <v>2.1256750609304743E-7</v>
      </c>
      <c r="K35" s="1">
        <f t="shared" si="18"/>
        <v>1.6130426405292678E-7</v>
      </c>
      <c r="L35" s="1">
        <f t="shared" si="19"/>
        <v>-1.484043640553807E-5</v>
      </c>
      <c r="M35" s="1">
        <f t="shared" si="21"/>
        <v>2.5911905044009514E-2</v>
      </c>
      <c r="N35" s="1">
        <f t="shared" si="20"/>
        <v>2.7573617472381573E-2</v>
      </c>
      <c r="O35" s="1">
        <f t="shared" si="22"/>
        <v>1.2733181066843503E-2</v>
      </c>
    </row>
    <row r="36" spans="1:15" x14ac:dyDescent="0.35">
      <c r="A36" s="39" t="s">
        <v>175</v>
      </c>
      <c r="B36" s="154">
        <v>19.5</v>
      </c>
      <c r="C36" s="154">
        <v>2.9600000000000001E-2</v>
      </c>
      <c r="D36" s="1">
        <f t="shared" si="11"/>
        <v>3.7035993036582238E-5</v>
      </c>
      <c r="E36" s="1">
        <f t="shared" si="12"/>
        <v>7.3196027254334448E-8</v>
      </c>
      <c r="F36" s="1">
        <f t="shared" si="13"/>
        <v>1.025440132888626E-5</v>
      </c>
      <c r="G36" s="1">
        <f t="shared" si="14"/>
        <v>6.3440741907692312E-7</v>
      </c>
      <c r="H36" s="1">
        <f t="shared" si="15"/>
        <v>7.9399757821149515E-6</v>
      </c>
      <c r="I36" s="1">
        <f t="shared" si="16"/>
        <v>1.5663754142719996E-6</v>
      </c>
      <c r="J36" s="1">
        <f t="shared" si="17"/>
        <v>5.0740042512319476E-7</v>
      </c>
      <c r="K36" s="1">
        <f t="shared" si="18"/>
        <v>3.8503463515638476E-7</v>
      </c>
      <c r="L36" s="1">
        <f t="shared" si="19"/>
        <v>-4.3756336442098708E-5</v>
      </c>
      <c r="M36" s="1">
        <f t="shared" si="21"/>
        <v>5.5937973593914711E-2</v>
      </c>
      <c r="N36" s="1">
        <f t="shared" si="20"/>
        <v>5.8396784068466295E-2</v>
      </c>
      <c r="O36" s="1">
        <f t="shared" si="22"/>
        <v>1.4640447626367587E-2</v>
      </c>
    </row>
    <row r="37" spans="1:15" x14ac:dyDescent="0.35">
      <c r="A37" s="39" t="s">
        <v>177</v>
      </c>
      <c r="B37" s="154">
        <v>177</v>
      </c>
      <c r="C37" s="154">
        <v>3.7100000000000001E-2</v>
      </c>
      <c r="D37" s="1">
        <f t="shared" si="11"/>
        <v>6.2244730114919473E-5</v>
      </c>
      <c r="E37" s="1">
        <f t="shared" si="12"/>
        <v>1.0987776765633682E-7</v>
      </c>
      <c r="F37" s="1">
        <f t="shared" si="13"/>
        <v>1.538186098722166E-5</v>
      </c>
      <c r="G37" s="1">
        <f t="shared" si="14"/>
        <v>9.4820752220338982E-7</v>
      </c>
      <c r="H37" s="1">
        <f t="shared" si="15"/>
        <v>1.1826259847123853E-5</v>
      </c>
      <c r="I37" s="1">
        <f t="shared" si="16"/>
        <v>2.3411594911172881E-6</v>
      </c>
      <c r="J37" s="1">
        <f t="shared" si="17"/>
        <v>7.6168103805266902E-7</v>
      </c>
      <c r="K37" s="1">
        <f t="shared" si="18"/>
        <v>5.7799238248753979E-7</v>
      </c>
      <c r="L37" s="1">
        <f t="shared" si="19"/>
        <v>-6.9735395960341916E-5</v>
      </c>
      <c r="M37" s="1">
        <f t="shared" si="21"/>
        <v>9.051093623912472E-2</v>
      </c>
      <c r="N37" s="1">
        <f t="shared" si="20"/>
        <v>9.4191769150782215E-2</v>
      </c>
      <c r="O37" s="1">
        <f t="shared" si="22"/>
        <v>2.4456373190440299E-2</v>
      </c>
    </row>
    <row r="38" spans="1:15" x14ac:dyDescent="0.35">
      <c r="A38" s="39" t="s">
        <v>179</v>
      </c>
      <c r="B38" s="154">
        <v>1.6900000000000001E-5</v>
      </c>
      <c r="C38" s="154">
        <v>2.1299999999999999E-2</v>
      </c>
      <c r="D38" s="1">
        <f t="shared" si="11"/>
        <v>1.4767056411293405E-5</v>
      </c>
      <c r="E38" s="1">
        <f t="shared" si="12"/>
        <v>1.2846353778871438E-8</v>
      </c>
      <c r="F38" s="1">
        <f t="shared" si="13"/>
        <v>1.5986539566601746E-6</v>
      </c>
      <c r="G38" s="1">
        <f t="shared" si="14"/>
        <v>1.4363581899408282E-7</v>
      </c>
      <c r="H38" s="1">
        <f t="shared" si="15"/>
        <v>2.5035346298108172E-6</v>
      </c>
      <c r="I38" s="1">
        <f t="shared" si="16"/>
        <v>3.5464215694153836E-7</v>
      </c>
      <c r="J38" s="1">
        <f t="shared" si="17"/>
        <v>8.9051900945844519E-8</v>
      </c>
      <c r="K38" s="1">
        <f t="shared" si="18"/>
        <v>6.7575950852506183E-8</v>
      </c>
      <c r="L38" s="1">
        <f t="shared" si="19"/>
        <v>-1.6034557796514238E-5</v>
      </c>
      <c r="M38" s="1">
        <f t="shared" si="21"/>
        <v>1.9025727170537347E-2</v>
      </c>
      <c r="N38" s="1">
        <f t="shared" si="20"/>
        <v>1.9536997179277236E-2</v>
      </c>
      <c r="O38" s="1">
        <f t="shared" si="22"/>
        <v>3.5024393827629966E-3</v>
      </c>
    </row>
    <row r="39" spans="1:15" x14ac:dyDescent="0.35">
      <c r="A39" s="39" t="s">
        <v>181</v>
      </c>
      <c r="B39" s="154">
        <v>2.3000000000000001E-4</v>
      </c>
      <c r="C39" s="154">
        <v>1.84E-2</v>
      </c>
      <c r="D39" s="1">
        <f t="shared" si="11"/>
        <v>2.73225936707046E-5</v>
      </c>
      <c r="E39" s="1">
        <f t="shared" si="12"/>
        <v>2.1734050981136607E-8</v>
      </c>
      <c r="F39" s="1">
        <f t="shared" si="13"/>
        <v>7.8696015235873036E-6</v>
      </c>
      <c r="G39" s="1">
        <f t="shared" si="14"/>
        <v>7.4181743999999999E-7</v>
      </c>
      <c r="H39" s="1">
        <f t="shared" si="15"/>
        <v>3.065038480856865E-6</v>
      </c>
      <c r="I39" s="1">
        <f t="shared" si="16"/>
        <v>1.8315747340799997E-6</v>
      </c>
      <c r="J39" s="1">
        <f t="shared" si="17"/>
        <v>1.5066209357455078E-7</v>
      </c>
      <c r="K39" s="1">
        <f t="shared" si="18"/>
        <v>1.1432809544313966E-7</v>
      </c>
      <c r="L39" s="1">
        <f t="shared" si="19"/>
        <v>-3.2143458064550429E-5</v>
      </c>
      <c r="M39" s="1">
        <f t="shared" si="21"/>
        <v>3.9020785166129911E-2</v>
      </c>
      <c r="N39" s="1">
        <f t="shared" si="20"/>
        <v>4.1117350089227601E-2</v>
      </c>
      <c r="O39" s="1">
        <f t="shared" si="22"/>
        <v>8.9738920246771707E-3</v>
      </c>
    </row>
    <row r="40" spans="1:15" x14ac:dyDescent="0.35">
      <c r="A40" s="39" t="s">
        <v>182</v>
      </c>
      <c r="B40" s="154">
        <v>4220</v>
      </c>
      <c r="C40" s="154">
        <v>5.0099999999999999E-2</v>
      </c>
      <c r="D40" s="1">
        <f t="shared" si="11"/>
        <v>4.4502473457270163E-6</v>
      </c>
      <c r="E40" s="1">
        <f t="shared" si="12"/>
        <v>7.8972639828877798E-9</v>
      </c>
      <c r="F40" s="1">
        <f t="shared" si="13"/>
        <v>1.2108791194538719E-6</v>
      </c>
      <c r="G40" s="1">
        <f t="shared" si="14"/>
        <v>9.316378266824645E-8</v>
      </c>
      <c r="H40" s="1">
        <f t="shared" si="15"/>
        <v>2.9044094866990035E-5</v>
      </c>
      <c r="I40" s="1">
        <f t="shared" si="16"/>
        <v>2.3002482991836962E-7</v>
      </c>
      <c r="J40" s="1">
        <f t="shared" si="17"/>
        <v>5.4744434261492891E-8</v>
      </c>
      <c r="K40" s="1">
        <f t="shared" si="18"/>
        <v>4.1542147442227365E-8</v>
      </c>
      <c r="L40" s="1">
        <f t="shared" si="19"/>
        <v>-6.6794739877916522E-6</v>
      </c>
      <c r="M40" s="1">
        <f t="shared" si="21"/>
        <v>3.4806282378822058E-2</v>
      </c>
      <c r="N40" s="1">
        <f t="shared" si="20"/>
        <v>3.5132593790444151E-2</v>
      </c>
      <c r="O40" s="1">
        <f t="shared" si="22"/>
        <v>2.8453119802652499E-2</v>
      </c>
    </row>
    <row r="41" spans="1:15" x14ac:dyDescent="0.35">
      <c r="A41" s="39" t="s">
        <v>184</v>
      </c>
      <c r="B41" s="154">
        <v>819000</v>
      </c>
      <c r="C41" s="154">
        <v>7.9399999999999998E-2</v>
      </c>
      <c r="D41" s="1">
        <f t="shared" si="11"/>
        <v>3.8835432736414766E-5</v>
      </c>
      <c r="E41" s="1">
        <f t="shared" si="12"/>
        <v>1.1042769018891711E-8</v>
      </c>
      <c r="F41" s="1">
        <f t="shared" si="13"/>
        <v>1.5816360133480199E-6</v>
      </c>
      <c r="G41" s="1">
        <f t="shared" si="14"/>
        <v>1.0582873725758241E-7</v>
      </c>
      <c r="H41" s="1">
        <f t="shared" si="15"/>
        <v>1.2394789285393173E-6</v>
      </c>
      <c r="I41" s="1">
        <f t="shared" si="16"/>
        <v>2.6129507187183238E-7</v>
      </c>
      <c r="J41" s="1">
        <f t="shared" si="17"/>
        <v>7.6549314285238074E-8</v>
      </c>
      <c r="K41" s="1">
        <f t="shared" si="18"/>
        <v>5.8088515180356561E-8</v>
      </c>
      <c r="L41" s="1">
        <f t="shared" si="19"/>
        <v>-4.8577842398541412E-5</v>
      </c>
      <c r="M41" s="1">
        <f t="shared" si="21"/>
        <v>4.1773419184578574E-2</v>
      </c>
      <c r="N41" s="1">
        <f t="shared" si="20"/>
        <v>4.2169352085916011E-2</v>
      </c>
      <c r="O41" s="1">
        <f t="shared" si="22"/>
        <v>-6.4084903126254041E-3</v>
      </c>
    </row>
    <row r="42" spans="1:15" x14ac:dyDescent="0.35">
      <c r="A42" s="39" t="s">
        <v>186</v>
      </c>
      <c r="B42" s="154">
        <v>65000</v>
      </c>
      <c r="C42" s="154">
        <v>8.3199999999999996E-2</v>
      </c>
      <c r="D42" s="1">
        <f t="shared" si="11"/>
        <v>2.6545808046214132E-10</v>
      </c>
      <c r="E42" s="1">
        <f t="shared" si="12"/>
        <v>3.3290156379975435E-14</v>
      </c>
      <c r="F42" s="1">
        <f t="shared" si="13"/>
        <v>1.9975881209753402E-11</v>
      </c>
      <c r="G42" s="1">
        <f t="shared" si="14"/>
        <v>1.8158204159999996E-12</v>
      </c>
      <c r="H42" s="1">
        <f t="shared" si="15"/>
        <v>3.8376133971072155E-11</v>
      </c>
      <c r="I42" s="1">
        <f t="shared" si="16"/>
        <v>4.4833278597119991E-12</v>
      </c>
      <c r="J42" s="1">
        <f t="shared" si="17"/>
        <v>2.3076989466825078E-13</v>
      </c>
      <c r="K42" s="1">
        <f t="shared" si="18"/>
        <v>1.7511692501458543E-13</v>
      </c>
      <c r="L42" s="1">
        <f t="shared" si="19"/>
        <v>-2.0963051489035519E-11</v>
      </c>
      <c r="M42" s="1">
        <f t="shared" si="21"/>
        <v>3.2565920621534685E-7</v>
      </c>
      <c r="N42" s="1">
        <f t="shared" si="20"/>
        <v>3.305484208947417E-7</v>
      </c>
      <c r="O42" s="1">
        <f t="shared" si="22"/>
        <v>3.0958536940570617E-7</v>
      </c>
    </row>
    <row r="43" spans="1:15" x14ac:dyDescent="0.35">
      <c r="A43" s="39" t="s">
        <v>188</v>
      </c>
      <c r="B43" s="154">
        <v>5.3600000000000002E-2</v>
      </c>
      <c r="C43" s="154">
        <v>6.3099999999999989E-2</v>
      </c>
      <c r="D43" s="1">
        <f t="shared" si="11"/>
        <v>5.1744077555990036E-8</v>
      </c>
      <c r="E43" s="1">
        <f t="shared" si="12"/>
        <v>4.4247185444639328E-9</v>
      </c>
      <c r="F43" s="1">
        <f t="shared" si="13"/>
        <v>3.637025754726523E-7</v>
      </c>
      <c r="G43" s="1">
        <f t="shared" si="14"/>
        <v>3.3659072764925365E-8</v>
      </c>
      <c r="H43" s="1">
        <f t="shared" si="15"/>
        <v>3.1782473950987704E-6</v>
      </c>
      <c r="I43" s="1">
        <f t="shared" si="16"/>
        <v>8.3105497288925339E-8</v>
      </c>
      <c r="J43" s="1">
        <f t="shared" si="17"/>
        <v>3.0672485307302459E-8</v>
      </c>
      <c r="K43" s="1">
        <f t="shared" si="18"/>
        <v>2.3275442047115675E-8</v>
      </c>
      <c r="L43" s="1">
        <f t="shared" si="19"/>
        <v>-2.3089295331678049E-7</v>
      </c>
      <c r="M43" s="1">
        <f t="shared" si="21"/>
        <v>3.6317778394368018E-3</v>
      </c>
      <c r="N43" s="1">
        <f t="shared" si="20"/>
        <v>3.7688312640801456E-3</v>
      </c>
      <c r="O43" s="1">
        <f t="shared" si="22"/>
        <v>3.5379383107633651E-3</v>
      </c>
    </row>
    <row r="44" spans="1:15" x14ac:dyDescent="0.35">
      <c r="A44" s="39" t="s">
        <v>190</v>
      </c>
      <c r="B44" s="154">
        <v>5.9500000000000004E-4</v>
      </c>
      <c r="C44" s="154">
        <v>8.9600000000000013E-2</v>
      </c>
      <c r="D44" s="1">
        <f t="shared" si="11"/>
        <v>1.9987123122263136E-4</v>
      </c>
      <c r="E44" s="1">
        <f t="shared" si="12"/>
        <v>2.4738054013269055E-7</v>
      </c>
      <c r="F44" s="1">
        <f t="shared" si="13"/>
        <v>1.2691269009912495E-4</v>
      </c>
      <c r="G44" s="1">
        <f t="shared" si="14"/>
        <v>1.2001960207058822E-5</v>
      </c>
      <c r="H44" s="1">
        <f t="shared" si="15"/>
        <v>1.3336888999001009E-5</v>
      </c>
      <c r="I44" s="1">
        <f t="shared" si="16"/>
        <v>2.9633284268272938E-5</v>
      </c>
      <c r="J44" s="1">
        <f t="shared" si="17"/>
        <v>1.7148607095079711E-6</v>
      </c>
      <c r="K44" s="1">
        <f t="shared" si="18"/>
        <v>1.3013011714941059E-6</v>
      </c>
      <c r="L44" s="1">
        <f t="shared" si="19"/>
        <v>-2.5798294664485443E-4</v>
      </c>
      <c r="M44" s="1">
        <f t="shared" si="21"/>
        <v>0.35237015106794878</v>
      </c>
      <c r="N44" s="1">
        <f t="shared" si="20"/>
        <v>0.38501959721722384</v>
      </c>
      <c r="O44" s="1">
        <f t="shared" si="22"/>
        <v>0.12703665057236938</v>
      </c>
    </row>
    <row r="45" spans="1:15" x14ac:dyDescent="0.35">
      <c r="A45" s="39" t="s">
        <v>192</v>
      </c>
      <c r="B45" s="154">
        <v>40.6</v>
      </c>
      <c r="C45" s="154">
        <v>4.7800000000000002E-2</v>
      </c>
      <c r="D45" s="1">
        <f t="shared" si="11"/>
        <v>1.0772510298877315E-4</v>
      </c>
      <c r="E45" s="1">
        <f t="shared" si="12"/>
        <v>4.8368347456516961E-7</v>
      </c>
      <c r="F45" s="1">
        <f t="shared" si="13"/>
        <v>4.9637152068544598E-5</v>
      </c>
      <c r="G45" s="1">
        <f t="shared" si="14"/>
        <v>3.9358468197044326E-6</v>
      </c>
      <c r="H45" s="1">
        <f t="shared" si="15"/>
        <v>2.2439491158003069E-5</v>
      </c>
      <c r="I45" s="1">
        <f t="shared" si="16"/>
        <v>9.7177515699546768E-6</v>
      </c>
      <c r="J45" s="1">
        <f t="shared" si="17"/>
        <v>3.3529306142075896E-6</v>
      </c>
      <c r="K45" s="1">
        <f t="shared" si="18"/>
        <v>2.5443305756644643E-6</v>
      </c>
      <c r="L45" s="1">
        <f t="shared" si="19"/>
        <v>-1.3463306265136879E-4</v>
      </c>
      <c r="M45" s="1">
        <f t="shared" si="21"/>
        <v>0.18422127650959044</v>
      </c>
      <c r="N45" s="1">
        <f t="shared" si="20"/>
        <v>0.19983628926941716</v>
      </c>
      <c r="O45" s="1">
        <f t="shared" si="22"/>
        <v>6.5203226618048366E-2</v>
      </c>
    </row>
    <row r="46" spans="1:15" x14ac:dyDescent="0.35">
      <c r="A46" s="39" t="s">
        <v>194</v>
      </c>
      <c r="B46" s="154">
        <v>11500</v>
      </c>
      <c r="C46" s="154">
        <v>8.5099999999999995E-2</v>
      </c>
      <c r="D46" s="1">
        <f t="shared" si="11"/>
        <v>2.8430018082951529E-5</v>
      </c>
      <c r="E46" s="1">
        <f t="shared" si="12"/>
        <v>2.2188199492951758E-8</v>
      </c>
      <c r="F46" s="1">
        <f t="shared" si="13"/>
        <v>3.461585283725167E-6</v>
      </c>
      <c r="G46" s="1">
        <f t="shared" si="14"/>
        <v>2.9167936865999998E-7</v>
      </c>
      <c r="H46" s="1">
        <f t="shared" si="15"/>
        <v>6.1580758816067979E-6</v>
      </c>
      <c r="I46" s="1">
        <f t="shared" si="16"/>
        <v>7.2016716416111986E-7</v>
      </c>
      <c r="J46" s="1">
        <f t="shared" si="17"/>
        <v>1.5381028558179424E-7</v>
      </c>
      <c r="K46" s="1">
        <f t="shared" si="18"/>
        <v>1.1671706261954069E-7</v>
      </c>
      <c r="L46" s="1">
        <f t="shared" si="19"/>
        <v>-3.5142055484288256E-5</v>
      </c>
      <c r="M46" s="1">
        <f t="shared" si="21"/>
        <v>3.8363546816436445E-2</v>
      </c>
      <c r="N46" s="1">
        <f t="shared" si="20"/>
        <v>3.9354241328798896E-2</v>
      </c>
      <c r="O46" s="1">
        <f t="shared" si="22"/>
        <v>4.2121858445106379E-3</v>
      </c>
    </row>
    <row r="47" spans="1:15" x14ac:dyDescent="0.35">
      <c r="A47" s="376" t="s">
        <v>200</v>
      </c>
      <c r="B47" s="377"/>
      <c r="C47" s="330">
        <f>SUM(C28:C46)</f>
        <v>1</v>
      </c>
      <c r="D47" s="88">
        <f>SUM(D28:D46)*1000</f>
        <v>2.5186986337852799</v>
      </c>
      <c r="E47" s="88">
        <f>SUM(E28:E46)*1000</f>
        <v>8.2057024911274066E-3</v>
      </c>
      <c r="F47" s="88">
        <f t="shared" ref="F47:L47" si="23">SUM(F28:F46)*1000</f>
        <v>0.84010095420454578</v>
      </c>
      <c r="G47" s="88">
        <f t="shared" si="23"/>
        <v>7.5619780604227846E-2</v>
      </c>
      <c r="H47" s="88">
        <f t="shared" si="23"/>
        <v>1.0969059883315928</v>
      </c>
      <c r="I47" s="88">
        <f t="shared" si="23"/>
        <v>0.18670803904445349</v>
      </c>
      <c r="J47" s="88">
        <f t="shared" si="23"/>
        <v>5.688255344740651E-2</v>
      </c>
      <c r="K47" s="88">
        <f t="shared" si="23"/>
        <v>4.3164633155496616E-2</v>
      </c>
      <c r="L47" s="88">
        <f t="shared" si="23"/>
        <v>-3.0443339721978986</v>
      </c>
      <c r="M47" s="1">
        <f>+SUM(M28:M46)</f>
        <v>4.5395310594167722</v>
      </c>
      <c r="N47" s="1">
        <f>+SUM(N28:N46)</f>
        <v>4.8262862850641302</v>
      </c>
      <c r="O47" s="1">
        <f>SUM(O28:O46)</f>
        <v>1.7819523128662307</v>
      </c>
    </row>
    <row r="48" spans="1:15" x14ac:dyDescent="0.35">
      <c r="A48" s="86"/>
      <c r="B48" s="86"/>
      <c r="C48" s="86"/>
      <c r="D48" s="86"/>
      <c r="E48" s="3"/>
    </row>
    <row r="49" spans="1:16" ht="21" x14ac:dyDescent="0.5">
      <c r="A49" s="84"/>
      <c r="B49" s="86"/>
      <c r="C49" s="86"/>
      <c r="D49" s="86"/>
      <c r="E49" s="3"/>
    </row>
    <row r="50" spans="1:16" ht="21" x14ac:dyDescent="0.5">
      <c r="A50" s="76" t="s">
        <v>201</v>
      </c>
      <c r="B50" s="86"/>
      <c r="C50" s="86"/>
      <c r="D50" s="86"/>
      <c r="E50" s="3"/>
    </row>
    <row r="51" spans="1:16" x14ac:dyDescent="0.35">
      <c r="A51" s="264" t="s">
        <v>202</v>
      </c>
      <c r="B51" s="86"/>
      <c r="C51" s="86"/>
      <c r="D51" s="86"/>
      <c r="E51" s="3"/>
    </row>
    <row r="52" spans="1:16" ht="43.5" x14ac:dyDescent="0.35">
      <c r="A52" s="108" t="s">
        <v>203</v>
      </c>
      <c r="B52" s="108" t="s">
        <v>154</v>
      </c>
      <c r="C52" s="108" t="s">
        <v>1011</v>
      </c>
      <c r="D52" s="108" t="s">
        <v>1012</v>
      </c>
      <c r="E52" s="108" t="s">
        <v>1015</v>
      </c>
      <c r="F52" s="108" t="s">
        <v>1010</v>
      </c>
      <c r="G52" s="108" t="s">
        <v>156</v>
      </c>
      <c r="H52" s="108" t="s">
        <v>157</v>
      </c>
      <c r="I52" s="108" t="s">
        <v>158</v>
      </c>
      <c r="J52" s="108" t="s">
        <v>159</v>
      </c>
      <c r="K52" s="108" t="s">
        <v>204</v>
      </c>
      <c r="L52" s="103" t="s">
        <v>987</v>
      </c>
      <c r="M52" s="103" t="s">
        <v>991</v>
      </c>
    </row>
    <row r="53" spans="1:16" x14ac:dyDescent="0.35">
      <c r="A53" s="88" t="s">
        <v>205</v>
      </c>
      <c r="B53" s="88" t="s">
        <v>206</v>
      </c>
      <c r="C53" s="88">
        <f>'A1 - Raw Material Supply'!F54</f>
        <v>14.778290576162606</v>
      </c>
      <c r="D53" s="88">
        <f>'C3'' - Secondary Raw Material '!F321</f>
        <v>0.16679033795373477</v>
      </c>
      <c r="E53" s="88">
        <f>+'A2 - Transport'!Z119</f>
        <v>13.995167663623754</v>
      </c>
      <c r="F53" s="88">
        <f>+'C2''- Transport Secondary'!H59</f>
        <v>1.2858333578999999</v>
      </c>
      <c r="G53" s="88">
        <f>'A3 - Production '!D207</f>
        <v>20.080838114471401</v>
      </c>
      <c r="H53" s="88">
        <f>'A4 - Transport'!B18</f>
        <v>3.1747701841127993</v>
      </c>
      <c r="I53" s="88">
        <f>'A5 - Construction'!E140</f>
        <v>1.1562033017188762</v>
      </c>
      <c r="J53" s="88">
        <f>'C1 - Deconstruction'!B88</f>
        <v>0.87737079908012983</v>
      </c>
      <c r="K53" s="1">
        <f>'D- Benefits &amp; Burdens'!N162</f>
        <v>-22.15587366654762</v>
      </c>
      <c r="L53" s="1">
        <f>SUM(C53:G53)</f>
        <v>50.306920050111493</v>
      </c>
      <c r="M53" s="1">
        <f>SUM(C53:J53)</f>
        <v>55.515264335023303</v>
      </c>
    </row>
    <row r="54" spans="1:16" x14ac:dyDescent="0.35">
      <c r="A54" s="258" t="s">
        <v>58</v>
      </c>
      <c r="B54" s="338">
        <f>+SUM(C54:M54)</f>
        <v>0</v>
      </c>
      <c r="C54" s="325">
        <f t="shared" ref="C54:M54" si="24">+C5-C53</f>
        <v>0</v>
      </c>
      <c r="D54" s="325">
        <f t="shared" si="24"/>
        <v>0</v>
      </c>
      <c r="E54" s="325">
        <f t="shared" si="24"/>
        <v>0</v>
      </c>
      <c r="F54" s="325">
        <f t="shared" si="24"/>
        <v>0</v>
      </c>
      <c r="G54" s="325">
        <f t="shared" si="24"/>
        <v>0</v>
      </c>
      <c r="H54" s="325">
        <f t="shared" si="24"/>
        <v>0</v>
      </c>
      <c r="I54" s="325">
        <f t="shared" si="24"/>
        <v>0</v>
      </c>
      <c r="J54" s="325">
        <f t="shared" si="24"/>
        <v>0</v>
      </c>
      <c r="K54" s="325">
        <f t="shared" si="24"/>
        <v>0</v>
      </c>
      <c r="L54" s="325">
        <f t="shared" si="24"/>
        <v>0</v>
      </c>
      <c r="M54" s="325">
        <f t="shared" si="24"/>
        <v>0</v>
      </c>
      <c r="N54" s="259"/>
      <c r="O54" s="259"/>
    </row>
    <row r="55" spans="1:16" x14ac:dyDescent="0.35">
      <c r="A55" s="86"/>
      <c r="B55" s="86"/>
      <c r="C55" s="242"/>
      <c r="D55" s="242"/>
    </row>
    <row r="56" spans="1:16" ht="21" x14ac:dyDescent="0.5">
      <c r="A56" s="76" t="s">
        <v>207</v>
      </c>
      <c r="B56" s="86"/>
      <c r="C56" s="86"/>
      <c r="D56" s="86"/>
      <c r="E56" s="3"/>
    </row>
    <row r="57" spans="1:16" x14ac:dyDescent="0.35">
      <c r="A57" s="11" t="s">
        <v>208</v>
      </c>
      <c r="B57" s="86"/>
      <c r="C57" s="86"/>
      <c r="D57" s="86"/>
      <c r="E57" s="3"/>
      <c r="O57" s="15" t="s">
        <v>216</v>
      </c>
    </row>
    <row r="58" spans="1:16" x14ac:dyDescent="0.35">
      <c r="A58" s="378" t="s">
        <v>209</v>
      </c>
      <c r="B58" s="104" t="s">
        <v>210</v>
      </c>
      <c r="C58" s="380" t="s">
        <v>211</v>
      </c>
      <c r="D58" s="380"/>
      <c r="E58" s="380" t="s">
        <v>59</v>
      </c>
      <c r="F58" s="380"/>
      <c r="G58" s="380" t="s">
        <v>212</v>
      </c>
      <c r="H58" s="380"/>
      <c r="I58" s="378" t="s">
        <v>213</v>
      </c>
      <c r="J58" s="379"/>
      <c r="K58" s="378" t="s">
        <v>214</v>
      </c>
      <c r="L58" s="379"/>
      <c r="M58" s="378" t="s">
        <v>1016</v>
      </c>
      <c r="N58" s="379"/>
      <c r="O58" s="103" t="s">
        <v>364</v>
      </c>
      <c r="P58" s="336" t="s">
        <v>1007</v>
      </c>
    </row>
    <row r="59" spans="1:16" ht="29" x14ac:dyDescent="0.35">
      <c r="A59" s="378"/>
      <c r="B59" s="104" t="s">
        <v>217</v>
      </c>
      <c r="C59" s="103" t="s">
        <v>1011</v>
      </c>
      <c r="D59" s="103" t="s">
        <v>1015</v>
      </c>
      <c r="E59" s="103" t="s">
        <v>1011</v>
      </c>
      <c r="F59" s="103" t="s">
        <v>1015</v>
      </c>
      <c r="G59" s="103" t="s">
        <v>1011</v>
      </c>
      <c r="H59" s="103" t="s">
        <v>1015</v>
      </c>
      <c r="I59" s="103" t="s">
        <v>1012</v>
      </c>
      <c r="J59" s="103" t="s">
        <v>1010</v>
      </c>
      <c r="K59" s="103" t="s">
        <v>1012</v>
      </c>
      <c r="L59" s="103" t="s">
        <v>1010</v>
      </c>
      <c r="M59" s="103" t="s">
        <v>1011</v>
      </c>
      <c r="N59" s="103" t="s">
        <v>1015</v>
      </c>
      <c r="O59" s="103" t="s">
        <v>218</v>
      </c>
      <c r="P59" s="248" t="s">
        <v>219</v>
      </c>
    </row>
    <row r="60" spans="1:16" x14ac:dyDescent="0.35">
      <c r="A60" s="243" t="s">
        <v>205</v>
      </c>
      <c r="B60" s="243" t="s">
        <v>206</v>
      </c>
      <c r="C60" s="244">
        <f>'A1 - Raw Material Supply'!K115</f>
        <v>2.257590932111079</v>
      </c>
      <c r="D60" s="244">
        <f>'A2 - Transport'!L119</f>
        <v>12.259422769494162</v>
      </c>
      <c r="E60" s="245">
        <f>'A1 - Raw Material Supply'!O115</f>
        <v>11.7448</v>
      </c>
      <c r="F60" s="245">
        <f>'A2 - Transport'!B119</f>
        <v>0.9203231930566127</v>
      </c>
      <c r="G60" s="245">
        <f>'A1 - Raw Material Supply'!N115</f>
        <v>0.12166438176342087</v>
      </c>
      <c r="H60" s="245">
        <f>'A2 - Transport'!O119</f>
        <v>0.16619396150857496</v>
      </c>
      <c r="I60" s="245">
        <f>'C3'' - Secondary Raw Material '!B321</f>
        <v>0.16679033795373477</v>
      </c>
      <c r="J60" s="245">
        <f>'C2''- Transport Secondary'!$D$59</f>
        <v>1.2858333578999999</v>
      </c>
      <c r="K60" s="245">
        <f>'C3'' - Secondary Raw Material '!C321+'C3'' - Secondary Raw Material '!D321+'C3'' - Secondary Raw Material '!E321</f>
        <v>0</v>
      </c>
      <c r="L60" s="245">
        <f>'C2''- Transport Secondary'!$G$59</f>
        <v>0</v>
      </c>
      <c r="M60" s="245">
        <f>'A1 - Raw Material Supply'!Y$115</f>
        <v>0.65423526228811013</v>
      </c>
      <c r="N60" s="245">
        <f>'A2 - Transport'!$Y$119</f>
        <v>0.64922773956440383</v>
      </c>
      <c r="O60" s="245">
        <f>'A3 - Production '!D207</f>
        <v>20.080838114471401</v>
      </c>
      <c r="P60" s="245">
        <f>'D- Benefits &amp; Burdens'!N162</f>
        <v>-22.15587366654762</v>
      </c>
    </row>
    <row r="61" spans="1:16" x14ac:dyDescent="0.35">
      <c r="A61" s="258" t="s">
        <v>58</v>
      </c>
      <c r="B61" s="338">
        <f>+SUM(C60:O60)-SUM(C53:G53)</f>
        <v>0</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220</v>
      </c>
      <c r="B63" s="86"/>
      <c r="C63" s="86"/>
      <c r="D63" s="86"/>
      <c r="E63" s="3"/>
    </row>
    <row r="65" spans="1:40" ht="29" x14ac:dyDescent="0.35">
      <c r="A65" s="380" t="s">
        <v>209</v>
      </c>
      <c r="B65" s="104" t="s">
        <v>210</v>
      </c>
      <c r="C65" s="380" t="s">
        <v>221</v>
      </c>
      <c r="D65" s="380"/>
      <c r="E65" s="380"/>
      <c r="F65" s="380" t="s">
        <v>59</v>
      </c>
      <c r="G65" s="380"/>
      <c r="H65" s="380"/>
      <c r="I65" s="380" t="s">
        <v>212</v>
      </c>
      <c r="J65" s="380"/>
      <c r="K65" s="380"/>
      <c r="L65" s="378" t="s">
        <v>213</v>
      </c>
      <c r="M65" s="387"/>
      <c r="N65" s="379"/>
      <c r="O65" s="378" t="s">
        <v>214</v>
      </c>
      <c r="P65" s="387"/>
      <c r="Q65" s="379"/>
      <c r="R65" s="378" t="s">
        <v>215</v>
      </c>
      <c r="S65" s="387"/>
      <c r="T65" s="379"/>
      <c r="U65" s="104" t="s">
        <v>222</v>
      </c>
      <c r="V65" s="103" t="s">
        <v>223</v>
      </c>
      <c r="W65" s="104" t="s">
        <v>224</v>
      </c>
      <c r="X65" s="104" t="s">
        <v>225</v>
      </c>
      <c r="Y65" s="103" t="s">
        <v>226</v>
      </c>
      <c r="Z65" s="388" t="s">
        <v>227</v>
      </c>
      <c r="AA65" s="390" t="s">
        <v>228</v>
      </c>
      <c r="AB65" s="320" t="s">
        <v>229</v>
      </c>
      <c r="AC65" s="322"/>
      <c r="AD65" s="388" t="s">
        <v>230</v>
      </c>
      <c r="AE65" s="384" t="s">
        <v>231</v>
      </c>
      <c r="AF65" s="384"/>
      <c r="AG65" s="384"/>
      <c r="AH65" s="384"/>
      <c r="AI65" s="384"/>
      <c r="AJ65" s="384"/>
      <c r="AK65" s="384"/>
      <c r="AL65" s="381"/>
      <c r="AM65" s="384" t="s">
        <v>232</v>
      </c>
      <c r="AN65" s="384" t="s">
        <v>233</v>
      </c>
    </row>
    <row r="66" spans="1:40" ht="43.5" x14ac:dyDescent="0.35">
      <c r="A66" s="380"/>
      <c r="B66" s="104" t="s">
        <v>217</v>
      </c>
      <c r="C66" s="104" t="s">
        <v>234</v>
      </c>
      <c r="D66" s="104" t="s">
        <v>235</v>
      </c>
      <c r="E66" s="104" t="s">
        <v>200</v>
      </c>
      <c r="F66" s="104" t="s">
        <v>234</v>
      </c>
      <c r="G66" s="104" t="s">
        <v>235</v>
      </c>
      <c r="H66" s="104" t="s">
        <v>200</v>
      </c>
      <c r="I66" s="104" t="s">
        <v>234</v>
      </c>
      <c r="J66" s="104" t="s">
        <v>235</v>
      </c>
      <c r="K66" s="104" t="s">
        <v>200</v>
      </c>
      <c r="L66" s="104" t="s">
        <v>236</v>
      </c>
      <c r="M66" s="104" t="s">
        <v>237</v>
      </c>
      <c r="N66" s="104" t="s">
        <v>200</v>
      </c>
      <c r="O66" s="104" t="s">
        <v>236</v>
      </c>
      <c r="P66" s="104" t="s">
        <v>237</v>
      </c>
      <c r="Q66" s="104" t="s">
        <v>200</v>
      </c>
      <c r="R66" s="104" t="s">
        <v>234</v>
      </c>
      <c r="S66" s="104" t="s">
        <v>235</v>
      </c>
      <c r="T66" s="104" t="s">
        <v>200</v>
      </c>
      <c r="U66" s="104" t="s">
        <v>238</v>
      </c>
      <c r="V66" s="104" t="s">
        <v>239</v>
      </c>
      <c r="W66" s="104" t="s">
        <v>240</v>
      </c>
      <c r="X66" s="104" t="s">
        <v>240</v>
      </c>
      <c r="Y66" s="104" t="s">
        <v>240</v>
      </c>
      <c r="Z66" s="389"/>
      <c r="AA66" s="391"/>
      <c r="AB66" s="104" t="s">
        <v>241</v>
      </c>
      <c r="AC66" s="103" t="s">
        <v>242</v>
      </c>
      <c r="AD66" s="389"/>
      <c r="AE66" s="247" t="s">
        <v>243</v>
      </c>
      <c r="AF66" s="247" t="s">
        <v>244</v>
      </c>
      <c r="AG66" s="103" t="s">
        <v>245</v>
      </c>
      <c r="AH66" s="103" t="s">
        <v>246</v>
      </c>
      <c r="AI66" s="103" t="s">
        <v>247</v>
      </c>
      <c r="AJ66" s="103" t="s">
        <v>248</v>
      </c>
      <c r="AK66" s="103" t="s">
        <v>249</v>
      </c>
      <c r="AL66" s="103" t="s">
        <v>250</v>
      </c>
      <c r="AM66" s="390"/>
      <c r="AN66" s="390"/>
    </row>
    <row r="67" spans="1:40" x14ac:dyDescent="0.35">
      <c r="A67" s="39" t="s">
        <v>162</v>
      </c>
      <c r="B67" s="39" t="s">
        <v>163</v>
      </c>
      <c r="C67" s="13">
        <f>'A1 - Raw Material Supply'!K114</f>
        <v>3.5123816629792567E-2</v>
      </c>
      <c r="D67" s="1">
        <f>'A2 - Transport'!L118</f>
        <v>2.2680681872400257E-2</v>
      </c>
      <c r="E67" s="62">
        <f>SUM(C67:D67)</f>
        <v>5.7804498502192825E-2</v>
      </c>
      <c r="F67" s="1">
        <f>'A1 - Raw Material Supply'!O114</f>
        <v>3.8115199999999995E-2</v>
      </c>
      <c r="G67" s="1">
        <f>'A2 - Transport'!B118</f>
        <v>1.3723956056223999E-3</v>
      </c>
      <c r="H67" s="62">
        <f>SUM(F67:G67)</f>
        <v>3.9487595605622393E-2</v>
      </c>
      <c r="I67" s="1">
        <f>'A1 - Raw Material Supply'!N114</f>
        <v>9.3081697010435698E-4</v>
      </c>
      <c r="J67" s="1">
        <f>'A2 - Transport'!O118</f>
        <v>2.4783017985000001E-4</v>
      </c>
      <c r="K67" s="62">
        <f>SUM(I67:J67)</f>
        <v>1.178647149954357E-3</v>
      </c>
      <c r="L67" s="1">
        <f>'C3'' - Secondary Raw Material '!B320</f>
        <v>2.132393117742819E-4</v>
      </c>
      <c r="M67" s="1">
        <f>'C2''- Transport Secondary'!D58</f>
        <v>1.9174482000000001E-3</v>
      </c>
      <c r="N67" s="62">
        <f t="shared" ref="N67" si="25">SUM(L67:M67)</f>
        <v>2.1306875117742818E-3</v>
      </c>
      <c r="O67" s="1">
        <f>'C3'' - Secondary Raw Material '!C320+'C3'' - Secondary Raw Material '!D320+'C3'' - Secondary Raw Material '!E320</f>
        <v>0</v>
      </c>
      <c r="P67" s="1">
        <f>'C2''- Transport Secondary'!G58</f>
        <v>0</v>
      </c>
      <c r="Q67" s="62">
        <f t="shared" ref="Q67" si="26">SUM(O67:P67)</f>
        <v>0</v>
      </c>
      <c r="R67" s="1">
        <f>'A1 - Raw Material Supply'!Y114</f>
        <v>5.2168551507805029E-3</v>
      </c>
      <c r="S67" s="1">
        <f>'A2 - Transport'!Y118</f>
        <v>9.68135219832E-4</v>
      </c>
      <c r="T67" s="62">
        <f>SUM(R67:S67)</f>
        <v>6.1849903706125029E-3</v>
      </c>
      <c r="U67" s="62">
        <f>'A3 - Production '!D206</f>
        <v>2.0035040989372234E-2</v>
      </c>
      <c r="V67" s="62">
        <f>'A4 - Transport'!B17</f>
        <v>4.7342506223999993E-3</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8.3677292999999996E-3</v>
      </c>
      <c r="AC67" s="1">
        <f>'D- Benefits &amp; Burdens'!C161</f>
        <v>9.7208322691190062E-4</v>
      </c>
      <c r="AD67" s="62">
        <f>SUM(AB67:AC67)</f>
        <v>9.3398125269119007E-3</v>
      </c>
      <c r="AE67" s="1">
        <f>'D- Benefits &amp; Burdens'!D161</f>
        <v>-4.0179887999999997E-2</v>
      </c>
      <c r="AF67" s="1">
        <f>'D- Benefits &amp; Burdens'!E161</f>
        <v>-7.2480855828086074E-3</v>
      </c>
      <c r="AG67" s="1">
        <f>'D- Benefits &amp; Burdens'!F161</f>
        <v>-1.4655669292787669E-2</v>
      </c>
      <c r="AH67" s="1">
        <f>'D- Benefits &amp; Burdens'!G161</f>
        <v>-8.9310864495955131E-3</v>
      </c>
      <c r="AI67" s="1">
        <f>'D- Benefits &amp; Burdens'!H161</f>
        <v>-2.7058083595799761E-3</v>
      </c>
      <c r="AJ67" s="1">
        <f>'D- Benefits &amp; Burdens'!I161</f>
        <v>-3.6092786189298306E-3</v>
      </c>
      <c r="AK67" s="1">
        <f>'D- Benefits &amp; Burdens'!J161</f>
        <v>-1.5256923866726403E-2</v>
      </c>
      <c r="AL67" s="1">
        <f>'D- Benefits &amp; Burdens'!K161</f>
        <v>-8.1704102738400005E-3</v>
      </c>
      <c r="AM67" s="62">
        <f>SUM(AE67:AL67)</f>
        <v>-0.100757150444268</v>
      </c>
      <c r="AN67" s="62">
        <f>AD67+AM67</f>
        <v>-9.1417337917356095E-2</v>
      </c>
    </row>
    <row r="68" spans="1:40" x14ac:dyDescent="0.35">
      <c r="A68" s="39" t="s">
        <v>164</v>
      </c>
      <c r="B68" s="39" t="s">
        <v>165</v>
      </c>
      <c r="C68" s="13">
        <f>'A1 - Raw Material Supply'!K115</f>
        <v>2.257590932111079</v>
      </c>
      <c r="D68" s="1">
        <f>'A2 - Transport'!L119</f>
        <v>12.259422769494162</v>
      </c>
      <c r="E68" s="62">
        <f t="shared" ref="E68:E85" si="27">SUM(C68:D68)</f>
        <v>14.51701370160524</v>
      </c>
      <c r="F68" s="1">
        <f>'A1 - Raw Material Supply'!O115</f>
        <v>11.7448</v>
      </c>
      <c r="G68" s="1">
        <f>'A2 - Transport'!B119</f>
        <v>0.9203231930566127</v>
      </c>
      <c r="H68" s="62">
        <f t="shared" ref="H68:H85" si="28">SUM(F68:G68)</f>
        <v>12.665123193056612</v>
      </c>
      <c r="I68" s="1">
        <f>'A1 - Raw Material Supply'!N115</f>
        <v>0.12166438176342087</v>
      </c>
      <c r="J68" s="1">
        <f>'A2 - Transport'!O119</f>
        <v>0.16619396150857496</v>
      </c>
      <c r="K68" s="62">
        <f t="shared" ref="K68:K85" si="29">SUM(I68:J68)</f>
        <v>0.28785834327199583</v>
      </c>
      <c r="L68" s="1">
        <f>'C3'' - Secondary Raw Material '!B321</f>
        <v>0.16679033795373477</v>
      </c>
      <c r="M68" s="1">
        <f>'C2''- Transport Secondary'!D59</f>
        <v>1.2858333578999999</v>
      </c>
      <c r="N68" s="62">
        <f t="shared" ref="N68:N85" si="30">SUM(L68:M68)</f>
        <v>1.4526236958537346</v>
      </c>
      <c r="O68" s="1">
        <f>'C3'' - Secondary Raw Material '!C321+'C3'' - Secondary Raw Material '!D321+'C3'' - Secondary Raw Material '!E321</f>
        <v>0</v>
      </c>
      <c r="P68" s="1">
        <f>'C2''- Transport Secondary'!G59</f>
        <v>0</v>
      </c>
      <c r="Q68" s="62">
        <f t="shared" ref="Q68:Q85" si="31">SUM(O68:P68)</f>
        <v>0</v>
      </c>
      <c r="R68" s="1">
        <f>'A1 - Raw Material Supply'!Y115</f>
        <v>0.65423526228811013</v>
      </c>
      <c r="S68" s="1">
        <f>'A2 - Transport'!Y119</f>
        <v>0.64922773956440383</v>
      </c>
      <c r="T68" s="62">
        <f t="shared" ref="T68:T85" si="32">SUM(R68:S68)</f>
        <v>1.303463001852514</v>
      </c>
      <c r="U68" s="62">
        <f>'A3 - Production '!D207</f>
        <v>20.080838114471401</v>
      </c>
      <c r="V68" s="62">
        <f>'A4 - Transport'!B18</f>
        <v>3.1747701841127993</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3.0586994360999999</v>
      </c>
      <c r="AC68" s="1">
        <f>'D- Benefits &amp; Burdens'!C162</f>
        <v>0.76033864762898462</v>
      </c>
      <c r="AD68" s="62">
        <f t="shared" ref="AD68:AD85" si="34">SUM(AB68:AC68)</f>
        <v>3.8190380837289846</v>
      </c>
      <c r="AE68" s="1">
        <f>'D- Benefits &amp; Burdens'!D162</f>
        <v>-12.381012</v>
      </c>
      <c r="AF68" s="1">
        <f>'D- Benefits &amp; Burdens'!E162</f>
        <v>-0.94737620791540567</v>
      </c>
      <c r="AG68" s="1">
        <f>'D- Benefits &amp; Burdens'!F162</f>
        <v>-0.76160680160773897</v>
      </c>
      <c r="AH68" s="1">
        <f>'D- Benefits &amp; Burdens'!G162</f>
        <v>-1.0130154825271522</v>
      </c>
      <c r="AI68" s="1">
        <f>'D- Benefits &amp; Burdens'!H162</f>
        <v>-0.98906814583998781</v>
      </c>
      <c r="AJ68" s="1">
        <f>'D- Benefits &amp; Burdens'!I162</f>
        <v>-1.3193183097412648</v>
      </c>
      <c r="AK68" s="1">
        <f>'D- Benefits &amp; Burdens'!J162</f>
        <v>-5.5769424122953737</v>
      </c>
      <c r="AL68" s="1">
        <f>'D- Benefits &amp; Burdens'!K162</f>
        <v>-2.9865723903496799</v>
      </c>
      <c r="AM68" s="62">
        <f t="shared" ref="AM68:AM85" si="35">SUM(AE68:AL68)</f>
        <v>-25.974911750276604</v>
      </c>
      <c r="AN68" s="62">
        <f t="shared" ref="AN68:AN85" si="36">AD68+AM68</f>
        <v>-22.15587366654762</v>
      </c>
    </row>
    <row r="69" spans="1:40" x14ac:dyDescent="0.35">
      <c r="A69" s="39" t="s">
        <v>166</v>
      </c>
      <c r="B69" s="39" t="s">
        <v>165</v>
      </c>
      <c r="C69" s="13">
        <f>'A1 - Raw Material Supply'!K116</f>
        <v>4.3074191235738827E-3</v>
      </c>
      <c r="D69" s="1">
        <f>'A2 - Transport'!L120</f>
        <v>5.6135697782853716E-3</v>
      </c>
      <c r="E69" s="62">
        <f t="shared" si="27"/>
        <v>9.9209889018592543E-3</v>
      </c>
      <c r="F69" s="1">
        <f>'A1 - Raw Material Supply'!O116</f>
        <v>4.6536000000000001E-2</v>
      </c>
      <c r="G69" s="1">
        <f>'A2 - Transport'!B120</f>
        <v>4.3011820489776E-4</v>
      </c>
      <c r="H69" s="62">
        <f t="shared" si="28"/>
        <v>4.696611820489776E-2</v>
      </c>
      <c r="I69" s="1">
        <f>'A1 - Raw Material Supply'!N116</f>
        <v>1.8973973943732778E-3</v>
      </c>
      <c r="J69" s="1">
        <f>'A2 - Transport'!O120</f>
        <v>7.7671679827499994E-5</v>
      </c>
      <c r="K69" s="62">
        <f t="shared" si="29"/>
        <v>1.9750690742007778E-3</v>
      </c>
      <c r="L69" s="1">
        <f>'C3'' - Secondary Raw Material '!B322</f>
        <v>3.4471332246079752E-5</v>
      </c>
      <c r="M69" s="1">
        <f>'C2''- Transport Secondary'!D60</f>
        <v>6.0094143000000004E-4</v>
      </c>
      <c r="N69" s="62">
        <f t="shared" si="30"/>
        <v>6.3541276224607975E-4</v>
      </c>
      <c r="O69" s="1">
        <f>'C3'' - Secondary Raw Material '!C322+'C3'' - Secondary Raw Material '!D322+'C3'' - Secondary Raw Material '!E322</f>
        <v>0</v>
      </c>
      <c r="P69" s="1">
        <f>'C2''- Transport Secondary'!G60</f>
        <v>0</v>
      </c>
      <c r="Q69" s="62">
        <f t="shared" si="31"/>
        <v>0</v>
      </c>
      <c r="R69" s="1">
        <f>'A1 - Raw Material Supply'!Y116</f>
        <v>0.1068681104617966</v>
      </c>
      <c r="S69" s="1">
        <f>'A2 - Transport'!Y120</f>
        <v>3.0342022456679999E-4</v>
      </c>
      <c r="T69" s="62">
        <f t="shared" si="32"/>
        <v>0.1071715306863634</v>
      </c>
      <c r="U69" s="62">
        <f>'A3 - Production '!D208</f>
        <v>6.7701088827908972E-3</v>
      </c>
      <c r="V69" s="62">
        <f>'A4 - Transport'!B19</f>
        <v>1.4837466477599999E-3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1.41369732E-3</v>
      </c>
      <c r="AC69" s="1">
        <f>'D- Benefits &amp; Burdens'!C163</f>
        <v>1.5714271260259654E-4</v>
      </c>
      <c r="AD69" s="62">
        <f t="shared" si="34"/>
        <v>1.5708400326025966E-3</v>
      </c>
      <c r="AE69" s="1">
        <f>'D- Benefits &amp; Burdens'!D163</f>
        <v>-4.9056840000000004E-2</v>
      </c>
      <c r="AF69" s="1">
        <f>'D- Benefits &amp; Burdens'!E163</f>
        <v>-1.4774654030505841E-2</v>
      </c>
      <c r="AG69" s="1">
        <f>'D- Benefits &amp; Burdens'!F163</f>
        <v>-2.347542500540156E-3</v>
      </c>
      <c r="AH69" s="1">
        <f>'D- Benefits &amp; Burdens'!G163</f>
        <v>2.4371335735976125E-4</v>
      </c>
      <c r="AI69" s="1">
        <f>'D- Benefits &amp; Burdens'!H163</f>
        <v>-4.5713644517298238E-4</v>
      </c>
      <c r="AJ69" s="1">
        <f>'D- Benefits &amp; Burdens'!I163</f>
        <v>-6.0977444749729204E-4</v>
      </c>
      <c r="AK69" s="1">
        <f>'D- Benefits &amp; Burdens'!J163</f>
        <v>-2.5776015939993602E-3</v>
      </c>
      <c r="AL69" s="1">
        <f>'D- Benefits &amp; Burdens'!K163</f>
        <v>-1.380360990816E-3</v>
      </c>
      <c r="AM69" s="62">
        <f t="shared" si="35"/>
        <v>-7.0960196651171883E-2</v>
      </c>
      <c r="AN69" s="62">
        <f t="shared" si="36"/>
        <v>-6.9389356618569292E-2</v>
      </c>
    </row>
    <row r="70" spans="1:40" x14ac:dyDescent="0.35">
      <c r="A70" s="39" t="s">
        <v>167</v>
      </c>
      <c r="B70" s="39" t="s">
        <v>165</v>
      </c>
      <c r="C70" s="13">
        <f>'A1 - Raw Material Supply'!K117</f>
        <v>2.2526938635434135</v>
      </c>
      <c r="D70" s="1">
        <f>'A2 - Transport'!L121</f>
        <v>12.252321814684851</v>
      </c>
      <c r="E70" s="62">
        <f t="shared" si="27"/>
        <v>14.505015678228265</v>
      </c>
      <c r="F70" s="1">
        <f>'A1 - Raw Material Supply'!O117</f>
        <v>11.700479999999999</v>
      </c>
      <c r="G70" s="1">
        <f>'A2 - Transport'!B121</f>
        <v>0.91981987156856637</v>
      </c>
      <c r="H70" s="62">
        <f t="shared" si="28"/>
        <v>12.620299871568566</v>
      </c>
      <c r="I70" s="1">
        <f>'A1 - Raw Material Supply'!N117</f>
        <v>0.11956136434225269</v>
      </c>
      <c r="J70" s="1">
        <f>'A2 - Transport'!O121</f>
        <v>0.16610307062085</v>
      </c>
      <c r="K70" s="62">
        <f t="shared" si="29"/>
        <v>0.28566443496310268</v>
      </c>
      <c r="L70" s="1">
        <f>'C3'' - Secondary Raw Material '!B323</f>
        <v>0.16674849071700243</v>
      </c>
      <c r="M70" s="1">
        <f>'C2''- Transport Secondary'!D61</f>
        <v>1.2851301401999999</v>
      </c>
      <c r="N70" s="62">
        <f t="shared" si="30"/>
        <v>1.4518786309170024</v>
      </c>
      <c r="O70" s="1">
        <f>'C3'' - Secondary Raw Material '!C323+'C3'' - Secondary Raw Material '!D323+'C3'' - Secondary Raw Material '!E323</f>
        <v>0</v>
      </c>
      <c r="P70" s="1">
        <f>'C2''- Transport Secondary'!G61</f>
        <v>0</v>
      </c>
      <c r="Q70" s="62">
        <f t="shared" si="31"/>
        <v>0</v>
      </c>
      <c r="R70" s="1">
        <f>'A1 - Raw Material Supply'!Y117</f>
        <v>0.5469162215913369</v>
      </c>
      <c r="S70" s="1">
        <f>'A2 - Transport'!Y121</f>
        <v>0.64887267921775194</v>
      </c>
      <c r="T70" s="62">
        <f t="shared" si="32"/>
        <v>1.195788900809089</v>
      </c>
      <c r="U70" s="62">
        <f>'A3 - Production '!D209</f>
        <v>20.070560716690814</v>
      </c>
      <c r="V70" s="62">
        <f>'A4 - Transport'!B20</f>
        <v>3.1730339135663996</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3.0570452324999997</v>
      </c>
      <c r="AC70" s="1">
        <f>'D- Benefits &amp; Burdens'!C164</f>
        <v>0.76014788075498918</v>
      </c>
      <c r="AD70" s="62">
        <f t="shared" si="34"/>
        <v>3.817193113254989</v>
      </c>
      <c r="AE70" s="1">
        <f>'D- Benefits &amp; Burdens'!D164</f>
        <v>-12.334291199999999</v>
      </c>
      <c r="AF70" s="1">
        <f>'D- Benefits &amp; Burdens'!E164</f>
        <v>-0.93100043186025327</v>
      </c>
      <c r="AG70" s="1">
        <f>'D- Benefits &amp; Burdens'!F164</f>
        <v>-0.75900889721440212</v>
      </c>
      <c r="AH70" s="1">
        <f>'D- Benefits &amp; Burdens'!G164</f>
        <v>-1.0131197910789436</v>
      </c>
      <c r="AI70" s="1">
        <f>'D- Benefits &amp; Burdens'!H164</f>
        <v>-0.98853323872613941</v>
      </c>
      <c r="AJ70" s="1">
        <f>'D- Benefits &amp; Burdens'!I164</f>
        <v>-1.3186047969744459</v>
      </c>
      <c r="AK70" s="1">
        <f>'D- Benefits &amp; Burdens'!J164</f>
        <v>-5.5739262943641608</v>
      </c>
      <c r="AL70" s="1">
        <f>'D- Benefits &amp; Burdens'!K164</f>
        <v>-2.9849571944459998</v>
      </c>
      <c r="AM70" s="62">
        <f t="shared" si="35"/>
        <v>-25.903441844664343</v>
      </c>
      <c r="AN70" s="62">
        <f t="shared" si="36"/>
        <v>-22.086248731409356</v>
      </c>
    </row>
    <row r="71" spans="1:40" x14ac:dyDescent="0.35">
      <c r="A71" s="39" t="s">
        <v>168</v>
      </c>
      <c r="B71" s="39" t="s">
        <v>165</v>
      </c>
      <c r="C71" s="13">
        <f>'A1 - Raw Material Supply'!K118</f>
        <v>5.8964944409195356E-4</v>
      </c>
      <c r="D71" s="1">
        <f>'A2 - Transport'!L122</f>
        <v>1.4873703467201192E-3</v>
      </c>
      <c r="E71" s="62">
        <f t="shared" si="27"/>
        <v>2.0770197908120728E-3</v>
      </c>
      <c r="F71" s="1">
        <f>'A1 - Raw Material Supply'!O118</f>
        <v>5.8723999999999998E-3</v>
      </c>
      <c r="G71" s="1">
        <f>'A2 - Transport'!B122</f>
        <v>7.3202123648800002E-5</v>
      </c>
      <c r="H71" s="62">
        <f t="shared" si="28"/>
        <v>5.9456021236487999E-3</v>
      </c>
      <c r="I71" s="1">
        <f>'A1 - Raw Material Supply'!N118</f>
        <v>2.0562002679489535E-4</v>
      </c>
      <c r="J71" s="1">
        <f>'A2 - Transport'!O122</f>
        <v>1.3218998512499998E-5</v>
      </c>
      <c r="K71" s="62">
        <f t="shared" si="29"/>
        <v>2.1883902530739534E-4</v>
      </c>
      <c r="L71" s="1">
        <f>'C3'' - Secondary Raw Material '!B324</f>
        <v>7.375904486254632E-6</v>
      </c>
      <c r="M71" s="1">
        <f>'C2''- Transport Secondary'!D62</f>
        <v>1.0227464999999999E-4</v>
      </c>
      <c r="N71" s="62">
        <f t="shared" si="30"/>
        <v>1.0965055448625462E-4</v>
      </c>
      <c r="O71" s="1">
        <f>'C3'' - Secondary Raw Material '!C324+'C3'' - Secondary Raw Material '!D324+'C3'' - Secondary Raw Material '!E324</f>
        <v>0</v>
      </c>
      <c r="P71" s="1">
        <f>'C2''- Transport Secondary'!G62</f>
        <v>0</v>
      </c>
      <c r="Q71" s="62">
        <f t="shared" si="31"/>
        <v>0</v>
      </c>
      <c r="R71" s="1">
        <f>'A1 - Raw Material Supply'!Y118</f>
        <v>4.5093023497641831E-4</v>
      </c>
      <c r="S71" s="1">
        <f>'A2 - Transport'!Y122</f>
        <v>5.1639304133999999E-5</v>
      </c>
      <c r="T71" s="62">
        <f t="shared" si="32"/>
        <v>5.0256953911041833E-4</v>
      </c>
      <c r="U71" s="62">
        <f>'A3 - Production '!D210</f>
        <v>3.5072888977966876E-3</v>
      </c>
      <c r="V71" s="62">
        <f>'A4 - Transport'!B21</f>
        <v>2.5251989879999996E-4</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2.4050061000000002E-4</v>
      </c>
      <c r="AC71" s="1">
        <f>'D- Benefits &amp; Burdens'!C165</f>
        <v>3.3624161392820239E-5</v>
      </c>
      <c r="AD71" s="62">
        <f t="shared" si="34"/>
        <v>2.7412477139282027E-4</v>
      </c>
      <c r="AE71" s="1">
        <f>'D- Benefits &amp; Burdens'!D165</f>
        <v>-6.1905060000000001E-3</v>
      </c>
      <c r="AF71" s="1">
        <f>'D- Benefits &amp; Burdens'!E165</f>
        <v>-1.6011220246464912E-3</v>
      </c>
      <c r="AG71" s="1">
        <f>'D- Benefits &amp; Burdens'!F165</f>
        <v>-2.5036189279653651E-4</v>
      </c>
      <c r="AH71" s="1">
        <f>'D- Benefits &amp; Burdens'!G165</f>
        <v>-1.3940480556886E-4</v>
      </c>
      <c r="AI71" s="1">
        <f>'D- Benefits &amp; Burdens'!H165</f>
        <v>-7.7768835211015208E-5</v>
      </c>
      <c r="AJ71" s="1">
        <f>'D- Benefits &amp; Burdens'!I165</f>
        <v>-1.0373587366319101E-4</v>
      </c>
      <c r="AK71" s="1">
        <f>'D- Benefits &amp; Burdens'!J165</f>
        <v>-4.3850599907328006E-4</v>
      </c>
      <c r="AL71" s="1">
        <f>'D- Benefits &amp; Burdens'!K165</f>
        <v>-2.3482937656799999E-4</v>
      </c>
      <c r="AM71" s="62">
        <f t="shared" si="35"/>
        <v>-9.0362348075273737E-3</v>
      </c>
      <c r="AN71" s="62">
        <f t="shared" si="36"/>
        <v>-8.7621100361345537E-3</v>
      </c>
    </row>
    <row r="72" spans="1:40" x14ac:dyDescent="0.35">
      <c r="A72" s="39" t="s">
        <v>169</v>
      </c>
      <c r="B72" s="39" t="s">
        <v>170</v>
      </c>
      <c r="C72" s="13">
        <f>'A1 - Raw Material Supply'!K119</f>
        <v>15.105125447103942</v>
      </c>
      <c r="D72" s="1">
        <f>'A2 - Transport'!L123</f>
        <v>10.622224866245443</v>
      </c>
      <c r="E72" s="62">
        <f t="shared" si="27"/>
        <v>25.727350313349383</v>
      </c>
      <c r="F72" s="1">
        <f>'A1 - Raw Material Supply'!O119</f>
        <v>631.55999999999995</v>
      </c>
      <c r="G72" s="1">
        <f>'A2 - Transport'!B123</f>
        <v>0.79045393525234076</v>
      </c>
      <c r="H72" s="62">
        <f t="shared" si="28"/>
        <v>632.35045393525229</v>
      </c>
      <c r="I72" s="1">
        <f>'A1 - Raw Material Supply'!N119</f>
        <v>0.37977548705269193</v>
      </c>
      <c r="J72" s="1">
        <f>'A2 - Transport'!O123</f>
        <v>0.14274188880682498</v>
      </c>
      <c r="K72" s="62">
        <f t="shared" si="29"/>
        <v>0.52251737585951696</v>
      </c>
      <c r="L72" s="1">
        <f>'C3'' - Secondary Raw Material '!B325</f>
        <v>7.3693079401887573E-2</v>
      </c>
      <c r="M72" s="1">
        <f>'C2''- Transport Secondary'!D63</f>
        <v>1.1043859868999999</v>
      </c>
      <c r="N72" s="62">
        <f t="shared" si="30"/>
        <v>1.1780790663018874</v>
      </c>
      <c r="O72" s="1">
        <f>'C3'' - Secondary Raw Material '!C325+'C3'' - Secondary Raw Material '!D325+'C3'' - Secondary Raw Material '!E325</f>
        <v>0</v>
      </c>
      <c r="P72" s="1">
        <f>'C2''- Transport Secondary'!G63</f>
        <v>0</v>
      </c>
      <c r="Q72" s="62">
        <f t="shared" si="31"/>
        <v>0</v>
      </c>
      <c r="R72" s="1">
        <f>'A1 - Raw Material Supply'!Y119</f>
        <v>2.7323846812273751</v>
      </c>
      <c r="S72" s="1">
        <f>'A2 - Transport'!Y123</f>
        <v>0.55761348348644391</v>
      </c>
      <c r="T72" s="62">
        <f t="shared" si="32"/>
        <v>3.2899981647138192</v>
      </c>
      <c r="U72" s="62">
        <f>'A3 - Production '!D211</f>
        <v>11.001929201098481</v>
      </c>
      <c r="V72" s="62">
        <f>'A4 - Transport'!B22</f>
        <v>2.7267699048407996</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2.5994460492</v>
      </c>
      <c r="AC72" s="1">
        <f>'D- Benefits &amp; Burdens'!C166</f>
        <v>0.33594090053099462</v>
      </c>
      <c r="AD72" s="62">
        <f t="shared" si="34"/>
        <v>2.9353869497309946</v>
      </c>
      <c r="AE72" s="1">
        <f>'D- Benefits &amp; Burdens'!D166</f>
        <v>-665.77139999999997</v>
      </c>
      <c r="AF72" s="1">
        <f>'D- Benefits &amp; Burdens'!E166</f>
        <v>-2.9572357625819019</v>
      </c>
      <c r="AG72" s="1">
        <f>'D- Benefits &amp; Burdens'!F166</f>
        <v>-7.5255544780829347</v>
      </c>
      <c r="AH72" s="1">
        <f>'D- Benefits &amp; Burdens'!G166</f>
        <v>-0.86515576199929611</v>
      </c>
      <c r="AI72" s="1">
        <f>'D- Benefits &amp; Burdens'!H166</f>
        <v>-0.84056290518414611</v>
      </c>
      <c r="AJ72" s="1">
        <f>'D- Benefits &amp; Burdens'!I166</f>
        <v>-1.1212271226841886</v>
      </c>
      <c r="AK72" s="1">
        <f>'D- Benefits &amp; Burdens'!J166</f>
        <v>-4.7395833500860425</v>
      </c>
      <c r="AL72" s="1">
        <f>'D- Benefits &amp; Burdens'!K166</f>
        <v>-2.53814863569696</v>
      </c>
      <c r="AM72" s="62">
        <f t="shared" si="35"/>
        <v>-686.35886801631545</v>
      </c>
      <c r="AN72" s="62">
        <f t="shared" si="36"/>
        <v>-683.42348106658449</v>
      </c>
    </row>
    <row r="73" spans="1:40" ht="29" x14ac:dyDescent="0.35">
      <c r="A73" s="39" t="s">
        <v>171</v>
      </c>
      <c r="B73" s="39" t="s">
        <v>172</v>
      </c>
      <c r="C73" s="13">
        <f>'A1 - Raw Material Supply'!K120</f>
        <v>31.054793647495167</v>
      </c>
      <c r="D73" s="1">
        <f>'A2 - Transport'!L124</f>
        <v>164.27829791385625</v>
      </c>
      <c r="E73" s="62">
        <f t="shared" si="27"/>
        <v>195.33309156135141</v>
      </c>
      <c r="F73" s="1">
        <f>'A1 - Raw Material Supply'!O120</f>
        <v>1014.928</v>
      </c>
      <c r="G73" s="1">
        <f>'A2 - Transport'!B124</f>
        <v>12.386593346867391</v>
      </c>
      <c r="H73" s="62">
        <f t="shared" si="28"/>
        <v>1027.3145933468675</v>
      </c>
      <c r="I73" s="1">
        <f>'A1 - Raw Material Supply'!N120</f>
        <v>2.0373321039625885</v>
      </c>
      <c r="J73" s="1">
        <f>'A2 - Transport'!O124</f>
        <v>2.2367979351629996</v>
      </c>
      <c r="K73" s="62">
        <f t="shared" si="29"/>
        <v>4.2741300391255876</v>
      </c>
      <c r="L73" s="1">
        <f>'C3'' - Secondary Raw Material '!B326</f>
        <v>2.2154215403498743</v>
      </c>
      <c r="M73" s="1">
        <f>'C2''- Transport Secondary'!D64</f>
        <v>17.305980155999997</v>
      </c>
      <c r="N73" s="62">
        <f t="shared" si="30"/>
        <v>19.521401696349869</v>
      </c>
      <c r="O73" s="1">
        <f>'C3'' - Secondary Raw Material '!C326+'C3'' - Secondary Raw Material '!D326+'C3'' - Secondary Raw Material '!E326</f>
        <v>0</v>
      </c>
      <c r="P73" s="1">
        <f>'C2''- Transport Secondary'!G64</f>
        <v>0</v>
      </c>
      <c r="Q73" s="62">
        <f t="shared" si="31"/>
        <v>0</v>
      </c>
      <c r="R73" s="1">
        <f>'A1 - Raw Material Supply'!Y120</f>
        <v>7.5519828674110823</v>
      </c>
      <c r="S73" s="1">
        <f>'A2 - Transport'!Y124</f>
        <v>8.7379303924545599</v>
      </c>
      <c r="T73" s="62">
        <f t="shared" si="32"/>
        <v>16.289913259865642</v>
      </c>
      <c r="U73" s="62">
        <f>'A3 - Production '!D212</f>
        <v>374.28761957896103</v>
      </c>
      <c r="V73" s="62">
        <f>'A4 - Transport'!B23</f>
        <v>42.729105967391988</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41.125258628999994</v>
      </c>
      <c r="AC73" s="1">
        <f>'D- Benefits &amp; Burdens'!C167</f>
        <v>10.099329724872872</v>
      </c>
      <c r="AD73" s="62">
        <f t="shared" si="34"/>
        <v>51.224588353872868</v>
      </c>
      <c r="AE73" s="1">
        <f>'D- Benefits &amp; Burdens'!D167</f>
        <v>-1069.9063200000001</v>
      </c>
      <c r="AF73" s="1">
        <f>'D- Benefits &amp; Burdens'!E167</f>
        <v>-15.864297627135885</v>
      </c>
      <c r="AG73" s="1">
        <f>'D- Benefits &amp; Burdens'!F167</f>
        <v>-10.791774022823558</v>
      </c>
      <c r="AH73" s="1">
        <f>'D- Benefits &amp; Burdens'!G167</f>
        <v>-13.16743971431517</v>
      </c>
      <c r="AI73" s="1">
        <f>'D- Benefits &amp; Burdens'!H167</f>
        <v>-13.298359040873459</v>
      </c>
      <c r="AJ73" s="1">
        <f>'D- Benefits &amp; Burdens'!I167</f>
        <v>-17.738685292748322</v>
      </c>
      <c r="AK73" s="1">
        <f>'D- Benefits &amp; Burdens'!J167</f>
        <v>-74.983895559585804</v>
      </c>
      <c r="AL73" s="1">
        <f>'D- Benefits &amp; Burdens'!K167</f>
        <v>-40.155485863615191</v>
      </c>
      <c r="AM73" s="62">
        <f t="shared" si="35"/>
        <v>-1255.9062571210975</v>
      </c>
      <c r="AN73" s="62">
        <f t="shared" si="36"/>
        <v>-1204.6816687672247</v>
      </c>
    </row>
    <row r="74" spans="1:40" ht="29" x14ac:dyDescent="0.35">
      <c r="A74" s="39" t="s">
        <v>173</v>
      </c>
      <c r="B74" s="39" t="s">
        <v>174</v>
      </c>
      <c r="C74" s="13">
        <f>'A1 - Raw Material Supply'!K121</f>
        <v>1.4384535895084423E-4</v>
      </c>
      <c r="D74" s="1">
        <f>'A2 - Transport'!L125</f>
        <v>3.2633290128656896E-4</v>
      </c>
      <c r="E74" s="62">
        <f t="shared" si="27"/>
        <v>4.7017826023741319E-4</v>
      </c>
      <c r="F74" s="1">
        <f>'A1 - Raw Material Supply'!O121</f>
        <v>9.8611999999999997E-6</v>
      </c>
      <c r="G74" s="1">
        <f>'A2 - Transport'!B125</f>
        <v>2.1466342312848E-5</v>
      </c>
      <c r="H74" s="62">
        <f t="shared" si="28"/>
        <v>3.1327542312847997E-5</v>
      </c>
      <c r="I74" s="1">
        <f>'A1 - Raw Material Supply'!N121</f>
        <v>7.3105915013882289E-5</v>
      </c>
      <c r="J74" s="1">
        <f>'A2 - Transport'!O125</f>
        <v>3.8764387282499998E-6</v>
      </c>
      <c r="K74" s="62">
        <f t="shared" si="29"/>
        <v>7.6982353742132282E-5</v>
      </c>
      <c r="L74" s="1">
        <f>'C3'' - Secondary Raw Material '!B327</f>
        <v>1.7631993026448645E-6</v>
      </c>
      <c r="M74" s="1">
        <f>'C2''- Transport Secondary'!D65</f>
        <v>2.9991789E-5</v>
      </c>
      <c r="N74" s="62">
        <f t="shared" si="30"/>
        <v>3.1754988302644862E-5</v>
      </c>
      <c r="O74" s="1">
        <f>'C3'' - Secondary Raw Material '!C327+'C3'' - Secondary Raw Material '!D327+'C3'' - Secondary Raw Material '!E327</f>
        <v>0</v>
      </c>
      <c r="P74" s="1">
        <f>'C2''- Transport Secondary'!G65</f>
        <v>0</v>
      </c>
      <c r="Q74" s="62">
        <f t="shared" si="31"/>
        <v>0</v>
      </c>
      <c r="R74" s="1">
        <f>'A1 - Raw Material Supply'!Y121</f>
        <v>1.7251445628132297E-4</v>
      </c>
      <c r="S74" s="1">
        <f>'A2 - Transport'!Y125</f>
        <v>1.5143098643639998E-5</v>
      </c>
      <c r="T74" s="62">
        <f t="shared" si="32"/>
        <v>1.8765755492496298E-4</v>
      </c>
      <c r="U74" s="62">
        <f>'A3 - Production '!D213</f>
        <v>6.9203384051054603E-4</v>
      </c>
      <c r="V74" s="62">
        <f>'A4 - Transport'!B24</f>
        <v>7.4050837847999975E-5</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7.0364700000000001E-5</v>
      </c>
      <c r="AC74" s="1">
        <f>'D- Benefits &amp; Burdens'!C168</f>
        <v>8.0378071638972046E-6</v>
      </c>
      <c r="AD74" s="62">
        <f t="shared" si="34"/>
        <v>7.8402507163897209E-5</v>
      </c>
      <c r="AE74" s="1">
        <f>'D- Benefits &amp; Burdens'!D168</f>
        <v>-1.0395377999999999E-5</v>
      </c>
      <c r="AF74" s="1">
        <f>'D- Benefits &amp; Burdens'!E168</f>
        <v>-5.6926113903009868E-4</v>
      </c>
      <c r="AG74" s="1">
        <f>'D- Benefits &amp; Burdens'!F168</f>
        <v>-5.6275216266641469E-5</v>
      </c>
      <c r="AH74" s="1">
        <f>'D- Benefits &amp; Burdens'!G168</f>
        <v>-4.5690197620322211E-5</v>
      </c>
      <c r="AI74" s="1">
        <f>'D- Benefits &amp; Burdens'!H168</f>
        <v>-2.2753292638104003E-5</v>
      </c>
      <c r="AJ74" s="1">
        <f>'D- Benefits &amp; Burdens'!I168</f>
        <v>-3.0350624181569999E-5</v>
      </c>
      <c r="AK74" s="1">
        <f>'D- Benefits &amp; Burdens'!J168</f>
        <v>-1.2829631938560002E-4</v>
      </c>
      <c r="AL74" s="1">
        <f>'D- Benefits &amp; Burdens'!K168</f>
        <v>-6.8705433359999999E-5</v>
      </c>
      <c r="AM74" s="62">
        <f t="shared" si="35"/>
        <v>-9.317276004823363E-4</v>
      </c>
      <c r="AN74" s="62">
        <f t="shared" si="36"/>
        <v>-8.5332509331843907E-4</v>
      </c>
    </row>
    <row r="75" spans="1:40" ht="29" x14ac:dyDescent="0.35">
      <c r="A75" s="39" t="s">
        <v>175</v>
      </c>
      <c r="B75" s="39" t="s">
        <v>176</v>
      </c>
      <c r="C75" s="13">
        <f>'A1 - Raw Material Supply'!K122</f>
        <v>1.3318101023214563E-2</v>
      </c>
      <c r="D75" s="1">
        <f>'A2 - Transport'!L126</f>
        <v>6.1912602252657102E-3</v>
      </c>
      <c r="E75" s="62">
        <f t="shared" si="27"/>
        <v>1.9509361248480274E-2</v>
      </c>
      <c r="F75" s="1">
        <f>'A1 - Raw Material Supply'!O122</f>
        <v>9.8390400000000003E-3</v>
      </c>
      <c r="G75" s="1">
        <f>'A2 - Transport'!B126</f>
        <v>2.9913472572224001E-4</v>
      </c>
      <c r="H75" s="62">
        <f t="shared" si="28"/>
        <v>1.0138174725722241E-2</v>
      </c>
      <c r="I75" s="1">
        <f>'A1 - Raw Material Supply'!N122</f>
        <v>2.1080260603251652E-4</v>
      </c>
      <c r="J75" s="1">
        <f>'A2 - Transport'!O126</f>
        <v>5.4018398609999992E-5</v>
      </c>
      <c r="K75" s="62">
        <f t="shared" si="29"/>
        <v>2.6482100464251651E-4</v>
      </c>
      <c r="L75" s="1">
        <f>'C3'' - Secondary Raw Material '!B328</f>
        <v>4.8220355792551409E-5</v>
      </c>
      <c r="M75" s="1">
        <f>'C2''- Transport Secondary'!D66</f>
        <v>4.1793731999999998E-4</v>
      </c>
      <c r="N75" s="62">
        <f t="shared" si="30"/>
        <v>4.661576757925514E-4</v>
      </c>
      <c r="O75" s="1">
        <f>'C3'' - Secondary Raw Material '!C328+'C3'' - Secondary Raw Material '!D328+'C3'' - Secondary Raw Material '!E328</f>
        <v>0</v>
      </c>
      <c r="P75" s="1">
        <f>'C2''- Transport Secondary'!G66</f>
        <v>0</v>
      </c>
      <c r="Q75" s="62">
        <f t="shared" si="31"/>
        <v>0</v>
      </c>
      <c r="R75" s="1">
        <f>'A1 - Raw Material Supply'!Y122</f>
        <v>1.0307679995824358E-3</v>
      </c>
      <c r="S75" s="1">
        <f>'A2 - Transport'!Y126</f>
        <v>2.110199582832E-4</v>
      </c>
      <c r="T75" s="62">
        <f t="shared" si="32"/>
        <v>1.2417879578656358E-3</v>
      </c>
      <c r="U75" s="62">
        <f>'A3 - Production '!D214</f>
        <v>5.2307272888932957E-3</v>
      </c>
      <c r="V75" s="62">
        <f>'A4 - Transport'!B25</f>
        <v>1.0319027222399997E-3</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3.0023405999999998E-3</v>
      </c>
      <c r="AC75" s="1">
        <f>'D- Benefits &amp; Burdens'!C169</f>
        <v>2.1981968836628309E-4</v>
      </c>
      <c r="AD75" s="62">
        <f t="shared" si="34"/>
        <v>3.2221602883662831E-3</v>
      </c>
      <c r="AE75" s="1">
        <f>'D- Benefits &amp; Burdens'!D169</f>
        <v>-1.03720176E-2</v>
      </c>
      <c r="AF75" s="1">
        <f>'D- Benefits &amp; Burdens'!E169</f>
        <v>-1.6414777326539999E-3</v>
      </c>
      <c r="AG75" s="1">
        <f>'D- Benefits &amp; Burdens'!F169</f>
        <v>-5.2644061437122488E-3</v>
      </c>
      <c r="AH75" s="1">
        <f>'D- Benefits &amp; Burdens'!G169</f>
        <v>-4.0986453918732376E-3</v>
      </c>
      <c r="AI75" s="1">
        <f>'D- Benefits &amp; Burdens'!H169</f>
        <v>-9.70843821846192E-4</v>
      </c>
      <c r="AJ75" s="1">
        <f>'D- Benefits &amp; Burdens'!I169</f>
        <v>-1.2950088782538599E-3</v>
      </c>
      <c r="AK75" s="1">
        <f>'D- Benefits &amp; Burdens'!J169</f>
        <v>-5.4741830565888001E-3</v>
      </c>
      <c r="AL75" s="1">
        <f>'D- Benefits &amp; Burdens'!K169</f>
        <v>-2.9315425492799996E-3</v>
      </c>
      <c r="AM75" s="62">
        <f t="shared" si="35"/>
        <v>-3.2048125174208339E-2</v>
      </c>
      <c r="AN75" s="62">
        <f t="shared" si="36"/>
        <v>-2.8825964885842055E-2</v>
      </c>
    </row>
    <row r="76" spans="1:40" x14ac:dyDescent="0.35">
      <c r="A76" s="39" t="s">
        <v>177</v>
      </c>
      <c r="B76" s="39" t="s">
        <v>178</v>
      </c>
      <c r="C76" s="13">
        <f>'A1 - Raw Material Supply'!K123</f>
        <v>0.17618729939659733</v>
      </c>
      <c r="D76" s="1">
        <f>'A2 - Transport'!L127</f>
        <v>6.7278495785384404E-2</v>
      </c>
      <c r="E76" s="62">
        <f t="shared" si="27"/>
        <v>0.24346579518198175</v>
      </c>
      <c r="F76" s="1">
        <f>'A1 - Raw Material Supply'!O123</f>
        <v>0.1076976</v>
      </c>
      <c r="G76" s="1">
        <f>'A2 - Transport'!B127</f>
        <v>3.2378627207056E-3</v>
      </c>
      <c r="H76" s="62">
        <f t="shared" si="28"/>
        <v>0.1109354627207056</v>
      </c>
      <c r="I76" s="1">
        <f>'A1 - Raw Material Supply'!N123</f>
        <v>2.49859756171603E-3</v>
      </c>
      <c r="J76" s="1">
        <f>'A2 - Transport'!O127</f>
        <v>5.8470028402499987E-4</v>
      </c>
      <c r="K76" s="62">
        <f t="shared" si="29"/>
        <v>3.0832978457410298E-3</v>
      </c>
      <c r="L76" s="1">
        <f>'C3'' - Secondary Raw Material '!B329</f>
        <v>5.2421468666230769E-4</v>
      </c>
      <c r="M76" s="1">
        <f>'C2''- Transport Secondary'!D67</f>
        <v>4.5237932999999996E-3</v>
      </c>
      <c r="N76" s="62">
        <f t="shared" si="30"/>
        <v>5.0480079866623076E-3</v>
      </c>
      <c r="O76" s="1">
        <f>'C3'' - Secondary Raw Material '!C329+'C3'' - Secondary Raw Material '!D329+'C3'' - Secondary Raw Material '!E329</f>
        <v>0</v>
      </c>
      <c r="P76" s="1">
        <f>'C2''- Transport Secondary'!G67</f>
        <v>0</v>
      </c>
      <c r="Q76" s="62">
        <f t="shared" si="31"/>
        <v>0</v>
      </c>
      <c r="R76" s="1">
        <f>'A1 - Raw Material Supply'!Y123</f>
        <v>1.0579231622299769E-2</v>
      </c>
      <c r="S76" s="1">
        <f>'A2 - Transport'!Y127</f>
        <v>2.284100097708E-3</v>
      </c>
      <c r="T76" s="62">
        <f t="shared" si="32"/>
        <v>1.2863331720007769E-2</v>
      </c>
      <c r="U76" s="62">
        <f>'A3 - Production '!D215</f>
        <v>5.6421778785469584E-2</v>
      </c>
      <c r="V76" s="62">
        <f>'A4 - Transport'!B26</f>
        <v>1.1169413205599998E-2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3.2750959499999996E-2</v>
      </c>
      <c r="AC76" s="1">
        <f>'D- Benefits &amp; Burdens'!C170</f>
        <v>2.3897108838200898E-3</v>
      </c>
      <c r="AD76" s="62">
        <f t="shared" si="34"/>
        <v>3.5140670383820086E-2</v>
      </c>
      <c r="AE76" s="1">
        <f>'D- Benefits &amp; Burdens'!D170</f>
        <v>-0.11353154400000001</v>
      </c>
      <c r="AF76" s="1">
        <f>'D- Benefits &amp; Burdens'!E170</f>
        <v>-1.9456079493570384E-2</v>
      </c>
      <c r="AG76" s="1">
        <f>'D- Benefits &amp; Burdens'!F170</f>
        <v>-7.3426905431849876E-2</v>
      </c>
      <c r="AH76" s="1">
        <f>'D- Benefits &amp; Burdens'!G170</f>
        <v>-4.5015356269378845E-2</v>
      </c>
      <c r="AI76" s="1">
        <f>'D- Benefits &amp; Burdens'!H170</f>
        <v>-1.0590426246146039E-2</v>
      </c>
      <c r="AJ76" s="1">
        <f>'D- Benefits &amp; Burdens'!I170</f>
        <v>-1.412657288910945E-2</v>
      </c>
      <c r="AK76" s="1">
        <f>'D- Benefits &amp; Burdens'!J170</f>
        <v>-5.9714992889856003E-2</v>
      </c>
      <c r="AL76" s="1">
        <f>'D- Benefits &amp; Burdens'!K170</f>
        <v>-3.1978660683599995E-2</v>
      </c>
      <c r="AM76" s="62">
        <f t="shared" si="35"/>
        <v>-0.36784053790351062</v>
      </c>
      <c r="AN76" s="62">
        <f t="shared" si="36"/>
        <v>-0.33269986751969055</v>
      </c>
    </row>
    <row r="77" spans="1:40" x14ac:dyDescent="0.35">
      <c r="A77" s="39" t="s">
        <v>179</v>
      </c>
      <c r="B77" s="39" t="s">
        <v>180</v>
      </c>
      <c r="C77" s="13">
        <f>'A1 - Raw Material Supply'!K124</f>
        <v>3.5692543894392867E-10</v>
      </c>
      <c r="D77" s="1">
        <f>'A2 - Transport'!L128</f>
        <v>1.1145749454765367E-9</v>
      </c>
      <c r="E77" s="62">
        <f t="shared" si="27"/>
        <v>1.4715003844204654E-9</v>
      </c>
      <c r="F77" s="1">
        <f>'A1 - Raw Material Supply'!O124</f>
        <v>1.099136E-8</v>
      </c>
      <c r="G77" s="1">
        <f>'A2 - Transport'!B128</f>
        <v>8.1569074494239994E-11</v>
      </c>
      <c r="H77" s="62">
        <f t="shared" si="28"/>
        <v>1.107292907449424E-8</v>
      </c>
      <c r="I77" s="1">
        <f>'A1 - Raw Material Supply'!N124</f>
        <v>2.5071044568388908E-11</v>
      </c>
      <c r="J77" s="1">
        <f>'A2 - Transport'!O128</f>
        <v>1.4729920672499999E-11</v>
      </c>
      <c r="K77" s="62">
        <f t="shared" si="29"/>
        <v>3.9800965240888904E-11</v>
      </c>
      <c r="L77" s="1">
        <f>'C3'' - Secondary Raw Material '!B330</f>
        <v>1.0192646894973112E-11</v>
      </c>
      <c r="M77" s="1">
        <f>'C2''- Transport Secondary'!D68</f>
        <v>1.1396456999999999E-10</v>
      </c>
      <c r="N77" s="62">
        <f t="shared" si="30"/>
        <v>1.2415721689497309E-10</v>
      </c>
      <c r="O77" s="1">
        <f>'C3'' - Secondary Raw Material '!C330+'C3'' - Secondary Raw Material '!D330+'C3'' - Secondary Raw Material '!E330</f>
        <v>0</v>
      </c>
      <c r="P77" s="1">
        <f>'C2''- Transport Secondary'!G68</f>
        <v>0</v>
      </c>
      <c r="Q77" s="62">
        <f t="shared" si="31"/>
        <v>0</v>
      </c>
      <c r="R77" s="1">
        <f>'A1 - Raw Material Supply'!Y124</f>
        <v>3.4322818084723971E-10</v>
      </c>
      <c r="S77" s="1">
        <f>'A2 - Transport'!Y128</f>
        <v>5.7541639993199993E-11</v>
      </c>
      <c r="T77" s="62">
        <f t="shared" si="32"/>
        <v>4.0076982084043973E-10</v>
      </c>
      <c r="U77" s="62">
        <f>'A3 - Production '!D216</f>
        <v>1.9863725466574091E-9</v>
      </c>
      <c r="V77" s="62">
        <f>'A4 - Transport'!B27</f>
        <v>2.8138274423999994E-10</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2.8590218999999995E-10</v>
      </c>
      <c r="AC77" s="1">
        <f>'D- Benefits &amp; Burdens'!C171</f>
        <v>4.6464702038275903E-11</v>
      </c>
      <c r="AD77" s="62">
        <f t="shared" si="34"/>
        <v>3.3236689203827587E-10</v>
      </c>
      <c r="AE77" s="1">
        <f>'D- Benefits &amp; Burdens'!D171</f>
        <v>-1.1586758400000001E-8</v>
      </c>
      <c r="AF77" s="1">
        <f>'D- Benefits &amp; Burdens'!E171</f>
        <v>-1.9522320984513078E-10</v>
      </c>
      <c r="AG77" s="1">
        <f>'D- Benefits &amp; Burdens'!F171</f>
        <v>-1.372537038332449E-10</v>
      </c>
      <c r="AH77" s="1">
        <f>'D- Benefits &amp; Burdens'!G171</f>
        <v>-1.1917000506180149E-10</v>
      </c>
      <c r="AI77" s="1">
        <f>'D- Benefits &amp; Burdens'!H171</f>
        <v>-9.2449995451480805E-11</v>
      </c>
      <c r="AJ77" s="1">
        <f>'D- Benefits &amp; Burdens'!I171</f>
        <v>-1.2331907790948901E-10</v>
      </c>
      <c r="AK77" s="1">
        <f>'D- Benefits &amp; Burdens'!J171</f>
        <v>-5.2128693338112003E-10</v>
      </c>
      <c r="AL77" s="1">
        <f>'D- Benefits &amp; Burdens'!K171</f>
        <v>-2.7916034407200001E-10</v>
      </c>
      <c r="AM77" s="62">
        <f t="shared" si="35"/>
        <v>-1.305462166955427E-8</v>
      </c>
      <c r="AN77" s="62">
        <f t="shared" si="36"/>
        <v>-1.2722254777515993E-8</v>
      </c>
    </row>
    <row r="78" spans="1:40" x14ac:dyDescent="0.35">
      <c r="A78" s="39" t="s">
        <v>181</v>
      </c>
      <c r="B78" s="39" t="s">
        <v>180</v>
      </c>
      <c r="C78" s="13">
        <f>'A1 - Raw Material Supply'!K125</f>
        <v>8.4961887941133851E-9</v>
      </c>
      <c r="D78" s="1">
        <f>'A2 - Transport'!L129</f>
        <v>8.585278823548529E-8</v>
      </c>
      <c r="E78" s="62">
        <f t="shared" si="27"/>
        <v>9.4348977029598682E-8</v>
      </c>
      <c r="F78" s="1">
        <f>'A1 - Raw Material Supply'!O125</f>
        <v>3.1688799999999997E-7</v>
      </c>
      <c r="G78" s="1">
        <f>'A2 - Transport'!B129</f>
        <v>6.6368611341760007E-9</v>
      </c>
      <c r="H78" s="62">
        <f t="shared" si="28"/>
        <v>3.2352486113417598E-7</v>
      </c>
      <c r="I78" s="1">
        <f>'A1 - Raw Material Supply'!N125</f>
        <v>9.5260510567475159E-10</v>
      </c>
      <c r="J78" s="1">
        <f>'A2 - Transport'!O129</f>
        <v>1.1984988015E-9</v>
      </c>
      <c r="K78" s="62">
        <f t="shared" si="29"/>
        <v>2.1511039071747518E-9</v>
      </c>
      <c r="L78" s="1">
        <f>'C3'' - Secondary Raw Material '!B331</f>
        <v>2.7167563726420761E-10</v>
      </c>
      <c r="M78" s="1">
        <f>'C2''- Transport Secondary'!D69</f>
        <v>9.2727180000000008E-9</v>
      </c>
      <c r="N78" s="62">
        <f t="shared" si="30"/>
        <v>9.5443936372642077E-9</v>
      </c>
      <c r="O78" s="1">
        <f>'C3'' - Secondary Raw Material '!C331+'C3'' - Secondary Raw Material '!D331+'C3'' - Secondary Raw Material '!E331</f>
        <v>0</v>
      </c>
      <c r="P78" s="1">
        <f>'C2''- Transport Secondary'!G69</f>
        <v>0</v>
      </c>
      <c r="Q78" s="62">
        <f t="shared" si="31"/>
        <v>0</v>
      </c>
      <c r="R78" s="1">
        <f>'A1 - Raw Material Supply'!Y125</f>
        <v>1.519562698401938E-8</v>
      </c>
      <c r="S78" s="1">
        <f>'A2 - Transport'!Y129</f>
        <v>4.6818708736799992E-9</v>
      </c>
      <c r="T78" s="62">
        <f t="shared" si="32"/>
        <v>1.9877497857699378E-8</v>
      </c>
      <c r="U78" s="62">
        <f>'A3 - Production '!D217</f>
        <v>3.8312981010710815E-8</v>
      </c>
      <c r="V78" s="62">
        <f>'A4 - Transport'!B28</f>
        <v>2.2894684175999996E-8</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2.1921165000000001E-8</v>
      </c>
      <c r="AC78" s="1">
        <f>'D- Benefits &amp; Burdens'!C172</f>
        <v>1.2384739377919393E-9</v>
      </c>
      <c r="AD78" s="62">
        <f t="shared" si="34"/>
        <v>2.3159638937791939E-8</v>
      </c>
      <c r="AE78" s="1">
        <f>'D- Benefits &amp; Burdens'!D172</f>
        <v>-3.3405372E-7</v>
      </c>
      <c r="AF78" s="1">
        <f>'D- Benefits &amp; Burdens'!E172</f>
        <v>-7.417745436868156E-9</v>
      </c>
      <c r="AG78" s="1">
        <f>'D- Benefits &amp; Burdens'!F172</f>
        <v>-3.6435167362792405E-9</v>
      </c>
      <c r="AH78" s="1">
        <f>'D- Benefits &amp; Burdens'!G172</f>
        <v>-1.9208638110406951E-9</v>
      </c>
      <c r="AI78" s="1">
        <f>'D- Benefits &amp; Burdens'!H172</f>
        <v>-7.0884787715028007E-9</v>
      </c>
      <c r="AJ78" s="1">
        <f>'D- Benefits &amp; Burdens'!I172</f>
        <v>-9.4553240550615008E-9</v>
      </c>
      <c r="AK78" s="1">
        <f>'D- Benefits &amp; Burdens'!J172</f>
        <v>-3.9968972881920007E-8</v>
      </c>
      <c r="AL78" s="1">
        <f>'D- Benefits &amp; Burdens'!K172</f>
        <v>-2.1404243052E-8</v>
      </c>
      <c r="AM78" s="62">
        <f t="shared" si="35"/>
        <v>-4.2495286474467237E-7</v>
      </c>
      <c r="AN78" s="62">
        <f t="shared" si="36"/>
        <v>-4.0179322580688041E-7</v>
      </c>
    </row>
    <row r="79" spans="1:40" ht="29" x14ac:dyDescent="0.35">
      <c r="A79" s="39" t="s">
        <v>182</v>
      </c>
      <c r="B79" s="39" t="s">
        <v>183</v>
      </c>
      <c r="C79" s="13">
        <f>'A1 - Raw Material Supply'!K126</f>
        <v>6.1999922579962938E-2</v>
      </c>
      <c r="D79" s="1">
        <f>'A2 - Transport'!L130</f>
        <v>9.1401109880538844E-2</v>
      </c>
      <c r="E79" s="62">
        <f t="shared" si="27"/>
        <v>0.1534010324605018</v>
      </c>
      <c r="F79" s="1">
        <f>'A1 - Raw Material Supply'!O126</f>
        <v>0.16730799999999998</v>
      </c>
      <c r="G79" s="1">
        <f>'A2 - Transport'!B130</f>
        <v>5.6166520099551996E-3</v>
      </c>
      <c r="H79" s="62">
        <f t="shared" si="28"/>
        <v>0.17292465200995519</v>
      </c>
      <c r="I79" s="1">
        <f>'A1 - Raw Material Supply'!N126</f>
        <v>3.9110006778906019E-2</v>
      </c>
      <c r="J79" s="1">
        <f>'A2 - Transport'!O130</f>
        <v>1.01426722155E-3</v>
      </c>
      <c r="K79" s="62">
        <f t="shared" si="29"/>
        <v>4.0124274000456019E-2</v>
      </c>
      <c r="L79" s="1">
        <f>'C3'' - Secondary Raw Material '!B332</f>
        <v>6.6519868279014841E-4</v>
      </c>
      <c r="M79" s="1">
        <f>'C2''- Transport Secondary'!D70</f>
        <v>7.8473286E-3</v>
      </c>
      <c r="N79" s="62">
        <f t="shared" si="30"/>
        <v>8.5125272827901478E-3</v>
      </c>
      <c r="O79" s="1">
        <f>'C3'' - Secondary Raw Material '!C332+'C3'' - Secondary Raw Material '!D332+'C3'' - Secondary Raw Material '!E332</f>
        <v>0</v>
      </c>
      <c r="P79" s="1">
        <f>'C2''- Transport Secondary'!G70</f>
        <v>0</v>
      </c>
      <c r="Q79" s="62">
        <f t="shared" si="31"/>
        <v>0</v>
      </c>
      <c r="R79" s="1">
        <f>'A1 - Raw Material Supply'!Y126</f>
        <v>0.10643324427322706</v>
      </c>
      <c r="S79" s="1">
        <f>'A2 - Transport'!Y130</f>
        <v>3.9621801513360002E-3</v>
      </c>
      <c r="T79" s="62">
        <f t="shared" si="32"/>
        <v>0.11039542442456306</v>
      </c>
      <c r="U79" s="62">
        <f>'A3 - Production '!D218</f>
        <v>2.446428749275408</v>
      </c>
      <c r="V79" s="62">
        <f>'A4 - Transport'!B29</f>
        <v>1.9375344955199998E-2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1.8514969199999998E-2</v>
      </c>
      <c r="AC79" s="1">
        <f>'D- Benefits &amp; Burdens'!C173</f>
        <v>3.0324074708544474E-3</v>
      </c>
      <c r="AD79" s="62">
        <f t="shared" si="34"/>
        <v>2.1547376670854445E-2</v>
      </c>
      <c r="AE79" s="1">
        <f>'D- Benefits &amp; Burdens'!D173</f>
        <v>-0.17637101999999999</v>
      </c>
      <c r="AF79" s="1">
        <f>'D- Benefits &amp; Burdens'!E173</f>
        <v>-0.30454180078598542</v>
      </c>
      <c r="AG79" s="1">
        <f>'D- Benefits &amp; Burdens'!F173</f>
        <v>-2.8791530511477918E-2</v>
      </c>
      <c r="AH79" s="1">
        <f>'D- Benefits &amp; Burdens'!G173</f>
        <v>-8.6554156114640821E-3</v>
      </c>
      <c r="AI79" s="1">
        <f>'D- Benefits &amp; Burdens'!H173</f>
        <v>-5.9870433952405435E-3</v>
      </c>
      <c r="AJ79" s="1">
        <f>'D- Benefits &amp; Burdens'!I173</f>
        <v>-7.9861190614405209E-3</v>
      </c>
      <c r="AK79" s="1">
        <f>'D- Benefits &amp; Burdens'!J173</f>
        <v>-3.3758438562201599E-2</v>
      </c>
      <c r="AL79" s="1">
        <f>'D- Benefits &amp; Burdens'!K173</f>
        <v>-1.8078368592959998E-2</v>
      </c>
      <c r="AM79" s="62">
        <f t="shared" si="35"/>
        <v>-0.58416973652077009</v>
      </c>
      <c r="AN79" s="62">
        <f t="shared" si="36"/>
        <v>-0.5626223598499156</v>
      </c>
    </row>
    <row r="80" spans="1:40" x14ac:dyDescent="0.35">
      <c r="A80" s="39" t="s">
        <v>184</v>
      </c>
      <c r="B80" s="39" t="s">
        <v>185</v>
      </c>
      <c r="C80" s="13">
        <f>'A1 - Raw Material Supply'!K127</f>
        <v>391.20196233776971</v>
      </c>
      <c r="D80" s="1">
        <f>'A2 - Transport'!L131</f>
        <v>14.840795010343623</v>
      </c>
      <c r="E80" s="62">
        <f t="shared" si="27"/>
        <v>406.04275734811335</v>
      </c>
      <c r="F80" s="1">
        <f>'A1 - Raw Material Supply'!O127</f>
        <v>5.8280799999999999</v>
      </c>
      <c r="G80" s="1">
        <f>'A2 - Transport'!B131</f>
        <v>0.78130875710178882</v>
      </c>
      <c r="H80" s="62">
        <f t="shared" si="28"/>
        <v>6.6093887571017884</v>
      </c>
      <c r="I80" s="1">
        <f>'A1 - Raw Material Supply'!N127</f>
        <v>0.6282499716687221</v>
      </c>
      <c r="J80" s="1">
        <f>'A2 - Transport'!O131</f>
        <v>0.14109043266944998</v>
      </c>
      <c r="K80" s="62">
        <f t="shared" si="29"/>
        <v>0.76934040433817208</v>
      </c>
      <c r="L80" s="1">
        <f>'C3'' - Secondary Raw Material '!B333</f>
        <v>0.11390463257521803</v>
      </c>
      <c r="M80" s="1">
        <f>'C2''- Transport Secondary'!D71</f>
        <v>1.0916087634</v>
      </c>
      <c r="N80" s="62">
        <f t="shared" si="30"/>
        <v>1.205513395975218</v>
      </c>
      <c r="O80" s="1">
        <f>'C3'' - Secondary Raw Material '!C333+'C3'' - Secondary Raw Material '!D333+'C3'' - Secondary Raw Material '!E333</f>
        <v>0</v>
      </c>
      <c r="P80" s="1">
        <f>'C2''- Transport Secondary'!G71</f>
        <v>0</v>
      </c>
      <c r="Q80" s="62">
        <f t="shared" si="31"/>
        <v>0</v>
      </c>
      <c r="R80" s="1">
        <f>'A1 - Raw Material Supply'!Y127</f>
        <v>2.9238161430011052</v>
      </c>
      <c r="S80" s="1">
        <f>'A2 - Transport'!Y131</f>
        <v>0.55116215923058398</v>
      </c>
      <c r="T80" s="62">
        <f t="shared" si="32"/>
        <v>3.4749783022316891</v>
      </c>
      <c r="U80" s="62">
        <f>'A3 - Production '!D219</f>
        <v>12.785053431658701</v>
      </c>
      <c r="V80" s="62">
        <f>'A4 - Transport'!B30</f>
        <v>2.6952224667887998</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2.5806407759999996</v>
      </c>
      <c r="AC80" s="1">
        <f>'D- Benefits &amp; Burdens'!C174</f>
        <v>0.51925126691056267</v>
      </c>
      <c r="AD80" s="62">
        <f t="shared" si="34"/>
        <v>3.0998920429105623</v>
      </c>
      <c r="AE80" s="1">
        <f>'D- Benefits &amp; Burdens'!D174</f>
        <v>-6.1437851999999999</v>
      </c>
      <c r="AF80" s="1">
        <f>'D- Benefits &amp; Burdens'!E174</f>
        <v>-4.8920568793900054</v>
      </c>
      <c r="AG80" s="1">
        <f>'D- Benefits &amp; Burdens'!F174</f>
        <v>-8.8760555023183514</v>
      </c>
      <c r="AH80" s="1">
        <f>'D- Benefits &amp; Burdens'!G174</f>
        <v>-475.08902869255985</v>
      </c>
      <c r="AI80" s="1">
        <f>'D- Benefits &amp; Burdens'!H174</f>
        <v>-0.83448198841396026</v>
      </c>
      <c r="AJ80" s="1">
        <f>'D- Benefits &amp; Burdens'!I174</f>
        <v>-1.1131157858984857</v>
      </c>
      <c r="AK80" s="1">
        <f>'D- Benefits &amp; Burdens'!J174</f>
        <v>-4.7052955987476484</v>
      </c>
      <c r="AL80" s="1">
        <f>'D- Benefits &amp; Burdens'!K174</f>
        <v>-2.5197868087487998</v>
      </c>
      <c r="AM80" s="62">
        <f t="shared" si="35"/>
        <v>-504.17360645607704</v>
      </c>
      <c r="AN80" s="62">
        <f t="shared" si="36"/>
        <v>-501.0737144131665</v>
      </c>
    </row>
    <row r="81" spans="1:40" ht="29" x14ac:dyDescent="0.35">
      <c r="A81" s="39" t="s">
        <v>186</v>
      </c>
      <c r="B81" s="39" t="s">
        <v>187</v>
      </c>
      <c r="C81" s="13">
        <f>'A1 - Raw Material Supply'!K128</f>
        <v>4.742706305592335E-6</v>
      </c>
      <c r="D81" s="1">
        <f>'A2 - Transport'!L132</f>
        <v>1.3691177677432447E-5</v>
      </c>
      <c r="E81" s="62">
        <f t="shared" si="27"/>
        <v>1.8433883983024781E-5</v>
      </c>
      <c r="F81" s="1">
        <f>'A1 - Raw Material Supply'!O128</f>
        <v>2.2603199999999999E-6</v>
      </c>
      <c r="G81" s="1">
        <f>'A2 - Transport'!B132</f>
        <v>1.0153566173903999E-6</v>
      </c>
      <c r="H81" s="62">
        <f t="shared" si="28"/>
        <v>3.2756766173904001E-6</v>
      </c>
      <c r="I81" s="1">
        <f>'A1 - Raw Material Supply'!N128</f>
        <v>3.5788766674713027E-7</v>
      </c>
      <c r="J81" s="1">
        <f>'A2 - Transport'!O132</f>
        <v>1.8335530372499996E-7</v>
      </c>
      <c r="K81" s="62">
        <f t="shared" si="29"/>
        <v>5.4124297047213026E-7</v>
      </c>
      <c r="L81" s="1">
        <f>'C3'' - Secondary Raw Material '!B334</f>
        <v>2.6007934671855809E-8</v>
      </c>
      <c r="M81" s="1">
        <f>'C2''- Transport Secondary'!D72</f>
        <v>1.4186096999999999E-6</v>
      </c>
      <c r="N81" s="62">
        <f t="shared" si="30"/>
        <v>1.4446176346718556E-6</v>
      </c>
      <c r="O81" s="1">
        <f>'C3'' - Secondary Raw Material '!C334+'C3'' - Secondary Raw Material '!D334+'C3'' - Secondary Raw Material '!E334</f>
        <v>0</v>
      </c>
      <c r="P81" s="1">
        <f>'C2''- Transport Secondary'!G72</f>
        <v>0</v>
      </c>
      <c r="Q81" s="62">
        <f t="shared" si="31"/>
        <v>0</v>
      </c>
      <c r="R81" s="1">
        <f>'A1 - Raw Material Supply'!Y128</f>
        <v>2.0002821138870845E-4</v>
      </c>
      <c r="S81" s="1">
        <f>'A2 - Transport'!Y132</f>
        <v>7.1626759657199998E-7</v>
      </c>
      <c r="T81" s="62">
        <f t="shared" si="32"/>
        <v>2.0074447898528044E-4</v>
      </c>
      <c r="U81" s="62">
        <f>'A3 - Production '!D220</f>
        <v>2.9981354664900123E-5</v>
      </c>
      <c r="V81" s="62">
        <f>'A4 - Transport'!B31</f>
        <v>3.5025998903999994E-6</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3.3154568999999998E-6</v>
      </c>
      <c r="AC81" s="1">
        <f>'D- Benefits &amp; Burdens'!C175</f>
        <v>1.1856105166899467E-7</v>
      </c>
      <c r="AD81" s="62">
        <f t="shared" si="34"/>
        <v>3.4340179516689943E-6</v>
      </c>
      <c r="AE81" s="1">
        <f>'D- Benefits &amp; Burdens'!D175</f>
        <v>-2.3827608E-6</v>
      </c>
      <c r="AF81" s="1">
        <f>'D- Benefits &amp; Burdens'!E175</f>
        <v>-2.7867996834265543E-6</v>
      </c>
      <c r="AG81" s="1">
        <f>'D- Benefits &amp; Burdens'!F175</f>
        <v>-2.2074421142253213E-6</v>
      </c>
      <c r="AH81" s="1">
        <f>'D- Benefits &amp; Burdens'!G175</f>
        <v>-6.4987430677752329E-7</v>
      </c>
      <c r="AI81" s="1">
        <f>'D- Benefits &amp; Burdens'!H175</f>
        <v>-1.0720938350440079E-6</v>
      </c>
      <c r="AJ81" s="1">
        <f>'D- Benefits &amp; Burdens'!I175</f>
        <v>-1.4300663025933898E-6</v>
      </c>
      <c r="AK81" s="1">
        <f>'D- Benefits &amp; Burdens'!J175</f>
        <v>-6.0450896166912004E-6</v>
      </c>
      <c r="AL81" s="1">
        <f>'D- Benefits &amp; Burdens'!K175</f>
        <v>-3.2372752687199996E-6</v>
      </c>
      <c r="AM81" s="62">
        <f t="shared" si="35"/>
        <v>-1.9811401927477995E-5</v>
      </c>
      <c r="AN81" s="62">
        <f t="shared" si="36"/>
        <v>-1.6377383975809E-5</v>
      </c>
    </row>
    <row r="82" spans="1:40" x14ac:dyDescent="0.35">
      <c r="A82" s="39" t="s">
        <v>188</v>
      </c>
      <c r="B82" s="39" t="s">
        <v>189</v>
      </c>
      <c r="C82" s="13">
        <f>'A1 - Raw Material Supply'!K129</f>
        <v>3.5702259662986999E-8</v>
      </c>
      <c r="D82" s="1">
        <f>'A2 - Transport'!L133</f>
        <v>2.7034976442891088E-7</v>
      </c>
      <c r="E82" s="62">
        <f t="shared" si="27"/>
        <v>3.0605202409189789E-7</v>
      </c>
      <c r="F82" s="1">
        <f>'A1 - Raw Material Supply'!O129</f>
        <v>7.3571199999999993E-12</v>
      </c>
      <c r="G82" s="1">
        <f>'A2 - Transport'!B133</f>
        <v>2.0464128626144001E-8</v>
      </c>
      <c r="H82" s="62">
        <f t="shared" si="28"/>
        <v>2.0471485746144002E-8</v>
      </c>
      <c r="I82" s="1">
        <f>'A1 - Raw Material Supply'!N129</f>
        <v>1.5574157254795618E-9</v>
      </c>
      <c r="J82" s="1">
        <f>'A2 - Transport'!O133</f>
        <v>3.6954568034999995E-9</v>
      </c>
      <c r="K82" s="62">
        <f t="shared" si="29"/>
        <v>5.2528725289795612E-9</v>
      </c>
      <c r="L82" s="1">
        <f>'C3'' - Secondary Raw Material '!B335</f>
        <v>3.7585564815097762E-9</v>
      </c>
      <c r="M82" s="1">
        <f>'C2''- Transport Secondary'!D73</f>
        <v>2.8591541999999998E-8</v>
      </c>
      <c r="N82" s="62">
        <f t="shared" si="30"/>
        <v>3.2350098481509775E-8</v>
      </c>
      <c r="O82" s="1">
        <f>'C3'' - Secondary Raw Material '!C335+'C3'' - Secondary Raw Material '!D335+'C3'' - Secondary Raw Material '!E335</f>
        <v>0</v>
      </c>
      <c r="P82" s="1">
        <f>'C2''- Transport Secondary'!G73</f>
        <v>0</v>
      </c>
      <c r="Q82" s="62">
        <f t="shared" si="31"/>
        <v>0</v>
      </c>
      <c r="R82" s="1">
        <f>'A1 - Raw Material Supply'!Y129</f>
        <v>6.6867322617563686E-9</v>
      </c>
      <c r="S82" s="1">
        <f>'A2 - Transport'!Y133</f>
        <v>1.4436102523919999E-8</v>
      </c>
      <c r="T82" s="62">
        <f t="shared" si="32"/>
        <v>2.1122834785676369E-8</v>
      </c>
      <c r="U82" s="62">
        <f>'A3 - Production '!D221</f>
        <v>2.6997473910823158E-6</v>
      </c>
      <c r="V82" s="62">
        <f>'A4 - Transport'!B32</f>
        <v>7.0593576143999996E-8</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6.8037353999999989E-8</v>
      </c>
      <c r="AC82" s="1">
        <f>'D- Benefits &amp; Burdens'!C176</f>
        <v>1.7133940654170295E-8</v>
      </c>
      <c r="AD82" s="62">
        <f t="shared" si="34"/>
        <v>8.5171294654170292E-8</v>
      </c>
      <c r="AE82" s="1">
        <f>'D- Benefits &amp; Burdens'!D176</f>
        <v>-7.7556528000000004E-12</v>
      </c>
      <c r="AF82" s="1">
        <f>'D- Benefits &amp; Burdens'!E176</f>
        <v>-1.2127284771164252E-8</v>
      </c>
      <c r="AG82" s="1">
        <f>'D- Benefits &amp; Burdens'!F176</f>
        <v>-1.2553939128773711E-8</v>
      </c>
      <c r="AH82" s="1">
        <f>'D- Benefits &amp; Burdens'!G176</f>
        <v>-1.4779949541860452E-8</v>
      </c>
      <c r="AI82" s="1">
        <f>'D- Benefits &amp; Burdens'!H176</f>
        <v>-2.2000716636101281E-8</v>
      </c>
      <c r="AJ82" s="1">
        <f>'D- Benefits &amp; Burdens'!I176</f>
        <v>-2.9346762816617399E-8</v>
      </c>
      <c r="AK82" s="1">
        <f>'D- Benefits &amp; Burdens'!J176</f>
        <v>-1.2405285745459201E-7</v>
      </c>
      <c r="AL82" s="1">
        <f>'D- Benefits &amp; Burdens'!K176</f>
        <v>-6.643296839519999E-8</v>
      </c>
      <c r="AM82" s="62">
        <f t="shared" si="35"/>
        <v>-2.8130223439710907E-7</v>
      </c>
      <c r="AN82" s="62">
        <f t="shared" si="36"/>
        <v>-1.9613093974293878E-7</v>
      </c>
    </row>
    <row r="83" spans="1:40" x14ac:dyDescent="0.35">
      <c r="A83" s="39" t="s">
        <v>190</v>
      </c>
      <c r="B83" s="39" t="s">
        <v>191</v>
      </c>
      <c r="C83" s="13">
        <f>'A1 - Raw Material Supply'!K130</f>
        <v>6.5360368889705883E-7</v>
      </c>
      <c r="D83" s="1">
        <f>'A2 - Transport'!L134</f>
        <v>7.3519195121898755E-7</v>
      </c>
      <c r="E83" s="62">
        <f t="shared" si="27"/>
        <v>1.3887956401160465E-6</v>
      </c>
      <c r="F83" s="1">
        <f>'A1 - Raw Material Supply'!O130</f>
        <v>5.9388800000000003E-7</v>
      </c>
      <c r="G83" s="1">
        <f>'A2 - Transport'!B134</f>
        <v>5.7044899203343993E-8</v>
      </c>
      <c r="H83" s="62">
        <f t="shared" si="28"/>
        <v>6.5093289920334402E-7</v>
      </c>
      <c r="I83" s="1">
        <f>'A1 - Raw Material Supply'!N130</f>
        <v>9.8472396783713966E-9</v>
      </c>
      <c r="J83" s="1">
        <f>'A2 - Transport'!O134</f>
        <v>1.0301291822249998E-8</v>
      </c>
      <c r="K83" s="62">
        <f t="shared" si="29"/>
        <v>2.0148531500621396E-8</v>
      </c>
      <c r="L83" s="1">
        <f>'C3'' - Secondary Raw Material '!B336</f>
        <v>1.6427613993186483E-9</v>
      </c>
      <c r="M83" s="1">
        <f>'C2''- Transport Secondary'!D74</f>
        <v>7.9700516999999988E-8</v>
      </c>
      <c r="N83" s="62">
        <f t="shared" si="30"/>
        <v>8.134327839931864E-8</v>
      </c>
      <c r="O83" s="1">
        <f>'C3'' - Secondary Raw Material '!C336+'C3'' - Secondary Raw Material '!D336+'C3'' - Secondary Raw Material '!E336</f>
        <v>0</v>
      </c>
      <c r="P83" s="1">
        <f>'C2''- Transport Secondary'!G74</f>
        <v>0</v>
      </c>
      <c r="Q83" s="62">
        <f t="shared" si="31"/>
        <v>0</v>
      </c>
      <c r="R83" s="1">
        <f>'A1 - Raw Material Supply'!Y130</f>
        <v>6.9930966262356109E-8</v>
      </c>
      <c r="S83" s="1">
        <f>'A2 - Transport'!Y134</f>
        <v>4.0241440444919994E-8</v>
      </c>
      <c r="T83" s="62">
        <f t="shared" si="32"/>
        <v>1.101724067072761E-7</v>
      </c>
      <c r="U83" s="62">
        <f>'A3 - Production '!D222</f>
        <v>8.8565278508991073E-8</v>
      </c>
      <c r="V83" s="62">
        <f>'A4 - Transport'!B33</f>
        <v>1.9678352834399996E-7</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2.068227E-7</v>
      </c>
      <c r="AC83" s="1">
        <f>'D- Benefits &amp; Burdens'!C177</f>
        <v>7.4887730072320456E-9</v>
      </c>
      <c r="AD83" s="62">
        <f t="shared" si="34"/>
        <v>2.1431147300723203E-7</v>
      </c>
      <c r="AE83" s="1">
        <f>'D- Benefits &amp; Burdens'!D177</f>
        <v>-6.2605872E-7</v>
      </c>
      <c r="AF83" s="1">
        <f>'D- Benefits &amp; Burdens'!E177</f>
        <v>-7.6678485927542402E-8</v>
      </c>
      <c r="AG83" s="1">
        <f>'D- Benefits &amp; Burdens'!F177</f>
        <v>-2.3735714186745847E-7</v>
      </c>
      <c r="AH83" s="1">
        <f>'D- Benefits &amp; Burdens'!G177</f>
        <v>-2.5225046950408361E-7</v>
      </c>
      <c r="AI83" s="1">
        <f>'D- Benefits &amp; Burdens'!H177</f>
        <v>-6.6878668100664016E-8</v>
      </c>
      <c r="AJ83" s="1">
        <f>'D- Benefits &amp; Burdens'!I177</f>
        <v>-8.9209476341370009E-8</v>
      </c>
      <c r="AK83" s="1">
        <f>'D- Benefits &amp; Burdens'!J177</f>
        <v>-3.7710089256960008E-7</v>
      </c>
      <c r="AL83" s="1">
        <f>'D- Benefits &amp; Burdens'!K177</f>
        <v>-2.0194562376E-7</v>
      </c>
      <c r="AM83" s="62">
        <f t="shared" si="35"/>
        <v>-1.9274794780707184E-6</v>
      </c>
      <c r="AN83" s="62">
        <f t="shared" si="36"/>
        <v>-1.7131680050634864E-6</v>
      </c>
    </row>
    <row r="84" spans="1:40" ht="29" x14ac:dyDescent="0.35">
      <c r="A84" s="39" t="s">
        <v>192</v>
      </c>
      <c r="B84" s="39" t="s">
        <v>193</v>
      </c>
      <c r="C84" s="13">
        <f>'A1 - Raw Material Supply'!K131</f>
        <v>4.2361407169931642E-2</v>
      </c>
      <c r="D84" s="1">
        <f>'A2 - Transport'!L135</f>
        <v>3.76477151185289E-2</v>
      </c>
      <c r="E84" s="62">
        <f t="shared" si="27"/>
        <v>8.0009122288460549E-2</v>
      </c>
      <c r="F84" s="1">
        <f>'A1 - Raw Material Supply'!O131</f>
        <v>4.4984799999999991E-2</v>
      </c>
      <c r="G84" s="1">
        <f>'A2 - Transport'!B135</f>
        <v>2.3927206798272003E-3</v>
      </c>
      <c r="H84" s="62">
        <f t="shared" si="28"/>
        <v>4.7377520679827194E-2</v>
      </c>
      <c r="I84" s="1">
        <f>'A1 - Raw Material Supply'!N131</f>
        <v>6.5993967225239786E-4</v>
      </c>
      <c r="J84" s="1">
        <f>'A2 - Transport'!O135</f>
        <v>4.3208269829999994E-4</v>
      </c>
      <c r="K84" s="62">
        <f t="shared" si="29"/>
        <v>1.0920223705523978E-3</v>
      </c>
      <c r="L84" s="1">
        <f>'C3'' - Secondary Raw Material '!B337</f>
        <v>4.1082738634614822E-4</v>
      </c>
      <c r="M84" s="1">
        <f>'C2''- Transport Secondary'!D75</f>
        <v>3.3429995999999995E-3</v>
      </c>
      <c r="N84" s="62">
        <f t="shared" si="30"/>
        <v>3.7538269863461476E-3</v>
      </c>
      <c r="O84" s="1">
        <f>'C3'' - Secondary Raw Material '!C337+'C3'' - Secondary Raw Material '!D337+'C3'' - Secondary Raw Material '!E337</f>
        <v>0</v>
      </c>
      <c r="P84" s="1">
        <f>'C2''- Transport Secondary'!G75</f>
        <v>0</v>
      </c>
      <c r="Q84" s="62">
        <f t="shared" si="31"/>
        <v>0</v>
      </c>
      <c r="R84" s="1">
        <f>'A1 - Raw Material Supply'!Y131</f>
        <v>3.4925808009998527E-3</v>
      </c>
      <c r="S84" s="1">
        <f>'A2 - Transport'!Y135</f>
        <v>1.6879077372959999E-3</v>
      </c>
      <c r="T84" s="62">
        <f t="shared" si="32"/>
        <v>5.1804885382958528E-3</v>
      </c>
      <c r="U84" s="62">
        <f>'A3 - Production '!D223</f>
        <v>1.9059484121651142E-2</v>
      </c>
      <c r="V84" s="62">
        <f>'A4 - Transport'!B34</f>
        <v>8.2539898271999975E-3</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1.31743395E-2</v>
      </c>
      <c r="AC84" s="1">
        <f>'D- Benefits &amp; Burdens'!C178</f>
        <v>1.872817953219971E-3</v>
      </c>
      <c r="AD84" s="62">
        <f t="shared" si="34"/>
        <v>1.504715745321997E-2</v>
      </c>
      <c r="AE84" s="1">
        <f>'D- Benefits &amp; Burdens'!D178</f>
        <v>-4.7421611999999995E-2</v>
      </c>
      <c r="AF84" s="1">
        <f>'D- Benefits &amp; Burdens'!E178</f>
        <v>-5.1388182398949718E-3</v>
      </c>
      <c r="AG84" s="1">
        <f>'D- Benefits &amp; Burdens'!F178</f>
        <v>-1.6583011729087289E-2</v>
      </c>
      <c r="AH84" s="1">
        <f>'D- Benefits &amp; Burdens'!G178</f>
        <v>-1.3430190325964372E-2</v>
      </c>
      <c r="AI84" s="1">
        <f>'D- Benefits &amp; Burdens'!H178</f>
        <v>-4.2600849851876406E-3</v>
      </c>
      <c r="AJ84" s="1">
        <f>'D- Benefits &amp; Burdens'!I178</f>
        <v>-5.6825286969874505E-3</v>
      </c>
      <c r="AK84" s="1">
        <f>'D- Benefits &amp; Burdens'!J178</f>
        <v>-2.4020840964096003E-2</v>
      </c>
      <c r="AL84" s="1">
        <f>'D- Benefits &amp; Burdens'!K178</f>
        <v>-1.2863676027599998E-2</v>
      </c>
      <c r="AM84" s="62">
        <f t="shared" si="35"/>
        <v>-0.12940076296881772</v>
      </c>
      <c r="AN84" s="62">
        <f t="shared" si="36"/>
        <v>-0.11435360551559776</v>
      </c>
    </row>
    <row r="85" spans="1:40" ht="29" x14ac:dyDescent="0.35">
      <c r="A85" s="39" t="s">
        <v>194</v>
      </c>
      <c r="B85" s="39" t="s">
        <v>195</v>
      </c>
      <c r="C85" s="13">
        <f>'A1 - Raw Material Supply'!K132</f>
        <v>3.0979806680888267</v>
      </c>
      <c r="D85" s="1">
        <f>'A2 - Transport'!L136</f>
        <v>0.41457400768473773</v>
      </c>
      <c r="E85" s="62">
        <f t="shared" si="27"/>
        <v>3.5125546757735644</v>
      </c>
      <c r="F85" s="1">
        <f>'A1 - Raw Material Supply'!O132</f>
        <v>0.15977359999999999</v>
      </c>
      <c r="G85" s="1">
        <f>'A2 - Transport'!B136</f>
        <v>2.8211726834548801E-2</v>
      </c>
      <c r="H85" s="62">
        <f t="shared" si="28"/>
        <v>0.1879853268345488</v>
      </c>
      <c r="I85" s="1">
        <f>'A1 - Raw Material Supply'!N132</f>
        <v>0.25392572768492161</v>
      </c>
      <c r="J85" s="1">
        <f>'A2 - Transport'!O136</f>
        <v>5.0945349188249991E-3</v>
      </c>
      <c r="K85" s="62">
        <f t="shared" si="29"/>
        <v>0.25902026260374661</v>
      </c>
      <c r="L85" s="1">
        <f>'C3'' - Secondary Raw Material '!B338</f>
        <v>2.9984053368853725E-3</v>
      </c>
      <c r="M85" s="1">
        <f>'C2''- Transport Secondary'!D76</f>
        <v>3.9416130899999999E-2</v>
      </c>
      <c r="N85" s="62">
        <f t="shared" si="30"/>
        <v>4.2414536236885368E-2</v>
      </c>
      <c r="O85" s="1">
        <f>'C3'' - Secondary Raw Material '!C338+'C3'' - Secondary Raw Material '!D338+'C3'' - Secondary Raw Material '!E338</f>
        <v>0</v>
      </c>
      <c r="P85" s="1">
        <f>'C2''- Transport Secondary'!G76</f>
        <v>0</v>
      </c>
      <c r="Q85" s="62">
        <f t="shared" si="31"/>
        <v>0</v>
      </c>
      <c r="R85" s="1">
        <f>'A1 - Raw Material Supply'!Y132</f>
        <v>0.33021433976024206</v>
      </c>
      <c r="S85" s="1">
        <f>'A2 - Transport'!Y136</f>
        <v>1.9901525659883998E-2</v>
      </c>
      <c r="T85" s="62">
        <f t="shared" si="32"/>
        <v>0.35011586542012607</v>
      </c>
      <c r="U85" s="62">
        <f>'A3 - Production '!D224</f>
        <v>0.83217241643335116</v>
      </c>
      <c r="V85" s="62">
        <f>'A4 - Transport'!B35</f>
        <v>9.7319887048799986E-2</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9.2822473799999985E-2</v>
      </c>
      <c r="AC85" s="1">
        <f>'D- Benefits &amp; Burdens'!C179</f>
        <v>1.366867821518138E-2</v>
      </c>
      <c r="AD85" s="62">
        <f t="shared" si="34"/>
        <v>0.10649115201518136</v>
      </c>
      <c r="AE85" s="1">
        <f>'D- Benefits &amp; Burdens'!D179</f>
        <v>-0.16842848399999999</v>
      </c>
      <c r="AF85" s="1">
        <f>'D- Benefits &amp; Burdens'!E179</f>
        <v>-1.9772688563369476</v>
      </c>
      <c r="AG85" s="1">
        <f>'D- Benefits &amp; Burdens'!F179</f>
        <v>-1.0837889978467863</v>
      </c>
      <c r="AH85" s="1">
        <f>'D- Benefits &amp; Burdens'!G179</f>
        <v>-1.2960012094595244</v>
      </c>
      <c r="AI85" s="1">
        <f>'D- Benefits &amp; Burdens'!H179</f>
        <v>-3.0015290476107213E-2</v>
      </c>
      <c r="AJ85" s="1">
        <f>'D- Benefits &amp; Burdens'!I179</f>
        <v>-4.0037405373822776E-2</v>
      </c>
      <c r="AK85" s="1">
        <f>'D- Benefits &amp; Burdens'!J179</f>
        <v>-0.1692436938522624</v>
      </c>
      <c r="AL85" s="1">
        <f>'D- Benefits &amp; Burdens'!K179</f>
        <v>-9.0633631465439984E-2</v>
      </c>
      <c r="AM85" s="62">
        <f t="shared" si="35"/>
        <v>-4.8554175688108909</v>
      </c>
      <c r="AN85" s="62">
        <f t="shared" si="36"/>
        <v>-4.7489264167957099</v>
      </c>
    </row>
    <row r="86" spans="1:40" x14ac:dyDescent="0.35">
      <c r="A86" s="148" t="s">
        <v>58</v>
      </c>
      <c r="B86" s="338">
        <f>+SUM(C67:C85,F67:F85,I67:I85,R67:R85)-SUM(C4:C22)+SUM(L67:L85,O67:O85)-SUM(D4:D22)+SUM(D67:D85,G67:G85,J67:J85,S67:S85)-SUM(E4:E22)+SUM(M67:M85,P67:P85)-SUM(F4:F22)+SUM(U67:U85)-SUM(G4:G22)+SUM(V67:V85)-SUM(H4:H22)+SUM(Z67:Z85)-SUM(I4:I22)+SUM(AA67:AA85)-SUM(J4:J22)+SUM(AN67:AN85)-SUM(K4:K22)</f>
        <v>0</v>
      </c>
      <c r="C86" s="338"/>
      <c r="G86" s="319"/>
      <c r="H86" s="319"/>
      <c r="I86" s="319"/>
      <c r="J86" s="319"/>
      <c r="K86" s="319"/>
      <c r="L86" s="319"/>
      <c r="M86" s="319"/>
      <c r="U86" s="338">
        <f>+SUM(U67:U85)-SUM(G4:G22)</f>
        <v>0</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255</v>
      </c>
    </row>
    <row r="90" spans="1:40" x14ac:dyDescent="0.35">
      <c r="A90" s="328" t="s">
        <v>197</v>
      </c>
    </row>
    <row r="91" spans="1:40" ht="43.5" x14ac:dyDescent="0.35">
      <c r="A91" s="103" t="s">
        <v>153</v>
      </c>
      <c r="B91" s="103" t="s">
        <v>198</v>
      </c>
      <c r="C91" s="103" t="s">
        <v>199</v>
      </c>
      <c r="D91" s="108" t="s">
        <v>1011</v>
      </c>
      <c r="E91" s="103" t="s">
        <v>1012</v>
      </c>
      <c r="F91" s="108" t="s">
        <v>1015</v>
      </c>
      <c r="G91" s="108" t="s">
        <v>1010</v>
      </c>
      <c r="H91" s="108" t="s">
        <v>156</v>
      </c>
      <c r="I91" s="108" t="s">
        <v>157</v>
      </c>
      <c r="J91" s="103" t="s">
        <v>158</v>
      </c>
      <c r="K91" s="103" t="s">
        <v>159</v>
      </c>
      <c r="L91" s="103" t="s">
        <v>161</v>
      </c>
      <c r="M91" s="103" t="s">
        <v>987</v>
      </c>
      <c r="N91" s="103" t="s">
        <v>991</v>
      </c>
      <c r="O91" s="103" t="s">
        <v>1006</v>
      </c>
    </row>
    <row r="92" spans="1:40" x14ac:dyDescent="0.35">
      <c r="A92" s="39" t="s">
        <v>162</v>
      </c>
      <c r="B92" s="154">
        <v>55.6</v>
      </c>
      <c r="C92" s="154">
        <v>6.2E-2</v>
      </c>
      <c r="D92" s="1">
        <f>((C4/$B92)*$C92)*Input!$C$31</f>
        <v>1.6996747174245758E-5</v>
      </c>
      <c r="E92" s="1">
        <f>((D4/$B92)*$C92)*Input!$C$31</f>
        <v>4.5654690060450572E-8</v>
      </c>
      <c r="F92" s="1">
        <f>((E4/$B92)*$C92)*Input!$C$31</f>
        <v>5.410120259284105E-6</v>
      </c>
      <c r="G92" s="1">
        <f>((F4/$B92)*$C92)*Input!$C$31</f>
        <v>4.1052703907913672E-7</v>
      </c>
      <c r="H92" s="1">
        <f>((G4/$B92)*$C92)*Input!$C$31</f>
        <v>4.2895166895231479E-6</v>
      </c>
      <c r="I92" s="1">
        <f>((H4/$B92)*$C92)*Input!$C$31</f>
        <v>1.0136064641915394E-6</v>
      </c>
      <c r="J92" s="1">
        <f>((I4/$B92)*$C92)*Input!$C$31</f>
        <v>3.164817820651399E-7</v>
      </c>
      <c r="K92" s="1">
        <f>((J4/$B92)*$C92)*Input!$C$31</f>
        <v>2.4015834724913239E-7</v>
      </c>
      <c r="L92" s="1">
        <f>((K4/$B92)*$C92)*Input!$C$31</f>
        <v>-1.9572517815974945E-5</v>
      </c>
      <c r="M92" s="1">
        <f>(SUM(D92:H92))*1000</f>
        <v>2.7152565852192605E-2</v>
      </c>
      <c r="N92" s="1">
        <f>SUM(D92:K92)*1000</f>
        <v>2.8722812445698419E-2</v>
      </c>
      <c r="O92" s="1">
        <f>SUM(D92:L92)*1000</f>
        <v>9.1502946297234728E-3</v>
      </c>
    </row>
    <row r="93" spans="1:40" x14ac:dyDescent="0.35">
      <c r="A93" s="39" t="s">
        <v>164</v>
      </c>
      <c r="B93" s="154">
        <v>8100</v>
      </c>
      <c r="C93" s="154">
        <v>0.21059999999999998</v>
      </c>
      <c r="D93" s="1">
        <f>((C5/$B93)*$C93)*Input!$C$31</f>
        <v>7.3773226556203742E-5</v>
      </c>
      <c r="E93" s="1">
        <f>((D5/$B93)*$C93)*Input!$C$31</f>
        <v>8.3261736706504406E-7</v>
      </c>
      <c r="F93" s="1">
        <f>((E5/$B93)*$C93)*Input!$C$31</f>
        <v>6.9863876976809767E-5</v>
      </c>
      <c r="G93" s="1">
        <f>((F5/$B93)*$C93)*Input!$C$31</f>
        <v>6.4188801226367995E-6</v>
      </c>
      <c r="H93" s="1">
        <f>((G5/$B93)*$C93)*Input!$C$31</f>
        <v>1.0024354386744122E-4</v>
      </c>
      <c r="I93" s="1">
        <f>((H5/$B93)*$C93)*Input!$C$31</f>
        <v>1.5848452759091094E-5</v>
      </c>
      <c r="J93" s="1">
        <f>((I5/$B93)*$C93)*Input!$C$31</f>
        <v>5.7717668821806292E-6</v>
      </c>
      <c r="K93" s="1">
        <f>((J5/$B93)*$C93)*Input!$C$31</f>
        <v>4.3798350290080077E-6</v>
      </c>
      <c r="L93" s="1">
        <f>((K5/$B93)*$C93)*Input!$C$31</f>
        <v>-1.1060212134340571E-4</v>
      </c>
      <c r="M93" s="1">
        <f>(SUM(D93:H93))*1000</f>
        <v>0.25113214489015656</v>
      </c>
      <c r="N93" s="1">
        <f>SUM(D93:K93)*1000</f>
        <v>0.27713219956043628</v>
      </c>
      <c r="O93" s="1">
        <f>SUM(D93:L93)*1000</f>
        <v>0.16653007821703059</v>
      </c>
    </row>
    <row r="94" spans="1:40" x14ac:dyDescent="0.35">
      <c r="A94" s="39" t="s">
        <v>166</v>
      </c>
      <c r="B94" s="333"/>
      <c r="C94" s="333"/>
      <c r="D94" s="333"/>
      <c r="E94" s="333"/>
      <c r="F94" s="333"/>
      <c r="G94" s="333"/>
      <c r="H94" s="333"/>
      <c r="I94" s="333"/>
      <c r="J94" s="333"/>
      <c r="K94" s="333"/>
      <c r="L94" s="333"/>
      <c r="M94" s="333"/>
      <c r="N94" s="333"/>
      <c r="O94" s="333"/>
    </row>
    <row r="95" spans="1:40" x14ac:dyDescent="0.35">
      <c r="A95" s="39" t="s">
        <v>167</v>
      </c>
      <c r="B95" s="333"/>
      <c r="C95" s="333"/>
      <c r="D95" s="333"/>
      <c r="E95" s="333"/>
      <c r="F95" s="333"/>
      <c r="G95" s="333"/>
      <c r="H95" s="333"/>
      <c r="I95" s="333"/>
      <c r="J95" s="333"/>
      <c r="K95" s="333"/>
      <c r="L95" s="333"/>
      <c r="M95" s="333"/>
      <c r="N95" s="333"/>
      <c r="O95" s="333"/>
    </row>
    <row r="96" spans="1:40" x14ac:dyDescent="0.35">
      <c r="A96" s="39" t="s">
        <v>168</v>
      </c>
      <c r="B96" s="333"/>
      <c r="C96" s="333"/>
      <c r="D96" s="333"/>
      <c r="E96" s="333"/>
      <c r="F96" s="333"/>
      <c r="G96" s="333"/>
      <c r="H96" s="333"/>
      <c r="I96" s="333"/>
      <c r="J96" s="333"/>
      <c r="K96" s="333"/>
      <c r="L96" s="333"/>
      <c r="M96" s="333"/>
      <c r="N96" s="333"/>
      <c r="O96" s="333"/>
    </row>
    <row r="97" spans="1:18" x14ac:dyDescent="0.35">
      <c r="A97" s="39" t="s">
        <v>169</v>
      </c>
      <c r="B97" s="154">
        <v>42700</v>
      </c>
      <c r="C97" s="154">
        <v>1.9199999999999998E-2</v>
      </c>
      <c r="D97" s="1">
        <f>((C9/$B97)*$C97)*Input!$C$31</f>
        <v>5.6096931749240073E-5</v>
      </c>
      <c r="E97" s="1">
        <f>((D9/$B97)*$C97)*Input!$C$31</f>
        <v>6.3621116605882512E-9</v>
      </c>
      <c r="F97" s="1">
        <f>((E9/$B97)*$C97)*Input!$C$31</f>
        <v>1.0457491610834505E-6</v>
      </c>
      <c r="G97" s="1">
        <f>((F9/$B97)*$C97)*Input!$C$31</f>
        <v>9.5344461407685231E-8</v>
      </c>
      <c r="H97" s="1">
        <f>((G9/$B97)*$C97)*Input!$C$31</f>
        <v>9.4982463248078298E-7</v>
      </c>
      <c r="I97" s="1">
        <f>((H9/$B97)*$C97)*Input!$C$31</f>
        <v>2.3540900649192329E-7</v>
      </c>
      <c r="J97" s="1">
        <f>((I9/$B97)*$C97)*Input!$C$31</f>
        <v>4.4102641664511286E-8</v>
      </c>
      <c r="K97" s="1">
        <f>((J9/$B97)*$C97)*Input!$C$31</f>
        <v>3.3466752690648508E-8</v>
      </c>
      <c r="L97" s="1">
        <f>((K9/$B97)*$C97)*Input!$C$31</f>
        <v>-5.9001693690956836E-5</v>
      </c>
      <c r="M97" s="1">
        <f t="shared" ref="M97:M110" si="37">(SUM(D97:H97))*1000</f>
        <v>5.8194212115872584E-2</v>
      </c>
      <c r="N97" s="1">
        <f t="shared" ref="N97:N110" si="38">SUM(D97:K97)*1000</f>
        <v>5.8507190516719661E-2</v>
      </c>
      <c r="O97" s="1">
        <f t="shared" ref="O97:O110" si="39">SUM(D97:L97)*1000</f>
        <v>-4.9450317423717252E-4</v>
      </c>
    </row>
    <row r="98" spans="1:18" x14ac:dyDescent="0.35">
      <c r="A98" s="39" t="s">
        <v>171</v>
      </c>
      <c r="B98" s="154">
        <v>65000</v>
      </c>
      <c r="C98" s="154">
        <v>7.5499999999999998E-2</v>
      </c>
      <c r="D98" s="1">
        <f>((C10/$B98)*$C98)*Input!$C$31</f>
        <v>2.3540881979290952E-4</v>
      </c>
      <c r="E98" s="1">
        <f>((D10/$B98)*$C98)*Input!$C$31</f>
        <v>4.9407308690633505E-7</v>
      </c>
      <c r="F98" s="1">
        <f>((E10/$B98)*$C98)*Input!$C$31</f>
        <v>4.1846521931578366E-5</v>
      </c>
      <c r="G98" s="1">
        <f>((F10/$B98)*$C98)*Input!$C$31</f>
        <v>3.8594998206365527E-6</v>
      </c>
      <c r="H98" s="1">
        <f>((G10/$B98)*$C98)*Input!$C$31</f>
        <v>8.3471897437178757E-5</v>
      </c>
      <c r="I98" s="1">
        <f>((H10/$B98)*$C98)*Input!$C$31</f>
        <v>9.5292480015894504E-6</v>
      </c>
      <c r="J98" s="1">
        <f>((I10/$B98)*$C98)*Input!$C$31</f>
        <v>3.4249521967513378E-6</v>
      </c>
      <c r="K98" s="1">
        <f>((J10/$B98)*$C98)*Input!$C$31</f>
        <v>2.5989832767365709E-6</v>
      </c>
      <c r="L98" s="1">
        <f>((K10/$B98)*$C98)*Input!$C$31</f>
        <v>-2.6866254569922601E-4</v>
      </c>
      <c r="M98" s="1">
        <f t="shared" si="37"/>
        <v>0.3650808120692095</v>
      </c>
      <c r="N98" s="1">
        <f t="shared" si="38"/>
        <v>0.3806339955442869</v>
      </c>
      <c r="O98" s="1">
        <f t="shared" si="39"/>
        <v>0.11197144984506087</v>
      </c>
    </row>
    <row r="99" spans="1:18" x14ac:dyDescent="0.35">
      <c r="A99" s="39" t="s">
        <v>173</v>
      </c>
      <c r="B99" s="154">
        <v>1.61</v>
      </c>
      <c r="C99" s="154">
        <v>2.7999999999999997E-2</v>
      </c>
      <c r="D99" s="1">
        <f>((C11/$B99)*$C99)*Input!$C$31</f>
        <v>1.3334047062128953E-6</v>
      </c>
      <c r="E99" s="1">
        <f>((D11/$B99)*$C99)*Input!$C$31</f>
        <v>5.8875524540489382E-9</v>
      </c>
      <c r="F99" s="1">
        <f>((E11/$B99)*$C99)*Input!$C$31</f>
        <v>1.2248557555911462E-6</v>
      </c>
      <c r="G99" s="1">
        <f>((F11/$B99)*$C99)*Input!$C$31</f>
        <v>1.0014649544347823E-7</v>
      </c>
      <c r="H99" s="1">
        <f>((G11/$B99)*$C99)*Input!$C$31</f>
        <v>2.3107912587482577E-6</v>
      </c>
      <c r="I99" s="1">
        <f>((H11/$B99)*$C99)*Input!$C$31</f>
        <v>2.4726540637940858E-7</v>
      </c>
      <c r="J99" s="1">
        <f>((I11/$B99)*$C99)*Input!$C$31</f>
        <v>4.0812961169865106E-8</v>
      </c>
      <c r="K99" s="1">
        <f>((J11/$B99)*$C99)*Input!$C$31</f>
        <v>3.0970418698161943E-8</v>
      </c>
      <c r="L99" s="1">
        <f>((K11/$B99)*$C99)*Input!$C$31</f>
        <v>-2.8493637898633096E-6</v>
      </c>
      <c r="M99" s="1">
        <f t="shared" si="37"/>
        <v>4.9750857684498261E-3</v>
      </c>
      <c r="N99" s="1">
        <f t="shared" si="38"/>
        <v>5.2941345546972619E-3</v>
      </c>
      <c r="O99" s="1">
        <f t="shared" si="39"/>
        <v>2.4447707648339524E-3</v>
      </c>
    </row>
    <row r="100" spans="1:18" x14ac:dyDescent="0.35">
      <c r="A100" s="39" t="s">
        <v>175</v>
      </c>
      <c r="B100" s="154">
        <v>19.5</v>
      </c>
      <c r="C100" s="154">
        <v>2.9600000000000001E-2</v>
      </c>
      <c r="D100" s="1">
        <f>((C12/$B100)*$C100)*Input!$C$31</f>
        <v>7.11091066302379E-6</v>
      </c>
      <c r="E100" s="1">
        <f>((D12/$B100)*$C100)*Input!$C$31</f>
        <v>1.4053637232832214E-8</v>
      </c>
      <c r="F100" s="1">
        <f>((E12/$B100)*$C100)*Input!$C$31</f>
        <v>1.9688450551461621E-6</v>
      </c>
      <c r="G100" s="1">
        <f>((F12/$B100)*$C100)*Input!$C$31</f>
        <v>1.2180622446276924E-7</v>
      </c>
      <c r="H100" s="1">
        <f>((G12/$B100)*$C100)*Input!$C$31</f>
        <v>1.5244753501660707E-6</v>
      </c>
      <c r="I100" s="1">
        <f>((H12/$B100)*$C100)*Input!$C$31</f>
        <v>3.0074407954022391E-7</v>
      </c>
      <c r="J100" s="1">
        <f>((I12/$B100)*$C100)*Input!$C$31</f>
        <v>9.7420881623653393E-8</v>
      </c>
      <c r="K100" s="1">
        <f>((J12/$B100)*$C100)*Input!$C$31</f>
        <v>7.3926649950025875E-8</v>
      </c>
      <c r="L100" s="1">
        <f>((K12/$B100)*$C100)*Input!$C$31</f>
        <v>-8.4012165968829528E-6</v>
      </c>
      <c r="M100" s="1">
        <f t="shared" si="37"/>
        <v>1.0740090930031624E-2</v>
      </c>
      <c r="N100" s="1">
        <f t="shared" si="38"/>
        <v>1.1212182541145529E-2</v>
      </c>
      <c r="O100" s="1">
        <f t="shared" si="39"/>
        <v>2.8109659442625752E-3</v>
      </c>
    </row>
    <row r="101" spans="1:18" x14ac:dyDescent="0.35">
      <c r="A101" s="39" t="s">
        <v>177</v>
      </c>
      <c r="B101" s="154">
        <v>177</v>
      </c>
      <c r="C101" s="154">
        <v>3.7100000000000001E-2</v>
      </c>
      <c r="D101" s="1">
        <f>((C13/$B101)*$C101)*Input!$C$31</f>
        <v>1.195098818206454E-5</v>
      </c>
      <c r="E101" s="1">
        <f>((D13/$B101)*$C101)*Input!$C$31</f>
        <v>2.1096531390016671E-8</v>
      </c>
      <c r="F101" s="1">
        <f>((E13/$B101)*$C101)*Input!$C$31</f>
        <v>2.9533173095465588E-6</v>
      </c>
      <c r="G101" s="1">
        <f>((F13/$B101)*$C101)*Input!$C$31</f>
        <v>1.8205584426305086E-7</v>
      </c>
      <c r="H101" s="1">
        <f>((G13/$B101)*$C101)*Input!$C$31</f>
        <v>2.2706418906477799E-6</v>
      </c>
      <c r="I101" s="1">
        <f>((H13/$B101)*$C101)*Input!$C$31</f>
        <v>4.4950262229451932E-7</v>
      </c>
      <c r="J101" s="1">
        <f>((I13/$B101)*$C101)*Input!$C$31</f>
        <v>1.4624275930611246E-7</v>
      </c>
      <c r="K101" s="1">
        <f>((J13/$B101)*$C101)*Input!$C$31</f>
        <v>1.1097453743760765E-7</v>
      </c>
      <c r="L101" s="1">
        <f>((K13/$B101)*$C101)*Input!$C$31</f>
        <v>-1.3389196024385648E-5</v>
      </c>
      <c r="M101" s="1">
        <f t="shared" si="37"/>
        <v>1.7378099757911946E-2</v>
      </c>
      <c r="N101" s="1">
        <f t="shared" si="38"/>
        <v>1.8084819676950182E-2</v>
      </c>
      <c r="O101" s="1">
        <f t="shared" si="39"/>
        <v>4.6956236525645357E-3</v>
      </c>
      <c r="R101" s="87">
        <f>+Results!B23+Results!B54+Results!B61+Results!B86+Results!B112+Results!B119+Results!B126+Results!B152+Results!B160</f>
        <v>6.8212102632969618E-13</v>
      </c>
    </row>
    <row r="102" spans="1:18" x14ac:dyDescent="0.35">
      <c r="A102" s="39" t="s">
        <v>179</v>
      </c>
      <c r="B102" s="154">
        <v>1.6900000000000001E-5</v>
      </c>
      <c r="C102" s="154">
        <v>2.1299999999999999E-2</v>
      </c>
      <c r="D102" s="1">
        <f>((C14/$B102)*$C102)*Input!$C$31</f>
        <v>2.8352748309683337E-6</v>
      </c>
      <c r="E102" s="1">
        <f>((D14/$B102)*$C102)*Input!$C$31</f>
        <v>2.4664999255433163E-9</v>
      </c>
      <c r="F102" s="1">
        <f>((E14/$B102)*$C102)*Input!$C$31</f>
        <v>3.0694155967875351E-7</v>
      </c>
      <c r="G102" s="1">
        <f>((F14/$B102)*$C102)*Input!$C$31</f>
        <v>2.7578077246863903E-8</v>
      </c>
      <c r="H102" s="1">
        <f>((G14/$B102)*$C102)*Input!$C$31</f>
        <v>4.8067864892367689E-7</v>
      </c>
      <c r="I102" s="1">
        <f>((H14/$B102)*$C102)*Input!$C$31</f>
        <v>6.8091294132775371E-8</v>
      </c>
      <c r="J102" s="1">
        <f>((I14/$B102)*$C102)*Input!$C$31</f>
        <v>1.7097964981602147E-8</v>
      </c>
      <c r="K102" s="1">
        <f>((J14/$B102)*$C102)*Input!$C$31</f>
        <v>1.2974582563681187E-8</v>
      </c>
      <c r="L102" s="1">
        <f>((K14/$B102)*$C102)*Input!$C$31</f>
        <v>-3.0786350969307337E-6</v>
      </c>
      <c r="M102" s="1">
        <f t="shared" si="37"/>
        <v>3.6529396167431713E-3</v>
      </c>
      <c r="N102" s="1">
        <f t="shared" si="38"/>
        <v>3.7511034584212294E-3</v>
      </c>
      <c r="O102" s="1">
        <f t="shared" si="39"/>
        <v>6.7246836149049581E-4</v>
      </c>
    </row>
    <row r="103" spans="1:18" x14ac:dyDescent="0.35">
      <c r="A103" s="39" t="s">
        <v>181</v>
      </c>
      <c r="B103" s="154">
        <v>2.3000000000000001E-4</v>
      </c>
      <c r="C103" s="154">
        <v>1.84E-2</v>
      </c>
      <c r="D103" s="1">
        <f>((C15/$B103)*$C103)*Input!$C$31</f>
        <v>5.2459379847752831E-6</v>
      </c>
      <c r="E103" s="1">
        <f>((D15/$B103)*$C103)*Input!$C$31</f>
        <v>4.1729377883782286E-9</v>
      </c>
      <c r="F103" s="1">
        <f>((E15/$B103)*$C103)*Input!$C$31</f>
        <v>1.5109634925287624E-6</v>
      </c>
      <c r="G103" s="1">
        <f>((F15/$B103)*$C103)*Input!$C$31</f>
        <v>1.4242894848E-7</v>
      </c>
      <c r="H103" s="1">
        <f>((G15/$B103)*$C103)*Input!$C$31</f>
        <v>5.8848738832451807E-7</v>
      </c>
      <c r="I103" s="1">
        <f>((H15/$B103)*$C103)*Input!$C$31</f>
        <v>3.5166234894335998E-7</v>
      </c>
      <c r="J103" s="1">
        <f>((I15/$B103)*$C103)*Input!$C$31</f>
        <v>2.8927121966313752E-8</v>
      </c>
      <c r="K103" s="1">
        <f>((J15/$B103)*$C103)*Input!$C$31</f>
        <v>2.1950994325082815E-8</v>
      </c>
      <c r="L103" s="1">
        <f>((K15/$B103)*$C103)*Input!$C$31</f>
        <v>-6.1715439483936822E-6</v>
      </c>
      <c r="M103" s="1">
        <f t="shared" si="37"/>
        <v>7.491990751896941E-3</v>
      </c>
      <c r="N103" s="1">
        <f t="shared" si="38"/>
        <v>7.8945312171316978E-3</v>
      </c>
      <c r="O103" s="1">
        <f t="shared" si="39"/>
        <v>1.722987268738015E-3</v>
      </c>
    </row>
    <row r="104" spans="1:18" x14ac:dyDescent="0.35">
      <c r="A104" s="39" t="s">
        <v>182</v>
      </c>
      <c r="B104" s="154">
        <v>4220</v>
      </c>
      <c r="C104" s="154">
        <v>5.0099999999999999E-2</v>
      </c>
      <c r="D104" s="1">
        <f>((C16/$B104)*$C104)*Input!$C$31</f>
        <v>8.5444749037958715E-7</v>
      </c>
      <c r="E104" s="1">
        <f>((D16/$B104)*$C104)*Input!$C$31</f>
        <v>1.5162746847144538E-9</v>
      </c>
      <c r="F104" s="1">
        <f>((E16/$B104)*$C104)*Input!$C$31</f>
        <v>2.324887909351434E-7</v>
      </c>
      <c r="G104" s="1">
        <f>((F16/$B104)*$C104)*Input!$C$31</f>
        <v>1.7887446272303318E-8</v>
      </c>
      <c r="H104" s="1">
        <f>((G16/$B104)*$C104)*Input!$C$31</f>
        <v>5.5764662144620865E-6</v>
      </c>
      <c r="I104" s="1">
        <f>((H16/$B104)*$C104)*Input!$C$31</f>
        <v>4.4164767344326967E-8</v>
      </c>
      <c r="J104" s="1">
        <f>((I16/$B104)*$C104)*Input!$C$31</f>
        <v>1.0510931378206635E-8</v>
      </c>
      <c r="K104" s="1">
        <f>((J16/$B104)*$C104)*Input!$C$31</f>
        <v>7.9760923089076543E-9</v>
      </c>
      <c r="L104" s="1">
        <f>((K16/$B104)*$C104)*Input!$C$31</f>
        <v>-1.2824590056559972E-6</v>
      </c>
      <c r="M104" s="1">
        <f t="shared" si="37"/>
        <v>6.6828062167338352E-3</v>
      </c>
      <c r="N104" s="1">
        <f t="shared" si="38"/>
        <v>6.7454580077652756E-3</v>
      </c>
      <c r="O104" s="1">
        <f t="shared" si="39"/>
        <v>5.4629990021092785E-3</v>
      </c>
    </row>
    <row r="105" spans="1:18" x14ac:dyDescent="0.35">
      <c r="A105" s="39" t="s">
        <v>184</v>
      </c>
      <c r="B105" s="154">
        <v>819000</v>
      </c>
      <c r="C105" s="154">
        <v>7.9399999999999998E-2</v>
      </c>
      <c r="D105" s="1">
        <f>((C17/$B105)*$C105)*Input!$C$31</f>
        <v>7.4564030853916354E-6</v>
      </c>
      <c r="E105" s="1">
        <f>((D17/$B105)*$C105)*Input!$C$31</f>
        <v>2.1202116516272084E-9</v>
      </c>
      <c r="F105" s="1">
        <f>((E17/$B105)*$C105)*Input!$C$31</f>
        <v>3.0367411456281984E-7</v>
      </c>
      <c r="G105" s="1">
        <f>((F17/$B105)*$C105)*Input!$C$31</f>
        <v>2.0319117553455823E-8</v>
      </c>
      <c r="H105" s="1">
        <f>((G17/$B105)*$C105)*Input!$C$31</f>
        <v>2.3797995427954891E-7</v>
      </c>
      <c r="I105" s="1">
        <f>((H17/$B105)*$C105)*Input!$C$31</f>
        <v>5.016865379939182E-8</v>
      </c>
      <c r="J105" s="1">
        <f>((I17/$B105)*$C105)*Input!$C$31</f>
        <v>1.469746834276571E-8</v>
      </c>
      <c r="K105" s="1">
        <f>((J17/$B105)*$C105)*Input!$C$31</f>
        <v>1.115299491462846E-8</v>
      </c>
      <c r="L105" s="1">
        <f>((K17/$B105)*$C105)*Input!$C$31</f>
        <v>-9.3269457405199519E-6</v>
      </c>
      <c r="M105" s="1">
        <f t="shared" si="37"/>
        <v>8.0204964834390876E-3</v>
      </c>
      <c r="N105" s="1">
        <f t="shared" si="38"/>
        <v>8.0965156004958721E-3</v>
      </c>
      <c r="O105" s="1">
        <f t="shared" si="39"/>
        <v>-1.23043014002408E-3</v>
      </c>
    </row>
    <row r="106" spans="1:18" x14ac:dyDescent="0.35">
      <c r="A106" s="39" t="s">
        <v>186</v>
      </c>
      <c r="B106" s="154">
        <v>65000</v>
      </c>
      <c r="C106" s="154">
        <v>8.3199999999999996E-2</v>
      </c>
      <c r="D106" s="1">
        <f>((C18/$B106)*$C106)*Input!$C$31</f>
        <v>5.0967951448731135E-11</v>
      </c>
      <c r="E106" s="1">
        <f>((D18/$B106)*$C106)*Input!$C$31</f>
        <v>6.3917100249552833E-15</v>
      </c>
      <c r="F106" s="1">
        <f>((E18/$B106)*$C106)*Input!$C$31</f>
        <v>3.8353691922726536E-12</v>
      </c>
      <c r="G106" s="1">
        <f>((F18/$B106)*$C106)*Input!$C$31</f>
        <v>3.4863751987199992E-13</v>
      </c>
      <c r="H106" s="1">
        <f>((G18/$B106)*$C106)*Input!$C$31</f>
        <v>7.3682177224458543E-12</v>
      </c>
      <c r="I106" s="1">
        <f>((H18/$B106)*$C106)*Input!$C$31</f>
        <v>8.6079894906470382E-13</v>
      </c>
      <c r="J106" s="1">
        <f>((I18/$B106)*$C106)*Input!$C$31</f>
        <v>4.4307819776304149E-14</v>
      </c>
      <c r="K106" s="1">
        <f>((J18/$B106)*$C106)*Input!$C$31</f>
        <v>3.36224496028004E-14</v>
      </c>
      <c r="L106" s="1">
        <f>((K18/$B106)*$C106)*Input!$C$31</f>
        <v>-4.0249058858948194E-12</v>
      </c>
      <c r="M106" s="1">
        <f t="shared" si="37"/>
        <v>6.2526567593346598E-8</v>
      </c>
      <c r="N106" s="1">
        <f t="shared" si="38"/>
        <v>6.3465296811790402E-8</v>
      </c>
      <c r="O106" s="1">
        <f t="shared" si="39"/>
        <v>5.9440390925895579E-8</v>
      </c>
    </row>
    <row r="107" spans="1:18" x14ac:dyDescent="0.35">
      <c r="A107" s="39" t="s">
        <v>188</v>
      </c>
      <c r="B107" s="154">
        <v>5.3600000000000002E-2</v>
      </c>
      <c r="C107" s="154">
        <v>6.3099999999999989E-2</v>
      </c>
      <c r="D107" s="1">
        <f>((C19/$B107)*$C107)*Input!$C$31</f>
        <v>9.9348628907500878E-9</v>
      </c>
      <c r="E107" s="1">
        <f>((D19/$B107)*$C107)*Input!$C$31</f>
        <v>8.4954596053707516E-10</v>
      </c>
      <c r="F107" s="1">
        <f>((E19/$B107)*$C107)*Input!$C$31</f>
        <v>6.9830894490749248E-8</v>
      </c>
      <c r="G107" s="1">
        <f>((F19/$B107)*$C107)*Input!$C$31</f>
        <v>6.4625419708656699E-9</v>
      </c>
      <c r="H107" s="1">
        <f>((G19/$B107)*$C107)*Input!$C$31</f>
        <v>6.1022349985896394E-7</v>
      </c>
      <c r="I107" s="1">
        <f>((H19/$B107)*$C107)*Input!$C$31</f>
        <v>1.5956255479473666E-8</v>
      </c>
      <c r="J107" s="1">
        <f>((I19/$B107)*$C107)*Input!$C$31</f>
        <v>5.8891171790020722E-9</v>
      </c>
      <c r="K107" s="1">
        <f>((J19/$B107)*$C107)*Input!$C$31</f>
        <v>4.4688848730462096E-9</v>
      </c>
      <c r="L107" s="1">
        <f>((K19/$B107)*$C107)*Input!$C$31</f>
        <v>-4.4331447036821854E-8</v>
      </c>
      <c r="M107" s="1">
        <f t="shared" si="37"/>
        <v>6.9730134517186602E-4</v>
      </c>
      <c r="N107" s="1">
        <f t="shared" si="38"/>
        <v>7.2361560270338789E-4</v>
      </c>
      <c r="O107" s="1">
        <f t="shared" si="39"/>
        <v>6.7928415566656606E-4</v>
      </c>
    </row>
    <row r="108" spans="1:18" x14ac:dyDescent="0.35">
      <c r="A108" s="39" t="s">
        <v>190</v>
      </c>
      <c r="B108" s="154">
        <v>5.9500000000000004E-4</v>
      </c>
      <c r="C108" s="154">
        <v>8.9600000000000013E-2</v>
      </c>
      <c r="D108" s="1">
        <f>((C20/$B108)*$C108)*Input!$C$31</f>
        <v>3.8375276394745224E-5</v>
      </c>
      <c r="E108" s="1">
        <f>((D20/$B108)*$C108)*Input!$C$31</f>
        <v>4.7497063705476585E-8</v>
      </c>
      <c r="F108" s="1">
        <f>((E20/$B108)*$C108)*Input!$C$31</f>
        <v>2.436723649903199E-5</v>
      </c>
      <c r="G108" s="1">
        <f>((F20/$B108)*$C108)*Input!$C$31</f>
        <v>2.304376359755294E-6</v>
      </c>
      <c r="H108" s="1">
        <f>((G20/$B108)*$C108)*Input!$C$31</f>
        <v>2.5606826878081938E-6</v>
      </c>
      <c r="I108" s="1">
        <f>((H20/$B108)*$C108)*Input!$C$31</f>
        <v>5.6895905795084039E-6</v>
      </c>
      <c r="J108" s="1">
        <f>((I20/$B108)*$C108)*Input!$C$31</f>
        <v>3.2925325622553048E-7</v>
      </c>
      <c r="K108" s="1">
        <f>((J20/$B108)*$C108)*Input!$C$31</f>
        <v>2.4984982492686832E-7</v>
      </c>
      <c r="L108" s="1">
        <f>((K20/$B108)*$C108)*Input!$C$31</f>
        <v>-4.9532725755812055E-5</v>
      </c>
      <c r="M108" s="1">
        <f t="shared" si="37"/>
        <v>6.765506900504617E-2</v>
      </c>
      <c r="N108" s="1">
        <f t="shared" si="38"/>
        <v>7.3923762665706966E-2</v>
      </c>
      <c r="O108" s="1">
        <f t="shared" si="39"/>
        <v>2.4391036909894918E-2</v>
      </c>
    </row>
    <row r="109" spans="1:18" x14ac:dyDescent="0.35">
      <c r="A109" s="39" t="s">
        <v>192</v>
      </c>
      <c r="B109" s="154">
        <v>40.6</v>
      </c>
      <c r="C109" s="154">
        <v>4.7800000000000002E-2</v>
      </c>
      <c r="D109" s="1">
        <f>((C21/$B109)*$C109)*Input!$C$31</f>
        <v>2.0683219773844446E-5</v>
      </c>
      <c r="E109" s="1">
        <f>((D21/$B109)*$C109)*Input!$C$31</f>
        <v>9.2867227116512568E-8</v>
      </c>
      <c r="F109" s="1">
        <f>((E21/$B109)*$C109)*Input!$C$31</f>
        <v>9.5303331971605636E-6</v>
      </c>
      <c r="G109" s="1">
        <f>((F21/$B109)*$C109)*Input!$C$31</f>
        <v>7.5568258938325104E-7</v>
      </c>
      <c r="H109" s="1">
        <f>((G21/$B109)*$C109)*Input!$C$31</f>
        <v>4.3083823023365894E-6</v>
      </c>
      <c r="I109" s="1">
        <f>((H21/$B109)*$C109)*Input!$C$31</f>
        <v>1.8658083014312979E-6</v>
      </c>
      <c r="J109" s="1">
        <f>((I21/$B109)*$C109)*Input!$C$31</f>
        <v>6.4376267792785716E-7</v>
      </c>
      <c r="K109" s="1">
        <f>((J21/$B109)*$C109)*Input!$C$31</f>
        <v>4.8851147052757718E-7</v>
      </c>
      <c r="L109" s="1">
        <f>((K21/$B109)*$C109)*Input!$C$31</f>
        <v>-2.5849548029062807E-5</v>
      </c>
      <c r="M109" s="1">
        <f t="shared" si="37"/>
        <v>3.5370485089841364E-2</v>
      </c>
      <c r="N109" s="1">
        <f t="shared" si="38"/>
        <v>3.8368567539728102E-2</v>
      </c>
      <c r="O109" s="1">
        <f t="shared" si="39"/>
        <v>1.2519019510665294E-2</v>
      </c>
    </row>
    <row r="110" spans="1:18" x14ac:dyDescent="0.35">
      <c r="A110" s="39" t="s">
        <v>194</v>
      </c>
      <c r="B110" s="154">
        <v>11500</v>
      </c>
      <c r="C110" s="154">
        <v>8.5099999999999995E-2</v>
      </c>
      <c r="D110" s="1">
        <f>((C22/$B110)*$C110)*Input!$C$31</f>
        <v>5.4585634719266937E-6</v>
      </c>
      <c r="E110" s="1">
        <f>((D22/$B110)*$C110)*Input!$C$31</f>
        <v>4.2601343026467376E-9</v>
      </c>
      <c r="F110" s="1">
        <f>((E22/$B110)*$C110)*Input!$C$31</f>
        <v>6.6462437447523203E-7</v>
      </c>
      <c r="G110" s="1">
        <f>((F22/$B110)*$C110)*Input!$C$31</f>
        <v>5.600243878272E-8</v>
      </c>
      <c r="H110" s="1">
        <f>((G22/$B110)*$C110)*Input!$C$31</f>
        <v>1.1823505692685053E-6</v>
      </c>
      <c r="I110" s="1">
        <f>((H22/$B110)*$C110)*Input!$C$31</f>
        <v>1.3827209551893501E-7</v>
      </c>
      <c r="J110" s="1">
        <f>((I22/$B110)*$C110)*Input!$C$31</f>
        <v>2.9531574831704496E-8</v>
      </c>
      <c r="K110" s="1">
        <f>((J22/$B110)*$C110)*Input!$C$31</f>
        <v>2.2409676022951813E-8</v>
      </c>
      <c r="L110" s="1">
        <f>((K22/$B110)*$C110)*Input!$C$31</f>
        <v>-6.7472746529833448E-6</v>
      </c>
      <c r="M110" s="1">
        <f t="shared" si="37"/>
        <v>7.3658009887557982E-3</v>
      </c>
      <c r="N110" s="1">
        <f t="shared" si="38"/>
        <v>7.5560143351293893E-3</v>
      </c>
      <c r="O110" s="1">
        <f t="shared" si="39"/>
        <v>8.0873968214604467E-4</v>
      </c>
    </row>
    <row r="111" spans="1:18" x14ac:dyDescent="0.35">
      <c r="A111" s="376" t="s">
        <v>200</v>
      </c>
      <c r="B111" s="377"/>
      <c r="C111" s="330">
        <f>SUM(C92:C110)</f>
        <v>1</v>
      </c>
      <c r="D111" s="13">
        <f>SUM(D92:D110)*1000</f>
        <v>0.48359013768677367</v>
      </c>
      <c r="E111" s="13">
        <f t="shared" ref="E111:L111" si="40">SUM(E92:E110)*1000</f>
        <v>1.575494878296462E-3</v>
      </c>
      <c r="F111" s="13">
        <f t="shared" si="40"/>
        <v>0.16129938320727275</v>
      </c>
      <c r="G111" s="13">
        <f>SUM(G92:G110)*1000</f>
        <v>1.4518997876011748E-2</v>
      </c>
      <c r="H111" s="13">
        <f t="shared" si="40"/>
        <v>0.21060594975966582</v>
      </c>
      <c r="I111" s="13">
        <f t="shared" si="40"/>
        <v>3.5847943496535084E-2</v>
      </c>
      <c r="J111" s="13">
        <f t="shared" si="40"/>
        <v>1.0921450261902051E-2</v>
      </c>
      <c r="K111" s="13">
        <f t="shared" si="40"/>
        <v>8.2876095658553448E-3</v>
      </c>
      <c r="L111" s="13">
        <f t="shared" si="40"/>
        <v>-0.58451212266199659</v>
      </c>
      <c r="M111" s="1">
        <f>SUM(M92:M110)</f>
        <v>0.87158996340802042</v>
      </c>
      <c r="N111" s="1">
        <f>SUM(N92:N110)</f>
        <v>0.92664696673231295</v>
      </c>
      <c r="O111" s="1">
        <f>SUM(O92:O110)</f>
        <v>0.34213484407031641</v>
      </c>
    </row>
    <row r="112" spans="1:18" x14ac:dyDescent="0.35">
      <c r="A112" s="148" t="s">
        <v>58</v>
      </c>
      <c r="B112" s="337">
        <f>+SUM(D47:L47)*Input!$C$31-SUM(Results!D111:L111)</f>
        <v>0</v>
      </c>
      <c r="C112" s="256"/>
      <c r="D112" s="337">
        <f>+D47*Input!$C$31-D111</f>
        <v>0</v>
      </c>
      <c r="E112" s="337">
        <f>+E47*Input!$C$31-E111</f>
        <v>0</v>
      </c>
      <c r="F112" s="337">
        <f>+F47*Input!$C$31-F111</f>
        <v>0</v>
      </c>
      <c r="G112" s="337">
        <f>+G47*Input!$C$31-G111</f>
        <v>0</v>
      </c>
      <c r="H112" s="337">
        <f>+H47*Input!$C$31-H111</f>
        <v>0</v>
      </c>
      <c r="I112" s="337">
        <f>+I47*Input!$C$31-I111</f>
        <v>0</v>
      </c>
      <c r="J112" s="337">
        <f>+J47*Input!$C$31-J111</f>
        <v>0</v>
      </c>
      <c r="K112" s="337">
        <f>+K47*Input!$C$31-K111</f>
        <v>0</v>
      </c>
      <c r="L112" s="337">
        <f>+L47*Input!$C$31-L111</f>
        <v>0</v>
      </c>
      <c r="M112" s="337">
        <f>+M47*Input!$C$31-M111</f>
        <v>0</v>
      </c>
      <c r="N112" s="337">
        <f>+N47*Input!$C$31-N111</f>
        <v>0</v>
      </c>
      <c r="O112" s="337">
        <f>+O47*Input!$C$31-O111</f>
        <v>0</v>
      </c>
    </row>
    <row r="113" spans="1:28" x14ac:dyDescent="0.35">
      <c r="A113" s="24"/>
      <c r="B113" s="24"/>
      <c r="C113" s="24"/>
      <c r="D113" s="24"/>
    </row>
    <row r="115" spans="1:28" ht="21" x14ac:dyDescent="0.5">
      <c r="A115" s="76" t="s">
        <v>256</v>
      </c>
    </row>
    <row r="117" spans="1:28" ht="43.5" x14ac:dyDescent="0.35">
      <c r="A117" s="246" t="s">
        <v>153</v>
      </c>
      <c r="B117" s="246" t="s">
        <v>154</v>
      </c>
      <c r="C117" s="108" t="s">
        <v>1011</v>
      </c>
      <c r="D117" s="108" t="s">
        <v>1012</v>
      </c>
      <c r="E117" s="108" t="s">
        <v>1015</v>
      </c>
      <c r="F117" s="108" t="s">
        <v>1010</v>
      </c>
      <c r="G117" s="108" t="s">
        <v>156</v>
      </c>
      <c r="H117" s="108" t="s">
        <v>157</v>
      </c>
      <c r="I117" s="108" t="s">
        <v>158</v>
      </c>
      <c r="J117" s="108" t="s">
        <v>159</v>
      </c>
      <c r="K117" s="108" t="s">
        <v>204</v>
      </c>
      <c r="L117" s="103" t="s">
        <v>987</v>
      </c>
      <c r="M117" s="103" t="s">
        <v>991</v>
      </c>
    </row>
    <row r="118" spans="1:28" x14ac:dyDescent="0.35">
      <c r="A118" s="1" t="s">
        <v>164</v>
      </c>
      <c r="B118" s="1" t="s">
        <v>257</v>
      </c>
      <c r="C118" s="1">
        <f>'A1 - Raw Material Supply'!$Z$115*Input!$C$31</f>
        <v>2.8374317906232212</v>
      </c>
      <c r="D118" s="1">
        <f>'C3'' - Secondary Raw Material '!$F$321*Input!$C$31</f>
        <v>3.2023744887117074E-2</v>
      </c>
      <c r="E118" s="1">
        <f>'A2 - Transport'!$Z$119*Input!$C$31</f>
        <v>2.6870721914157607</v>
      </c>
      <c r="F118" s="1">
        <f>('C2''- Transport Secondary'!$D$59+'C2''- Transport Secondary'!$G$59)*Input!$C$31</f>
        <v>0.24688000471679997</v>
      </c>
      <c r="G118" s="1">
        <f>'A3 - Production '!$D$207*Input!$C$31</f>
        <v>3.855520917978509</v>
      </c>
      <c r="H118" s="1">
        <f>'A4 - Transport'!$B$18*Input!$C$31</f>
        <v>0.60955587534965749</v>
      </c>
      <c r="I118" s="1">
        <f>'A5 - Construction'!$E$140*Input!$C$31</f>
        <v>0.22199103393002423</v>
      </c>
      <c r="J118" s="1">
        <f>'C1 - Deconstruction'!$B$88*Input!$C$31</f>
        <v>0.16845519342338494</v>
      </c>
      <c r="K118" s="1">
        <f>'D- Benefits &amp; Burdens'!$N$162*Input!$C$31</f>
        <v>-4.253927743977143</v>
      </c>
      <c r="L118" s="1">
        <f>SUM(C118:G118)</f>
        <v>9.6589286496214086</v>
      </c>
      <c r="M118" s="1">
        <f>SUM(C118:J118)</f>
        <v>10.658930752324476</v>
      </c>
    </row>
    <row r="119" spans="1:28" x14ac:dyDescent="0.35">
      <c r="A119" s="148" t="s">
        <v>58</v>
      </c>
      <c r="B119" s="338">
        <f>+SUM(E134,H134,K134,N134,Q134,T134,U134,V134,Z134,AA134,AD134,AM134)-SUM(C118:K118)</f>
        <v>0</v>
      </c>
      <c r="L119" s="257">
        <f>+L118-L53*Input!$C$31</f>
        <v>0</v>
      </c>
      <c r="M119" s="257">
        <f>+M118-M53*Input!$C$31</f>
        <v>0</v>
      </c>
    </row>
    <row r="121" spans="1:28" ht="21" x14ac:dyDescent="0.5">
      <c r="A121" s="76" t="s">
        <v>258</v>
      </c>
    </row>
    <row r="122" spans="1:28" x14ac:dyDescent="0.35">
      <c r="A122" s="11" t="s">
        <v>259</v>
      </c>
      <c r="O122" s="15" t="s">
        <v>216</v>
      </c>
      <c r="P122" s="15" t="s">
        <v>262</v>
      </c>
      <c r="Q122" s="15" t="s">
        <v>1017</v>
      </c>
      <c r="R122" s="15" t="s">
        <v>254</v>
      </c>
      <c r="S122" s="15"/>
    </row>
    <row r="123" spans="1:28" ht="14.5" customHeight="1" x14ac:dyDescent="0.35">
      <c r="A123" s="384" t="s">
        <v>209</v>
      </c>
      <c r="B123" s="384" t="s">
        <v>253</v>
      </c>
      <c r="C123" s="381" t="s">
        <v>260</v>
      </c>
      <c r="D123" s="382"/>
      <c r="E123" s="381" t="s">
        <v>59</v>
      </c>
      <c r="F123" s="382"/>
      <c r="G123" s="381" t="s">
        <v>212</v>
      </c>
      <c r="H123" s="382"/>
      <c r="I123" s="381" t="s">
        <v>213</v>
      </c>
      <c r="J123" s="382"/>
      <c r="K123" s="378" t="s">
        <v>214</v>
      </c>
      <c r="L123" s="379"/>
      <c r="M123" s="381" t="s">
        <v>1016</v>
      </c>
      <c r="N123" s="382"/>
      <c r="O123" s="103" t="s">
        <v>364</v>
      </c>
      <c r="P123" s="103" t="s">
        <v>364</v>
      </c>
      <c r="Q123" s="103" t="s">
        <v>364</v>
      </c>
      <c r="R123" s="103" t="s">
        <v>364</v>
      </c>
      <c r="S123" s="381" t="s">
        <v>229</v>
      </c>
      <c r="T123" s="382"/>
      <c r="U123" s="384" t="s">
        <v>231</v>
      </c>
      <c r="V123" s="384"/>
      <c r="W123" s="384"/>
      <c r="X123" s="384"/>
      <c r="Y123" s="384"/>
      <c r="Z123" s="384"/>
      <c r="AA123" s="384"/>
      <c r="AB123" s="384"/>
    </row>
    <row r="124" spans="1:28" ht="43.5" x14ac:dyDescent="0.35">
      <c r="A124" s="384"/>
      <c r="B124" s="384"/>
      <c r="C124" s="103" t="s">
        <v>1011</v>
      </c>
      <c r="D124" s="103" t="s">
        <v>1015</v>
      </c>
      <c r="E124" s="103" t="s">
        <v>1011</v>
      </c>
      <c r="F124" s="103" t="s">
        <v>1015</v>
      </c>
      <c r="G124" s="103" t="s">
        <v>1011</v>
      </c>
      <c r="H124" s="103" t="s">
        <v>1015</v>
      </c>
      <c r="I124" s="103" t="s">
        <v>1012</v>
      </c>
      <c r="J124" s="103" t="s">
        <v>1010</v>
      </c>
      <c r="K124" s="103" t="s">
        <v>1012</v>
      </c>
      <c r="L124" s="103" t="s">
        <v>1010</v>
      </c>
      <c r="M124" s="103" t="s">
        <v>1011</v>
      </c>
      <c r="N124" s="103" t="s">
        <v>1015</v>
      </c>
      <c r="O124" s="103" t="s">
        <v>218</v>
      </c>
      <c r="P124" s="103" t="s">
        <v>263</v>
      </c>
      <c r="Q124" s="103" t="s">
        <v>264</v>
      </c>
      <c r="R124" s="108" t="s">
        <v>159</v>
      </c>
      <c r="S124" s="103" t="s">
        <v>160</v>
      </c>
      <c r="T124" s="103" t="s">
        <v>265</v>
      </c>
      <c r="U124" s="103" t="s">
        <v>266</v>
      </c>
      <c r="V124" s="103" t="s">
        <v>212</v>
      </c>
      <c r="W124" s="103" t="s">
        <v>211</v>
      </c>
      <c r="X124" s="103" t="s">
        <v>267</v>
      </c>
      <c r="Y124" s="103" t="s">
        <v>268</v>
      </c>
      <c r="Z124" s="103" t="s">
        <v>269</v>
      </c>
      <c r="AA124" s="103" t="s">
        <v>270</v>
      </c>
      <c r="AB124" s="103" t="s">
        <v>271</v>
      </c>
    </row>
    <row r="125" spans="1:28" x14ac:dyDescent="0.35">
      <c r="A125" s="1" t="s">
        <v>164</v>
      </c>
      <c r="B125" s="1" t="s">
        <v>257</v>
      </c>
      <c r="C125" s="1">
        <f>C68*Input!$C$31</f>
        <v>0.43345745896532717</v>
      </c>
      <c r="D125" s="1">
        <f>D68*Input!$C$31</f>
        <v>2.3538091717428791</v>
      </c>
      <c r="E125" s="1">
        <f>F68*Input!$C$31</f>
        <v>2.2550015999999999</v>
      </c>
      <c r="F125" s="1">
        <f>G68*Input!$C$31</f>
        <v>0.17670205306686965</v>
      </c>
      <c r="G125" s="1">
        <f>I68*Input!$C$31</f>
        <v>2.3359561298576807E-2</v>
      </c>
      <c r="H125" s="1">
        <f>J68*Input!$C$31</f>
        <v>3.1909240609646394E-2</v>
      </c>
      <c r="I125" s="1">
        <f>L68*Input!C31</f>
        <v>3.2023744887117074E-2</v>
      </c>
      <c r="J125" s="1">
        <f>M68*Input!C31</f>
        <v>0.24688000471679997</v>
      </c>
      <c r="K125" s="1">
        <f>O68*Input!$C$31</f>
        <v>0</v>
      </c>
      <c r="L125" s="1">
        <f>P68*Input!$C$31</f>
        <v>0</v>
      </c>
      <c r="M125" s="1">
        <f>R68*Input!$C$31</f>
        <v>0.12561317035931716</v>
      </c>
      <c r="N125" s="1">
        <f>S68*Input!$C$31</f>
        <v>0.12465172599636554</v>
      </c>
      <c r="O125" s="1">
        <f>U68*Input!$C$31</f>
        <v>3.855520917978509</v>
      </c>
      <c r="P125" s="1">
        <f>V68*Input!$C$31</f>
        <v>0.60955587534965749</v>
      </c>
      <c r="Q125" s="1">
        <f>Z68*Input!$C$31</f>
        <v>0.22199103393002423</v>
      </c>
      <c r="R125" s="1">
        <f>AA68*Input!$C$31</f>
        <v>0.16845519342338494</v>
      </c>
      <c r="S125" s="1">
        <f>$AC$68*Input!$C$31</f>
        <v>0.14598502034476504</v>
      </c>
      <c r="T125" s="1">
        <f>$AB$68*Input!$C$31</f>
        <v>0.58727029173120004</v>
      </c>
      <c r="U125" s="1">
        <f>AE68*Input!$C$31</f>
        <v>-2.3771543040000003</v>
      </c>
      <c r="V125" s="1">
        <f>AF68*Input!$C$31</f>
        <v>-0.1818962319197579</v>
      </c>
      <c r="W125" s="1">
        <f>AG68*Input!$C$31</f>
        <v>-0.14622850590868589</v>
      </c>
      <c r="X125" s="1">
        <f>AH68*Input!$C$31</f>
        <v>-0.19449897264521324</v>
      </c>
      <c r="Y125" s="1">
        <f>AI68*Input!$C$31</f>
        <v>-0.18990108400127767</v>
      </c>
      <c r="Z125" s="1">
        <f>AJ68*Input!$C$31</f>
        <v>-0.25330911547032287</v>
      </c>
      <c r="AA125" s="1">
        <f>AK68*Input!$C$31</f>
        <v>-1.0707729431607118</v>
      </c>
      <c r="AB125" s="1">
        <f>AL68*Input!$C$31</f>
        <v>-0.57342189894713858</v>
      </c>
    </row>
    <row r="126" spans="1:28" x14ac:dyDescent="0.35">
      <c r="A126" s="148" t="s">
        <v>58</v>
      </c>
      <c r="B126" s="338">
        <f>+SUM(C118:J118)-SUM(C125:R125)</f>
        <v>0</v>
      </c>
    </row>
    <row r="127" spans="1:28" x14ac:dyDescent="0.35">
      <c r="A127" s="24"/>
      <c r="B127" s="24"/>
      <c r="C127" s="24"/>
      <c r="D127" s="24"/>
    </row>
    <row r="128" spans="1:28" ht="15" customHeight="1" x14ac:dyDescent="0.5">
      <c r="A128" s="76"/>
    </row>
    <row r="129" spans="1:40" ht="21" x14ac:dyDescent="0.5">
      <c r="A129" s="76" t="s">
        <v>1008</v>
      </c>
      <c r="F129" s="37"/>
      <c r="G129" s="37"/>
      <c r="H129" s="37"/>
      <c r="I129" s="37"/>
      <c r="J129" s="37"/>
      <c r="K129" s="37"/>
      <c r="L129" s="37"/>
      <c r="M129" s="37"/>
      <c r="N129" s="37"/>
      <c r="O129" s="37"/>
      <c r="P129" s="37"/>
      <c r="Q129" s="37"/>
      <c r="R129" s="16"/>
      <c r="S129" s="16"/>
    </row>
    <row r="131" spans="1:40" ht="29" x14ac:dyDescent="0.35">
      <c r="A131" s="385" t="s">
        <v>209</v>
      </c>
      <c r="B131" s="385" t="s">
        <v>253</v>
      </c>
      <c r="C131" s="378" t="s">
        <v>221</v>
      </c>
      <c r="D131" s="387"/>
      <c r="E131" s="379"/>
      <c r="F131" s="378" t="s">
        <v>59</v>
      </c>
      <c r="G131" s="387"/>
      <c r="H131" s="379"/>
      <c r="I131" s="378" t="s">
        <v>212</v>
      </c>
      <c r="J131" s="387"/>
      <c r="K131" s="379"/>
      <c r="L131" s="378" t="s">
        <v>213</v>
      </c>
      <c r="M131" s="387"/>
      <c r="N131" s="379"/>
      <c r="O131" s="378" t="s">
        <v>214</v>
      </c>
      <c r="P131" s="387"/>
      <c r="Q131" s="379"/>
      <c r="R131" s="378" t="s">
        <v>215</v>
      </c>
      <c r="S131" s="387"/>
      <c r="T131" s="379"/>
      <c r="U131" s="104" t="s">
        <v>140</v>
      </c>
      <c r="V131" s="103" t="s">
        <v>223</v>
      </c>
      <c r="W131" s="104" t="s">
        <v>224</v>
      </c>
      <c r="X131" s="104" t="s">
        <v>225</v>
      </c>
      <c r="Y131" s="103" t="s">
        <v>226</v>
      </c>
      <c r="Z131" s="390" t="s">
        <v>227</v>
      </c>
      <c r="AA131" s="321" t="s">
        <v>254</v>
      </c>
      <c r="AB131" s="320" t="s">
        <v>229</v>
      </c>
      <c r="AC131" s="322"/>
      <c r="AD131" s="390" t="s">
        <v>230</v>
      </c>
      <c r="AE131" s="381" t="s">
        <v>231</v>
      </c>
      <c r="AF131" s="383"/>
      <c r="AG131" s="383"/>
      <c r="AH131" s="383"/>
      <c r="AI131" s="383"/>
      <c r="AJ131" s="383"/>
      <c r="AK131" s="383"/>
      <c r="AL131" s="382"/>
      <c r="AM131" s="390" t="s">
        <v>232</v>
      </c>
      <c r="AN131" s="390" t="s">
        <v>233</v>
      </c>
    </row>
    <row r="132" spans="1:40" ht="43.5" x14ac:dyDescent="0.35">
      <c r="A132" s="386"/>
      <c r="B132" s="386"/>
      <c r="C132" s="104" t="s">
        <v>234</v>
      </c>
      <c r="D132" s="104" t="s">
        <v>235</v>
      </c>
      <c r="E132" s="104" t="s">
        <v>200</v>
      </c>
      <c r="F132" s="104" t="s">
        <v>234</v>
      </c>
      <c r="G132" s="104" t="s">
        <v>235</v>
      </c>
      <c r="H132" s="104" t="s">
        <v>200</v>
      </c>
      <c r="I132" s="104" t="s">
        <v>234</v>
      </c>
      <c r="J132" s="104" t="s">
        <v>235</v>
      </c>
      <c r="K132" s="104" t="s">
        <v>200</v>
      </c>
      <c r="L132" s="104" t="s">
        <v>236</v>
      </c>
      <c r="M132" s="104" t="s">
        <v>237</v>
      </c>
      <c r="N132" s="104" t="s">
        <v>200</v>
      </c>
      <c r="O132" s="104" t="s">
        <v>252</v>
      </c>
      <c r="P132" s="104" t="s">
        <v>237</v>
      </c>
      <c r="Q132" s="104" t="s">
        <v>200</v>
      </c>
      <c r="R132" s="104" t="s">
        <v>234</v>
      </c>
      <c r="S132" s="104" t="s">
        <v>235</v>
      </c>
      <c r="T132" s="104" t="s">
        <v>200</v>
      </c>
      <c r="U132" s="104" t="s">
        <v>238</v>
      </c>
      <c r="V132" s="104" t="s">
        <v>239</v>
      </c>
      <c r="W132" s="104" t="s">
        <v>240</v>
      </c>
      <c r="X132" s="104" t="s">
        <v>240</v>
      </c>
      <c r="Y132" s="104" t="s">
        <v>240</v>
      </c>
      <c r="Z132" s="391"/>
      <c r="AA132" s="103" t="s">
        <v>251</v>
      </c>
      <c r="AB132" s="104" t="str">
        <f>'D- Benefits &amp; Burdens'!B186</f>
        <v>Transport</v>
      </c>
      <c r="AC132" s="104" t="str">
        <f>'D- Benefits &amp; Burdens'!C186</f>
        <v>Waste processing</v>
      </c>
      <c r="AD132" s="391"/>
      <c r="AE132" s="103" t="s">
        <v>243</v>
      </c>
      <c r="AF132" s="103" t="s">
        <v>244</v>
      </c>
      <c r="AG132" s="103" t="s">
        <v>245</v>
      </c>
      <c r="AH132" s="103" t="s">
        <v>246</v>
      </c>
      <c r="AI132" s="103" t="s">
        <v>247</v>
      </c>
      <c r="AJ132" s="103" t="s">
        <v>248</v>
      </c>
      <c r="AK132" s="103" t="s">
        <v>249</v>
      </c>
      <c r="AL132" s="103" t="s">
        <v>250</v>
      </c>
      <c r="AM132" s="391"/>
      <c r="AN132" s="391"/>
    </row>
    <row r="133" spans="1:40" x14ac:dyDescent="0.35">
      <c r="A133" s="39" t="s">
        <v>162</v>
      </c>
      <c r="B133" s="39" t="s">
        <v>163</v>
      </c>
      <c r="C133" s="1">
        <f>C67*Input!$C$31</f>
        <v>6.7437727929201734E-3</v>
      </c>
      <c r="D133" s="1">
        <f>D67*Input!$C$31</f>
        <v>4.3546909195008492E-3</v>
      </c>
      <c r="E133" s="62">
        <f>E67*Input!$C$31</f>
        <v>1.1098463712421023E-2</v>
      </c>
      <c r="F133" s="1">
        <f>F67*Input!$C$31</f>
        <v>7.3181183999999995E-3</v>
      </c>
      <c r="G133" s="1">
        <f>G67*Input!$C$31</f>
        <v>2.6349995627950078E-4</v>
      </c>
      <c r="H133" s="62">
        <f>H67*Input!$C$31</f>
        <v>7.5816183562794999E-3</v>
      </c>
      <c r="I133" s="1">
        <f>I67*Input!$C$31</f>
        <v>1.7871685826003654E-4</v>
      </c>
      <c r="J133" s="1">
        <f>J67*Input!$C$31</f>
        <v>4.7583394531200002E-5</v>
      </c>
      <c r="K133" s="62">
        <f>K67*Input!$C$31</f>
        <v>2.2630025279123654E-4</v>
      </c>
      <c r="L133" s="1">
        <f>L67*Input!$C$31</f>
        <v>4.0941947860662124E-5</v>
      </c>
      <c r="M133" s="1">
        <f>M67*Input!$C$31</f>
        <v>3.681500544E-4</v>
      </c>
      <c r="N133" s="62">
        <f>N67*Input!$C$31</f>
        <v>4.090920022606621E-4</v>
      </c>
      <c r="O133" s="1">
        <f>O67*Input!$C$31</f>
        <v>0</v>
      </c>
      <c r="P133" s="1">
        <f>P67*Input!$C$31</f>
        <v>0</v>
      </c>
      <c r="Q133" s="62">
        <f>Q67*Input!$C$31</f>
        <v>0</v>
      </c>
      <c r="R133" s="1">
        <f>R67*Input!$C$31</f>
        <v>1.0016361889498566E-3</v>
      </c>
      <c r="S133" s="1">
        <f>S67*Input!$C$31</f>
        <v>1.85881962207744E-4</v>
      </c>
      <c r="T133" s="62">
        <f>T67*Input!$C$31</f>
        <v>1.1875181511576006E-3</v>
      </c>
      <c r="U133" s="62">
        <f>U67*Input!$C$31</f>
        <v>3.8467278699594689E-3</v>
      </c>
      <c r="V133" s="62">
        <f>V67*Input!$C$31</f>
        <v>9.0897611950079991E-4</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1.6066040256E-3</v>
      </c>
      <c r="AC133" s="89">
        <f>AC67*Input!$C$31</f>
        <v>1.8663997956708492E-4</v>
      </c>
      <c r="AD133" s="250">
        <f>AD67*Input!$C$31</f>
        <v>1.7932440051670849E-3</v>
      </c>
      <c r="AE133" s="89">
        <f>AE67*Input!$C$31</f>
        <v>-7.7145384959999997E-3</v>
      </c>
      <c r="AF133" s="89">
        <f>AF67*Input!$C$31</f>
        <v>-1.3916324318992525E-3</v>
      </c>
      <c r="AG133" s="89">
        <f>AG67*Input!$C$31</f>
        <v>-2.8138885042152326E-3</v>
      </c>
      <c r="AH133" s="89">
        <f>AH67*Input!$C$31</f>
        <v>-1.7147685983223385E-3</v>
      </c>
      <c r="AI133" s="89">
        <f>AI67*Input!$C$31</f>
        <v>-5.1951520503935541E-4</v>
      </c>
      <c r="AJ133" s="89">
        <f>AJ67*Input!$C$31</f>
        <v>-6.9298149483452748E-4</v>
      </c>
      <c r="AK133" s="89">
        <f>AK67*Input!$C$31</f>
        <v>-2.9293293824114693E-3</v>
      </c>
      <c r="AL133" s="89">
        <f>AL67*Input!$C$31</f>
        <v>-1.5687187725772801E-3</v>
      </c>
      <c r="AM133" s="250">
        <f>AM67*Input!$C$31</f>
        <v>-1.9345372885299458E-2</v>
      </c>
      <c r="AN133" s="250">
        <f>AN67*Input!$C$31</f>
        <v>-1.755212888013237E-2</v>
      </c>
    </row>
    <row r="134" spans="1:40" x14ac:dyDescent="0.35">
      <c r="A134" s="39" t="s">
        <v>164</v>
      </c>
      <c r="B134" s="39" t="s">
        <v>165</v>
      </c>
      <c r="C134" s="1">
        <f>C68*Input!$C$31</f>
        <v>0.43345745896532717</v>
      </c>
      <c r="D134" s="1">
        <f>D68*Input!$C$31</f>
        <v>2.3538091717428791</v>
      </c>
      <c r="E134" s="62">
        <f>E68*Input!$C$31</f>
        <v>2.7872666307082063</v>
      </c>
      <c r="F134" s="1">
        <f>F68*Input!$C$31</f>
        <v>2.2550015999999999</v>
      </c>
      <c r="G134" s="1">
        <f>G68*Input!$C$31</f>
        <v>0.17670205306686965</v>
      </c>
      <c r="H134" s="62">
        <f>H68*Input!$C$31</f>
        <v>2.4317036530668696</v>
      </c>
      <c r="I134" s="1">
        <f>I68*Input!$C$31</f>
        <v>2.3359561298576807E-2</v>
      </c>
      <c r="J134" s="1">
        <f>J68*Input!$C$31</f>
        <v>3.1909240609646394E-2</v>
      </c>
      <c r="K134" s="62">
        <f>K68*Input!$C$31</f>
        <v>5.5268801908223197E-2</v>
      </c>
      <c r="L134" s="1">
        <f>L68*Input!$C$31</f>
        <v>3.2023744887117074E-2</v>
      </c>
      <c r="M134" s="1">
        <f>M68*Input!$C$31</f>
        <v>0.24688000471679997</v>
      </c>
      <c r="N134" s="62">
        <f>N68*Input!$C$31</f>
        <v>0.27890374960391706</v>
      </c>
      <c r="O134" s="1">
        <f>O68*Input!$C$31</f>
        <v>0</v>
      </c>
      <c r="P134" s="1">
        <f>P68*Input!$C$31</f>
        <v>0</v>
      </c>
      <c r="Q134" s="62">
        <f>Q68*Input!$C$31</f>
        <v>0</v>
      </c>
      <c r="R134" s="1">
        <f>R68*Input!$C$31</f>
        <v>0.12561317035931716</v>
      </c>
      <c r="S134" s="1">
        <f>S68*Input!$C$31</f>
        <v>0.12465172599636554</v>
      </c>
      <c r="T134" s="62">
        <f>T68*Input!$C$31</f>
        <v>0.25026489635568266</v>
      </c>
      <c r="U134" s="62">
        <f>U68*Input!$C$31</f>
        <v>3.855520917978509</v>
      </c>
      <c r="V134" s="62">
        <f>V68*Input!$C$31</f>
        <v>0.60955587534965749</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0.58727029173120004</v>
      </c>
      <c r="AC134" s="1">
        <f>AC68*Input!$C$31</f>
        <v>0.14598502034476504</v>
      </c>
      <c r="AD134" s="62">
        <f>AD68*Input!$C$31</f>
        <v>0.73325531207596506</v>
      </c>
      <c r="AE134" s="1">
        <f>AE68*Input!$C$31</f>
        <v>-2.3771543040000003</v>
      </c>
      <c r="AF134" s="1">
        <f>AF68*Input!$C$31</f>
        <v>-0.1818962319197579</v>
      </c>
      <c r="AG134" s="1">
        <f>AG68*Input!$C$31</f>
        <v>-0.14622850590868589</v>
      </c>
      <c r="AH134" s="1">
        <f>AH68*Input!$C$31</f>
        <v>-0.19449897264521324</v>
      </c>
      <c r="AI134" s="1">
        <f>AI68*Input!$C$31</f>
        <v>-0.18990108400127767</v>
      </c>
      <c r="AJ134" s="1">
        <f>AJ68*Input!$C$31</f>
        <v>-0.25330911547032287</v>
      </c>
      <c r="AK134" s="1">
        <f>AK68*Input!$C$31</f>
        <v>-1.0707729431607118</v>
      </c>
      <c r="AL134" s="1">
        <f>AL68*Input!$C$31</f>
        <v>-0.57342189894713858</v>
      </c>
      <c r="AM134" s="62">
        <f>AM68*Input!$C$31</f>
        <v>-4.9871830560531079</v>
      </c>
      <c r="AN134" s="62">
        <f>AN68*Input!$C$31</f>
        <v>-4.253927743977143</v>
      </c>
    </row>
    <row r="135" spans="1:40" x14ac:dyDescent="0.35">
      <c r="A135" s="39" t="s">
        <v>166</v>
      </c>
      <c r="B135" s="39" t="s">
        <v>165</v>
      </c>
      <c r="C135" s="1">
        <f>C69*Input!$C$31</f>
        <v>8.2702447172618555E-4</v>
      </c>
      <c r="D135" s="1">
        <f>D69*Input!$C$31</f>
        <v>1.0778053974307914E-3</v>
      </c>
      <c r="E135" s="62">
        <f>E69*Input!$C$31</f>
        <v>1.9048298691569769E-3</v>
      </c>
      <c r="F135" s="1">
        <f>F69*Input!$C$31</f>
        <v>8.9349119999999997E-3</v>
      </c>
      <c r="G135" s="1">
        <f>G69*Input!$C$31</f>
        <v>8.2582695340369921E-5</v>
      </c>
      <c r="H135" s="62">
        <f>H69*Input!$C$31</f>
        <v>9.0174946953403695E-3</v>
      </c>
      <c r="I135" s="1">
        <f>I69*Input!$C$31</f>
        <v>3.6430029971966935E-4</v>
      </c>
      <c r="J135" s="1">
        <f>J69*Input!$C$31</f>
        <v>1.4912962526879999E-5</v>
      </c>
      <c r="K135" s="62">
        <f>K69*Input!$C$31</f>
        <v>3.7921326224654934E-4</v>
      </c>
      <c r="L135" s="1">
        <f>L69*Input!$C$31</f>
        <v>6.6184957912473123E-6</v>
      </c>
      <c r="M135" s="1">
        <f>M69*Input!$C$31</f>
        <v>1.1538075456000001E-4</v>
      </c>
      <c r="N135" s="62">
        <f>N69*Input!$C$31</f>
        <v>1.2199925035124731E-4</v>
      </c>
      <c r="O135" s="1">
        <f>O69*Input!$C$31</f>
        <v>0</v>
      </c>
      <c r="P135" s="1">
        <f>P69*Input!$C$31</f>
        <v>0</v>
      </c>
      <c r="Q135" s="62">
        <f>Q69*Input!$C$31</f>
        <v>0</v>
      </c>
      <c r="R135" s="1">
        <f>R69*Input!$C$31</f>
        <v>2.0518677208664949E-2</v>
      </c>
      <c r="S135" s="1">
        <f>S69*Input!$C$31</f>
        <v>5.8256683116825597E-5</v>
      </c>
      <c r="T135" s="62">
        <f>T69*Input!$C$31</f>
        <v>2.0576933891781772E-2</v>
      </c>
      <c r="U135" s="62">
        <f>U69*Input!$C$31</f>
        <v>1.2998609054958522E-3</v>
      </c>
      <c r="V135" s="62">
        <f>V69*Input!$C$31</f>
        <v>2.8487935636991999E-4</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2.7142988544000003E-4</v>
      </c>
      <c r="AC135" s="1">
        <f>AC69*Input!$C$31</f>
        <v>3.0171400819698537E-5</v>
      </c>
      <c r="AD135" s="62">
        <f>AD69*Input!$C$31</f>
        <v>3.0160128625969854E-4</v>
      </c>
      <c r="AE135" s="1">
        <f>AE69*Input!$C$31</f>
        <v>-9.4189132800000016E-3</v>
      </c>
      <c r="AF135" s="1">
        <f>AF69*Input!$C$31</f>
        <v>-2.8367335738571217E-3</v>
      </c>
      <c r="AG135" s="1">
        <f>AG69*Input!$C$31</f>
        <v>-4.5072816010370998E-4</v>
      </c>
      <c r="AH135" s="1">
        <f>AH69*Input!$C$31</f>
        <v>4.6792964613074159E-5</v>
      </c>
      <c r="AI135" s="1">
        <f>AI69*Input!$C$31</f>
        <v>-8.7770197473212622E-5</v>
      </c>
      <c r="AJ135" s="1">
        <f>AJ69*Input!$C$31</f>
        <v>-1.1707669391948008E-4</v>
      </c>
      <c r="AK135" s="1">
        <f>AK69*Input!$C$31</f>
        <v>-4.9489950604787714E-4</v>
      </c>
      <c r="AL135" s="1">
        <f>AL69*Input!$C$31</f>
        <v>-2.6502931023667198E-4</v>
      </c>
      <c r="AM135" s="62">
        <f>AM69*Input!$C$31</f>
        <v>-1.3624357757025002E-2</v>
      </c>
      <c r="AN135" s="62">
        <f>AN69*Input!$C$31</f>
        <v>-1.3322756470765305E-2</v>
      </c>
    </row>
    <row r="136" spans="1:40" x14ac:dyDescent="0.35">
      <c r="A136" s="39" t="s">
        <v>167</v>
      </c>
      <c r="B136" s="39" t="s">
        <v>165</v>
      </c>
      <c r="C136" s="1">
        <f>C70*Input!$C$31</f>
        <v>0.43251722180033542</v>
      </c>
      <c r="D136" s="1">
        <f>D70*Input!$C$31</f>
        <v>2.3524457884194914</v>
      </c>
      <c r="E136" s="62">
        <f>E70*Input!$C$31</f>
        <v>2.7849630102198271</v>
      </c>
      <c r="F136" s="1">
        <f>F70*Input!$C$31</f>
        <v>2.2464921599999998</v>
      </c>
      <c r="G136" s="1">
        <f>G70*Input!$C$31</f>
        <v>0.17660541534116475</v>
      </c>
      <c r="H136" s="62">
        <f>H70*Input!$C$31</f>
        <v>2.4230975753411648</v>
      </c>
      <c r="I136" s="1">
        <f>I70*Input!$C$31</f>
        <v>2.2955781953712517E-2</v>
      </c>
      <c r="J136" s="1">
        <f>J70*Input!$C$31</f>
        <v>3.1891789559203201E-2</v>
      </c>
      <c r="K136" s="62">
        <f>K70*Input!$C$31</f>
        <v>5.4847571512915715E-2</v>
      </c>
      <c r="L136" s="1">
        <f>L70*Input!$C$31</f>
        <v>3.2015710217664466E-2</v>
      </c>
      <c r="M136" s="1">
        <f>M70*Input!$C$31</f>
        <v>0.24674498691839999</v>
      </c>
      <c r="N136" s="62">
        <f>N70*Input!$C$31</f>
        <v>0.27876069713606449</v>
      </c>
      <c r="O136" s="1">
        <f>O70*Input!$C$31</f>
        <v>0</v>
      </c>
      <c r="P136" s="1">
        <f>P70*Input!$C$31</f>
        <v>0</v>
      </c>
      <c r="Q136" s="62">
        <f>Q70*Input!$C$31</f>
        <v>0</v>
      </c>
      <c r="R136" s="1">
        <f>R70*Input!$C$31</f>
        <v>0.10500791454553669</v>
      </c>
      <c r="S136" s="1">
        <f>S70*Input!$C$31</f>
        <v>0.12458355440980838</v>
      </c>
      <c r="T136" s="62">
        <f>T70*Input!$C$31</f>
        <v>0.22959146895534507</v>
      </c>
      <c r="U136" s="62">
        <f>U70*Input!$C$31</f>
        <v>3.8535476576046364</v>
      </c>
      <c r="V136" s="62">
        <f>V70*Input!$C$31</f>
        <v>0.6092225114047487</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0.58695268463999994</v>
      </c>
      <c r="AC136" s="1">
        <f>AC70*Input!$C$31</f>
        <v>0.14594839310495791</v>
      </c>
      <c r="AD136" s="62">
        <f>AD70*Input!$C$31</f>
        <v>0.73290107774495794</v>
      </c>
      <c r="AE136" s="1">
        <f>AE70*Input!$C$31</f>
        <v>-2.3681839104</v>
      </c>
      <c r="AF136" s="1">
        <f>AF70*Input!$C$31</f>
        <v>-0.17875208291716863</v>
      </c>
      <c r="AG136" s="1">
        <f>AG70*Input!$C$31</f>
        <v>-0.14572970826516521</v>
      </c>
      <c r="AH136" s="1">
        <f>AH70*Input!$C$31</f>
        <v>-0.19451899988715718</v>
      </c>
      <c r="AI136" s="1">
        <f>AI70*Input!$C$31</f>
        <v>-0.18979838183541878</v>
      </c>
      <c r="AJ136" s="1">
        <f>AJ70*Input!$C$31</f>
        <v>-0.25317212101909359</v>
      </c>
      <c r="AK136" s="1">
        <f>AK70*Input!$C$31</f>
        <v>-1.070193848517919</v>
      </c>
      <c r="AL136" s="1">
        <f>AL70*Input!$C$31</f>
        <v>-0.57311178133363194</v>
      </c>
      <c r="AM136" s="62">
        <f>AM70*Input!$C$31</f>
        <v>-4.9734608341755537</v>
      </c>
      <c r="AN136" s="62">
        <f>AN70*Input!$C$31</f>
        <v>-4.2405597564305966</v>
      </c>
    </row>
    <row r="137" spans="1:40" x14ac:dyDescent="0.35">
      <c r="A137" s="39" t="s">
        <v>168</v>
      </c>
      <c r="B137" s="39" t="s">
        <v>165</v>
      </c>
      <c r="C137" s="1">
        <f>C71*Input!$C$31</f>
        <v>1.1321269326565509E-4</v>
      </c>
      <c r="D137" s="1">
        <f>D71*Input!$C$31</f>
        <v>2.8557510657026291E-4</v>
      </c>
      <c r="E137" s="62">
        <f>E71*Input!$C$31</f>
        <v>3.9878779983591799E-4</v>
      </c>
      <c r="F137" s="1">
        <f>F71*Input!$C$31</f>
        <v>1.1275008000000001E-3</v>
      </c>
      <c r="G137" s="1">
        <f>G71*Input!$C$31</f>
        <v>1.40548077405696E-5</v>
      </c>
      <c r="H137" s="62">
        <f>H71*Input!$C$31</f>
        <v>1.1415556077405695E-3</v>
      </c>
      <c r="I137" s="1">
        <f>I71*Input!$C$31</f>
        <v>3.9479045144619907E-5</v>
      </c>
      <c r="J137" s="1">
        <f>J71*Input!$C$31</f>
        <v>2.5380477143999996E-6</v>
      </c>
      <c r="K137" s="62">
        <f>K71*Input!$C$31</f>
        <v>4.2017092859019906E-5</v>
      </c>
      <c r="L137" s="1">
        <f>L71*Input!$C$31</f>
        <v>1.4161736613608893E-6</v>
      </c>
      <c r="M137" s="1">
        <f>M71*Input!$C$31</f>
        <v>1.9636732799999998E-5</v>
      </c>
      <c r="N137" s="62">
        <f>N71*Input!$C$31</f>
        <v>2.1052906461360889E-5</v>
      </c>
      <c r="O137" s="1">
        <f>O71*Input!$C$31</f>
        <v>0</v>
      </c>
      <c r="P137" s="1">
        <f>P71*Input!$C$31</f>
        <v>0</v>
      </c>
      <c r="Q137" s="62">
        <f>Q71*Input!$C$31</f>
        <v>0</v>
      </c>
      <c r="R137" s="1">
        <f>R71*Input!$C$31</f>
        <v>8.6578605115472321E-5</v>
      </c>
      <c r="S137" s="1">
        <f>S71*Input!$C$31</f>
        <v>9.9147463937279996E-6</v>
      </c>
      <c r="T137" s="62">
        <f>T71*Input!$C$31</f>
        <v>9.6493351509200327E-5</v>
      </c>
      <c r="U137" s="62">
        <f>U71*Input!$C$31</f>
        <v>6.7339946837696404E-4</v>
      </c>
      <c r="V137" s="62">
        <f>V71*Input!$C$31</f>
        <v>4.8483820569599997E-5</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4.6176117120000004E-5</v>
      </c>
      <c r="AC137" s="1">
        <f>AC71*Input!$C$31</f>
        <v>6.4558389874214863E-6</v>
      </c>
      <c r="AD137" s="62">
        <f>AD71*Input!$C$31</f>
        <v>5.2631956107421491E-5</v>
      </c>
      <c r="AE137" s="1">
        <f>AE71*Input!$C$31</f>
        <v>-1.1885771519999999E-3</v>
      </c>
      <c r="AF137" s="1">
        <f>AF71*Input!$C$31</f>
        <v>-3.0741542873212631E-4</v>
      </c>
      <c r="AG137" s="1">
        <f>AG71*Input!$C$31</f>
        <v>-4.8069483416935012E-5</v>
      </c>
      <c r="AH137" s="1">
        <f>AH71*Input!$C$31</f>
        <v>-2.6765722669221122E-5</v>
      </c>
      <c r="AI137" s="1">
        <f>AI71*Input!$C$31</f>
        <v>-1.493161636051492E-5</v>
      </c>
      <c r="AJ137" s="1">
        <f>AJ71*Input!$C$31</f>
        <v>-1.9917287743332673E-5</v>
      </c>
      <c r="AK137" s="1">
        <f>AK71*Input!$C$31</f>
        <v>-8.4193151822069766E-5</v>
      </c>
      <c r="AL137" s="1">
        <f>AL71*Input!$C$31</f>
        <v>-4.5087240301056001E-5</v>
      </c>
      <c r="AM137" s="62">
        <f>AM71*Input!$C$31</f>
        <v>-1.7349570830452559E-3</v>
      </c>
      <c r="AN137" s="62">
        <f>AN71*Input!$C$31</f>
        <v>-1.6823251269378343E-3</v>
      </c>
    </row>
    <row r="138" spans="1:40" x14ac:dyDescent="0.35">
      <c r="A138" s="39" t="s">
        <v>169</v>
      </c>
      <c r="B138" s="39" t="s">
        <v>170</v>
      </c>
      <c r="C138" s="1">
        <f>C72*Input!$C$31</f>
        <v>2.9001840858439571</v>
      </c>
      <c r="D138" s="1">
        <f>D72*Input!$C$31</f>
        <v>2.0394671743191251</v>
      </c>
      <c r="E138" s="62">
        <f>E72*Input!$C$31</f>
        <v>4.9396512601630818</v>
      </c>
      <c r="F138" s="1">
        <f>F72*Input!$C$31</f>
        <v>121.25951999999999</v>
      </c>
      <c r="G138" s="1">
        <f>G72*Input!$C$31</f>
        <v>0.15176715556844944</v>
      </c>
      <c r="H138" s="62">
        <f>H72*Input!$C$31</f>
        <v>121.41128715556844</v>
      </c>
      <c r="I138" s="1">
        <f>I72*Input!$C$31</f>
        <v>7.2916893514116857E-2</v>
      </c>
      <c r="J138" s="1">
        <f>J72*Input!$C$31</f>
        <v>2.7406442650910398E-2</v>
      </c>
      <c r="K138" s="62">
        <f>K72*Input!$C$31</f>
        <v>0.10032333616502725</v>
      </c>
      <c r="L138" s="1">
        <f>L72*Input!$C$31</f>
        <v>1.4149071245162414E-2</v>
      </c>
      <c r="M138" s="1">
        <f>M72*Input!$C$31</f>
        <v>0.21204210948479998</v>
      </c>
      <c r="N138" s="62">
        <f>N72*Input!$C$31</f>
        <v>0.22619118072996239</v>
      </c>
      <c r="O138" s="1">
        <f>O72*Input!$C$31</f>
        <v>0</v>
      </c>
      <c r="P138" s="1">
        <f>P72*Input!$C$31</f>
        <v>0</v>
      </c>
      <c r="Q138" s="62">
        <f>Q72*Input!$C$31</f>
        <v>0</v>
      </c>
      <c r="R138" s="1">
        <f>R72*Input!$C$31</f>
        <v>0.52461785879565603</v>
      </c>
      <c r="S138" s="1">
        <f>S72*Input!$C$31</f>
        <v>0.10706178882939724</v>
      </c>
      <c r="T138" s="62">
        <f>T72*Input!$C$31</f>
        <v>0.63167964762505335</v>
      </c>
      <c r="U138" s="62">
        <f>U72*Input!$C$31</f>
        <v>2.1123704066109084</v>
      </c>
      <c r="V138" s="62">
        <f>V72*Input!$C$31</f>
        <v>0.52353982172943359</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0.4990936414464</v>
      </c>
      <c r="AC138" s="1">
        <f>AC72*Input!$C$31</f>
        <v>6.4500652901950964E-2</v>
      </c>
      <c r="AD138" s="62">
        <f>AD72*Input!$C$31</f>
        <v>0.56359429434835095</v>
      </c>
      <c r="AE138" s="1">
        <f>AE72*Input!$C$31</f>
        <v>-127.8281088</v>
      </c>
      <c r="AF138" s="1">
        <f>AF72*Input!$C$31</f>
        <v>-0.56778926641572514</v>
      </c>
      <c r="AG138" s="1">
        <f>AG72*Input!$C$31</f>
        <v>-1.4449064597919234</v>
      </c>
      <c r="AH138" s="1">
        <f>AH72*Input!$C$31</f>
        <v>-0.16610990630386485</v>
      </c>
      <c r="AI138" s="1">
        <f>AI72*Input!$C$31</f>
        <v>-0.16138807779535605</v>
      </c>
      <c r="AJ138" s="1">
        <f>AJ72*Input!$C$31</f>
        <v>-0.21527560755536421</v>
      </c>
      <c r="AK138" s="1">
        <f>AK72*Input!$C$31</f>
        <v>-0.91000000321652019</v>
      </c>
      <c r="AL138" s="1">
        <f>AL72*Input!$C$31</f>
        <v>-0.48732453805381631</v>
      </c>
      <c r="AM138" s="62">
        <f>AM72*Input!$C$31</f>
        <v>-131.78090265913258</v>
      </c>
      <c r="AN138" s="62">
        <f>AN72*Input!$C$31</f>
        <v>-131.21730836478423</v>
      </c>
    </row>
    <row r="139" spans="1:40" ht="29" x14ac:dyDescent="0.35">
      <c r="A139" s="39" t="s">
        <v>171</v>
      </c>
      <c r="B139" s="39" t="s">
        <v>172</v>
      </c>
      <c r="C139" s="1">
        <f>C73*Input!$C$31</f>
        <v>5.9625203803190718</v>
      </c>
      <c r="D139" s="1">
        <f>D73*Input!$C$31</f>
        <v>31.5414331994604</v>
      </c>
      <c r="E139" s="62">
        <f>E73*Input!$C$31</f>
        <v>37.50395357977947</v>
      </c>
      <c r="F139" s="1">
        <f>F73*Input!$C$31</f>
        <v>194.866176</v>
      </c>
      <c r="G139" s="1">
        <f>G73*Input!$C$31</f>
        <v>2.3782259225985394</v>
      </c>
      <c r="H139" s="62">
        <f>H73*Input!$C$31</f>
        <v>197.24440192259857</v>
      </c>
      <c r="I139" s="1">
        <f>I73*Input!$C$31</f>
        <v>0.39116776396081698</v>
      </c>
      <c r="J139" s="1">
        <f>J73*Input!$C$31</f>
        <v>0.42946520355129592</v>
      </c>
      <c r="K139" s="62">
        <f>K73*Input!$C$31</f>
        <v>0.8206329675121129</v>
      </c>
      <c r="L139" s="1">
        <f>L73*Input!$C$31</f>
        <v>0.42536093574717587</v>
      </c>
      <c r="M139" s="1">
        <f>M73*Input!$C$31</f>
        <v>3.3227481899519993</v>
      </c>
      <c r="N139" s="62">
        <f>N73*Input!$C$31</f>
        <v>3.748109125699175</v>
      </c>
      <c r="O139" s="1">
        <f>O73*Input!$C$31</f>
        <v>0</v>
      </c>
      <c r="P139" s="1">
        <f>P73*Input!$C$31</f>
        <v>0</v>
      </c>
      <c r="Q139" s="62">
        <f>Q73*Input!$C$31</f>
        <v>0</v>
      </c>
      <c r="R139" s="1">
        <f>R73*Input!$C$31</f>
        <v>1.4499807105429279</v>
      </c>
      <c r="S139" s="1">
        <f>S73*Input!$C$31</f>
        <v>1.6776826353512755</v>
      </c>
      <c r="T139" s="62">
        <f>T73*Input!$C$31</f>
        <v>3.1276633458942036</v>
      </c>
      <c r="U139" s="62">
        <f>U73*Input!$C$31</f>
        <v>71.863222959160524</v>
      </c>
      <c r="V139" s="62">
        <f>V73*Input!$C$31</f>
        <v>8.2039883457392619</v>
      </c>
      <c r="W139" s="1">
        <f>W73*Input!$C$31</f>
        <v>1.0398912984946673</v>
      </c>
      <c r="X139" s="1">
        <f>X73*Input!$C$31</f>
        <v>1.3983556416476195</v>
      </c>
      <c r="Y139" s="1">
        <f>Y73*Input!$C$31</f>
        <v>0.51038740143171268</v>
      </c>
      <c r="Z139" s="250">
        <f>Z73*Input!$C$31</f>
        <v>2.9486343415739995</v>
      </c>
      <c r="AA139" s="250">
        <f>AA73*Input!$C$31</f>
        <v>2.2375352713626104</v>
      </c>
      <c r="AB139" s="89">
        <f>AB73*Input!$C$31</f>
        <v>7.8960496567679987</v>
      </c>
      <c r="AC139" s="1">
        <f>AC73*Input!$C$31</f>
        <v>1.9390713071755914</v>
      </c>
      <c r="AD139" s="62">
        <f>AD73*Input!$C$31</f>
        <v>9.8351209639435915</v>
      </c>
      <c r="AE139" s="1">
        <f>AE73*Input!$C$31</f>
        <v>-205.42201344</v>
      </c>
      <c r="AF139" s="1">
        <f>AF73*Input!$C$31</f>
        <v>-3.0459451444100898</v>
      </c>
      <c r="AG139" s="1">
        <f>AG73*Input!$C$31</f>
        <v>-2.0720206123821234</v>
      </c>
      <c r="AH139" s="1">
        <f>AH73*Input!$C$31</f>
        <v>-2.5281484251485127</v>
      </c>
      <c r="AI139" s="1">
        <f>AI73*Input!$C$31</f>
        <v>-2.5532849358477043</v>
      </c>
      <c r="AJ139" s="1">
        <f>AJ73*Input!$C$31</f>
        <v>-3.405827576207678</v>
      </c>
      <c r="AK139" s="1">
        <f>AK73*Input!$C$31</f>
        <v>-14.396907947440475</v>
      </c>
      <c r="AL139" s="1">
        <f>AL73*Input!$C$31</f>
        <v>-7.7098532858141171</v>
      </c>
      <c r="AM139" s="62">
        <f>AM73*Input!$C$31</f>
        <v>-241.13400136725073</v>
      </c>
      <c r="AN139" s="62">
        <f>AN73*Input!$C$31</f>
        <v>-231.29888040330715</v>
      </c>
    </row>
    <row r="140" spans="1:40" ht="29" x14ac:dyDescent="0.35">
      <c r="A140" s="39" t="s">
        <v>173</v>
      </c>
      <c r="B140" s="39" t="s">
        <v>174</v>
      </c>
      <c r="C140" s="1">
        <f>C74*Input!$C$31</f>
        <v>2.7618308918562093E-5</v>
      </c>
      <c r="D140" s="1">
        <f>D74*Input!$C$31</f>
        <v>6.2655917047021236E-5</v>
      </c>
      <c r="E140" s="62">
        <f>E74*Input!$C$31</f>
        <v>9.0274225965583332E-5</v>
      </c>
      <c r="F140" s="1">
        <f>F74*Input!$C$31</f>
        <v>1.8933504E-6</v>
      </c>
      <c r="G140" s="1">
        <f>G74*Input!$C$31</f>
        <v>4.121537724066816E-6</v>
      </c>
      <c r="H140" s="62">
        <f>H74*Input!$C$31</f>
        <v>6.0148881240668151E-6</v>
      </c>
      <c r="I140" s="1">
        <f>I74*Input!$C$31</f>
        <v>1.40363356826654E-5</v>
      </c>
      <c r="J140" s="1">
        <f>J74*Input!$C$31</f>
        <v>7.44276235824E-7</v>
      </c>
      <c r="K140" s="62">
        <f>K74*Input!$C$31</f>
        <v>1.4780611918489398E-5</v>
      </c>
      <c r="L140" s="1">
        <f>L74*Input!$C$31</f>
        <v>3.3853426610781397E-7</v>
      </c>
      <c r="M140" s="1">
        <f>M74*Input!$C$31</f>
        <v>5.7584234880000003E-6</v>
      </c>
      <c r="N140" s="62">
        <f>N74*Input!$C$31</f>
        <v>6.0969577541078138E-6</v>
      </c>
      <c r="O140" s="1">
        <f>O74*Input!$C$31</f>
        <v>0</v>
      </c>
      <c r="P140" s="1">
        <f>P74*Input!$C$31</f>
        <v>0</v>
      </c>
      <c r="Q140" s="62">
        <f>Q74*Input!$C$31</f>
        <v>0</v>
      </c>
      <c r="R140" s="1">
        <f>R74*Input!$C$31</f>
        <v>3.312277560601401E-5</v>
      </c>
      <c r="S140" s="1">
        <f>S74*Input!$C$31</f>
        <v>2.9074749395788796E-6</v>
      </c>
      <c r="T140" s="62">
        <f>T74*Input!$C$31</f>
        <v>3.6030250545592891E-5</v>
      </c>
      <c r="U140" s="62">
        <f>U74*Input!$C$31</f>
        <v>1.3287049737802483E-4</v>
      </c>
      <c r="V140" s="62">
        <f>V74*Input!$C$31</f>
        <v>1.4217760866815995E-5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1.3510022400000001E-5</v>
      </c>
      <c r="AC140" s="1">
        <f>AC74*Input!$C$31</f>
        <v>1.5432589754682634E-6</v>
      </c>
      <c r="AD140" s="62">
        <f>AD74*Input!$C$31</f>
        <v>1.5053281375468264E-5</v>
      </c>
      <c r="AE140" s="1">
        <f>AE74*Input!$C$31</f>
        <v>-1.9959125759999997E-6</v>
      </c>
      <c r="AF140" s="1">
        <f>AF74*Input!$C$31</f>
        <v>-1.0929813869377895E-4</v>
      </c>
      <c r="AG140" s="1">
        <f>AG74*Input!$C$31</f>
        <v>-1.0804841523195163E-5</v>
      </c>
      <c r="AH140" s="1">
        <f>AH74*Input!$C$31</f>
        <v>-8.7725179431018649E-6</v>
      </c>
      <c r="AI140" s="1">
        <f>AI74*Input!$C$31</f>
        <v>-4.3686321865159689E-6</v>
      </c>
      <c r="AJ140" s="1">
        <f>AJ74*Input!$C$31</f>
        <v>-5.82731984286144E-6</v>
      </c>
      <c r="AK140" s="1">
        <f>AK74*Input!$C$31</f>
        <v>-2.4632893322035205E-5</v>
      </c>
      <c r="AL140" s="1">
        <f>AL74*Input!$C$31</f>
        <v>-1.319144320512E-5</v>
      </c>
      <c r="AM140" s="62">
        <f>AM74*Input!$C$31</f>
        <v>-1.7889169929260858E-4</v>
      </c>
      <c r="AN140" s="62">
        <f>AN74*Input!$C$31</f>
        <v>-1.6383841791714029E-4</v>
      </c>
    </row>
    <row r="141" spans="1:40" ht="29" x14ac:dyDescent="0.35">
      <c r="A141" s="39" t="s">
        <v>175</v>
      </c>
      <c r="B141" s="39" t="s">
        <v>176</v>
      </c>
      <c r="C141" s="1">
        <f>C75*Input!$C$31</f>
        <v>2.5570753964571963E-3</v>
      </c>
      <c r="D141" s="1">
        <f>D75*Input!$C$31</f>
        <v>1.1887219632510165E-3</v>
      </c>
      <c r="E141" s="62">
        <f>E75*Input!$C$31</f>
        <v>3.7457973597082128E-3</v>
      </c>
      <c r="F141" s="1">
        <f>F75*Input!$C$31</f>
        <v>1.88909568E-3</v>
      </c>
      <c r="G141" s="1">
        <f>G75*Input!$C$31</f>
        <v>5.743386733867008E-5</v>
      </c>
      <c r="H141" s="62">
        <f>H75*Input!$C$31</f>
        <v>1.9465295473386703E-3</v>
      </c>
      <c r="I141" s="1">
        <f>I75*Input!$C$31</f>
        <v>4.0474100358243172E-5</v>
      </c>
      <c r="J141" s="1">
        <f>J75*Input!$C$31</f>
        <v>1.0371532533119999E-5</v>
      </c>
      <c r="K141" s="62">
        <f>K75*Input!$C$31</f>
        <v>5.0845632891363169E-5</v>
      </c>
      <c r="L141" s="1">
        <f>L75*Input!$C$31</f>
        <v>9.2583083121698704E-6</v>
      </c>
      <c r="M141" s="1">
        <f>M75*Input!$C$31</f>
        <v>8.0243965439999996E-5</v>
      </c>
      <c r="N141" s="62">
        <f>N75*Input!$C$31</f>
        <v>8.950227375216987E-5</v>
      </c>
      <c r="O141" s="1">
        <f>O75*Input!$C$31</f>
        <v>0</v>
      </c>
      <c r="P141" s="1">
        <f>P75*Input!$C$31</f>
        <v>0</v>
      </c>
      <c r="Q141" s="62">
        <f>Q75*Input!$C$31</f>
        <v>0</v>
      </c>
      <c r="R141" s="1">
        <f>R75*Input!$C$31</f>
        <v>1.9790745591982768E-4</v>
      </c>
      <c r="S141" s="1">
        <f>S75*Input!$C$31</f>
        <v>4.0515831990374402E-5</v>
      </c>
      <c r="T141" s="62">
        <f>T75*Input!$C$31</f>
        <v>2.3842328791020209E-4</v>
      </c>
      <c r="U141" s="62">
        <f>U75*Input!$C$31</f>
        <v>1.0042996394675127E-3</v>
      </c>
      <c r="V141" s="62">
        <f>V75*Input!$C$31</f>
        <v>1.9812532267007995E-4</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5.7644939519999993E-4</v>
      </c>
      <c r="AC141" s="1">
        <f>AC75*Input!$C$31</f>
        <v>4.220538016632635E-5</v>
      </c>
      <c r="AD141" s="62">
        <f>AD75*Input!$C$31</f>
        <v>6.1865477536632632E-4</v>
      </c>
      <c r="AE141" s="1">
        <f>AE75*Input!$C$31</f>
        <v>-1.9914273792E-3</v>
      </c>
      <c r="AF141" s="1">
        <f>AF75*Input!$C$31</f>
        <v>-3.1516372466956798E-4</v>
      </c>
      <c r="AG141" s="1">
        <f>AG75*Input!$C$31</f>
        <v>-1.0107659795927518E-3</v>
      </c>
      <c r="AH141" s="1">
        <f>AH75*Input!$C$31</f>
        <v>-7.8693991523966168E-4</v>
      </c>
      <c r="AI141" s="1">
        <f>AI75*Input!$C$31</f>
        <v>-1.8640201379446886E-4</v>
      </c>
      <c r="AJ141" s="1">
        <f>AJ75*Input!$C$31</f>
        <v>-2.4864170462474112E-4</v>
      </c>
      <c r="AK141" s="1">
        <f>AK75*Input!$C$31</f>
        <v>-1.0510431468650496E-3</v>
      </c>
      <c r="AL141" s="1">
        <f>AL75*Input!$C$31</f>
        <v>-5.6285616946175998E-4</v>
      </c>
      <c r="AM141" s="62">
        <f>AM75*Input!$C$31</f>
        <v>-6.1532400334480012E-3</v>
      </c>
      <c r="AN141" s="62">
        <f>AN75*Input!$C$31</f>
        <v>-5.5345852580816748E-3</v>
      </c>
    </row>
    <row r="142" spans="1:40" x14ac:dyDescent="0.35">
      <c r="A142" s="39" t="s">
        <v>177</v>
      </c>
      <c r="B142" s="39" t="s">
        <v>178</v>
      </c>
      <c r="C142" s="1">
        <f>C76*Input!$C$31</f>
        <v>3.3827961484146685E-2</v>
      </c>
      <c r="D142" s="1">
        <f>D76*Input!$C$31</f>
        <v>1.2917471190793806E-2</v>
      </c>
      <c r="E142" s="62">
        <f>E76*Input!$C$31</f>
        <v>4.6745432674940496E-2</v>
      </c>
      <c r="F142" s="1">
        <f>F76*Input!$C$31</f>
        <v>2.0677939200000002E-2</v>
      </c>
      <c r="G142" s="1">
        <f>G76*Input!$C$31</f>
        <v>6.2166964237547523E-4</v>
      </c>
      <c r="H142" s="62">
        <f>H76*Input!$C$31</f>
        <v>2.1299608842375476E-2</v>
      </c>
      <c r="I142" s="1">
        <f>I76*Input!$C$31</f>
        <v>4.7973073184947776E-4</v>
      </c>
      <c r="J142" s="1">
        <f>J76*Input!$C$31</f>
        <v>1.1226245453279998E-4</v>
      </c>
      <c r="K142" s="62">
        <f>K76*Input!$C$31</f>
        <v>5.9199318638227774E-4</v>
      </c>
      <c r="L142" s="1">
        <f>L76*Input!$C$31</f>
        <v>1.0064921983916307E-4</v>
      </c>
      <c r="M142" s="1">
        <f>M76*Input!$C$31</f>
        <v>8.6856831359999993E-4</v>
      </c>
      <c r="N142" s="62">
        <f>N76*Input!$C$31</f>
        <v>9.6921753343916304E-4</v>
      </c>
      <c r="O142" s="1">
        <f>O76*Input!$C$31</f>
        <v>0</v>
      </c>
      <c r="P142" s="1">
        <f>P76*Input!$C$31</f>
        <v>0</v>
      </c>
      <c r="Q142" s="62">
        <f>Q76*Input!$C$31</f>
        <v>0</v>
      </c>
      <c r="R142" s="1">
        <f>R76*Input!$C$31</f>
        <v>2.0312124714815557E-3</v>
      </c>
      <c r="S142" s="1">
        <f>S76*Input!$C$31</f>
        <v>4.3854721875993602E-4</v>
      </c>
      <c r="T142" s="62">
        <f>T76*Input!$C$31</f>
        <v>2.4697596902414918E-3</v>
      </c>
      <c r="U142" s="62">
        <f>U76*Input!$C$31</f>
        <v>1.083298152681016E-2</v>
      </c>
      <c r="V142" s="62">
        <f>V76*Input!$C$31</f>
        <v>2.1445273354751999E-3</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6.2881842239999996E-3</v>
      </c>
      <c r="AC142" s="1">
        <f>AC76*Input!$C$31</f>
        <v>4.5882448969345726E-4</v>
      </c>
      <c r="AD142" s="62">
        <f>AD76*Input!$C$31</f>
        <v>6.7470087136934564E-3</v>
      </c>
      <c r="AE142" s="1">
        <f>AE76*Input!$C$31</f>
        <v>-2.1798056448000001E-2</v>
      </c>
      <c r="AF142" s="1">
        <f>AF76*Input!$C$31</f>
        <v>-3.7355672627655137E-3</v>
      </c>
      <c r="AG142" s="1">
        <f>AG76*Input!$C$31</f>
        <v>-1.4097965842915176E-2</v>
      </c>
      <c r="AH142" s="1">
        <f>AH76*Input!$C$31</f>
        <v>-8.6429484037207384E-3</v>
      </c>
      <c r="AI142" s="1">
        <f>AI76*Input!$C$31</f>
        <v>-2.0333618392600395E-3</v>
      </c>
      <c r="AJ142" s="1">
        <f>AJ76*Input!$C$31</f>
        <v>-2.7123019947090142E-3</v>
      </c>
      <c r="AK142" s="1">
        <f>AK76*Input!$C$31</f>
        <v>-1.1465278634852354E-2</v>
      </c>
      <c r="AL142" s="1">
        <f>AL76*Input!$C$31</f>
        <v>-6.1399028512511989E-3</v>
      </c>
      <c r="AM142" s="62">
        <f>AM76*Input!$C$31</f>
        <v>-7.0625383277474044E-2</v>
      </c>
      <c r="AN142" s="62">
        <f>AN76*Input!$C$31</f>
        <v>-6.3878374563780593E-2</v>
      </c>
    </row>
    <row r="143" spans="1:40" x14ac:dyDescent="0.35">
      <c r="A143" s="39" t="s">
        <v>179</v>
      </c>
      <c r="B143" s="39" t="s">
        <v>180</v>
      </c>
      <c r="C143" s="1">
        <f>C77*Input!$C$31</f>
        <v>6.8529684277234306E-11</v>
      </c>
      <c r="D143" s="1">
        <f>D77*Input!$C$31</f>
        <v>2.1399838953149506E-10</v>
      </c>
      <c r="E143" s="62">
        <f>E77*Input!$C$31</f>
        <v>2.8252807380872934E-10</v>
      </c>
      <c r="F143" s="1">
        <f>F77*Input!$C$31</f>
        <v>2.11034112E-9</v>
      </c>
      <c r="G143" s="1">
        <f>G77*Input!$C$31</f>
        <v>1.5661262302894078E-11</v>
      </c>
      <c r="H143" s="62">
        <f>H77*Input!$C$31</f>
        <v>2.1260023823028941E-9</v>
      </c>
      <c r="I143" s="1">
        <f>I77*Input!$C$31</f>
        <v>4.8136405571306705E-12</v>
      </c>
      <c r="J143" s="1">
        <f>J77*Input!$C$31</f>
        <v>2.82814476912E-12</v>
      </c>
      <c r="K143" s="62">
        <f>K77*Input!$C$31</f>
        <v>7.6417853262506692E-12</v>
      </c>
      <c r="L143" s="1">
        <f>L77*Input!$C$31</f>
        <v>1.9569882038348375E-12</v>
      </c>
      <c r="M143" s="1">
        <f>M77*Input!$C$31</f>
        <v>2.1881197439999998E-11</v>
      </c>
      <c r="N143" s="62">
        <f>N77*Input!$C$31</f>
        <v>2.3838185643834832E-11</v>
      </c>
      <c r="O143" s="1">
        <f>O77*Input!$C$31</f>
        <v>0</v>
      </c>
      <c r="P143" s="1">
        <f>P77*Input!$C$31</f>
        <v>0</v>
      </c>
      <c r="Q143" s="62">
        <f>Q77*Input!$C$31</f>
        <v>0</v>
      </c>
      <c r="R143" s="1">
        <f>R77*Input!$C$31</f>
        <v>6.5899810722670032E-11</v>
      </c>
      <c r="S143" s="1">
        <f>S77*Input!$C$31</f>
        <v>1.1047994878694399E-11</v>
      </c>
      <c r="T143" s="62">
        <f>T77*Input!$C$31</f>
        <v>7.6947805601364424E-11</v>
      </c>
      <c r="U143" s="62">
        <f>U77*Input!$C$31</f>
        <v>3.8138352895822257E-10</v>
      </c>
      <c r="V143" s="62">
        <f>V77*Input!$C$31</f>
        <v>5.4025486894079987E-11</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5.4893220479999993E-11</v>
      </c>
      <c r="AC143" s="1">
        <f>AC77*Input!$C$31</f>
        <v>8.9212227913489734E-12</v>
      </c>
      <c r="AD143" s="62">
        <f>AD77*Input!$C$31</f>
        <v>6.3814443271348971E-11</v>
      </c>
      <c r="AE143" s="1">
        <f>AE77*Input!$C$31</f>
        <v>-2.2246576128000001E-9</v>
      </c>
      <c r="AF143" s="1">
        <f>AF77*Input!$C$31</f>
        <v>-3.7482856290265112E-11</v>
      </c>
      <c r="AG143" s="1">
        <f>AG77*Input!$C$31</f>
        <v>-2.6352711135983022E-11</v>
      </c>
      <c r="AH143" s="1">
        <f>AH77*Input!$C$31</f>
        <v>-2.2880640971865886E-11</v>
      </c>
      <c r="AI143" s="1">
        <f>AI77*Input!$C$31</f>
        <v>-1.7750399126684314E-11</v>
      </c>
      <c r="AJ143" s="1">
        <f>AJ77*Input!$C$31</f>
        <v>-2.3677262958621892E-11</v>
      </c>
      <c r="AK143" s="1">
        <f>AK77*Input!$C$31</f>
        <v>-1.0008709120917505E-10</v>
      </c>
      <c r="AL143" s="1">
        <f>AL77*Input!$C$31</f>
        <v>-5.3598786061824001E-11</v>
      </c>
      <c r="AM143" s="62">
        <f>AM77*Input!$C$31</f>
        <v>-2.5064873605544198E-9</v>
      </c>
      <c r="AN143" s="62">
        <f>AN77*Input!$C$31</f>
        <v>-2.4426729172830707E-9</v>
      </c>
    </row>
    <row r="144" spans="1:40" x14ac:dyDescent="0.35">
      <c r="A144" s="39" t="s">
        <v>181</v>
      </c>
      <c r="B144" s="39" t="s">
        <v>180</v>
      </c>
      <c r="C144" s="1">
        <f>C78*Input!$C$31</f>
        <v>1.63126824846977E-9</v>
      </c>
      <c r="D144" s="1">
        <f>D78*Input!$C$31</f>
        <v>1.6483735341213176E-8</v>
      </c>
      <c r="E144" s="62">
        <f>E78*Input!$C$31</f>
        <v>1.8115003589682948E-8</v>
      </c>
      <c r="F144" s="1">
        <f>F78*Input!$C$31</f>
        <v>6.0842495999999996E-8</v>
      </c>
      <c r="G144" s="1">
        <f>G78*Input!$C$31</f>
        <v>1.2742773377617922E-9</v>
      </c>
      <c r="H144" s="62">
        <f>H78*Input!$C$31</f>
        <v>6.2116773337761796E-8</v>
      </c>
      <c r="I144" s="1">
        <f>I78*Input!$C$31</f>
        <v>1.8290018028955231E-10</v>
      </c>
      <c r="J144" s="1">
        <f>J78*Input!$C$31</f>
        <v>2.30111769888E-10</v>
      </c>
      <c r="K144" s="62">
        <f>K78*Input!$C$31</f>
        <v>4.1301195017755236E-10</v>
      </c>
      <c r="L144" s="1">
        <f>L78*Input!$C$31</f>
        <v>5.2161722354727859E-11</v>
      </c>
      <c r="M144" s="1">
        <f>M78*Input!$C$31</f>
        <v>1.7803618560000003E-9</v>
      </c>
      <c r="N144" s="62">
        <f>N78*Input!$C$31</f>
        <v>1.8325235783547279E-9</v>
      </c>
      <c r="O144" s="1">
        <f>O78*Input!$C$31</f>
        <v>0</v>
      </c>
      <c r="P144" s="1">
        <f>P78*Input!$C$31</f>
        <v>0</v>
      </c>
      <c r="Q144" s="62">
        <f>Q78*Input!$C$31</f>
        <v>0</v>
      </c>
      <c r="R144" s="1">
        <f>R78*Input!$C$31</f>
        <v>2.917560380931721E-9</v>
      </c>
      <c r="S144" s="1">
        <f>S78*Input!$C$31</f>
        <v>8.9891920774655986E-10</v>
      </c>
      <c r="T144" s="62">
        <f>T78*Input!$C$31</f>
        <v>3.8164795886782804E-9</v>
      </c>
      <c r="U144" s="62">
        <f>U78*Input!$C$31</f>
        <v>7.3560923540564767E-9</v>
      </c>
      <c r="V144" s="62">
        <f>V78*Input!$C$31</f>
        <v>4.395779361791999E-9</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4.2088636800000006E-9</v>
      </c>
      <c r="AC144" s="1">
        <f>AC78*Input!$C$31</f>
        <v>2.3778699605605235E-10</v>
      </c>
      <c r="AD144" s="62">
        <f>AD78*Input!$C$31</f>
        <v>4.4466506760560523E-9</v>
      </c>
      <c r="AE144" s="1">
        <f>AE78*Input!$C$31</f>
        <v>-6.4138314239999999E-8</v>
      </c>
      <c r="AF144" s="1">
        <f>AF78*Input!$C$31</f>
        <v>-1.4242071238786861E-9</v>
      </c>
      <c r="AG144" s="1">
        <f>AG78*Input!$C$31</f>
        <v>-6.9955521336561415E-10</v>
      </c>
      <c r="AH144" s="1">
        <f>AH78*Input!$C$31</f>
        <v>-3.6880585171981345E-10</v>
      </c>
      <c r="AI144" s="1">
        <f>AI78*Input!$C$31</f>
        <v>-1.3609879241285378E-9</v>
      </c>
      <c r="AJ144" s="1">
        <f>AJ78*Input!$C$31</f>
        <v>-1.8154222185718082E-9</v>
      </c>
      <c r="AK144" s="1">
        <f>AK78*Input!$C$31</f>
        <v>-7.6740427933286413E-9</v>
      </c>
      <c r="AL144" s="1">
        <f>AL78*Input!$C$31</f>
        <v>-4.1096146659840002E-9</v>
      </c>
      <c r="AM144" s="62">
        <f>AM78*Input!$C$31</f>
        <v>-8.159095003097709E-8</v>
      </c>
      <c r="AN144" s="62">
        <f>AN78*Input!$C$31</f>
        <v>-7.7144299354921038E-8</v>
      </c>
    </row>
    <row r="145" spans="1:40" ht="29" x14ac:dyDescent="0.35">
      <c r="A145" s="39" t="s">
        <v>182</v>
      </c>
      <c r="B145" s="39" t="s">
        <v>183</v>
      </c>
      <c r="C145" s="1">
        <f>C79*Input!$C$31</f>
        <v>1.1903985135352884E-2</v>
      </c>
      <c r="D145" s="1">
        <f>D79*Input!$C$31</f>
        <v>1.754901309706346E-2</v>
      </c>
      <c r="E145" s="62">
        <f>E79*Input!$C$31</f>
        <v>2.9452998232416344E-2</v>
      </c>
      <c r="F145" s="1">
        <f>F79*Input!$C$31</f>
        <v>3.2123135999999997E-2</v>
      </c>
      <c r="G145" s="1">
        <f>G79*Input!$C$31</f>
        <v>1.0783971859113983E-3</v>
      </c>
      <c r="H145" s="62">
        <f>H79*Input!$C$31</f>
        <v>3.3201533185911396E-2</v>
      </c>
      <c r="I145" s="1">
        <f>I79*Input!$C$31</f>
        <v>7.5091213015499557E-3</v>
      </c>
      <c r="J145" s="1">
        <f>J79*Input!$C$31</f>
        <v>1.947393065376E-4</v>
      </c>
      <c r="K145" s="62">
        <f>K79*Input!$C$31</f>
        <v>7.7038606080875559E-3</v>
      </c>
      <c r="L145" s="1">
        <f>L79*Input!$C$31</f>
        <v>1.277181470957085E-4</v>
      </c>
      <c r="M145" s="1">
        <f>M79*Input!$C$31</f>
        <v>1.5066870912000001E-3</v>
      </c>
      <c r="N145" s="62">
        <f>N79*Input!$C$31</f>
        <v>1.6344052382957085E-3</v>
      </c>
      <c r="O145" s="1">
        <f>O79*Input!$C$31</f>
        <v>0</v>
      </c>
      <c r="P145" s="1">
        <f>P79*Input!$C$31</f>
        <v>0</v>
      </c>
      <c r="Q145" s="62">
        <f>Q79*Input!$C$31</f>
        <v>0</v>
      </c>
      <c r="R145" s="1">
        <f>R79*Input!$C$31</f>
        <v>2.0435182900459595E-2</v>
      </c>
      <c r="S145" s="1">
        <f>S79*Input!$C$31</f>
        <v>7.6073858905651207E-4</v>
      </c>
      <c r="T145" s="62">
        <f>T79*Input!$C$31</f>
        <v>2.1195921489516108E-2</v>
      </c>
      <c r="U145" s="62">
        <f>U79*Input!$C$31</f>
        <v>0.46971431986087836</v>
      </c>
      <c r="V145" s="62">
        <f>V79*Input!$C$31</f>
        <v>3.7200662313983997E-3</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3.5548740864E-3</v>
      </c>
      <c r="AC145" s="1">
        <f>AC79*Input!$C$31</f>
        <v>5.8222223440405397E-4</v>
      </c>
      <c r="AD145" s="62">
        <f>AD79*Input!$C$31</f>
        <v>4.1370963208040533E-3</v>
      </c>
      <c r="AE145" s="1">
        <f>AE79*Input!$C$31</f>
        <v>-3.3863235839999999E-2</v>
      </c>
      <c r="AF145" s="1">
        <f>AF79*Input!$C$31</f>
        <v>-5.84720257509092E-2</v>
      </c>
      <c r="AG145" s="1">
        <f>AG79*Input!$C$31</f>
        <v>-5.5279738582037601E-3</v>
      </c>
      <c r="AH145" s="1">
        <f>AH79*Input!$C$31</f>
        <v>-1.6618397974011037E-3</v>
      </c>
      <c r="AI145" s="1">
        <f>AI79*Input!$C$31</f>
        <v>-1.1495123318861844E-3</v>
      </c>
      <c r="AJ145" s="1">
        <f>AJ79*Input!$C$31</f>
        <v>-1.53333485979658E-3</v>
      </c>
      <c r="AK145" s="1">
        <f>AK79*Input!$C$31</f>
        <v>-6.4816202039427069E-3</v>
      </c>
      <c r="AL145" s="1">
        <f>AL79*Input!$C$31</f>
        <v>-3.4710467698483198E-3</v>
      </c>
      <c r="AM145" s="62">
        <f>AM79*Input!$C$31</f>
        <v>-0.11216058941198787</v>
      </c>
      <c r="AN145" s="62">
        <f>AN79*Input!$C$31</f>
        <v>-0.10802349309118379</v>
      </c>
    </row>
    <row r="146" spans="1:40" x14ac:dyDescent="0.35">
      <c r="A146" s="39" t="s">
        <v>184</v>
      </c>
      <c r="B146" s="39" t="s">
        <v>185</v>
      </c>
      <c r="C146" s="1">
        <f>C80*Input!$C$31</f>
        <v>75.110776768851792</v>
      </c>
      <c r="D146" s="1">
        <f>D80*Input!$C$31</f>
        <v>2.8494326419859757</v>
      </c>
      <c r="E146" s="62">
        <f>E80*Input!$C$31</f>
        <v>77.960209410837763</v>
      </c>
      <c r="F146" s="1">
        <f>F80*Input!$C$31</f>
        <v>1.1189913600000001</v>
      </c>
      <c r="G146" s="1">
        <f>G80*Input!$C$31</f>
        <v>0.15001128136354347</v>
      </c>
      <c r="H146" s="62">
        <f>H80*Input!$C$31</f>
        <v>1.2690026413635433</v>
      </c>
      <c r="I146" s="1">
        <f>I80*Input!$C$31</f>
        <v>0.12062399456039465</v>
      </c>
      <c r="J146" s="1">
        <f>J80*Input!$C$31</f>
        <v>2.7089363072534397E-2</v>
      </c>
      <c r="K146" s="62">
        <f>K80*Input!$C$31</f>
        <v>0.14771335763292903</v>
      </c>
      <c r="L146" s="1">
        <f>L80*Input!$C$31</f>
        <v>2.1869689454441864E-2</v>
      </c>
      <c r="M146" s="1">
        <f>M80*Input!$C$31</f>
        <v>0.20958888257280001</v>
      </c>
      <c r="N146" s="62">
        <f>N80*Input!$C$31</f>
        <v>0.23145857202724185</v>
      </c>
      <c r="O146" s="1">
        <f>O80*Input!$C$31</f>
        <v>0</v>
      </c>
      <c r="P146" s="1">
        <f>P80*Input!$C$31</f>
        <v>0</v>
      </c>
      <c r="Q146" s="62">
        <f>Q80*Input!$C$31</f>
        <v>0</v>
      </c>
      <c r="R146" s="1">
        <f>R80*Input!$C$31</f>
        <v>0.56137269945621215</v>
      </c>
      <c r="S146" s="1">
        <f>S80*Input!$C$31</f>
        <v>0.10582313457227213</v>
      </c>
      <c r="T146" s="62">
        <f>T80*Input!$C$31</f>
        <v>0.66719583402848437</v>
      </c>
      <c r="U146" s="62">
        <f>U80*Input!$C$31</f>
        <v>2.4547302588784707</v>
      </c>
      <c r="V146" s="62">
        <f>V80*Input!$C$31</f>
        <v>0.51748271362344955</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0.49548302899199992</v>
      </c>
      <c r="AC146" s="1">
        <f>AC80*Input!$C$31</f>
        <v>9.9696243246828034E-2</v>
      </c>
      <c r="AD146" s="62">
        <f>AD80*Input!$C$31</f>
        <v>0.59517927223882794</v>
      </c>
      <c r="AE146" s="1">
        <f>AE80*Input!$C$31</f>
        <v>-1.1796067584000001</v>
      </c>
      <c r="AF146" s="1">
        <f>AF80*Input!$C$31</f>
        <v>-0.93927492084288111</v>
      </c>
      <c r="AG146" s="1">
        <f>AG80*Input!$C$31</f>
        <v>-1.7042026564451236</v>
      </c>
      <c r="AH146" s="1">
        <f>AH80*Input!$C$31</f>
        <v>-91.217093508971487</v>
      </c>
      <c r="AI146" s="1">
        <f>AI80*Input!$C$31</f>
        <v>-0.16022054177548037</v>
      </c>
      <c r="AJ146" s="1">
        <f>AJ80*Input!$C$31</f>
        <v>-0.21371823089250927</v>
      </c>
      <c r="AK146" s="1">
        <f>AK80*Input!$C$31</f>
        <v>-0.90341675495954854</v>
      </c>
      <c r="AL146" s="1">
        <f>AL80*Input!$C$31</f>
        <v>-0.48379906727976957</v>
      </c>
      <c r="AM146" s="62">
        <f>AM80*Input!$C$31</f>
        <v>-96.801332439566792</v>
      </c>
      <c r="AN146" s="62">
        <f>AN80*Input!$C$31</f>
        <v>-96.206153167327969</v>
      </c>
    </row>
    <row r="147" spans="1:40" ht="29" x14ac:dyDescent="0.35">
      <c r="A147" s="39" t="s">
        <v>186</v>
      </c>
      <c r="B147" s="39" t="s">
        <v>187</v>
      </c>
      <c r="C147" s="1">
        <f>C81*Input!$C$31</f>
        <v>9.1059961067372839E-7</v>
      </c>
      <c r="D147" s="1">
        <f>D81*Input!$C$31</f>
        <v>2.6287061140670298E-6</v>
      </c>
      <c r="E147" s="62">
        <f>E81*Input!$C$31</f>
        <v>3.539305724740758E-6</v>
      </c>
      <c r="F147" s="1">
        <f>F81*Input!$C$31</f>
        <v>4.3398144000000001E-7</v>
      </c>
      <c r="G147" s="1">
        <f>G81*Input!$C$31</f>
        <v>1.9494847053895678E-7</v>
      </c>
      <c r="H147" s="62">
        <f>H81*Input!$C$31</f>
        <v>6.2892991053895679E-7</v>
      </c>
      <c r="I147" s="1">
        <f>I81*Input!$C$31</f>
        <v>6.8714432015449015E-8</v>
      </c>
      <c r="J147" s="1">
        <f>J81*Input!$C$31</f>
        <v>3.520421831519999E-8</v>
      </c>
      <c r="K147" s="62">
        <f>K81*Input!$C$31</f>
        <v>1.0391865033064901E-7</v>
      </c>
      <c r="L147" s="1">
        <f>L81*Input!$C$31</f>
        <v>4.9935234569963153E-9</v>
      </c>
      <c r="M147" s="1">
        <f>M81*Input!$C$31</f>
        <v>2.7237306239999997E-7</v>
      </c>
      <c r="N147" s="62">
        <f>N81*Input!$C$31</f>
        <v>2.7736658585699628E-7</v>
      </c>
      <c r="O147" s="1">
        <f>O81*Input!$C$31</f>
        <v>0</v>
      </c>
      <c r="P147" s="1">
        <f>P81*Input!$C$31</f>
        <v>0</v>
      </c>
      <c r="Q147" s="62">
        <f>Q81*Input!$C$31</f>
        <v>0</v>
      </c>
      <c r="R147" s="1">
        <f>R81*Input!$C$31</f>
        <v>3.8405416586632021E-5</v>
      </c>
      <c r="S147" s="1">
        <f>S81*Input!$C$31</f>
        <v>1.37523378541824E-7</v>
      </c>
      <c r="T147" s="62">
        <f>T81*Input!$C$31</f>
        <v>3.8542939965173843E-5</v>
      </c>
      <c r="U147" s="62">
        <f>U81*Input!$C$31</f>
        <v>5.756420095660824E-6</v>
      </c>
      <c r="V147" s="62">
        <f>V81*Input!$C$31</f>
        <v>6.7249917895679995E-7</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6.3656772479999995E-7</v>
      </c>
      <c r="AC147" s="1">
        <f>AC81*Input!$C$31</f>
        <v>2.2763721920446975E-8</v>
      </c>
      <c r="AD147" s="62">
        <f>AD81*Input!$C$31</f>
        <v>6.5933144672044696E-7</v>
      </c>
      <c r="AE147" s="1">
        <f>AE81*Input!$C$31</f>
        <v>-4.5749007360000003E-7</v>
      </c>
      <c r="AF147" s="1">
        <f>AF81*Input!$C$31</f>
        <v>-5.3506553921789849E-7</v>
      </c>
      <c r="AG147" s="1">
        <f>AG81*Input!$C$31</f>
        <v>-4.2382888593126167E-7</v>
      </c>
      <c r="AH147" s="1">
        <f>AH81*Input!$C$31</f>
        <v>-1.2477586690128448E-7</v>
      </c>
      <c r="AI147" s="1">
        <f>AI81*Input!$C$31</f>
        <v>-2.0584201632844952E-7</v>
      </c>
      <c r="AJ147" s="1">
        <f>AJ81*Input!$C$31</f>
        <v>-2.7457273009793083E-7</v>
      </c>
      <c r="AK147" s="1">
        <f>AK81*Input!$C$31</f>
        <v>-1.1606572064047106E-6</v>
      </c>
      <c r="AL147" s="1">
        <f>AL81*Input!$C$31</f>
        <v>-6.2155685159423996E-7</v>
      </c>
      <c r="AM147" s="62">
        <f>AM81*Input!$C$31</f>
        <v>-3.8037891700757749E-6</v>
      </c>
      <c r="AN147" s="62">
        <f>AN81*Input!$C$31</f>
        <v>-3.144457723355328E-6</v>
      </c>
    </row>
    <row r="148" spans="1:40" x14ac:dyDescent="0.35">
      <c r="A148" s="39" t="s">
        <v>188</v>
      </c>
      <c r="B148" s="39" t="s">
        <v>189</v>
      </c>
      <c r="C148" s="1">
        <f>C82*Input!$C$31</f>
        <v>6.8548338552935043E-9</v>
      </c>
      <c r="D148" s="1">
        <f>D82*Input!$C$31</f>
        <v>5.1907154770350888E-8</v>
      </c>
      <c r="E148" s="62">
        <f>E82*Input!$C$31</f>
        <v>5.8761988625644392E-8</v>
      </c>
      <c r="F148" s="1">
        <f>F82*Input!$C$31</f>
        <v>1.4125670399999999E-12</v>
      </c>
      <c r="G148" s="1">
        <f>G82*Input!$C$31</f>
        <v>3.9291126962196484E-9</v>
      </c>
      <c r="H148" s="62">
        <f>H82*Input!$C$31</f>
        <v>3.9305252632596488E-9</v>
      </c>
      <c r="I148" s="1">
        <f>I82*Input!$C$31</f>
        <v>2.9902381929207585E-10</v>
      </c>
      <c r="J148" s="1">
        <f>J82*Input!$C$31</f>
        <v>7.0952770627199993E-10</v>
      </c>
      <c r="K148" s="62">
        <f>K82*Input!$C$31</f>
        <v>1.0085515255640758E-9</v>
      </c>
      <c r="L148" s="1">
        <f>L82*Input!$C$31</f>
        <v>7.2164284444987708E-10</v>
      </c>
      <c r="M148" s="1">
        <f>M82*Input!$C$31</f>
        <v>5.489576064E-9</v>
      </c>
      <c r="N148" s="62">
        <f>N82*Input!$C$31</f>
        <v>6.2112189084498771E-9</v>
      </c>
      <c r="O148" s="1">
        <f>O82*Input!$C$31</f>
        <v>0</v>
      </c>
      <c r="P148" s="1">
        <f>P82*Input!$C$31</f>
        <v>0</v>
      </c>
      <c r="Q148" s="62">
        <f>Q82*Input!$C$31</f>
        <v>0</v>
      </c>
      <c r="R148" s="1">
        <f>R82*Input!$C$31</f>
        <v>1.2838525942572228E-9</v>
      </c>
      <c r="S148" s="1">
        <f>S82*Input!$C$31</f>
        <v>2.7717316845926399E-9</v>
      </c>
      <c r="T148" s="62">
        <f>T82*Input!$C$31</f>
        <v>4.0555842788498626E-9</v>
      </c>
      <c r="U148" s="62">
        <f>U82*Input!$C$31</f>
        <v>5.1835149908780462E-7</v>
      </c>
      <c r="V148" s="62">
        <f>V82*Input!$C$31</f>
        <v>1.3553966619647999E-8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1.3063171967999998E-8</v>
      </c>
      <c r="AC148" s="1">
        <f>AC82*Input!$C$31</f>
        <v>3.2897166056006967E-9</v>
      </c>
      <c r="AD148" s="62">
        <f>AD82*Input!$C$31</f>
        <v>1.6352888573600695E-8</v>
      </c>
      <c r="AE148" s="1">
        <f>AE82*Input!$C$31</f>
        <v>-1.4890853376000002E-12</v>
      </c>
      <c r="AF148" s="1">
        <f>AF82*Input!$C$31</f>
        <v>-2.3284386760635366E-9</v>
      </c>
      <c r="AG148" s="1">
        <f>AG82*Input!$C$31</f>
        <v>-2.4103563127245524E-9</v>
      </c>
      <c r="AH148" s="1">
        <f>AH82*Input!$C$31</f>
        <v>-2.8377503120372069E-9</v>
      </c>
      <c r="AI148" s="1">
        <f>AI82*Input!$C$31</f>
        <v>-4.2241375941314459E-9</v>
      </c>
      <c r="AJ148" s="1">
        <f>AJ82*Input!$C$31</f>
        <v>-5.6345784607905406E-9</v>
      </c>
      <c r="AK148" s="1">
        <f>AK82*Input!$C$31</f>
        <v>-2.3818148631281668E-8</v>
      </c>
      <c r="AL148" s="1">
        <f>AL82*Input!$C$31</f>
        <v>-1.2755129931878398E-8</v>
      </c>
      <c r="AM148" s="62">
        <f>AM82*Input!$C$31</f>
        <v>-5.4010029004244943E-8</v>
      </c>
      <c r="AN148" s="62">
        <f>AN82*Input!$C$31</f>
        <v>-3.7657140430644245E-8</v>
      </c>
    </row>
    <row r="149" spans="1:40" x14ac:dyDescent="0.35">
      <c r="A149" s="39" t="s">
        <v>190</v>
      </c>
      <c r="B149" s="39" t="s">
        <v>191</v>
      </c>
      <c r="C149" s="1">
        <f>C83*Input!$C$31</f>
        <v>1.254919082682353E-7</v>
      </c>
      <c r="D149" s="1">
        <f>D83*Input!$C$31</f>
        <v>1.4115685463404561E-7</v>
      </c>
      <c r="E149" s="62">
        <f>E83*Input!$C$31</f>
        <v>2.6664876290228091E-7</v>
      </c>
      <c r="F149" s="1">
        <f>F83*Input!$C$31</f>
        <v>1.14026496E-7</v>
      </c>
      <c r="G149" s="1">
        <f>G83*Input!$C$31</f>
        <v>1.0952620647042046E-8</v>
      </c>
      <c r="H149" s="62">
        <f>H83*Input!$C$31</f>
        <v>1.2497911664704206E-7</v>
      </c>
      <c r="I149" s="1">
        <f>I83*Input!$C$31</f>
        <v>1.8906700182473082E-9</v>
      </c>
      <c r="J149" s="1">
        <f>J83*Input!$C$31</f>
        <v>1.9778480298719999E-9</v>
      </c>
      <c r="K149" s="62">
        <f>K83*Input!$C$31</f>
        <v>3.8685180481193081E-9</v>
      </c>
      <c r="L149" s="1">
        <f>L83*Input!$C$31</f>
        <v>3.1541018866918046E-10</v>
      </c>
      <c r="M149" s="1">
        <f>M83*Input!$C$31</f>
        <v>1.5302499263999997E-8</v>
      </c>
      <c r="N149" s="62">
        <f>N83*Input!$C$31</f>
        <v>1.5617909452669179E-8</v>
      </c>
      <c r="O149" s="1">
        <f>O83*Input!$C$31</f>
        <v>0</v>
      </c>
      <c r="P149" s="1">
        <f>P83*Input!$C$31</f>
        <v>0</v>
      </c>
      <c r="Q149" s="62">
        <f>Q83*Input!$C$31</f>
        <v>0</v>
      </c>
      <c r="R149" s="1">
        <f>R83*Input!$C$31</f>
        <v>1.3426745522372374E-8</v>
      </c>
      <c r="S149" s="1">
        <f>S83*Input!$C$31</f>
        <v>7.7263565654246399E-9</v>
      </c>
      <c r="T149" s="62">
        <f>T83*Input!$C$31</f>
        <v>2.1153102087797013E-8</v>
      </c>
      <c r="U149" s="62">
        <f>U83*Input!$C$31</f>
        <v>1.7004533473726286E-8</v>
      </c>
      <c r="V149" s="62">
        <f>V83*Input!$C$31</f>
        <v>3.7782437442047997E-8</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3.9709958400000003E-8</v>
      </c>
      <c r="AC149" s="1">
        <f>AC83*Input!$C$31</f>
        <v>1.4378444173885529E-9</v>
      </c>
      <c r="AD149" s="62">
        <f>AD83*Input!$C$31</f>
        <v>4.114780281738855E-8</v>
      </c>
      <c r="AE149" s="1">
        <f>AE83*Input!$C$31</f>
        <v>-1.2020327424000001E-7</v>
      </c>
      <c r="AF149" s="1">
        <f>AF83*Input!$C$31</f>
        <v>-1.4722269298088142E-8</v>
      </c>
      <c r="AG149" s="1">
        <f>AG83*Input!$C$31</f>
        <v>-4.5572571238552026E-8</v>
      </c>
      <c r="AH149" s="1">
        <f>AH83*Input!$C$31</f>
        <v>-4.8432090144784052E-8</v>
      </c>
      <c r="AI149" s="1">
        <f>AI83*Input!$C$31</f>
        <v>-1.2840704275327491E-8</v>
      </c>
      <c r="AJ149" s="1">
        <f>AJ83*Input!$C$31</f>
        <v>-1.7128219457543041E-8</v>
      </c>
      <c r="AK149" s="1">
        <f>AK83*Input!$C$31</f>
        <v>-7.2403371373363215E-8</v>
      </c>
      <c r="AL149" s="1">
        <f>AL83*Input!$C$31</f>
        <v>-3.8773559761920002E-8</v>
      </c>
      <c r="AM149" s="62">
        <f>AM83*Input!$C$31</f>
        <v>-3.7007605978957795E-7</v>
      </c>
      <c r="AN149" s="62">
        <f>AN83*Input!$C$31</f>
        <v>-3.2892825697218942E-7</v>
      </c>
    </row>
    <row r="150" spans="1:40" ht="29" x14ac:dyDescent="0.35">
      <c r="A150" s="39" t="s">
        <v>192</v>
      </c>
      <c r="B150" s="39" t="s">
        <v>193</v>
      </c>
      <c r="C150" s="1">
        <f>C84*Input!$C$31</f>
        <v>8.1333901766268753E-3</v>
      </c>
      <c r="D150" s="1">
        <f>D84*Input!$C$31</f>
        <v>7.2283613027575491E-3</v>
      </c>
      <c r="E150" s="62">
        <f>E84*Input!$C$31</f>
        <v>1.5361751479384426E-2</v>
      </c>
      <c r="F150" s="1">
        <f>F84*Input!$C$31</f>
        <v>8.6370815999999989E-3</v>
      </c>
      <c r="G150" s="1">
        <f>G84*Input!$C$31</f>
        <v>4.5940237052682247E-4</v>
      </c>
      <c r="H150" s="62">
        <f>H84*Input!$C$31</f>
        <v>9.0964839705268211E-3</v>
      </c>
      <c r="I150" s="1">
        <f>I84*Input!$C$31</f>
        <v>1.267084170724604E-4</v>
      </c>
      <c r="J150" s="1">
        <f>J84*Input!$C$31</f>
        <v>8.2959878073599985E-5</v>
      </c>
      <c r="K150" s="62">
        <f>K84*Input!$C$31</f>
        <v>2.0966829514606038E-4</v>
      </c>
      <c r="L150" s="1">
        <f>L84*Input!$C$31</f>
        <v>7.8878858178460463E-5</v>
      </c>
      <c r="M150" s="1">
        <f>M84*Input!$C$31</f>
        <v>6.4185592319999994E-4</v>
      </c>
      <c r="N150" s="62">
        <f>N84*Input!$C$31</f>
        <v>7.2073478137846031E-4</v>
      </c>
      <c r="O150" s="1">
        <f>O84*Input!$C$31</f>
        <v>0</v>
      </c>
      <c r="P150" s="1">
        <f>P84*Input!$C$31</f>
        <v>0</v>
      </c>
      <c r="Q150" s="62">
        <f>Q84*Input!$C$31</f>
        <v>0</v>
      </c>
      <c r="R150" s="1">
        <f>R84*Input!$C$31</f>
        <v>6.7057551379197172E-4</v>
      </c>
      <c r="S150" s="1">
        <f>S84*Input!$C$31</f>
        <v>3.2407828556083198E-4</v>
      </c>
      <c r="T150" s="62">
        <f>T84*Input!$C$31</f>
        <v>9.9465379935280386E-4</v>
      </c>
      <c r="U150" s="62">
        <f>U84*Input!$C$31</f>
        <v>3.6594209513570192E-3</v>
      </c>
      <c r="V150" s="62">
        <f>V84*Input!$C$31</f>
        <v>1.5847660468223995E-3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2.5294731840000001E-3</v>
      </c>
      <c r="AC150" s="1">
        <f>AC84*Input!$C$31</f>
        <v>3.5958104701823445E-4</v>
      </c>
      <c r="AD150" s="62">
        <f>AD84*Input!$C$31</f>
        <v>2.8890542310182343E-3</v>
      </c>
      <c r="AE150" s="1">
        <f>AE84*Input!$C$31</f>
        <v>-9.1049495039999991E-3</v>
      </c>
      <c r="AF150" s="1">
        <f>AF84*Input!$C$31</f>
        <v>-9.8665310205983464E-4</v>
      </c>
      <c r="AG150" s="1">
        <f>AG84*Input!$C$31</f>
        <v>-3.1839382519847593E-3</v>
      </c>
      <c r="AH150" s="1">
        <f>AH84*Input!$C$31</f>
        <v>-2.5785965425851594E-3</v>
      </c>
      <c r="AI150" s="1">
        <f>AI84*Input!$C$31</f>
        <v>-8.1793631715602704E-4</v>
      </c>
      <c r="AJ150" s="1">
        <f>AJ84*Input!$C$31</f>
        <v>-1.0910455098215904E-3</v>
      </c>
      <c r="AK150" s="1">
        <f>AK84*Input!$C$31</f>
        <v>-4.6120014651064327E-3</v>
      </c>
      <c r="AL150" s="1">
        <f>AL84*Input!$C$31</f>
        <v>-2.4698257972991995E-3</v>
      </c>
      <c r="AM150" s="62">
        <f>AM84*Input!$C$31</f>
        <v>-2.4844946490013002E-2</v>
      </c>
      <c r="AN150" s="62">
        <f>AN84*Input!$C$31</f>
        <v>-2.1955892258994771E-2</v>
      </c>
    </row>
    <row r="151" spans="1:40" ht="29" x14ac:dyDescent="0.35">
      <c r="A151" s="39" t="s">
        <v>194</v>
      </c>
      <c r="B151" s="39" t="s">
        <v>195</v>
      </c>
      <c r="C151" s="1">
        <f>C85*Input!$C$31</f>
        <v>0.59481228827305477</v>
      </c>
      <c r="D151" s="1">
        <f>D85*Input!$C$31</f>
        <v>7.9598209475469653E-2</v>
      </c>
      <c r="E151" s="62">
        <f>E85*Input!$C$31</f>
        <v>0.67441049774852435</v>
      </c>
      <c r="F151" s="1">
        <f>F85*Input!$C$31</f>
        <v>3.0676531199999999E-2</v>
      </c>
      <c r="G151" s="1">
        <f>G85*Input!$C$31</f>
        <v>5.4166515522333699E-3</v>
      </c>
      <c r="H151" s="62">
        <f>H85*Input!$C$31</f>
        <v>3.6093182752233367E-2</v>
      </c>
      <c r="I151" s="1">
        <f>I85*Input!$C$31</f>
        <v>4.8753739715504951E-2</v>
      </c>
      <c r="J151" s="1">
        <f>J85*Input!$C$31</f>
        <v>9.7815070441439975E-4</v>
      </c>
      <c r="K151" s="62">
        <f>K85*Input!$C$31</f>
        <v>4.973189041991935E-2</v>
      </c>
      <c r="L151" s="1">
        <f>L85*Input!$C$31</f>
        <v>5.7569382468199148E-4</v>
      </c>
      <c r="M151" s="1">
        <f>M85*Input!$C$31</f>
        <v>7.5678971327999998E-3</v>
      </c>
      <c r="N151" s="62">
        <f>N85*Input!$C$31</f>
        <v>8.1435909574819904E-3</v>
      </c>
      <c r="O151" s="1">
        <f>O85*Input!$C$31</f>
        <v>0</v>
      </c>
      <c r="P151" s="1">
        <f>P85*Input!$C$31</f>
        <v>0</v>
      </c>
      <c r="Q151" s="62">
        <f>Q85*Input!$C$31</f>
        <v>0</v>
      </c>
      <c r="R151" s="1">
        <f>R85*Input!$C$31</f>
        <v>6.3401153233966473E-2</v>
      </c>
      <c r="S151" s="1">
        <f>S85*Input!$C$31</f>
        <v>3.8210929266977276E-3</v>
      </c>
      <c r="T151" s="62">
        <f>T85*Input!$C$31</f>
        <v>6.7222246160664204E-2</v>
      </c>
      <c r="U151" s="62">
        <f>U85*Input!$C$31</f>
        <v>0.15977710395520342</v>
      </c>
      <c r="V151" s="62">
        <f>V85*Input!$C$31</f>
        <v>1.8685418313369596E-2</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1.7821914969599999E-2</v>
      </c>
      <c r="AC151" s="1">
        <f>AC85*Input!$C$31</f>
        <v>2.6243862173148248E-3</v>
      </c>
      <c r="AD151" s="62">
        <f>AD85*Input!$C$31</f>
        <v>2.044630118691482E-2</v>
      </c>
      <c r="AE151" s="1">
        <f>AE85*Input!$C$31</f>
        <v>-3.2338268928E-2</v>
      </c>
      <c r="AF151" s="1">
        <f>AF85*Input!$C$31</f>
        <v>-0.37963562041669396</v>
      </c>
      <c r="AG151" s="1">
        <f>AG85*Input!$C$31</f>
        <v>-0.20808748758658296</v>
      </c>
      <c r="AH151" s="1">
        <f>AH85*Input!$C$31</f>
        <v>-0.24883223221622869</v>
      </c>
      <c r="AI151" s="1">
        <f>AI85*Input!$C$31</f>
        <v>-5.7629357714125851E-3</v>
      </c>
      <c r="AJ151" s="1">
        <f>AJ85*Input!$C$31</f>
        <v>-7.687181831773973E-3</v>
      </c>
      <c r="AK151" s="1">
        <f>AK85*Input!$C$31</f>
        <v>-3.2494789219634383E-2</v>
      </c>
      <c r="AL151" s="1">
        <f>AL85*Input!$C$31</f>
        <v>-1.7401657241364478E-2</v>
      </c>
      <c r="AM151" s="62">
        <f>AM85*Input!$C$31</f>
        <v>-0.93224017321169106</v>
      </c>
      <c r="AN151" s="62">
        <f>AN85*Input!$C$31</f>
        <v>-0.91179387202477635</v>
      </c>
    </row>
    <row r="152" spans="1:40" x14ac:dyDescent="0.35">
      <c r="A152" s="148" t="s">
        <v>58</v>
      </c>
      <c r="B152" s="338">
        <f>+SUM(E133:E151,H133:H151,K133:K151,N133:N151,Q133:Q151,T133:T151,U133:V151,Z133:Z151,AA133:AA151,AD133:AD151,AM133:AM151)-SUM(C4:K22)*Input!$C$31</f>
        <v>6.8212102632969618E-13</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f>+SUM(U133:U151)-SUM(U67:U85)*Input!$C$31</f>
        <v>0</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272</v>
      </c>
    </row>
    <row r="156" spans="1:40" ht="14.5" customHeight="1" x14ac:dyDescent="0.35">
      <c r="A156" s="11" t="s">
        <v>273</v>
      </c>
      <c r="O156" s="15" t="s">
        <v>216</v>
      </c>
      <c r="P156" s="15" t="s">
        <v>262</v>
      </c>
      <c r="Q156" s="15" t="s">
        <v>1017</v>
      </c>
      <c r="R156" s="15" t="s">
        <v>254</v>
      </c>
    </row>
    <row r="157" spans="1:40" ht="14.5" customHeight="1" x14ac:dyDescent="0.35">
      <c r="A157" s="384" t="s">
        <v>209</v>
      </c>
      <c r="B157" s="384" t="s">
        <v>210</v>
      </c>
      <c r="C157" s="381" t="s">
        <v>260</v>
      </c>
      <c r="D157" s="382"/>
      <c r="E157" s="381" t="s">
        <v>59</v>
      </c>
      <c r="F157" s="382"/>
      <c r="G157" s="381" t="s">
        <v>212</v>
      </c>
      <c r="H157" s="382"/>
      <c r="I157" s="383" t="s">
        <v>213</v>
      </c>
      <c r="J157" s="382"/>
      <c r="K157" s="378" t="s">
        <v>214</v>
      </c>
      <c r="L157" s="379"/>
      <c r="M157" s="381" t="s">
        <v>1016</v>
      </c>
      <c r="N157" s="382"/>
      <c r="O157" s="103" t="s">
        <v>364</v>
      </c>
      <c r="P157" s="103" t="s">
        <v>364</v>
      </c>
      <c r="Q157" s="103" t="s">
        <v>364</v>
      </c>
      <c r="R157" s="103" t="s">
        <v>364</v>
      </c>
      <c r="S157" s="381" t="s">
        <v>229</v>
      </c>
      <c r="T157" s="382"/>
      <c r="U157" s="384" t="s">
        <v>231</v>
      </c>
      <c r="V157" s="384"/>
      <c r="W157" s="384"/>
      <c r="X157" s="384"/>
      <c r="Y157" s="384"/>
      <c r="Z157" s="384"/>
      <c r="AA157" s="384"/>
      <c r="AB157" s="384"/>
    </row>
    <row r="158" spans="1:40" ht="43.5" x14ac:dyDescent="0.35">
      <c r="A158" s="384"/>
      <c r="B158" s="384"/>
      <c r="C158" s="103" t="s">
        <v>1011</v>
      </c>
      <c r="D158" s="103" t="s">
        <v>1015</v>
      </c>
      <c r="E158" s="103" t="s">
        <v>1011</v>
      </c>
      <c r="F158" s="103" t="s">
        <v>1015</v>
      </c>
      <c r="G158" s="103" t="s">
        <v>1011</v>
      </c>
      <c r="H158" s="103" t="s">
        <v>1015</v>
      </c>
      <c r="I158" s="103" t="s">
        <v>1012</v>
      </c>
      <c r="J158" s="103" t="s">
        <v>1010</v>
      </c>
      <c r="K158" s="103" t="s">
        <v>1012</v>
      </c>
      <c r="L158" s="103" t="s">
        <v>1010</v>
      </c>
      <c r="M158" s="103" t="s">
        <v>1011</v>
      </c>
      <c r="N158" s="103" t="s">
        <v>1015</v>
      </c>
      <c r="O158" s="103" t="s">
        <v>218</v>
      </c>
      <c r="P158" s="103" t="s">
        <v>263</v>
      </c>
      <c r="Q158" s="103" t="s">
        <v>264</v>
      </c>
      <c r="R158" s="108" t="s">
        <v>159</v>
      </c>
      <c r="S158" s="103" t="s">
        <v>160</v>
      </c>
      <c r="T158" s="103" t="s">
        <v>265</v>
      </c>
      <c r="U158" s="103" t="s">
        <v>266</v>
      </c>
      <c r="V158" s="103" t="s">
        <v>212</v>
      </c>
      <c r="W158" s="103" t="s">
        <v>211</v>
      </c>
      <c r="X158" s="103" t="s">
        <v>267</v>
      </c>
      <c r="Y158" s="103" t="s">
        <v>268</v>
      </c>
      <c r="Z158" s="103" t="s">
        <v>269</v>
      </c>
      <c r="AA158" s="103" t="s">
        <v>270</v>
      </c>
      <c r="AB158" s="103" t="s">
        <v>271</v>
      </c>
    </row>
    <row r="159" spans="1:40" x14ac:dyDescent="0.35">
      <c r="A159" s="1" t="s">
        <v>164</v>
      </c>
      <c r="B159" s="53" t="s">
        <v>274</v>
      </c>
      <c r="C159" s="1">
        <f>+C125/Input!$C$31</f>
        <v>2.257590932111079</v>
      </c>
      <c r="D159" s="1">
        <f>+D125/Input!$C$31</f>
        <v>12.259422769494162</v>
      </c>
      <c r="E159" s="1">
        <f>+E125/Input!$C$31</f>
        <v>11.7448</v>
      </c>
      <c r="F159" s="1">
        <f>+F125/Input!$C$31</f>
        <v>0.9203231930566127</v>
      </c>
      <c r="G159" s="1">
        <f>+G125/Input!$C$31</f>
        <v>0.12166438176342087</v>
      </c>
      <c r="H159" s="1">
        <f>+H125/Input!$C$31</f>
        <v>0.16619396150857496</v>
      </c>
      <c r="I159" s="1">
        <f>+I125/Input!$C$31</f>
        <v>0.16679033795373477</v>
      </c>
      <c r="J159" s="1">
        <f>+J125/Input!$C$31</f>
        <v>1.2858333578999999</v>
      </c>
      <c r="K159" s="1">
        <f>+K125/Input!$C$31</f>
        <v>0</v>
      </c>
      <c r="L159" s="1">
        <f>+L125/Input!$C$31</f>
        <v>0</v>
      </c>
      <c r="M159" s="1">
        <f>+M125/Input!$C$31</f>
        <v>0.65423526228811013</v>
      </c>
      <c r="N159" s="1">
        <f>+N125/Input!$C$31</f>
        <v>0.64922773956440383</v>
      </c>
      <c r="O159" s="1">
        <f>+O125/Input!$C$31</f>
        <v>20.080838114471401</v>
      </c>
      <c r="P159" s="1">
        <f>+P125/Input!$C$31</f>
        <v>3.1747701841127993</v>
      </c>
      <c r="Q159" s="1">
        <f>+Q125/Input!$C$31</f>
        <v>1.1562033017188762</v>
      </c>
      <c r="R159" s="1">
        <f>+R125/Input!$C$31</f>
        <v>0.87737079908012994</v>
      </c>
      <c r="S159" s="1">
        <f>+S125/Input!$C$31</f>
        <v>0.76033864762898462</v>
      </c>
      <c r="T159" s="1">
        <f>+T125/Input!$C$31</f>
        <v>3.0586994361000004</v>
      </c>
      <c r="U159" s="1">
        <f>+U125/Input!$C$31</f>
        <v>-12.381012000000002</v>
      </c>
      <c r="V159" s="1">
        <f>+V125/Input!$C$31</f>
        <v>-0.94737620791540567</v>
      </c>
      <c r="W159" s="1">
        <f>+W125/Input!$C$31</f>
        <v>-0.76160680160773897</v>
      </c>
      <c r="X159" s="1">
        <f>+X125/Input!$C$31</f>
        <v>-1.0130154825271522</v>
      </c>
      <c r="Y159" s="1">
        <f>+Y125/Input!$C$31</f>
        <v>-0.98906814583998781</v>
      </c>
      <c r="Z159" s="1">
        <f>+Z125/Input!$C$31</f>
        <v>-1.3193183097412648</v>
      </c>
      <c r="AA159" s="1">
        <f>+AA125/Input!$C$31</f>
        <v>-5.5769424122953737</v>
      </c>
      <c r="AB159" s="1">
        <f>+AB125/Input!$C$31</f>
        <v>-2.9865723903496799</v>
      </c>
    </row>
    <row r="160" spans="1:40" x14ac:dyDescent="0.35">
      <c r="A160" s="148" t="s">
        <v>58</v>
      </c>
      <c r="B160" s="338">
        <f>+SUM(C125:R125)-(SUM(C159:R159)*Input!C31)</f>
        <v>0</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workbookViewId="0">
      <selection activeCell="C50" sqref="C50"/>
    </sheetView>
  </sheetViews>
  <sheetFormatPr defaultRowHeight="14.5" x14ac:dyDescent="0.35"/>
  <cols>
    <col min="1" max="1" width="43.54296875" bestFit="1" customWidth="1"/>
    <col min="2" max="3" width="34.6328125" bestFit="1" customWidth="1"/>
  </cols>
  <sheetData>
    <row r="1" spans="1:3" ht="21" x14ac:dyDescent="0.5">
      <c r="A1" s="76" t="s">
        <v>1033</v>
      </c>
    </row>
    <row r="2" spans="1:3" ht="21" x14ac:dyDescent="0.5">
      <c r="A2" s="354" t="s">
        <v>1036</v>
      </c>
      <c r="B2" s="188">
        <f>Input!$F$63</f>
        <v>20</v>
      </c>
    </row>
    <row r="3" spans="1:3" ht="21" x14ac:dyDescent="0.5">
      <c r="A3" s="354" t="s">
        <v>824</v>
      </c>
      <c r="B3" s="154">
        <f>Input!$D$63</f>
        <v>20</v>
      </c>
    </row>
    <row r="4" spans="1:3" ht="21" x14ac:dyDescent="0.5">
      <c r="A4" s="76"/>
    </row>
    <row r="5" spans="1:3" ht="21" x14ac:dyDescent="0.5">
      <c r="A5" s="355" t="s">
        <v>629</v>
      </c>
    </row>
    <row r="6" spans="1:3" x14ac:dyDescent="0.35">
      <c r="A6" s="392" t="s">
        <v>209</v>
      </c>
      <c r="B6" s="393" t="str">
        <f>" Impacts per ton for "&amp;B3&amp;" km."</f>
        <v xml:space="preserve"> Impacts per ton for 20 km.</v>
      </c>
      <c r="C6" s="371" t="str">
        <f>" Impacts for "&amp;B2&amp;" ton."</f>
        <v xml:space="preserve"> Impacts for 20 ton.</v>
      </c>
    </row>
    <row r="7" spans="1:3" x14ac:dyDescent="0.35">
      <c r="A7" s="392"/>
      <c r="B7" s="394"/>
      <c r="C7" s="371"/>
    </row>
    <row r="8" spans="1:3" x14ac:dyDescent="0.35">
      <c r="A8" s="1" t="s">
        <v>162</v>
      </c>
      <c r="B8" s="154">
        <f>'A4 - Transport'!$B$17</f>
        <v>4.7342506223999993E-3</v>
      </c>
      <c r="C8" s="154">
        <f>$B$2*B8</f>
        <v>9.4685012447999983E-2</v>
      </c>
    </row>
    <row r="9" spans="1:3" x14ac:dyDescent="0.35">
      <c r="A9" s="1" t="s">
        <v>164</v>
      </c>
      <c r="B9" s="154">
        <f>'A4 - Transport'!$B$18</f>
        <v>3.1747701841127993</v>
      </c>
      <c r="C9" s="154">
        <f t="shared" ref="C9:C26" si="0">$B$2*B9</f>
        <v>63.495403682255983</v>
      </c>
    </row>
    <row r="10" spans="1:3" x14ac:dyDescent="0.35">
      <c r="A10" s="1" t="s">
        <v>166</v>
      </c>
      <c r="B10" s="154">
        <f>'A4 - Transport'!$B$19</f>
        <v>1.4837466477599999E-3</v>
      </c>
      <c r="C10" s="154">
        <f t="shared" si="0"/>
        <v>2.9674932955199997E-2</v>
      </c>
    </row>
    <row r="11" spans="1:3" x14ac:dyDescent="0.35">
      <c r="A11" s="1" t="s">
        <v>167</v>
      </c>
      <c r="B11" s="154">
        <f>'A4 - Transport'!$B$20</f>
        <v>3.1730339135663996</v>
      </c>
      <c r="C11" s="154">
        <f t="shared" si="0"/>
        <v>63.460678271327993</v>
      </c>
    </row>
    <row r="12" spans="1:3" x14ac:dyDescent="0.35">
      <c r="A12" s="1" t="s">
        <v>168</v>
      </c>
      <c r="B12" s="154">
        <f>'A4 - Transport'!$B$21</f>
        <v>2.5251989879999996E-4</v>
      </c>
      <c r="C12" s="154">
        <f t="shared" si="0"/>
        <v>5.0503979759999994E-3</v>
      </c>
    </row>
    <row r="13" spans="1:3" x14ac:dyDescent="0.35">
      <c r="A13" s="1" t="s">
        <v>169</v>
      </c>
      <c r="B13" s="154">
        <f>'A4 - Transport'!$B$22</f>
        <v>2.7267699048407996</v>
      </c>
      <c r="C13" s="154">
        <f t="shared" si="0"/>
        <v>54.535398096815996</v>
      </c>
    </row>
    <row r="14" spans="1:3" x14ac:dyDescent="0.35">
      <c r="A14" s="1" t="s">
        <v>171</v>
      </c>
      <c r="B14" s="154">
        <f>'A4 - Transport'!$B$23</f>
        <v>42.729105967391988</v>
      </c>
      <c r="C14" s="154">
        <f t="shared" si="0"/>
        <v>854.58211934783981</v>
      </c>
    </row>
    <row r="15" spans="1:3" x14ac:dyDescent="0.35">
      <c r="A15" s="1" t="s">
        <v>173</v>
      </c>
      <c r="B15" s="154">
        <f>'A4 - Transport'!$B$24</f>
        <v>7.4050837847999975E-5</v>
      </c>
      <c r="C15" s="154">
        <f t="shared" si="0"/>
        <v>1.4810167569599994E-3</v>
      </c>
    </row>
    <row r="16" spans="1:3" x14ac:dyDescent="0.35">
      <c r="A16" s="1" t="s">
        <v>175</v>
      </c>
      <c r="B16" s="154">
        <f>'A4 - Transport'!$B$25</f>
        <v>1.0319027222399997E-3</v>
      </c>
      <c r="C16" s="154">
        <f t="shared" si="0"/>
        <v>2.0638054444799995E-2</v>
      </c>
    </row>
    <row r="17" spans="1:3" x14ac:dyDescent="0.35">
      <c r="A17" s="1" t="s">
        <v>177</v>
      </c>
      <c r="B17" s="154">
        <f>'A4 - Transport'!$B$26</f>
        <v>1.1169413205599998E-2</v>
      </c>
      <c r="C17" s="154">
        <f t="shared" si="0"/>
        <v>0.22338826411199997</v>
      </c>
    </row>
    <row r="18" spans="1:3" x14ac:dyDescent="0.35">
      <c r="A18" s="1" t="s">
        <v>179</v>
      </c>
      <c r="B18" s="154">
        <f>'A4 - Transport'!$B$27</f>
        <v>2.8138274423999994E-10</v>
      </c>
      <c r="C18" s="154">
        <f t="shared" si="0"/>
        <v>5.6276548847999987E-9</v>
      </c>
    </row>
    <row r="19" spans="1:3" x14ac:dyDescent="0.35">
      <c r="A19" s="1" t="s">
        <v>181</v>
      </c>
      <c r="B19" s="154">
        <f>'A4 - Transport'!$B$28</f>
        <v>2.2894684175999996E-8</v>
      </c>
      <c r="C19" s="154">
        <f t="shared" si="0"/>
        <v>4.5789368351999993E-7</v>
      </c>
    </row>
    <row r="20" spans="1:3" x14ac:dyDescent="0.35">
      <c r="A20" s="1" t="s">
        <v>182</v>
      </c>
      <c r="B20" s="154">
        <f>'A4 - Transport'!$B$29</f>
        <v>1.9375344955199998E-2</v>
      </c>
      <c r="C20" s="154">
        <f t="shared" si="0"/>
        <v>0.38750689910399994</v>
      </c>
    </row>
    <row r="21" spans="1:3" x14ac:dyDescent="0.35">
      <c r="A21" s="1" t="s">
        <v>184</v>
      </c>
      <c r="B21" s="154">
        <f>'A4 - Transport'!$B$30</f>
        <v>2.6952224667887998</v>
      </c>
      <c r="C21" s="154">
        <f t="shared" si="0"/>
        <v>53.904449335775993</v>
      </c>
    </row>
    <row r="22" spans="1:3" x14ac:dyDescent="0.35">
      <c r="A22" s="1" t="s">
        <v>186</v>
      </c>
      <c r="B22" s="154">
        <f>'A4 - Transport'!$B$31</f>
        <v>3.5025998903999994E-6</v>
      </c>
      <c r="C22" s="154">
        <f t="shared" si="0"/>
        <v>7.0051997807999986E-5</v>
      </c>
    </row>
    <row r="23" spans="1:3" x14ac:dyDescent="0.35">
      <c r="A23" s="1" t="s">
        <v>188</v>
      </c>
      <c r="B23" s="154">
        <f>'A4 - Transport'!$B$32</f>
        <v>7.0593576143999996E-8</v>
      </c>
      <c r="C23" s="154">
        <f t="shared" si="0"/>
        <v>1.4118715228799999E-6</v>
      </c>
    </row>
    <row r="24" spans="1:3" x14ac:dyDescent="0.35">
      <c r="A24" s="1" t="s">
        <v>190</v>
      </c>
      <c r="B24" s="154">
        <f>'A4 - Transport'!$B$33</f>
        <v>1.9678352834399996E-7</v>
      </c>
      <c r="C24" s="154">
        <f t="shared" si="0"/>
        <v>3.9356705668799991E-6</v>
      </c>
    </row>
    <row r="25" spans="1:3" x14ac:dyDescent="0.35">
      <c r="A25" s="1" t="s">
        <v>192</v>
      </c>
      <c r="B25" s="154">
        <f>'A4 - Transport'!$B$34</f>
        <v>8.2539898271999975E-3</v>
      </c>
      <c r="C25" s="154">
        <f t="shared" si="0"/>
        <v>0.16507979654399996</v>
      </c>
    </row>
    <row r="26" spans="1:3" x14ac:dyDescent="0.35">
      <c r="A26" s="1" t="s">
        <v>194</v>
      </c>
      <c r="B26" s="154">
        <f>'A4 - Transport'!$B$35</f>
        <v>9.7319887048799986E-2</v>
      </c>
      <c r="C26" s="154">
        <f t="shared" si="0"/>
        <v>1.9463977409759998</v>
      </c>
    </row>
    <row r="28" spans="1:3" ht="21" x14ac:dyDescent="0.5">
      <c r="A28" s="76" t="s">
        <v>1035</v>
      </c>
    </row>
    <row r="29" spans="1:3" x14ac:dyDescent="0.35">
      <c r="A29" s="356" t="s">
        <v>1037</v>
      </c>
      <c r="B29" s="353" t="str">
        <f>" Single Score (mPt) per ton for "&amp;B3&amp;" km."</f>
        <v xml:space="preserve"> Single Score (mPt) per ton for 20 km.</v>
      </c>
      <c r="C29" s="353" t="str">
        <f>" Single Score (mPt) for "&amp;B2&amp;" ton."</f>
        <v xml:space="preserve"> Single Score (mPt) for 20 ton.</v>
      </c>
    </row>
    <row r="30" spans="1:3" x14ac:dyDescent="0.35">
      <c r="A30" s="1" t="s">
        <v>162</v>
      </c>
      <c r="B30" s="154">
        <f>Results!$I$28*1000</f>
        <v>5.279200334330934E-3</v>
      </c>
      <c r="C30" s="177">
        <f>$B$2*B30</f>
        <v>0.10558400668661869</v>
      </c>
    </row>
    <row r="31" spans="1:3" x14ac:dyDescent="0.35">
      <c r="A31" s="1" t="s">
        <v>164</v>
      </c>
      <c r="B31" s="154">
        <f>Results!$I$29*1000</f>
        <v>8.2544024786932776E-2</v>
      </c>
      <c r="C31" s="177">
        <f t="shared" ref="C31:C45" si="1">$B$2*B31</f>
        <v>1.6508804957386556</v>
      </c>
    </row>
    <row r="32" spans="1:3" x14ac:dyDescent="0.35">
      <c r="A32" s="1" t="s">
        <v>169</v>
      </c>
      <c r="B32" s="154">
        <f>Results!$I$33*1000</f>
        <v>1.226088575478767E-3</v>
      </c>
      <c r="C32" s="177">
        <f t="shared" si="1"/>
        <v>2.4521771509575341E-2</v>
      </c>
    </row>
    <row r="33" spans="1:3" x14ac:dyDescent="0.35">
      <c r="A33" s="1" t="s">
        <v>171</v>
      </c>
      <c r="B33" s="154">
        <f>Results!$I$34*1000</f>
        <v>4.9631500008278387E-2</v>
      </c>
      <c r="C33" s="177">
        <f t="shared" si="1"/>
        <v>0.99263000016556768</v>
      </c>
    </row>
    <row r="34" spans="1:3" x14ac:dyDescent="0.35">
      <c r="A34" s="1" t="s">
        <v>173</v>
      </c>
      <c r="B34" s="154">
        <f>Results!$I$35*1000</f>
        <v>1.2878406582260862E-3</v>
      </c>
      <c r="C34" s="177">
        <f t="shared" si="1"/>
        <v>2.5756813164521726E-2</v>
      </c>
    </row>
    <row r="35" spans="1:3" x14ac:dyDescent="0.35">
      <c r="A35" s="1" t="s">
        <v>175</v>
      </c>
      <c r="B35" s="154">
        <f>Results!$I$36*1000</f>
        <v>1.5663754142719996E-3</v>
      </c>
      <c r="C35" s="177">
        <f t="shared" si="1"/>
        <v>3.1327508285439995E-2</v>
      </c>
    </row>
    <row r="36" spans="1:3" x14ac:dyDescent="0.35">
      <c r="A36" s="1" t="s">
        <v>177</v>
      </c>
      <c r="B36" s="154">
        <f>Results!$I$37*1000</f>
        <v>2.3411594911172881E-3</v>
      </c>
      <c r="C36" s="177">
        <f t="shared" si="1"/>
        <v>4.6823189822345762E-2</v>
      </c>
    </row>
    <row r="37" spans="1:3" x14ac:dyDescent="0.35">
      <c r="A37" s="1" t="s">
        <v>179</v>
      </c>
      <c r="B37" s="154">
        <f>Results!$I$38*1000</f>
        <v>3.5464215694153839E-4</v>
      </c>
      <c r="C37" s="177">
        <f t="shared" si="1"/>
        <v>7.0928431388307678E-3</v>
      </c>
    </row>
    <row r="38" spans="1:3" x14ac:dyDescent="0.35">
      <c r="A38" s="1" t="s">
        <v>181</v>
      </c>
      <c r="B38" s="154">
        <f>Results!$I$39*1000</f>
        <v>1.8315747340799998E-3</v>
      </c>
      <c r="C38" s="177">
        <f t="shared" si="1"/>
        <v>3.6631494681599999E-2</v>
      </c>
    </row>
    <row r="39" spans="1:3" x14ac:dyDescent="0.35">
      <c r="A39" s="1" t="s">
        <v>182</v>
      </c>
      <c r="B39" s="154">
        <f>Results!$I$40*1000</f>
        <v>2.3002482991836963E-4</v>
      </c>
      <c r="C39" s="177">
        <f t="shared" si="1"/>
        <v>4.6004965983673929E-3</v>
      </c>
    </row>
    <row r="40" spans="1:3" x14ac:dyDescent="0.35">
      <c r="A40" s="1" t="s">
        <v>184</v>
      </c>
      <c r="B40" s="154">
        <f>Results!$I$41*1000</f>
        <v>2.6129507187183236E-4</v>
      </c>
      <c r="C40" s="177">
        <f t="shared" si="1"/>
        <v>5.2259014374366475E-3</v>
      </c>
    </row>
    <row r="41" spans="1:3" x14ac:dyDescent="0.35">
      <c r="A41" s="1" t="s">
        <v>186</v>
      </c>
      <c r="B41" s="154">
        <f>Results!$I$42*1000</f>
        <v>4.4833278597119993E-9</v>
      </c>
      <c r="C41" s="177">
        <f t="shared" si="1"/>
        <v>8.9666557194239993E-8</v>
      </c>
    </row>
    <row r="42" spans="1:3" x14ac:dyDescent="0.35">
      <c r="A42" s="1" t="s">
        <v>188</v>
      </c>
      <c r="B42" s="154">
        <f>Results!$I$43*1000</f>
        <v>8.3105497288925341E-5</v>
      </c>
      <c r="C42" s="177">
        <f t="shared" si="1"/>
        <v>1.6621099457785069E-3</v>
      </c>
    </row>
    <row r="43" spans="1:3" x14ac:dyDescent="0.35">
      <c r="A43" s="1" t="s">
        <v>190</v>
      </c>
      <c r="B43" s="154">
        <f>Results!$I$44*1000</f>
        <v>2.9633284268272938E-2</v>
      </c>
      <c r="C43" s="177">
        <f t="shared" si="1"/>
        <v>0.59266568536545872</v>
      </c>
    </row>
    <row r="44" spans="1:3" x14ac:dyDescent="0.35">
      <c r="A44" s="1" t="s">
        <v>192</v>
      </c>
      <c r="B44" s="154">
        <f>Results!$I$45*1000</f>
        <v>9.7177515699546774E-3</v>
      </c>
      <c r="C44" s="177">
        <f t="shared" si="1"/>
        <v>0.19435503139909355</v>
      </c>
    </row>
    <row r="45" spans="1:3" x14ac:dyDescent="0.35">
      <c r="A45" s="1" t="s">
        <v>194</v>
      </c>
      <c r="B45" s="154">
        <f>Results!$I$46*1000</f>
        <v>7.2016716416111988E-4</v>
      </c>
      <c r="C45" s="177">
        <f t="shared" si="1"/>
        <v>1.4403343283222398E-2</v>
      </c>
    </row>
    <row r="46" spans="1:3" x14ac:dyDescent="0.35">
      <c r="A46" s="1" t="s">
        <v>1038</v>
      </c>
      <c r="B46" s="154">
        <f>SUM(B30:B45)</f>
        <v>0.18670803904445349</v>
      </c>
      <c r="C46" s="177">
        <f>SUM(C30:C45)</f>
        <v>3.73416078088907</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275</v>
      </c>
    </row>
    <row r="3" spans="1:23" s="15" customFormat="1" ht="101" customHeight="1" x14ac:dyDescent="0.35">
      <c r="A3" s="104" t="s">
        <v>276</v>
      </c>
      <c r="B3" s="104" t="s">
        <v>277</v>
      </c>
      <c r="C3" s="103" t="s">
        <v>278</v>
      </c>
      <c r="D3" s="103" t="s">
        <v>57</v>
      </c>
      <c r="E3" s="103" t="s">
        <v>279</v>
      </c>
      <c r="F3" s="103" t="s">
        <v>280</v>
      </c>
      <c r="G3" s="103" t="s">
        <v>281</v>
      </c>
      <c r="H3" s="103" t="s">
        <v>282</v>
      </c>
      <c r="I3" s="103" t="s">
        <v>283</v>
      </c>
      <c r="J3" s="103" t="s">
        <v>284</v>
      </c>
      <c r="K3" s="103" t="s">
        <v>285</v>
      </c>
      <c r="L3" s="103" t="s">
        <v>286</v>
      </c>
      <c r="M3" s="103" t="s">
        <v>287</v>
      </c>
      <c r="N3" s="103" t="s">
        <v>288</v>
      </c>
      <c r="O3" s="103" t="s">
        <v>289</v>
      </c>
      <c r="P3" s="103" t="s">
        <v>290</v>
      </c>
      <c r="Q3" s="103" t="s">
        <v>291</v>
      </c>
      <c r="R3" s="103" t="s">
        <v>292</v>
      </c>
      <c r="S3" s="103" t="s">
        <v>293</v>
      </c>
      <c r="T3" s="103" t="s">
        <v>294</v>
      </c>
      <c r="U3" s="103" t="s">
        <v>295</v>
      </c>
      <c r="V3" s="103" t="s">
        <v>296</v>
      </c>
      <c r="W3" s="103" t="s">
        <v>297</v>
      </c>
    </row>
    <row r="4" spans="1:23" x14ac:dyDescent="0.35">
      <c r="A4" s="6" t="s">
        <v>266</v>
      </c>
      <c r="B4" s="158" t="str">
        <f>Input!A39</f>
        <v>Virgin binder</v>
      </c>
      <c r="C4" s="154">
        <f>+Input!B39*(1-Input!E39)</f>
        <v>2.2159999999999999E-2</v>
      </c>
      <c r="D4" s="158" t="str">
        <f>Input!$C$39</f>
        <v>Conventional_Bitumen</v>
      </c>
      <c r="E4" s="158" cm="1">
        <f t="array" ref="E4">INDEX(LCI!H$2:H$137,MATCH('A1 - Raw Material Supply'!$B4&amp;'A1 - Raw Material Supply'!$D4,LCI!$B2:$B137&amp;LCI!$D2:$D137,0))*$C4</f>
        <v>3.8115199999999995E-2</v>
      </c>
      <c r="F4" s="158" cm="1">
        <f t="array" ref="F4">INDEX(LCI!I$2:I$137,MATCH('A1 - Raw Material Supply'!$B4&amp;'A1 - Raw Material Supply'!$D4,LCI!$B2:$B137&amp;LCI!$D2:$D137,0))*$C4</f>
        <v>11.7448</v>
      </c>
      <c r="G4" s="158" cm="1">
        <f t="array" ref="G4">INDEX(LCI!J$2:J$137,MATCH('A1 - Raw Material Supply'!$B4&amp;'A1 - Raw Material Supply'!$D4,LCI!$B2:$B137&amp;LCI!$D2:$D137,0))*$C4</f>
        <v>4.6536000000000001E-2</v>
      </c>
      <c r="H4" s="158" cm="1">
        <f t="array" ref="H4">INDEX(LCI!K$2:K$137,MATCH('A1 - Raw Material Supply'!$B4&amp;'A1 - Raw Material Supply'!$D4,LCI!$B2:$B137&amp;LCI!$D2:$D137,0))*$C4</f>
        <v>11.700479999999999</v>
      </c>
      <c r="I4" s="158" cm="1">
        <f t="array" ref="I4">INDEX(LCI!L$2:L$137,MATCH('A1 - Raw Material Supply'!$B4&amp;'A1 - Raw Material Supply'!$D4,LCI!$B2:$B137&amp;LCI!$D2:$D137,0))*$C4</f>
        <v>5.8723999999999998E-3</v>
      </c>
      <c r="J4" s="158" cm="1">
        <f t="array" ref="J4">INDEX(LCI!M$2:M$137,MATCH('A1 - Raw Material Supply'!$B4&amp;'A1 - Raw Material Supply'!$D4,LCI!$B2:$B137&amp;LCI!$D2:$D137,0))*$C4</f>
        <v>631.55999999999995</v>
      </c>
      <c r="K4" s="158" cm="1">
        <f t="array" ref="K4">INDEX(LCI!N$2:N$137,MATCH('A1 - Raw Material Supply'!$B4&amp;'A1 - Raw Material Supply'!$D4,LCI!$B2:$B137&amp;LCI!$D2:$D137,0))*$C4</f>
        <v>1014.928</v>
      </c>
      <c r="L4" s="158" cm="1">
        <f t="array" ref="L4">INDEX(LCI!O$2:O$137,MATCH('A1 - Raw Material Supply'!$B4&amp;'A1 - Raw Material Supply'!$D4,LCI!$B2:$B137&amp;LCI!$D2:$D137,0))*$C4</f>
        <v>9.8611999999999997E-6</v>
      </c>
      <c r="M4" s="158" cm="1">
        <f t="array" ref="M4">INDEX(LCI!P$2:P$137,MATCH('A1 - Raw Material Supply'!$B4&amp;'A1 - Raw Material Supply'!$D4,LCI!$B2:$B137&amp;LCI!$D2:$D137,0))*$C4</f>
        <v>9.8390400000000003E-3</v>
      </c>
      <c r="N4" s="158" cm="1">
        <f t="array" ref="N4">INDEX(LCI!Q$2:Q$137,MATCH('A1 - Raw Material Supply'!$B4&amp;'A1 - Raw Material Supply'!$D4,LCI!$B2:$B137&amp;LCI!$D2:$D137,0))*$C4</f>
        <v>0.1076976</v>
      </c>
      <c r="O4" s="158" cm="1">
        <f t="array" ref="O4">INDEX(LCI!R$2:R$137,MATCH('A1 - Raw Material Supply'!$B4&amp;'A1 - Raw Material Supply'!$D4,LCI!$B2:$B137&amp;LCI!$D2:$D137,0))*$C4</f>
        <v>1.099136E-8</v>
      </c>
      <c r="P4" s="158" cm="1">
        <f t="array" ref="P4">INDEX(LCI!S$2:S$137,MATCH('A1 - Raw Material Supply'!$B4&amp;'A1 - Raw Material Supply'!$D4,LCI!$B2:$B137&amp;LCI!$D2:$D137,0))*$C4</f>
        <v>3.1688799999999997E-7</v>
      </c>
      <c r="Q4" s="158" cm="1">
        <f t="array" ref="Q4">INDEX(LCI!T$2:T$137,MATCH('A1 - Raw Material Supply'!$B4&amp;'A1 - Raw Material Supply'!$D4,LCI!$B2:$B137&amp;LCI!$D2:$D137,0))*$C4</f>
        <v>0.16730799999999998</v>
      </c>
      <c r="R4" s="158" cm="1">
        <f t="array" ref="R4">INDEX(LCI!U$2:U$137,MATCH('A1 - Raw Material Supply'!$B4&amp;'A1 - Raw Material Supply'!$D4,LCI!$B2:$B137&amp;LCI!$D2:$D137,0))*$C4</f>
        <v>5.8280799999999999</v>
      </c>
      <c r="S4" s="158" cm="1">
        <f t="array" ref="S4">INDEX(LCI!V$2:V$137,MATCH('A1 - Raw Material Supply'!$B4&amp;'A1 - Raw Material Supply'!$D4,LCI!$B2:$B137&amp;LCI!$D2:$D137,0))*$C4</f>
        <v>2.2603199999999999E-6</v>
      </c>
      <c r="T4" s="158" cm="1">
        <f t="array" ref="T4">INDEX(LCI!W$2:W$137,MATCH('A1 - Raw Material Supply'!$B4&amp;'A1 - Raw Material Supply'!$D4,LCI!$B2:$B137&amp;LCI!$D2:$D137,0))*$C4</f>
        <v>7.3571199999999993E-12</v>
      </c>
      <c r="U4" s="158" cm="1">
        <f t="array" ref="U4">INDEX(LCI!X$2:X$137,MATCH('A1 - Raw Material Supply'!$B4&amp;'A1 - Raw Material Supply'!$D4,LCI!$B2:$B137&amp;LCI!$D2:$D137,0))*$C4</f>
        <v>5.9388800000000003E-7</v>
      </c>
      <c r="V4" s="158" cm="1">
        <f t="array" ref="V4">INDEX(LCI!Y$2:Y$137,MATCH('A1 - Raw Material Supply'!$B4&amp;'A1 - Raw Material Supply'!$D4,LCI!$B2:$B137&amp;LCI!$D2:$D137,0))*$C4</f>
        <v>4.4984799999999991E-2</v>
      </c>
      <c r="W4" s="158" cm="1">
        <f t="array" ref="W4">INDEX(LCI!Z$2:Z$137,MATCH('A1 - Raw Material Supply'!$B4&amp;'A1 - Raw Material Supply'!$D4,LCI!$B2:$B137&amp;LCI!$D2:$D137,0))*$C4</f>
        <v>0.15977359999999999</v>
      </c>
    </row>
    <row r="5" spans="1:23" x14ac:dyDescent="0.35">
      <c r="A5" s="395" t="s">
        <v>211</v>
      </c>
      <c r="B5" s="158" t="str">
        <f>Input!A40</f>
        <v>Virgin crushed coarse aggregate 1 (&gt;2 mm)</v>
      </c>
      <c r="C5" s="154">
        <f>+Input!B40*(1-Input!E40)</f>
        <v>6.0999999999999999E-2</v>
      </c>
      <c r="D5" s="158"/>
      <c r="E5" s="158">
        <f>INDEX(LCI!H$2:H$130,MATCH('A1 - Raw Material Supply'!$B5,LCI!$D$2:$D$130,0))*$C5</f>
        <v>3.3206591533990028E-3</v>
      </c>
      <c r="F5" s="158">
        <f>INDEX(LCI!I$2:I$130,MATCH('A1 - Raw Material Supply'!$B5,LCI!$D$2:$D$130,0))*$C5</f>
        <v>0.1725637053160215</v>
      </c>
      <c r="G5" s="158">
        <f>INDEX(LCI!J$2:J$130,MATCH('A1 - Raw Material Supply'!$B5,LCI!$D$2:$D$130,0))*$C5</f>
        <v>5.3190259255154657E-4</v>
      </c>
      <c r="H5" s="158">
        <f>INDEX(LCI!K$2:K$130,MATCH('A1 - Raw Material Supply'!$B5,LCI!$D$2:$D$130,0))*$C5</f>
        <v>0.17197507610837182</v>
      </c>
      <c r="I5" s="158">
        <f>INDEX(LCI!L$2:L$130,MATCH('A1 - Raw Material Supply'!$B5,LCI!$D$2:$D$130,0))*$C5</f>
        <v>5.6726615098107457E-5</v>
      </c>
      <c r="J5" s="158">
        <f>INDEX(LCI!M$2:M$130,MATCH('A1 - Raw Material Supply'!$B5,LCI!$D$2:$D$130,0))*$C5</f>
        <v>1.7051286340328997</v>
      </c>
      <c r="K5" s="158">
        <f>INDEX(LCI!N$2:N$130,MATCH('A1 - Raw Material Supply'!$B5,LCI!$D$2:$D$130,0))*$C5</f>
        <v>2.4451836674520284</v>
      </c>
      <c r="L5" s="158">
        <f>INDEX(LCI!O$2:O$130,MATCH('A1 - Raw Material Supply'!$B5,LCI!$D$2:$D$130,0))*$C5</f>
        <v>1.2750752508948473E-5</v>
      </c>
      <c r="M5" s="158">
        <f>INDEX(LCI!P$2:P$130,MATCH('A1 - Raw Material Supply'!$B5,LCI!$D$2:$D$130,0))*$C5</f>
        <v>1.1928010996352723E-3</v>
      </c>
      <c r="N5" s="158">
        <f>INDEX(LCI!Q$2:Q$130,MATCH('A1 - Raw Material Supply'!$B5,LCI!$D$2:$D$130,0))*$C5</f>
        <v>1.6636956030935176E-2</v>
      </c>
      <c r="O5" s="158">
        <f>INDEX(LCI!R$2:R$130,MATCH('A1 - Raw Material Supply'!$B5,LCI!$D$2:$D$130,0))*$C5</f>
        <v>3.1098734480592764E-11</v>
      </c>
      <c r="P5" s="158">
        <f>INDEX(LCI!S$2:S$130,MATCH('A1 - Raw Material Supply'!$B5,LCI!$D$2:$D$130,0))*$C5</f>
        <v>8.2554245453956894E-10</v>
      </c>
      <c r="Q5" s="158">
        <f>INDEX(LCI!T$2:T$130,MATCH('A1 - Raw Material Supply'!$B5,LCI!$D$2:$D$130,0))*$C5</f>
        <v>6.5235409876746985E-3</v>
      </c>
      <c r="R5" s="158">
        <f>INDEX(LCI!U$2:U$130,MATCH('A1 - Raw Material Supply'!$B5,LCI!$D$2:$D$130,0))*$C5</f>
        <v>2.0111230924374026</v>
      </c>
      <c r="S5" s="158">
        <f>INDEX(LCI!V$2:V$130,MATCH('A1 - Raw Material Supply'!$B5,LCI!$D$2:$D$130,0))*$C5</f>
        <v>5.0015886110421941E-7</v>
      </c>
      <c r="T5" s="158">
        <f>INDEX(LCI!W$2:W$130,MATCH('A1 - Raw Material Supply'!$B5,LCI!$D$2:$D$130,0))*$C5</f>
        <v>2.8444523444378932E-9</v>
      </c>
      <c r="U5" s="158">
        <f>INDEX(LCI!X$2:X$130,MATCH('A1 - Raw Material Supply'!$B5,LCI!$D$2:$D$130,0))*$C5</f>
        <v>5.3780018504830818E-8</v>
      </c>
      <c r="V5" s="158">
        <f>INDEX(LCI!Y$2:Y$130,MATCH('A1 - Raw Material Supply'!$B5,LCI!$D$2:$D$130,0))*$C5</f>
        <v>3.7573534574921121E-3</v>
      </c>
      <c r="W5" s="158">
        <f>INDEX(LCI!Z$2:Z$130,MATCH('A1 - Raw Material Supply'!$B5,LCI!$D$2:$D$130,0))*$C5</f>
        <v>0.24556325502132795</v>
      </c>
    </row>
    <row r="6" spans="1:23" x14ac:dyDescent="0.35">
      <c r="A6" s="396"/>
      <c r="B6" s="158" t="str">
        <f>Input!A41</f>
        <v>Virgin crushed coarse aggregate 2 (&gt;2 mm)</v>
      </c>
      <c r="C6" s="154">
        <f>+Input!B41*(1-Input!E41)</f>
        <v>0.10199999999999999</v>
      </c>
      <c r="D6" s="158"/>
      <c r="E6" s="158">
        <f>INDEX(LCI!H$2:H$130,MATCH('A1 - Raw Material Supply'!$B6,LCI!$D$2:$D$130,0))*$C6</f>
        <v>5.5525776007655453E-3</v>
      </c>
      <c r="F6" s="158">
        <f>INDEX(LCI!I$2:I$130,MATCH('A1 - Raw Material Supply'!$B6,LCI!$D$2:$D$130,0))*$C6</f>
        <v>0.28854914659400316</v>
      </c>
      <c r="G6" s="158">
        <f>INDEX(LCI!J$2:J$130,MATCH('A1 - Raw Material Supply'!$B6,LCI!$D$2:$D$130,0))*$C6</f>
        <v>8.8941089246324186E-4</v>
      </c>
      <c r="H6" s="158">
        <f>INDEX(LCI!K$2:K$130,MATCH('A1 - Raw Material Supply'!$B6,LCI!$D$2:$D$130,0))*$C6</f>
        <v>0.28756488136153979</v>
      </c>
      <c r="I6" s="158">
        <f>INDEX(LCI!L$2:L$130,MATCH('A1 - Raw Material Supply'!$B6,LCI!$D$2:$D$130,0))*$C6</f>
        <v>9.4854340000114106E-5</v>
      </c>
      <c r="J6" s="158">
        <f>INDEX(LCI!M$2:M$130,MATCH('A1 - Raw Material Supply'!$B6,LCI!$D$2:$D$130,0))*$C6</f>
        <v>2.8511986995304226</v>
      </c>
      <c r="K6" s="158">
        <f>INDEX(LCI!N$2:N$130,MATCH('A1 - Raw Material Supply'!$B6,LCI!$D$2:$D$130,0))*$C6</f>
        <v>4.0886677718050306</v>
      </c>
      <c r="L6" s="158">
        <f>INDEX(LCI!O$2:O$130,MATCH('A1 - Raw Material Supply'!$B6,LCI!$D$2:$D$130,0))*$C6</f>
        <v>2.1320930424799085E-5</v>
      </c>
      <c r="M6" s="158">
        <f>INDEX(LCI!P$2:P$130,MATCH('A1 - Raw Material Supply'!$B6,LCI!$D$2:$D$130,0))*$C6</f>
        <v>1.994519871521275E-3</v>
      </c>
      <c r="N6" s="158">
        <f>INDEX(LCI!Q$2:Q$130,MATCH('A1 - Raw Material Supply'!$B6,LCI!$D$2:$D$130,0))*$C6</f>
        <v>2.7819172379596521E-2</v>
      </c>
      <c r="O6" s="158">
        <f>INDEX(LCI!R$2:R$130,MATCH('A1 - Raw Material Supply'!$B6,LCI!$D$2:$D$130,0))*$C6</f>
        <v>5.2001162574105932E-11</v>
      </c>
      <c r="P6" s="158">
        <f>INDEX(LCI!S$2:S$130,MATCH('A1 - Raw Material Supply'!$B6,LCI!$D$2:$D$130,0))*$C6</f>
        <v>1.3804152518530496E-9</v>
      </c>
      <c r="Q6" s="158">
        <f>INDEX(LCI!T$2:T$130,MATCH('A1 - Raw Material Supply'!$B6,LCI!$D$2:$D$130,0))*$C6</f>
        <v>1.0908216077751135E-2</v>
      </c>
      <c r="R6" s="158">
        <f>INDEX(LCI!U$2:U$130,MATCH('A1 - Raw Material Supply'!$B6,LCI!$D$2:$D$130,0))*$C6</f>
        <v>3.3628615644035253</v>
      </c>
      <c r="S6" s="158">
        <f>INDEX(LCI!V$2:V$130,MATCH('A1 - Raw Material Supply'!$B6,LCI!$D$2:$D$130,0))*$C6</f>
        <v>8.363312103709897E-7</v>
      </c>
      <c r="T6" s="158">
        <f>INDEX(LCI!W$2:W$130,MATCH('A1 - Raw Material Supply'!$B6,LCI!$D$2:$D$130,0))*$C6</f>
        <v>4.7562973628305749E-9</v>
      </c>
      <c r="U6" s="158">
        <f>INDEX(LCI!X$2:X$130,MATCH('A1 - Raw Material Supply'!$B6,LCI!$D$2:$D$130,0))*$C6</f>
        <v>8.9927244057258084E-8</v>
      </c>
      <c r="V6" s="158">
        <f>INDEX(LCI!Y$2:Y$130,MATCH('A1 - Raw Material Supply'!$B6,LCI!$D$2:$D$130,0))*$C6</f>
        <v>6.2827877485933676E-3</v>
      </c>
      <c r="W6" s="158">
        <f>INDEX(LCI!Z$2:Z$130,MATCH('A1 - Raw Material Supply'!$B6,LCI!$D$2:$D$130,0))*$C6</f>
        <v>0.41061396741271228</v>
      </c>
    </row>
    <row r="7" spans="1:23" x14ac:dyDescent="0.35">
      <c r="A7" s="396"/>
      <c r="B7" s="158" t="str">
        <f>Input!A42</f>
        <v>Virgin crushed coarse aggregate 3 (&gt;2 mm)</v>
      </c>
      <c r="C7" s="154">
        <f>+Input!B42*(1-Input!E42)</f>
        <v>0.35299999999999998</v>
      </c>
      <c r="D7" s="158"/>
      <c r="E7" s="158">
        <f>INDEX(LCI!H$2:H$130,MATCH('A1 - Raw Material Supply'!$B7,LCI!$D$2:$D$130,0))*$C7</f>
        <v>1.9216273461472918E-2</v>
      </c>
      <c r="F7" s="158">
        <f>INDEX(LCI!I$2:I$130,MATCH('A1 - Raw Material Supply'!$B7,LCI!$D$2:$D$130,0))*$C7</f>
        <v>0.99860636027140315</v>
      </c>
      <c r="G7" s="158">
        <f>INDEX(LCI!J$2:J$130,MATCH('A1 - Raw Material Supply'!$B7,LCI!$D$2:$D$130,0))*$C7</f>
        <v>3.0780592650933762E-3</v>
      </c>
      <c r="H7" s="158">
        <f>INDEX(LCI!K$2:K$130,MATCH('A1 - Raw Material Supply'!$B7,LCI!$D$2:$D$130,0))*$C7</f>
        <v>0.99520003059434847</v>
      </c>
      <c r="I7" s="158">
        <f>INDEX(LCI!L$2:L$130,MATCH('A1 - Raw Material Supply'!$B7,LCI!$D$2:$D$130,0))*$C7</f>
        <v>3.2827041196117923E-4</v>
      </c>
      <c r="J7" s="158">
        <f>INDEX(LCI!M$2:M$130,MATCH('A1 - Raw Material Supply'!$B7,LCI!$D$2:$D$130,0))*$C7</f>
        <v>9.8673837346494029</v>
      </c>
      <c r="K7" s="158">
        <f>INDEX(LCI!N$2:N$130,MATCH('A1 - Raw Material Supply'!$B7,LCI!$D$2:$D$130,0))*$C7</f>
        <v>14.149997288697804</v>
      </c>
      <c r="L7" s="158">
        <f>INDEX(LCI!O$2:O$130,MATCH('A1 - Raw Material Supply'!$B7,LCI!$D$2:$D$130,0))*$C7</f>
        <v>7.3787141568177228E-5</v>
      </c>
      <c r="M7" s="158">
        <f>INDEX(LCI!P$2:P$130,MATCH('A1 - Raw Material Supply'!$B7,LCI!$D$2:$D$130,0))*$C7</f>
        <v>6.9026030847746086E-3</v>
      </c>
      <c r="N7" s="158">
        <f>INDEX(LCI!Q$2:Q$130,MATCH('A1 - Raw Material Supply'!$B7,LCI!$D$2:$D$130,0))*$C7</f>
        <v>9.6276155392133064E-2</v>
      </c>
      <c r="O7" s="158">
        <f>INDEX(LCI!R$2:R$130,MATCH('A1 - Raw Material Supply'!$B7,LCI!$D$2:$D$130,0))*$C7</f>
        <v>1.7996480773195484E-10</v>
      </c>
      <c r="P7" s="158">
        <f>INDEX(LCI!S$2:S$130,MATCH('A1 - Raw Material Supply'!$B7,LCI!$D$2:$D$130,0))*$C7</f>
        <v>4.7773194500404562E-9</v>
      </c>
      <c r="Q7" s="158">
        <f>INDEX(LCI!T$2:T$130,MATCH('A1 - Raw Material Supply'!$B7,LCI!$D$2:$D$130,0))*$C7</f>
        <v>3.7750983092609318E-2</v>
      </c>
      <c r="R7" s="158">
        <f>INDEX(LCI!U$2:U$130,MATCH('A1 - Raw Material Supply'!$B7,LCI!$D$2:$D$130,0))*$C7</f>
        <v>11.638138551318084</v>
      </c>
      <c r="S7" s="158">
        <f>INDEX(LCI!V$2:V$130,MATCH('A1 - Raw Material Supply'!$B7,LCI!$D$2:$D$130,0))*$C7</f>
        <v>2.8943619339309744E-6</v>
      </c>
      <c r="T7" s="158">
        <f>INDEX(LCI!W$2:W$130,MATCH('A1 - Raw Material Supply'!$B7,LCI!$D$2:$D$130,0))*$C7</f>
        <v>1.6460519304697971E-8</v>
      </c>
      <c r="U7" s="158">
        <f>INDEX(LCI!X$2:X$130,MATCH('A1 - Raw Material Supply'!$B7,LCI!$D$2:$D$130,0))*$C7</f>
        <v>3.1121879560992262E-7</v>
      </c>
      <c r="V7" s="158">
        <f>INDEX(LCI!Y$2:Y$130,MATCH('A1 - Raw Material Supply'!$B7,LCI!$D$2:$D$130,0))*$C7</f>
        <v>2.1743373286798616E-2</v>
      </c>
      <c r="W7" s="158">
        <f>INDEX(LCI!Z$2:Z$130,MATCH('A1 - Raw Material Supply'!$B7,LCI!$D$2:$D$130,0))*$C7</f>
        <v>1.4210463774185043</v>
      </c>
    </row>
    <row r="8" spans="1:23" x14ac:dyDescent="0.35">
      <c r="A8" s="396"/>
      <c r="B8" s="158" t="str">
        <f>Input!A43</f>
        <v>Virgin crushed fine aggregate 1 (≤2 mm)</v>
      </c>
      <c r="C8" s="154">
        <f>+Input!B43*(1-Input!E43)</f>
        <v>0</v>
      </c>
      <c r="D8" s="158"/>
      <c r="E8" s="158">
        <f>INDEX(LCI!H$2:H$130,MATCH('A1 - Raw Material Supply'!$B8,LCI!$D$2:$D$130,0))*$C8</f>
        <v>0</v>
      </c>
      <c r="F8" s="158">
        <f>INDEX(LCI!I$2:I$130,MATCH('A1 - Raw Material Supply'!$B8,LCI!$D$2:$D$130,0))*$C8</f>
        <v>0</v>
      </c>
      <c r="G8" s="158">
        <f>INDEX(LCI!J$2:J$130,MATCH('A1 - Raw Material Supply'!$B8,LCI!$D$2:$D$130,0))*$C8</f>
        <v>0</v>
      </c>
      <c r="H8" s="158">
        <f>INDEX(LCI!K$2:K$130,MATCH('A1 - Raw Material Supply'!$B8,LCI!$D$2:$D$130,0))*$C8</f>
        <v>0</v>
      </c>
      <c r="I8" s="158">
        <f>INDEX(LCI!L$2:L$130,MATCH('A1 - Raw Material Supply'!$B8,LCI!$D$2:$D$130,0))*$C8</f>
        <v>0</v>
      </c>
      <c r="J8" s="158">
        <f>INDEX(LCI!M$2:M$130,MATCH('A1 - Raw Material Supply'!$B8,LCI!$D$2:$D$130,0))*$C8</f>
        <v>0</v>
      </c>
      <c r="K8" s="158">
        <f>INDEX(LCI!N$2:N$130,MATCH('A1 - Raw Material Supply'!$B8,LCI!$D$2:$D$130,0))*$C8</f>
        <v>0</v>
      </c>
      <c r="L8" s="158">
        <f>INDEX(LCI!O$2:O$130,MATCH('A1 - Raw Material Supply'!$B8,LCI!$D$2:$D$130,0))*$C8</f>
        <v>0</v>
      </c>
      <c r="M8" s="158">
        <f>INDEX(LCI!P$2:P$130,MATCH('A1 - Raw Material Supply'!$B8,LCI!$D$2:$D$130,0))*$C8</f>
        <v>0</v>
      </c>
      <c r="N8" s="158">
        <f>INDEX(LCI!Q$2:Q$130,MATCH('A1 - Raw Material Supply'!$B8,LCI!$D$2:$D$130,0))*$C8</f>
        <v>0</v>
      </c>
      <c r="O8" s="158">
        <f>INDEX(LCI!R$2:R$130,MATCH('A1 - Raw Material Supply'!$B8,LCI!$D$2:$D$130,0))*$C8</f>
        <v>0</v>
      </c>
      <c r="P8" s="158">
        <f>INDEX(LCI!S$2:S$130,MATCH('A1 - Raw Material Supply'!$B8,LCI!$D$2:$D$130,0))*$C8</f>
        <v>0</v>
      </c>
      <c r="Q8" s="158">
        <f>INDEX(LCI!T$2:T$130,MATCH('A1 - Raw Material Supply'!$B8,LCI!$D$2:$D$130,0))*$C8</f>
        <v>0</v>
      </c>
      <c r="R8" s="158">
        <f>INDEX(LCI!U$2:U$130,MATCH('A1 - Raw Material Supply'!$B8,LCI!$D$2:$D$130,0))*$C8</f>
        <v>0</v>
      </c>
      <c r="S8" s="158">
        <f>INDEX(LCI!V$2:V$130,MATCH('A1 - Raw Material Supply'!$B8,LCI!$D$2:$D$130,0))*$C8</f>
        <v>0</v>
      </c>
      <c r="T8" s="158">
        <f>INDEX(LCI!W$2:W$130,MATCH('A1 - Raw Material Supply'!$B8,LCI!$D$2:$D$130,0))*$C8</f>
        <v>0</v>
      </c>
      <c r="U8" s="158">
        <f>INDEX(LCI!X$2:X$130,MATCH('A1 - Raw Material Supply'!$B8,LCI!$D$2:$D$130,0))*$C8</f>
        <v>0</v>
      </c>
      <c r="V8" s="158">
        <f>INDEX(LCI!Y$2:Y$130,MATCH('A1 - Raw Material Supply'!$B8,LCI!$D$2:$D$130,0))*$C8</f>
        <v>0</v>
      </c>
      <c r="W8" s="158">
        <f>INDEX(LCI!Z$2:Z$130,MATCH('A1 - Raw Material Supply'!$B8,LCI!$D$2:$D$130,0))*$C8</f>
        <v>0</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0.153</v>
      </c>
      <c r="D11" s="158"/>
      <c r="E11" s="158">
        <f>INDEX(LCI!H$2:H$130,MATCH('A1 - Raw Material Supply'!$B11,LCI!$D$2:$D$130,0))*$C11</f>
        <v>7.0343064141551023E-3</v>
      </c>
      <c r="F11" s="158">
        <f>INDEX(LCI!I$2:I$130,MATCH('A1 - Raw Material Supply'!$B11,LCI!$D$2:$D$130,0))*$C11</f>
        <v>0.79787171992965111</v>
      </c>
      <c r="G11" s="158">
        <f>INDEX(LCI!J$2:J$130,MATCH('A1 - Raw Material Supply'!$B11,LCI!$D$2:$D$130,0))*$C11</f>
        <v>-1.9195362653428194E-4</v>
      </c>
      <c r="H11" s="158">
        <f>INDEX(LCI!K$2:K$130,MATCH('A1 - Raw Material Supply'!$B11,LCI!$D$2:$D$130,0))*$C11</f>
        <v>0.79795387547915309</v>
      </c>
      <c r="I11" s="158">
        <f>INDEX(LCI!L$2:L$130,MATCH('A1 - Raw Material Supply'!$B11,LCI!$D$2:$D$130,0))*$C11</f>
        <v>1.0979807703255282E-4</v>
      </c>
      <c r="J11" s="158">
        <f>INDEX(LCI!M$2:M$130,MATCH('A1 - Raw Material Supply'!$B11,LCI!$D$2:$D$130,0))*$C11</f>
        <v>0.68141437889121736</v>
      </c>
      <c r="K11" s="158">
        <f>INDEX(LCI!N$2:N$130,MATCH('A1 - Raw Material Supply'!$B11,LCI!$D$2:$D$130,0))*$C11</f>
        <v>10.370944919540303</v>
      </c>
      <c r="L11" s="158">
        <f>INDEX(LCI!O$2:O$130,MATCH('A1 - Raw Material Supply'!$B11,LCI!$D$2:$D$130,0))*$C11</f>
        <v>3.5986534448919457E-5</v>
      </c>
      <c r="M11" s="158">
        <f>INDEX(LCI!P$2:P$130,MATCH('A1 - Raw Material Supply'!$B11,LCI!$D$2:$D$130,0))*$C11</f>
        <v>3.2281769672834067E-3</v>
      </c>
      <c r="N11" s="158">
        <f>INDEX(LCI!Q$2:Q$130,MATCH('A1 - Raw Material Supply'!$B11,LCI!$D$2:$D$130,0))*$C11</f>
        <v>3.5455015593932562E-2</v>
      </c>
      <c r="O11" s="158">
        <f>INDEX(LCI!R$2:R$130,MATCH('A1 - Raw Material Supply'!$B11,LCI!$D$2:$D$130,0))*$C11</f>
        <v>9.3860734157275078E-11</v>
      </c>
      <c r="P11" s="158">
        <f>INDEX(LCI!S$2:S$130,MATCH('A1 - Raw Material Supply'!$B11,LCI!$D$2:$D$130,0))*$C11</f>
        <v>1.5129116376803103E-9</v>
      </c>
      <c r="Q11" s="158">
        <f>INDEX(LCI!T$2:T$130,MATCH('A1 - Raw Material Supply'!$B11,LCI!$D$2:$D$130,0))*$C11</f>
        <v>6.8171824219277885E-3</v>
      </c>
      <c r="R11" s="158">
        <f>INDEX(LCI!U$2:U$130,MATCH('A1 - Raw Material Supply'!$B11,LCI!$D$2:$D$130,0))*$C11</f>
        <v>374.18983912961073</v>
      </c>
      <c r="S11" s="158">
        <f>INDEX(LCI!V$2:V$130,MATCH('A1 - Raw Material Supply'!$B11,LCI!$D$2:$D$130,0))*$C11</f>
        <v>5.1185430018615164E-7</v>
      </c>
      <c r="T11" s="158">
        <f>INDEX(LCI!W$2:W$130,MATCH('A1 - Raw Material Supply'!$B11,LCI!$D$2:$D$130,0))*$C11</f>
        <v>1.1640990651020557E-8</v>
      </c>
      <c r="U11" s="158">
        <f>INDEX(LCI!X$2:X$130,MATCH('A1 - Raw Material Supply'!$B11,LCI!$D$2:$D$130,0))*$C11</f>
        <v>1.9867763072504735E-7</v>
      </c>
      <c r="V11" s="158">
        <f>INDEX(LCI!Y$2:Y$130,MATCH('A1 - Raw Material Supply'!$B11,LCI!$D$2:$D$130,0))*$C11</f>
        <v>1.057789267704755E-2</v>
      </c>
      <c r="W11" s="158">
        <f>INDEX(LCI!Z$2:Z$130,MATCH('A1 - Raw Material Supply'!$B11,LCI!$D$2:$D$130,0))*$C11</f>
        <v>1.0207570682362821</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212</v>
      </c>
      <c r="B14" s="158" t="str">
        <f>Input!A49</f>
        <v>Filler 1</v>
      </c>
      <c r="C14" s="154">
        <f>+Input!B49*(1-Input!E49)</f>
        <v>5.4999999999999997E-3</v>
      </c>
      <c r="D14" s="158" t="str">
        <f>Input!$C$49</f>
        <v>Limestone_residue</v>
      </c>
      <c r="E14" s="158" cm="1">
        <f t="array" ref="E14">INDEX(LCI!H$2:H$130,MATCH('A1 - Raw Material Supply'!$B$14&amp;'A1 - Raw Material Supply'!$D$14,LCI!$B$2:$B$130&amp;LCI!$D$2:$D$130,0))*$C14</f>
        <v>9.3081697010435698E-4</v>
      </c>
      <c r="F14" s="158" cm="1">
        <f t="array" ref="F14">INDEX(LCI!I$2:I$130,MATCH('A1 - Raw Material Supply'!$B$14&amp;'A1 - Raw Material Supply'!$D$14,LCI!$B$2:$B$130&amp;LCI!$D$2:$D$130,0))*$C14</f>
        <v>0.12166438176342087</v>
      </c>
      <c r="G14" s="158" cm="1">
        <f t="array" ref="G14">INDEX(LCI!J$2:J$130,MATCH('A1 - Raw Material Supply'!$B$14&amp;'A1 - Raw Material Supply'!$D$14,LCI!$B$2:$B$130&amp;LCI!$D$2:$D$130,0))*$C14</f>
        <v>1.8973973943732778E-3</v>
      </c>
      <c r="H14" s="158" cm="1">
        <f t="array" ref="H14">INDEX(LCI!K$2:K$130,MATCH('A1 - Raw Material Supply'!$B$14&amp;'A1 - Raw Material Supply'!$D$14,LCI!$B$2:$B$130&amp;LCI!$D$2:$D$130,0))*$C14</f>
        <v>0.11956136434225269</v>
      </c>
      <c r="I14" s="158" cm="1">
        <f t="array" ref="I14">INDEX(LCI!L$2:L$130,MATCH('A1 - Raw Material Supply'!$B$14&amp;'A1 - Raw Material Supply'!$D$14,LCI!$B$2:$B$130&amp;LCI!$D$2:$D$130,0))*$C14</f>
        <v>2.0562002679489535E-4</v>
      </c>
      <c r="J14" s="158" cm="1">
        <f t="array" ref="J14">INDEX(LCI!M$2:M$130,MATCH('A1 - Raw Material Supply'!$B$14&amp;'A1 - Raw Material Supply'!$D$14,LCI!$B$2:$B$130&amp;LCI!$D$2:$D$130,0))*$C14</f>
        <v>0.37977548705269193</v>
      </c>
      <c r="K14" s="158" cm="1">
        <f t="array" ref="K14">INDEX(LCI!N$2:N$130,MATCH('A1 - Raw Material Supply'!$B$14&amp;'A1 - Raw Material Supply'!$D$14,LCI!$B$2:$B$130&amp;LCI!$D$2:$D$130,0))*$C14</f>
        <v>2.0373321039625885</v>
      </c>
      <c r="L14" s="158" cm="1">
        <f t="array" ref="L14">INDEX(LCI!O$2:O$130,MATCH('A1 - Raw Material Supply'!$B$14&amp;'A1 - Raw Material Supply'!$D$14,LCI!$B$2:$B$130&amp;LCI!$D$2:$D$130,0))*$C14</f>
        <v>7.3105915013882289E-5</v>
      </c>
      <c r="M14" s="158" cm="1">
        <f t="array" ref="M14">INDEX(LCI!P$2:P$130,MATCH('A1 - Raw Material Supply'!$B$14&amp;'A1 - Raw Material Supply'!$D$14,LCI!$B$2:$B$130&amp;LCI!$D$2:$D$130,0))*$C14</f>
        <v>2.1080260603251652E-4</v>
      </c>
      <c r="N14" s="158" cm="1">
        <f t="array" ref="N14">INDEX(LCI!Q$2:Q$130,MATCH('A1 - Raw Material Supply'!$B$14&amp;'A1 - Raw Material Supply'!$D$14,LCI!$B$2:$B$130&amp;LCI!$D$2:$D$130,0))*$C14</f>
        <v>2.49859756171603E-3</v>
      </c>
      <c r="O14" s="158" cm="1">
        <f t="array" ref="O14">INDEX(LCI!R$2:R$130,MATCH('A1 - Raw Material Supply'!$B$14&amp;'A1 - Raw Material Supply'!$D$14,LCI!$B$2:$B$130&amp;LCI!$D$2:$D$130,0))*$C14</f>
        <v>2.5071044568388908E-11</v>
      </c>
      <c r="P14" s="158" cm="1">
        <f t="array" ref="P14">INDEX(LCI!S$2:S$130,MATCH('A1 - Raw Material Supply'!$B$14&amp;'A1 - Raw Material Supply'!$D$14,LCI!$B$2:$B$130&amp;LCI!$D$2:$D$130,0))*$C14</f>
        <v>9.5260510567475159E-10</v>
      </c>
      <c r="Q14" s="158" cm="1">
        <f t="array" ref="Q14">INDEX(LCI!T$2:T$130,MATCH('A1 - Raw Material Supply'!$B$14&amp;'A1 - Raw Material Supply'!$D$14,LCI!$B$2:$B$130&amp;LCI!$D$2:$D$130,0))*$C14</f>
        <v>3.9110006778906019E-2</v>
      </c>
      <c r="R14" s="158" cm="1">
        <f t="array" ref="R14">INDEX(LCI!U$2:U$130,MATCH('A1 - Raw Material Supply'!$B$14&amp;'A1 - Raw Material Supply'!$D$14,LCI!$B$2:$B$130&amp;LCI!$D$2:$D$130,0))*$C14</f>
        <v>0.6282499716687221</v>
      </c>
      <c r="S14" s="158" cm="1">
        <f t="array" ref="S14">INDEX(LCI!V$2:V$130,MATCH('A1 - Raw Material Supply'!$B$14&amp;'A1 - Raw Material Supply'!$D$14,LCI!$B$2:$B$130&amp;LCI!$D$2:$D$130,0))*$C14</f>
        <v>3.5788766674713027E-7</v>
      </c>
      <c r="T14" s="158" cm="1">
        <f t="array" ref="T14">INDEX(LCI!W$2:W$130,MATCH('A1 - Raw Material Supply'!$B$14&amp;'A1 - Raw Material Supply'!$D$14,LCI!$B$2:$B$130&amp;LCI!$D$2:$D$130,0))*$C14</f>
        <v>1.5574157254795618E-9</v>
      </c>
      <c r="U14" s="158" cm="1">
        <f t="array" ref="U14">INDEX(LCI!X$2:X$130,MATCH('A1 - Raw Material Supply'!$B$14&amp;'A1 - Raw Material Supply'!$D$14,LCI!$B$2:$B$130&amp;LCI!$D$2:$D$130,0))*$C14</f>
        <v>9.8472396783713966E-9</v>
      </c>
      <c r="V14" s="158" cm="1">
        <f t="array" ref="V14">INDEX(LCI!Y$2:Y$130,MATCH('A1 - Raw Material Supply'!$B$14&amp;'A1 - Raw Material Supply'!$D$14,LCI!$B$2:$B$130&amp;LCI!$D$2:$D$130,0))*$C14</f>
        <v>6.5993967225239786E-4</v>
      </c>
      <c r="W14" s="158" cm="1">
        <f t="array" ref="W14">INDEX(LCI!Z$2:Z$130,MATCH('A1 - Raw Material Supply'!$B$14&amp;'A1 - Raw Material Supply'!$D$14,LCI!$B$2:$B$130&amp;LCI!$D$2:$D$130,0))*$C14</f>
        <v>0.25392572768492161</v>
      </c>
    </row>
    <row r="15" spans="1:23" s="24" customFormat="1" ht="14" customHeight="1" x14ac:dyDescent="0.35">
      <c r="A15" s="399"/>
      <c r="B15" s="158" t="str">
        <f>Input!A50</f>
        <v>Filler 2</v>
      </c>
      <c r="C15" s="154">
        <f>+Input!B50*(1-Input!E50)</f>
        <v>0</v>
      </c>
      <c r="D15" s="158" t="str">
        <f>Input!$C$50</f>
        <v>No_filler</v>
      </c>
      <c r="E15" s="158" cm="1">
        <f t="array" ref="E15">INDEX(LCI!H$2:H$130,MATCH('A1 - Raw Material Supply'!$B$15&amp;'A1 - Raw Material Supply'!$D$15,LCI!$B$2:$B$130&amp;LCI!$D$2:$D$130,0))*$C15</f>
        <v>0</v>
      </c>
      <c r="F15" s="158" cm="1">
        <f t="array" ref="F15">INDEX(LCI!I$2:I$130,MATCH('A1 - Raw Material Supply'!$B$15&amp;'A1 - Raw Material Supply'!$D$15,LCI!$B$2:$B$130&amp;LCI!$D$2:$D$130,0))*$C15</f>
        <v>0</v>
      </c>
      <c r="G15" s="158" cm="1">
        <f t="array" ref="G15">INDEX(LCI!J$2:J$130,MATCH('A1 - Raw Material Supply'!$B$15&amp;'A1 - Raw Material Supply'!$D$15,LCI!$B$2:$B$130&amp;LCI!$D$2:$D$130,0))*$C15</f>
        <v>0</v>
      </c>
      <c r="H15" s="158" cm="1">
        <f t="array" ref="H15">INDEX(LCI!K$2:K$130,MATCH('A1 - Raw Material Supply'!$B$15&amp;'A1 - Raw Material Supply'!$D$15,LCI!$B$2:$B$130&amp;LCI!$D$2:$D$130,0))*$C15</f>
        <v>0</v>
      </c>
      <c r="I15" s="158" cm="1">
        <f t="array" ref="I15">INDEX(LCI!L$2:L$130,MATCH('A1 - Raw Material Supply'!$B$15&amp;'A1 - Raw Material Supply'!$D$15,LCI!$B$2:$B$130&amp;LCI!$D$2:$D$130,0))*$C15</f>
        <v>0</v>
      </c>
      <c r="J15" s="158" cm="1">
        <f t="array" ref="J15">INDEX(LCI!M$2:M$130,MATCH('A1 - Raw Material Supply'!$B$15&amp;'A1 - Raw Material Supply'!$D$15,LCI!$B$2:$B$130&amp;LCI!$D$2:$D$130,0))*$C15</f>
        <v>0</v>
      </c>
      <c r="K15" s="158" cm="1">
        <f t="array" ref="K15">INDEX(LCI!N$2:N$130,MATCH('A1 - Raw Material Supply'!$B$15&amp;'A1 - Raw Material Supply'!$D$15,LCI!$B$2:$B$130&amp;LCI!$D$2:$D$130,0))*$C15</f>
        <v>0</v>
      </c>
      <c r="L15" s="158" cm="1">
        <f t="array" ref="L15">INDEX(LCI!O$2:O$130,MATCH('A1 - Raw Material Supply'!$B$15&amp;'A1 - Raw Material Supply'!$D$15,LCI!$B$2:$B$130&amp;LCI!$D$2:$D$130,0))*$C15</f>
        <v>0</v>
      </c>
      <c r="M15" s="158" cm="1">
        <f t="array" ref="M15">INDEX(LCI!P$2:P$130,MATCH('A1 - Raw Material Supply'!$B$15&amp;'A1 - Raw Material Supply'!$D$15,LCI!$B$2:$B$130&amp;LCI!$D$2:$D$130,0))*$C15</f>
        <v>0</v>
      </c>
      <c r="N15" s="158" cm="1">
        <f t="array" ref="N15">INDEX(LCI!Q$2:Q$130,MATCH('A1 - Raw Material Supply'!$B$15&amp;'A1 - Raw Material Supply'!$D$15,LCI!$B$2:$B$130&amp;LCI!$D$2:$D$130,0))*$C15</f>
        <v>0</v>
      </c>
      <c r="O15" s="158" cm="1">
        <f t="array" ref="O15">INDEX(LCI!R$2:R$130,MATCH('A1 - Raw Material Supply'!$B$15&amp;'A1 - Raw Material Supply'!$D$15,LCI!$B$2:$B$130&amp;LCI!$D$2:$D$130,0))*$C15</f>
        <v>0</v>
      </c>
      <c r="P15" s="158" cm="1">
        <f t="array" ref="P15">INDEX(LCI!S$2:S$130,MATCH('A1 - Raw Material Supply'!$B$15&amp;'A1 - Raw Material Supply'!$D$15,LCI!$B$2:$B$130&amp;LCI!$D$2:$D$130,0))*$C15</f>
        <v>0</v>
      </c>
      <c r="Q15" s="158" cm="1">
        <f t="array" ref="Q15">INDEX(LCI!T$2:T$130,MATCH('A1 - Raw Material Supply'!$B$15&amp;'A1 - Raw Material Supply'!$D$15,LCI!$B$2:$B$130&amp;LCI!$D$2:$D$130,0))*$C15</f>
        <v>0</v>
      </c>
      <c r="R15" s="158" cm="1">
        <f t="array" ref="R15">INDEX(LCI!U$2:U$130,MATCH('A1 - Raw Material Supply'!$B$15&amp;'A1 - Raw Material Supply'!$D$15,LCI!$B$2:$B$130&amp;LCI!$D$2:$D$130,0))*$C15</f>
        <v>0</v>
      </c>
      <c r="S15" s="158" cm="1">
        <f t="array" ref="S15">INDEX(LCI!V$2:V$130,MATCH('A1 - Raw Material Supply'!$B$15&amp;'A1 - Raw Material Supply'!$D$15,LCI!$B$2:$B$130&amp;LCI!$D$2:$D$130,0))*$C15</f>
        <v>0</v>
      </c>
      <c r="T15" s="158" cm="1">
        <f t="array" ref="T15">INDEX(LCI!W$2:W$130,MATCH('A1 - Raw Material Supply'!$B$15&amp;'A1 - Raw Material Supply'!$D$15,LCI!$B$2:$B$130&amp;LCI!$D$2:$D$130,0))*$C15</f>
        <v>0</v>
      </c>
      <c r="U15" s="158" cm="1">
        <f t="array" ref="U15">INDEX(LCI!X$2:X$130,MATCH('A1 - Raw Material Supply'!$B$15&amp;'A1 - Raw Material Supply'!$D$15,LCI!$B$2:$B$130&amp;LCI!$D$2:$D$130,0))*$C15</f>
        <v>0</v>
      </c>
      <c r="V15" s="158" cm="1">
        <f t="array" ref="V15">INDEX(LCI!Y$2:Y$130,MATCH('A1 - Raw Material Supply'!$B$15&amp;'A1 - Raw Material Supply'!$D$15,LCI!$B$2:$B$130&amp;LCI!$D$2:$D$130,0))*$C15</f>
        <v>0</v>
      </c>
      <c r="W15" s="158" cm="1">
        <f t="array" ref="W15">INDEX(LCI!Z$2:Z$130,MATCH('A1 - Raw Material Supply'!$B$15&amp;'A1 - Raw Material Supply'!$D$15,LCI!$B$2:$B$130&amp;LCI!$D$2:$D$130,0))*$C15</f>
        <v>0</v>
      </c>
    </row>
    <row r="16" spans="1:23" s="11" customFormat="1" ht="17.5" customHeight="1" x14ac:dyDescent="0.35">
      <c r="A16" s="400" t="s">
        <v>298</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299</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261</v>
      </c>
      <c r="B20" s="158" t="str">
        <f>Input!A55</f>
        <v>Additive 1</v>
      </c>
      <c r="C20" s="154">
        <f>+Input!B55*(1-Input!E55)</f>
        <v>3.3E-3</v>
      </c>
      <c r="D20" s="158" t="str">
        <f>Input!$C$55</f>
        <v>Cellulose_fibres</v>
      </c>
      <c r="E20" s="158" cm="1">
        <f t="array" ref="E20">INDEX(LCI!H$2:H$130,MATCH('A1 - Raw Material Supply'!$B$20&amp;'A1 - Raw Material Supply'!$D$20,LCI!$B$2:$B$130&amp;LCI!$D$2:$D$130,0))*$C$20</f>
        <v>5.2168551507805029E-3</v>
      </c>
      <c r="F20" s="158" cm="1">
        <f t="array" ref="F20">INDEX(LCI!I$2:I$130,MATCH('A1 - Raw Material Supply'!$B$20&amp;'A1 - Raw Material Supply'!$D$20,LCI!$B$2:$B$130&amp;LCI!$D$2:$D$130,0))*$C$20</f>
        <v>0.65423526228811013</v>
      </c>
      <c r="G20" s="158" cm="1">
        <f t="array" ref="G20">INDEX(LCI!J$2:J$130,MATCH('A1 - Raw Material Supply'!$B$20&amp;'A1 - Raw Material Supply'!$D$20,LCI!$B$2:$B$130&amp;LCI!$D$2:$D$130,0))*$C$20</f>
        <v>0.1068681104617966</v>
      </c>
      <c r="H20" s="158" cm="1">
        <f t="array" ref="H20">INDEX(LCI!K$2:K$130,MATCH('A1 - Raw Material Supply'!$B$20&amp;'A1 - Raw Material Supply'!$D$20,LCI!$B$2:$B$130&amp;LCI!$D$2:$D$130,0))*$C$20</f>
        <v>0.5469162215913369</v>
      </c>
      <c r="I20" s="158" cm="1">
        <f t="array" ref="I20">INDEX(LCI!L$2:L$130,MATCH('A1 - Raw Material Supply'!$B$20&amp;'A1 - Raw Material Supply'!$D$20,LCI!$B$2:$B$130&amp;LCI!$D$2:$D$130,0))*$C$20</f>
        <v>4.5093023497641831E-4</v>
      </c>
      <c r="J20" s="158" cm="1">
        <f t="array" ref="J20">INDEX(LCI!M$2:M$130,MATCH('A1 - Raw Material Supply'!$B$20&amp;'A1 - Raw Material Supply'!$D$20,LCI!$B$2:$B$130&amp;LCI!$D$2:$D$130,0))*$C$20</f>
        <v>2.7323846812273751</v>
      </c>
      <c r="K20" s="158" cm="1">
        <f t="array" ref="K20">INDEX(LCI!N$2:N$130,MATCH('A1 - Raw Material Supply'!$B$20&amp;'A1 - Raw Material Supply'!$D$20,LCI!$B$2:$B$130&amp;LCI!$D$2:$D$130,0))*$C$20</f>
        <v>7.5519828674110823</v>
      </c>
      <c r="L20" s="158" cm="1">
        <f t="array" ref="L20">INDEX(LCI!O$2:O$130,MATCH('A1 - Raw Material Supply'!$B$20&amp;'A1 - Raw Material Supply'!$D$20,LCI!$B$2:$B$130&amp;LCI!$D$2:$D$130,0))*$C$20</f>
        <v>1.7251445628132297E-4</v>
      </c>
      <c r="M20" s="158" cm="1">
        <f t="array" ref="M20">INDEX(LCI!P$2:P$130,MATCH('A1 - Raw Material Supply'!$B$20&amp;'A1 - Raw Material Supply'!$D$20,LCI!$B$2:$B$130&amp;LCI!$D$2:$D$130,0))*$C$20</f>
        <v>1.0307679995824358E-3</v>
      </c>
      <c r="N20" s="158" cm="1">
        <f t="array" ref="N20">INDEX(LCI!Q$2:Q$130,MATCH('A1 - Raw Material Supply'!$B$20&amp;'A1 - Raw Material Supply'!$D$20,LCI!$B$2:$B$130&amp;LCI!$D$2:$D$130,0))*$C$20</f>
        <v>1.0579231622299769E-2</v>
      </c>
      <c r="O20" s="158" cm="1">
        <f t="array" ref="O20">INDEX(LCI!R$2:R$130,MATCH('A1 - Raw Material Supply'!$B$20&amp;'A1 - Raw Material Supply'!$D$20,LCI!$B$2:$B$130&amp;LCI!$D$2:$D$130,0))*$C$20</f>
        <v>3.4322818084723971E-10</v>
      </c>
      <c r="P20" s="158" cm="1">
        <f t="array" ref="P20">INDEX(LCI!S$2:S$130,MATCH('A1 - Raw Material Supply'!$B$20&amp;'A1 - Raw Material Supply'!$D$20,LCI!$B$2:$B$130&amp;LCI!$D$2:$D$130,0))*$C$20</f>
        <v>1.519562698401938E-8</v>
      </c>
      <c r="Q20" s="158" cm="1">
        <f t="array" ref="Q20">INDEX(LCI!T$2:T$130,MATCH('A1 - Raw Material Supply'!$B$20&amp;'A1 - Raw Material Supply'!$D$20,LCI!$B$2:$B$130&amp;LCI!$D$2:$D$130,0))*$C$20</f>
        <v>0.10643324427322706</v>
      </c>
      <c r="R20" s="158" cm="1">
        <f t="array" ref="R20">INDEX(LCI!U$2:U$130,MATCH('A1 - Raw Material Supply'!$B$20&amp;'A1 - Raw Material Supply'!$D$20,LCI!$B$2:$B$130&amp;LCI!$D$2:$D$130,0))*$C$20</f>
        <v>2.9238161430011052</v>
      </c>
      <c r="S20" s="158" cm="1">
        <f t="array" ref="S20">INDEX(LCI!V$2:V$130,MATCH('A1 - Raw Material Supply'!$B$20&amp;'A1 - Raw Material Supply'!$D$20,LCI!$B$2:$B$130&amp;LCI!$D$2:$D$130,0))*$C$20</f>
        <v>2.0002821138870845E-4</v>
      </c>
      <c r="T20" s="158" cm="1">
        <f t="array" ref="T20">INDEX(LCI!W$2:W$130,MATCH('A1 - Raw Material Supply'!$B$20&amp;'A1 - Raw Material Supply'!$D$20,LCI!$B$2:$B$130&amp;LCI!$D$2:$D$130,0))*$C$20</f>
        <v>6.6867322617563686E-9</v>
      </c>
      <c r="U20" s="158" cm="1">
        <f t="array" ref="U20">INDEX(LCI!X$2:X$130,MATCH('A1 - Raw Material Supply'!$B$20&amp;'A1 - Raw Material Supply'!$D$20,LCI!$B$2:$B$130&amp;LCI!$D$2:$D$130,0))*$C$20</f>
        <v>6.9930966262356109E-8</v>
      </c>
      <c r="V20" s="158" cm="1">
        <f t="array" ref="V20">INDEX(LCI!Y$2:Y$130,MATCH('A1 - Raw Material Supply'!$B$20&amp;'A1 - Raw Material Supply'!$D$20,LCI!$B$2:$B$130&amp;LCI!$D$2:$D$130,0))*$C$20</f>
        <v>3.4925808009998527E-3</v>
      </c>
      <c r="W20" s="158" cm="1">
        <f t="array" ref="W20">INDEX(LCI!Z$2:Z$130,MATCH('A1 - Raw Material Supply'!$B$20&amp;'A1 - Raw Material Supply'!$D$20,LCI!$B$2:$B$130&amp;LCI!$D$2:$D$130,0))*$C$20</f>
        <v>0.33021433976024206</v>
      </c>
    </row>
    <row r="21" spans="1:23" x14ac:dyDescent="0.35">
      <c r="A21" s="401"/>
      <c r="B21" s="158" t="str">
        <f>Input!A56</f>
        <v>Additive 2</v>
      </c>
      <c r="C21" s="154">
        <f>+Input!B56*(1-Input!E56)</f>
        <v>0</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200</v>
      </c>
      <c r="B23" s="158"/>
      <c r="C23" s="158">
        <f>SUM(C4:C22)</f>
        <v>0.69995999999999992</v>
      </c>
      <c r="D23" s="158"/>
      <c r="E23" s="158">
        <f>SUM(E4:E22)</f>
        <v>7.9386688750677434E-2</v>
      </c>
      <c r="F23" s="158">
        <f t="shared" ref="F23:W23" si="0">SUM(F4:F22)</f>
        <v>14.778290576162606</v>
      </c>
      <c r="G23" s="158">
        <f t="shared" si="0"/>
        <v>0.15960892697974377</v>
      </c>
      <c r="H23" s="158">
        <f t="shared" si="0"/>
        <v>14.619651449477002</v>
      </c>
      <c r="I23" s="158">
        <f t="shared" si="0"/>
        <v>7.1185997058632669E-3</v>
      </c>
      <c r="J23" s="158">
        <f t="shared" si="0"/>
        <v>649.7772856153839</v>
      </c>
      <c r="K23" s="158">
        <f t="shared" si="0"/>
        <v>1055.5721086188687</v>
      </c>
      <c r="L23" s="158">
        <f t="shared" si="0"/>
        <v>3.9932693024604949E-4</v>
      </c>
      <c r="M23" s="158">
        <f t="shared" si="0"/>
        <v>2.4398711628829513E-2</v>
      </c>
      <c r="N23" s="158">
        <f t="shared" si="0"/>
        <v>0.29696272858061318</v>
      </c>
      <c r="O23" s="158">
        <f t="shared" si="0"/>
        <v>1.1716584664359555E-8</v>
      </c>
      <c r="P23" s="158">
        <f t="shared" si="0"/>
        <v>3.4153242088380752E-7</v>
      </c>
      <c r="Q23" s="158">
        <f t="shared" si="0"/>
        <v>0.37485117363209597</v>
      </c>
      <c r="R23" s="158">
        <f t="shared" si="0"/>
        <v>400.58210845243951</v>
      </c>
      <c r="S23" s="158">
        <f t="shared" si="0"/>
        <v>2.0738912536104792E-4</v>
      </c>
      <c r="T23" s="158">
        <f t="shared" si="0"/>
        <v>4.3953764770222923E-8</v>
      </c>
      <c r="U23" s="158">
        <f t="shared" si="0"/>
        <v>1.3272698948377864E-6</v>
      </c>
      <c r="V23" s="158">
        <f t="shared" si="0"/>
        <v>9.1498727643183883E-2</v>
      </c>
      <c r="W23" s="158">
        <f t="shared" si="0"/>
        <v>3.8418943355339898</v>
      </c>
    </row>
    <row r="26" spans="1:23" ht="23.5" x14ac:dyDescent="0.55000000000000004">
      <c r="A26" s="100" t="s">
        <v>300</v>
      </c>
    </row>
    <row r="27" spans="1:23" ht="116" x14ac:dyDescent="0.35">
      <c r="A27" s="104" t="s">
        <v>276</v>
      </c>
      <c r="B27" s="104" t="s">
        <v>277</v>
      </c>
      <c r="C27" s="103" t="s">
        <v>278</v>
      </c>
      <c r="D27" s="103" t="s">
        <v>57</v>
      </c>
      <c r="E27" s="103" t="s">
        <v>279</v>
      </c>
      <c r="F27" s="103" t="s">
        <v>280</v>
      </c>
      <c r="G27" s="103" t="s">
        <v>281</v>
      </c>
      <c r="H27" s="103" t="s">
        <v>282</v>
      </c>
      <c r="I27" s="103" t="s">
        <v>283</v>
      </c>
      <c r="J27" s="103" t="s">
        <v>284</v>
      </c>
      <c r="K27" s="103" t="s">
        <v>285</v>
      </c>
      <c r="L27" s="103" t="s">
        <v>286</v>
      </c>
      <c r="M27" s="103" t="s">
        <v>287</v>
      </c>
      <c r="N27" s="103" t="s">
        <v>288</v>
      </c>
      <c r="O27" s="103" t="s">
        <v>289</v>
      </c>
      <c r="P27" s="103" t="s">
        <v>290</v>
      </c>
      <c r="Q27" s="103" t="s">
        <v>291</v>
      </c>
      <c r="R27" s="103" t="s">
        <v>292</v>
      </c>
      <c r="S27" s="103" t="s">
        <v>293</v>
      </c>
      <c r="T27" s="103" t="s">
        <v>294</v>
      </c>
      <c r="U27" s="103" t="s">
        <v>295</v>
      </c>
      <c r="V27" s="103" t="s">
        <v>296</v>
      </c>
      <c r="W27" s="103" t="s">
        <v>297</v>
      </c>
    </row>
    <row r="28" spans="1:23" ht="14" customHeight="1" x14ac:dyDescent="0.35">
      <c r="A28" s="6" t="s">
        <v>266</v>
      </c>
      <c r="B28" s="158" t="s">
        <v>301</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211</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212</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298</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299</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261</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200</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302</v>
      </c>
    </row>
    <row r="51" spans="1:25" x14ac:dyDescent="0.35">
      <c r="A51" t="s">
        <v>303</v>
      </c>
    </row>
    <row r="53" spans="1:25" ht="86.5" customHeight="1" x14ac:dyDescent="0.35">
      <c r="A53" s="384" t="s">
        <v>304</v>
      </c>
      <c r="B53" s="384"/>
      <c r="C53" s="384"/>
      <c r="D53" s="384"/>
      <c r="E53" s="294" t="s">
        <v>279</v>
      </c>
      <c r="F53" s="294" t="s">
        <v>280</v>
      </c>
      <c r="G53" s="294" t="s">
        <v>281</v>
      </c>
      <c r="H53" s="294" t="s">
        <v>282</v>
      </c>
      <c r="I53" s="294" t="s">
        <v>283</v>
      </c>
      <c r="J53" s="294" t="s">
        <v>284</v>
      </c>
      <c r="K53" s="294" t="s">
        <v>285</v>
      </c>
      <c r="L53" s="294" t="s">
        <v>286</v>
      </c>
      <c r="M53" s="294" t="s">
        <v>287</v>
      </c>
      <c r="N53" s="294" t="s">
        <v>288</v>
      </c>
      <c r="O53" s="294" t="s">
        <v>289</v>
      </c>
      <c r="P53" s="294" t="s">
        <v>290</v>
      </c>
      <c r="Q53" s="294" t="s">
        <v>291</v>
      </c>
      <c r="R53" s="294" t="s">
        <v>292</v>
      </c>
      <c r="S53" s="294" t="s">
        <v>293</v>
      </c>
      <c r="T53" s="294" t="s">
        <v>294</v>
      </c>
      <c r="U53" s="294" t="s">
        <v>295</v>
      </c>
      <c r="V53" s="294" t="s">
        <v>296</v>
      </c>
      <c r="W53" s="294" t="s">
        <v>297</v>
      </c>
    </row>
    <row r="54" spans="1:25" x14ac:dyDescent="0.35">
      <c r="A54" s="403" t="s">
        <v>305</v>
      </c>
      <c r="B54" s="403"/>
      <c r="C54" s="403"/>
      <c r="D54" s="403"/>
      <c r="E54" s="154">
        <f>E23+E47</f>
        <v>7.9386688750677434E-2</v>
      </c>
      <c r="F54" s="154">
        <f t="shared" ref="F54:W54" si="2">F23+F47</f>
        <v>14.778290576162606</v>
      </c>
      <c r="G54" s="154">
        <f t="shared" si="2"/>
        <v>0.15960892697974377</v>
      </c>
      <c r="H54" s="154">
        <f t="shared" si="2"/>
        <v>14.619651449477002</v>
      </c>
      <c r="I54" s="154">
        <f t="shared" si="2"/>
        <v>7.1185997058632669E-3</v>
      </c>
      <c r="J54" s="154">
        <f t="shared" si="2"/>
        <v>649.7772856153839</v>
      </c>
      <c r="K54" s="154">
        <f t="shared" si="2"/>
        <v>1055.5721086188687</v>
      </c>
      <c r="L54" s="154">
        <f t="shared" si="2"/>
        <v>3.9932693024604949E-4</v>
      </c>
      <c r="M54" s="154">
        <f t="shared" si="2"/>
        <v>2.4398711628829513E-2</v>
      </c>
      <c r="N54" s="154">
        <f t="shared" si="2"/>
        <v>0.29696272858061318</v>
      </c>
      <c r="O54" s="154">
        <f t="shared" si="2"/>
        <v>1.1716584664359555E-8</v>
      </c>
      <c r="P54" s="154">
        <f t="shared" si="2"/>
        <v>3.4153242088380752E-7</v>
      </c>
      <c r="Q54" s="154">
        <f t="shared" si="2"/>
        <v>0.37485117363209597</v>
      </c>
      <c r="R54" s="154">
        <f t="shared" si="2"/>
        <v>400.58210845243951</v>
      </c>
      <c r="S54" s="154">
        <f t="shared" si="2"/>
        <v>2.0738912536104792E-4</v>
      </c>
      <c r="T54" s="154">
        <f t="shared" si="2"/>
        <v>4.3953764770222923E-8</v>
      </c>
      <c r="U54" s="154">
        <f t="shared" si="2"/>
        <v>1.3272698948377864E-6</v>
      </c>
      <c r="V54" s="154">
        <f t="shared" si="2"/>
        <v>9.1498727643183883E-2</v>
      </c>
      <c r="W54" s="154">
        <f t="shared" si="2"/>
        <v>3.8418943355339898</v>
      </c>
    </row>
    <row r="57" spans="1:25" x14ac:dyDescent="0.35">
      <c r="A57" t="s">
        <v>306</v>
      </c>
    </row>
    <row r="59" spans="1:25" x14ac:dyDescent="0.35">
      <c r="E59" s="68"/>
    </row>
    <row r="61" spans="1:25" ht="23.5" x14ac:dyDescent="0.55000000000000004">
      <c r="A61" s="100" t="s">
        <v>307</v>
      </c>
    </row>
    <row r="63" spans="1:25" x14ac:dyDescent="0.35">
      <c r="B63" s="378" t="s">
        <v>221</v>
      </c>
      <c r="C63" s="387"/>
      <c r="D63" s="387"/>
      <c r="E63" s="387"/>
      <c r="F63" s="387"/>
      <c r="G63" s="387"/>
      <c r="H63" s="387"/>
      <c r="I63" s="387"/>
      <c r="J63" s="387"/>
      <c r="K63" s="387"/>
      <c r="L63" s="387" t="s">
        <v>308</v>
      </c>
      <c r="M63" s="387"/>
      <c r="N63" s="379"/>
      <c r="O63" s="104" t="s">
        <v>266</v>
      </c>
      <c r="P63" s="378" t="s">
        <v>213</v>
      </c>
      <c r="Q63" s="387"/>
      <c r="R63" s="379"/>
      <c r="S63" s="378" t="s">
        <v>309</v>
      </c>
      <c r="T63" s="387"/>
      <c r="U63" s="379"/>
      <c r="V63" s="380" t="s">
        <v>215</v>
      </c>
      <c r="W63" s="380"/>
      <c r="X63" s="380"/>
      <c r="Y63" s="380"/>
    </row>
    <row r="64" spans="1:25" ht="43.5" x14ac:dyDescent="0.35">
      <c r="B64" s="103" t="s">
        <v>62</v>
      </c>
      <c r="C64" s="103" t="s">
        <v>65</v>
      </c>
      <c r="D64" s="103" t="s">
        <v>66</v>
      </c>
      <c r="E64" s="103" t="s">
        <v>67</v>
      </c>
      <c r="F64" s="103" t="s">
        <v>71</v>
      </c>
      <c r="G64" s="103" t="s">
        <v>72</v>
      </c>
      <c r="H64" s="103" t="s">
        <v>73</v>
      </c>
      <c r="I64" s="103" t="s">
        <v>75</v>
      </c>
      <c r="J64" s="103" t="s">
        <v>76</v>
      </c>
      <c r="K64" s="103" t="s">
        <v>310</v>
      </c>
      <c r="L64" s="104" t="s">
        <v>311</v>
      </c>
      <c r="M64" s="104" t="s">
        <v>312</v>
      </c>
      <c r="N64" s="104" t="s">
        <v>313</v>
      </c>
      <c r="O64" s="104" t="s">
        <v>200</v>
      </c>
      <c r="P64" s="249" t="s">
        <v>81</v>
      </c>
      <c r="Q64" s="249" t="s">
        <v>83</v>
      </c>
      <c r="R64" s="249" t="s">
        <v>314</v>
      </c>
      <c r="S64" s="104" t="s">
        <v>315</v>
      </c>
      <c r="T64" s="104" t="s">
        <v>316</v>
      </c>
      <c r="U64" s="104" t="s">
        <v>323</v>
      </c>
      <c r="V64" s="104" t="s">
        <v>90</v>
      </c>
      <c r="W64" s="104" t="s">
        <v>93</v>
      </c>
      <c r="X64" s="104" t="s">
        <v>95</v>
      </c>
      <c r="Y64" s="104" t="s">
        <v>317</v>
      </c>
    </row>
    <row r="65" spans="1:25" x14ac:dyDescent="0.35">
      <c r="A65" s="1" t="s">
        <v>318</v>
      </c>
      <c r="B65" s="158">
        <f>INDEX(LCI!H$2:H$130,MATCH('A1 - Raw Material Supply'!$B5,LCI!$D$2:$D$130,0))*$C5</f>
        <v>3.3206591533990028E-3</v>
      </c>
      <c r="C65" s="158">
        <f>INDEX(LCI!H$2:H$130,MATCH('A1 - Raw Material Supply'!$B6,LCI!$D$2:$D$130,0))*$C6</f>
        <v>5.5525776007655453E-3</v>
      </c>
      <c r="D65" s="158">
        <f>INDEX(LCI!H$2:H$130,MATCH('A1 - Raw Material Supply'!$B7,LCI!$D$2:$D$130,0))*$C7</f>
        <v>1.9216273461472918E-2</v>
      </c>
      <c r="E65" s="158">
        <f>INDEX(LCI!H$2:H$130,MATCH('A1 - Raw Material Supply'!$B8,LCI!$D$2:$D$130,0))*$C8</f>
        <v>0</v>
      </c>
      <c r="F65" s="158">
        <f>INDEX(LCI!H$2:H$130,MATCH('A1 - Raw Material Supply'!$B9,LCI!$D$2:$D$130,0))*$C9</f>
        <v>0</v>
      </c>
      <c r="G65" s="158">
        <f>INDEX(LCI!H$2:H$130,MATCH('A1 - Raw Material Supply'!$B10,LCI!$D$2:$D$130,0))*$C10</f>
        <v>0</v>
      </c>
      <c r="H65" s="158">
        <f>INDEX(LCI!H$2:H$130,MATCH('A1 - Raw Material Supply'!$B11,LCI!$D$2:$D$130,0))*$C11</f>
        <v>7.0343064141551023E-3</v>
      </c>
      <c r="I65" s="158">
        <f>INDEX(LCI!H$2:H$130,MATCH('A1 - Raw Material Supply'!$B12,LCI!$D$2:$D$130,0))*$C12</f>
        <v>0</v>
      </c>
      <c r="J65" s="158">
        <f>INDEX(LCI!H$2:H$130,MATCH('A1 - Raw Material Supply'!$B13,LCI!$D$2:$D$130,0))*$C13</f>
        <v>0</v>
      </c>
      <c r="K65" s="154">
        <f>SUM(B65:J65)</f>
        <v>3.5123816629792567E-2</v>
      </c>
      <c r="L65" s="158" cm="1">
        <f t="array" ref="L65">INDEX(LCI!H$2:H$130,MATCH('A1 - Raw Material Supply'!$B$14&amp;'A1 - Raw Material Supply'!$D$14,LCI!$B$2:$B$130&amp;LCI!$D$2:$D$130,0))*$C14</f>
        <v>9.3081697010435698E-4</v>
      </c>
      <c r="M65" s="158" cm="1">
        <f t="array" ref="M65">INDEX(LCI!H$2:H$130,MATCH('A1 - Raw Material Supply'!$B$15&amp;'A1 - Raw Material Supply'!$D$15,LCI!$B$2:$B$130&amp;LCI!$D$2:$D$130,0))*$C15</f>
        <v>0</v>
      </c>
      <c r="N65" s="154">
        <f>L65+M65</f>
        <v>9.3081697010435698E-4</v>
      </c>
      <c r="O65" s="158" cm="1">
        <f t="array" ref="O65">INDEX(LCI!H$2:H$137,MATCH('A1 - Raw Material Supply'!$B4&amp;'A1 - Raw Material Supply'!$D4,LCI!$B2:$B137&amp;LCI!$D2:$D137,0))*$C4</f>
        <v>3.8115199999999995E-2</v>
      </c>
      <c r="P65" s="159"/>
      <c r="Q65" s="159"/>
      <c r="R65" s="154"/>
      <c r="S65" s="158"/>
      <c r="T65" s="158"/>
      <c r="U65" s="154"/>
      <c r="V65" s="158" cm="1">
        <f t="array" ref="V65">INDEX(LCI!H$2:H$130,MATCH('A1 - Raw Material Supply'!$B$20&amp;'A1 - Raw Material Supply'!$D$20,LCI!$B$2:$B$130&amp;LCI!$D$2:$D$130,0))*$C$20</f>
        <v>5.2168551507805029E-3</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5.2168551507805029E-3</v>
      </c>
    </row>
    <row r="66" spans="1:25" x14ac:dyDescent="0.35">
      <c r="A66" s="1" t="s">
        <v>280</v>
      </c>
      <c r="B66" s="158">
        <f>INDEX(LCI!I$2:I$130,MATCH('A1 - Raw Material Supply'!$B5,LCI!$D$2:$D$130,0))*$C5</f>
        <v>0.1725637053160215</v>
      </c>
      <c r="C66" s="158">
        <f>INDEX(LCI!I$2:I$130,MATCH('A1 - Raw Material Supply'!$B6,LCI!$D$2:$D$130,0))*$C6</f>
        <v>0.28854914659400316</v>
      </c>
      <c r="D66" s="158">
        <f>INDEX(LCI!I$2:I$130,MATCH('A1 - Raw Material Supply'!$B7,LCI!$D$2:$D$130,0))*$C7</f>
        <v>0.99860636027140315</v>
      </c>
      <c r="E66" s="158">
        <f>INDEX(LCI!I$2:I$130,MATCH('A1 - Raw Material Supply'!$B8,LCI!$D$2:$D$130,0))*$C8</f>
        <v>0</v>
      </c>
      <c r="F66" s="158">
        <f>INDEX(LCI!I$2:I$130,MATCH('A1 - Raw Material Supply'!$B9,LCI!$D$2:$D$130,0))*$C9</f>
        <v>0</v>
      </c>
      <c r="G66" s="158">
        <f>INDEX(LCI!I$2:I$130,MATCH('A1 - Raw Material Supply'!$B10,LCI!$D$2:$D$130,0))*$C10</f>
        <v>0</v>
      </c>
      <c r="H66" s="158">
        <f>INDEX(LCI!I$2:I$130,MATCH('A1 - Raw Material Supply'!$B11,LCI!$D$2:$D$130,0))*$C11</f>
        <v>0.79787171992965111</v>
      </c>
      <c r="I66" s="158">
        <f>INDEX(LCI!I$2:I$130,MATCH('A1 - Raw Material Supply'!$B12,LCI!$D$2:$D$130,0))*$C12</f>
        <v>0</v>
      </c>
      <c r="J66" s="158">
        <f>INDEX(LCI!I$2:I$130,MATCH('A1 - Raw Material Supply'!$B13,LCI!$D$2:$D$130,0))*$C13</f>
        <v>0</v>
      </c>
      <c r="K66" s="154">
        <f t="shared" ref="K66:K83" si="3">SUM(B66:J66)</f>
        <v>2.257590932111079</v>
      </c>
      <c r="L66" s="158" cm="1">
        <f t="array" ref="L66">INDEX(LCI!I$2:I$130,MATCH('A1 - Raw Material Supply'!$B$14&amp;'A1 - Raw Material Supply'!$D$14,LCI!$B$2:$B$130&amp;LCI!$D$2:$D$130,0))*$C14</f>
        <v>0.12166438176342087</v>
      </c>
      <c r="M66" s="158" cm="1">
        <f t="array" ref="M66">INDEX(LCI!I$2:I$130,MATCH('A1 - Raw Material Supply'!$B$15&amp;'A1 - Raw Material Supply'!$D$15,LCI!$B$2:$B$130&amp;LCI!$D$2:$D$130,0))*$C15</f>
        <v>0</v>
      </c>
      <c r="N66" s="154">
        <f t="shared" ref="N66:N83" si="4">L66+M66</f>
        <v>0.12166438176342087</v>
      </c>
      <c r="O66" s="158" cm="1">
        <f t="array" ref="O66">INDEX(LCI!I$2:I$137,MATCH('A1 - Raw Material Supply'!$B4&amp;'A1 - Raw Material Supply'!$D4,LCI!$B2:$B137&amp;LCI!$D2:$D137,0))*$C4</f>
        <v>11.7448</v>
      </c>
      <c r="P66" s="159"/>
      <c r="Q66" s="159"/>
      <c r="R66" s="154"/>
      <c r="S66" s="158"/>
      <c r="T66" s="158"/>
      <c r="U66" s="154"/>
      <c r="V66" s="158" cm="1">
        <f t="array" ref="V66">INDEX(LCI!I$2:I$130,MATCH('A1 - Raw Material Supply'!$B$20&amp;'A1 - Raw Material Supply'!$D$20,LCI!$B$2:$B$130&amp;LCI!$D$2:$D$130,0))*$C$20</f>
        <v>0.65423526228811013</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0.65423526228811013</v>
      </c>
    </row>
    <row r="67" spans="1:25" x14ac:dyDescent="0.35">
      <c r="A67" s="1" t="s">
        <v>281</v>
      </c>
      <c r="B67" s="158">
        <f>INDEX(LCI!J$2:J$130,MATCH('A1 - Raw Material Supply'!$B5,LCI!$D$2:$D$130,0))*$C5</f>
        <v>5.3190259255154657E-4</v>
      </c>
      <c r="C67" s="158">
        <f>INDEX(LCI!J$2:J$130,MATCH('A1 - Raw Material Supply'!$B6,LCI!$D$2:$D$130,0))*$C6</f>
        <v>8.8941089246324186E-4</v>
      </c>
      <c r="D67" s="158">
        <f>INDEX(LCI!J$2:J$130,MATCH('A1 - Raw Material Supply'!$B7,LCI!$D$2:$D$130,0))*$C7</f>
        <v>3.0780592650933762E-3</v>
      </c>
      <c r="E67" s="158">
        <f>INDEX(LCI!J$2:J$130,MATCH('A1 - Raw Material Supply'!$B8,LCI!$D$2:$D$130,0))*$C8</f>
        <v>0</v>
      </c>
      <c r="F67" s="158">
        <f>INDEX(LCI!J$2:J$130,MATCH('A1 - Raw Material Supply'!$B9,LCI!$D$2:$D$130,0))*$C9</f>
        <v>0</v>
      </c>
      <c r="G67" s="158">
        <f>INDEX(LCI!J$2:J$130,MATCH('A1 - Raw Material Supply'!$B10,LCI!$D$2:$D$130,0))*$C10</f>
        <v>0</v>
      </c>
      <c r="H67" s="158">
        <f>INDEX(LCI!J$2:J$130,MATCH('A1 - Raw Material Supply'!$B11,LCI!$D$2:$D$130,0))*$C11</f>
        <v>-1.9195362653428194E-4</v>
      </c>
      <c r="I67" s="158">
        <f>INDEX(LCI!J$2:J$130,MATCH('A1 - Raw Material Supply'!$B12,LCI!$D$2:$D$130,0))*$C12</f>
        <v>0</v>
      </c>
      <c r="J67" s="158">
        <f>INDEX(LCI!J$2:J$130,MATCH('A1 - Raw Material Supply'!$B13,LCI!$D$2:$D$130,0))*$C13</f>
        <v>0</v>
      </c>
      <c r="K67" s="154">
        <f t="shared" si="3"/>
        <v>4.3074191235738827E-3</v>
      </c>
      <c r="L67" s="158" cm="1">
        <f t="array" ref="L67">INDEX(LCI!J$2:J$130,MATCH('A1 - Raw Material Supply'!$B$14&amp;'A1 - Raw Material Supply'!$D$14,LCI!$B$2:$B$130&amp;LCI!$D$2:$D$130,0))*$C14</f>
        <v>1.8973973943732778E-3</v>
      </c>
      <c r="M67" s="158" cm="1">
        <f t="array" ref="M67">INDEX(LCI!J$2:J$130,MATCH('A1 - Raw Material Supply'!$B$15&amp;'A1 - Raw Material Supply'!$D$15,LCI!$B$2:$B$130&amp;LCI!$D$2:$D$130,0))*$C15</f>
        <v>0</v>
      </c>
      <c r="N67" s="154">
        <f t="shared" si="4"/>
        <v>1.8973973943732778E-3</v>
      </c>
      <c r="O67" s="158" cm="1">
        <f t="array" ref="O67">INDEX(LCI!J$2:J$137,MATCH('A1 - Raw Material Supply'!$B4&amp;'A1 - Raw Material Supply'!$D4,LCI!$B2:$B137&amp;LCI!$D2:$D137,0))*$C4</f>
        <v>4.6536000000000001E-2</v>
      </c>
      <c r="P67" s="159"/>
      <c r="Q67" s="159"/>
      <c r="R67" s="154"/>
      <c r="S67" s="158"/>
      <c r="T67" s="158"/>
      <c r="U67" s="154"/>
      <c r="V67" s="158" cm="1">
        <f t="array" ref="V67">INDEX(LCI!J$2:J$130,MATCH('A1 - Raw Material Supply'!$B$20&amp;'A1 - Raw Material Supply'!$D$20,LCI!$B$2:$B$130&amp;LCI!$D$2:$D$130,0))*$C$20</f>
        <v>0.1068681104617966</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0.1068681104617966</v>
      </c>
    </row>
    <row r="68" spans="1:25" x14ac:dyDescent="0.35">
      <c r="A68" s="1" t="s">
        <v>282</v>
      </c>
      <c r="B68" s="158">
        <f>INDEX(LCI!K$2:K$130,MATCH('A1 - Raw Material Supply'!$B5,LCI!$D$2:$D$130,0))*$C5</f>
        <v>0.17197507610837182</v>
      </c>
      <c r="C68" s="158">
        <f>INDEX(LCI!K$2:K$130,MATCH('A1 - Raw Material Supply'!$B6,LCI!$D$2:$D$130,0))*$C6</f>
        <v>0.28756488136153979</v>
      </c>
      <c r="D68" s="158">
        <f>INDEX(LCI!K$2:K$130,MATCH('A1 - Raw Material Supply'!$B7,LCI!$D$2:$D$130,0))*$C7</f>
        <v>0.99520003059434847</v>
      </c>
      <c r="E68" s="158">
        <f>INDEX(LCI!K$2:K$130,MATCH('A1 - Raw Material Supply'!$B8,LCI!$D$2:$D$130,0))*$C8</f>
        <v>0</v>
      </c>
      <c r="F68" s="158">
        <f>INDEX(LCI!K$2:K$130,MATCH('A1 - Raw Material Supply'!$B9,LCI!$D$2:$D$130,0))*$C9</f>
        <v>0</v>
      </c>
      <c r="G68" s="158">
        <f>INDEX(LCI!K$2:K$130,MATCH('A1 - Raw Material Supply'!$B10,LCI!$D$2:$D$130,0))*$C10</f>
        <v>0</v>
      </c>
      <c r="H68" s="158">
        <f>INDEX(LCI!K$2:K$130,MATCH('A1 - Raw Material Supply'!$B11,LCI!$D$2:$D$130,0))*$C11</f>
        <v>0.79795387547915309</v>
      </c>
      <c r="I68" s="158">
        <f>INDEX(LCI!K$2:K$130,MATCH('A1 - Raw Material Supply'!$B12,LCI!$D$2:$D$130,0))*$C12</f>
        <v>0</v>
      </c>
      <c r="J68" s="158">
        <f>INDEX(LCI!K$2:K$130,MATCH('A1 - Raw Material Supply'!$B13,LCI!$D$2:$D$130,0))*$C13</f>
        <v>0</v>
      </c>
      <c r="K68" s="154">
        <f t="shared" si="3"/>
        <v>2.2526938635434135</v>
      </c>
      <c r="L68" s="158" cm="1">
        <f t="array" ref="L68">INDEX(LCI!K$2:K$130,MATCH('A1 - Raw Material Supply'!$B$14&amp;'A1 - Raw Material Supply'!$D$14,LCI!$B$2:$B$130&amp;LCI!$D$2:$D$130,0))*$C14</f>
        <v>0.11956136434225269</v>
      </c>
      <c r="M68" s="158" cm="1">
        <f t="array" ref="M68">INDEX(LCI!K$2:K$130,MATCH('A1 - Raw Material Supply'!$B$15&amp;'A1 - Raw Material Supply'!$D$15,LCI!$B$2:$B$130&amp;LCI!$D$2:$D$130,0))*$C15</f>
        <v>0</v>
      </c>
      <c r="N68" s="154">
        <f t="shared" si="4"/>
        <v>0.11956136434225269</v>
      </c>
      <c r="O68" s="158" cm="1">
        <f t="array" ref="O68">INDEX(LCI!K$2:K$137,MATCH('A1 - Raw Material Supply'!$B4&amp;'A1 - Raw Material Supply'!$D4,LCI!$B2:$B137&amp;LCI!$D2:$D137,0))*$C4</f>
        <v>11.700479999999999</v>
      </c>
      <c r="P68" s="159"/>
      <c r="Q68" s="159"/>
      <c r="R68" s="154"/>
      <c r="S68" s="158"/>
      <c r="T68" s="158"/>
      <c r="U68" s="154"/>
      <c r="V68" s="158" cm="1">
        <f t="array" ref="V68">INDEX(LCI!K$2:K$130,MATCH('A1 - Raw Material Supply'!$B$20&amp;'A1 - Raw Material Supply'!$D$20,LCI!$B$2:$B$130&amp;LCI!$D$2:$D$130,0))*$C$20</f>
        <v>0.5469162215913369</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0.5469162215913369</v>
      </c>
    </row>
    <row r="69" spans="1:25" x14ac:dyDescent="0.35">
      <c r="A69" s="1" t="s">
        <v>283</v>
      </c>
      <c r="B69" s="158">
        <f>INDEX(LCI!L$2:L$130,MATCH('A1 - Raw Material Supply'!$B5,LCI!$D$2:$D$130,0))*$C5</f>
        <v>5.6726615098107457E-5</v>
      </c>
      <c r="C69" s="158">
        <f>INDEX(LCI!L$2:L$130,MATCH('A1 - Raw Material Supply'!$B6,LCI!$D$2:$D$130,0))*$C6</f>
        <v>9.4854340000114106E-5</v>
      </c>
      <c r="D69" s="158">
        <f>INDEX(LCI!L$2:L$130,MATCH('A1 - Raw Material Supply'!$B7,LCI!$D$2:$D$130,0))*$C7</f>
        <v>3.2827041196117923E-4</v>
      </c>
      <c r="E69" s="158">
        <f>INDEX(LCI!L$2:L$130,MATCH('A1 - Raw Material Supply'!$B8,LCI!$D$2:$D$130,0))*$C8</f>
        <v>0</v>
      </c>
      <c r="F69" s="158">
        <f>INDEX(LCI!L$2:L$130,MATCH('A1 - Raw Material Supply'!$B9,LCI!$D$2:$D$130,0))*$C9</f>
        <v>0</v>
      </c>
      <c r="G69" s="158">
        <f>INDEX(LCI!L$2:L$130,MATCH('A1 - Raw Material Supply'!$B10,LCI!$D$2:$D$130,0))*$C10</f>
        <v>0</v>
      </c>
      <c r="H69" s="158">
        <f>INDEX(LCI!L$2:L$130,MATCH('A1 - Raw Material Supply'!$B11,LCI!$D$2:$D$130,0))*$C11</f>
        <v>1.0979807703255282E-4</v>
      </c>
      <c r="I69" s="158">
        <f>INDEX(LCI!L$2:L$130,MATCH('A1 - Raw Material Supply'!$B12,LCI!$D$2:$D$130,0))*$C12</f>
        <v>0</v>
      </c>
      <c r="J69" s="158">
        <f>INDEX(LCI!L$2:L$130,MATCH('A1 - Raw Material Supply'!$B13,LCI!$D$2:$D$130,0))*$C13</f>
        <v>0</v>
      </c>
      <c r="K69" s="154">
        <f t="shared" si="3"/>
        <v>5.8964944409195356E-4</v>
      </c>
      <c r="L69" s="158" cm="1">
        <f t="array" ref="L69">INDEX(LCI!L$2:L$130,MATCH('A1 - Raw Material Supply'!$B$14&amp;'A1 - Raw Material Supply'!$D$14,LCI!$B$2:$B$130&amp;LCI!$D$2:$D$130,0))*$C14</f>
        <v>2.0562002679489535E-4</v>
      </c>
      <c r="M69" s="158" cm="1">
        <f t="array" ref="M69">INDEX(LCI!L$2:L$130,MATCH('A1 - Raw Material Supply'!$B$15&amp;'A1 - Raw Material Supply'!$D$15,LCI!$B$2:$B$130&amp;LCI!$D$2:$D$130,0))*$C15</f>
        <v>0</v>
      </c>
      <c r="N69" s="154">
        <f t="shared" si="4"/>
        <v>2.0562002679489535E-4</v>
      </c>
      <c r="O69" s="158" cm="1">
        <f t="array" ref="O69">INDEX(LCI!L$2:L$137,MATCH('A1 - Raw Material Supply'!$B4&amp;'A1 - Raw Material Supply'!$D4,LCI!$B2:$B137&amp;LCI!$D2:$D137,0))*$C4</f>
        <v>5.8723999999999998E-3</v>
      </c>
      <c r="P69" s="159"/>
      <c r="Q69" s="159"/>
      <c r="R69" s="154"/>
      <c r="S69" s="158"/>
      <c r="T69" s="158"/>
      <c r="U69" s="154"/>
      <c r="V69" s="158" cm="1">
        <f t="array" ref="V69">INDEX(LCI!L$2:L$130,MATCH('A1 - Raw Material Supply'!$B$20&amp;'A1 - Raw Material Supply'!$D$20,LCI!$B$2:$B$130&amp;LCI!$D$2:$D$130,0))*$C$20</f>
        <v>4.5093023497641831E-4</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4.5093023497641831E-4</v>
      </c>
    </row>
    <row r="70" spans="1:25" x14ac:dyDescent="0.35">
      <c r="A70" s="1" t="s">
        <v>284</v>
      </c>
      <c r="B70" s="158">
        <f>INDEX(LCI!M$2:M$130,MATCH('A1 - Raw Material Supply'!$B5,LCI!$D$2:$D$130,0))*$C5</f>
        <v>1.7051286340328997</v>
      </c>
      <c r="C70" s="158">
        <f>INDEX(LCI!M$2:M$130,MATCH('A1 - Raw Material Supply'!$B6,LCI!$D$2:$D$130,0))*$C6</f>
        <v>2.8511986995304226</v>
      </c>
      <c r="D70" s="158">
        <f>INDEX(LCI!M$2:M$130,MATCH('A1 - Raw Material Supply'!$B7,LCI!$D$2:$D$130,0))*$C7</f>
        <v>9.8673837346494029</v>
      </c>
      <c r="E70" s="158">
        <f>INDEX(LCI!M$2:M$130,MATCH('A1 - Raw Material Supply'!$B8,LCI!$D$2:$D$130,0))*$C8</f>
        <v>0</v>
      </c>
      <c r="F70" s="158">
        <f>INDEX(LCI!M$2:M$130,MATCH('A1 - Raw Material Supply'!$B9,LCI!$D$2:$D$130,0))*$C9</f>
        <v>0</v>
      </c>
      <c r="G70" s="158">
        <f>INDEX(LCI!M$2:M$130,MATCH('A1 - Raw Material Supply'!$B10,LCI!$D$2:$D$130,0))*$C10</f>
        <v>0</v>
      </c>
      <c r="H70" s="158">
        <f>INDEX(LCI!M$2:M$130,MATCH('A1 - Raw Material Supply'!$B11,LCI!$D$2:$D$130,0))*$C11</f>
        <v>0.68141437889121736</v>
      </c>
      <c r="I70" s="158">
        <f>INDEX(LCI!M$2:M$130,MATCH('A1 - Raw Material Supply'!$B12,LCI!$D$2:$D$130,0))*$C12</f>
        <v>0</v>
      </c>
      <c r="J70" s="158">
        <f>INDEX(LCI!M$2:M$130,MATCH('A1 - Raw Material Supply'!$B13,LCI!$D$2:$D$130,0))*$C13</f>
        <v>0</v>
      </c>
      <c r="K70" s="154">
        <f t="shared" si="3"/>
        <v>15.105125447103942</v>
      </c>
      <c r="L70" s="158" cm="1">
        <f t="array" ref="L70">INDEX(LCI!M$2:M$130,MATCH('A1 - Raw Material Supply'!$B$14&amp;'A1 - Raw Material Supply'!$D$14,LCI!$B$2:$B$130&amp;LCI!$D$2:$D$130,0))*$C14</f>
        <v>0.37977548705269193</v>
      </c>
      <c r="M70" s="158" cm="1">
        <f t="array" ref="M70">INDEX(LCI!M$2:M$130,MATCH('A1 - Raw Material Supply'!$B$15&amp;'A1 - Raw Material Supply'!$D$15,LCI!$B$2:$B$130&amp;LCI!$D$2:$D$130,0))*$C15</f>
        <v>0</v>
      </c>
      <c r="N70" s="154">
        <f t="shared" si="4"/>
        <v>0.37977548705269193</v>
      </c>
      <c r="O70" s="158" cm="1">
        <f t="array" ref="O70">INDEX(LCI!M$2:M$137,MATCH('A1 - Raw Material Supply'!$B4&amp;'A1 - Raw Material Supply'!$D4,LCI!$B2:$B137&amp;LCI!$D2:$D137,0))*$C4</f>
        <v>631.55999999999995</v>
      </c>
      <c r="P70" s="159"/>
      <c r="Q70" s="159"/>
      <c r="R70" s="154"/>
      <c r="S70" s="158"/>
      <c r="T70" s="158"/>
      <c r="U70" s="154"/>
      <c r="V70" s="158" cm="1">
        <f t="array" ref="V70">INDEX(LCI!M$2:M$130,MATCH('A1 - Raw Material Supply'!$B$20&amp;'A1 - Raw Material Supply'!$D$20,LCI!$B$2:$B$130&amp;LCI!$D$2:$D$130,0))*$C$20</f>
        <v>2.7323846812273751</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2.7323846812273751</v>
      </c>
    </row>
    <row r="71" spans="1:25" x14ac:dyDescent="0.35">
      <c r="A71" s="1" t="s">
        <v>285</v>
      </c>
      <c r="B71" s="158">
        <f>INDEX(LCI!N$2:N$130,MATCH('A1 - Raw Material Supply'!$B5,LCI!$D$2:$D$130,0))*$C5</f>
        <v>2.4451836674520284</v>
      </c>
      <c r="C71" s="158">
        <f>INDEX(LCI!N$2:N$130,MATCH('A1 - Raw Material Supply'!$B6,LCI!$D$2:$D$130,0))*$C6</f>
        <v>4.0886677718050306</v>
      </c>
      <c r="D71" s="158">
        <f>INDEX(LCI!N$2:N$130,MATCH('A1 - Raw Material Supply'!$B7,LCI!$D$2:$D$130,0))*$C7</f>
        <v>14.149997288697804</v>
      </c>
      <c r="E71" s="158">
        <f>INDEX(LCI!N$2:N$130,MATCH('A1 - Raw Material Supply'!$B8,LCI!$D$2:$D$130,0))*$C8</f>
        <v>0</v>
      </c>
      <c r="F71" s="158">
        <f>INDEX(LCI!N$2:N$130,MATCH('A1 - Raw Material Supply'!$B9,LCI!$D$2:$D$130,0))*$C9</f>
        <v>0</v>
      </c>
      <c r="G71" s="158">
        <f>INDEX(LCI!N$2:N$130,MATCH('A1 - Raw Material Supply'!$B10,LCI!$D$2:$D$130,0))*$C10</f>
        <v>0</v>
      </c>
      <c r="H71" s="158">
        <f>INDEX(LCI!N$2:N$130,MATCH('A1 - Raw Material Supply'!$B11,LCI!$D$2:$D$130,0))*$C11</f>
        <v>10.370944919540303</v>
      </c>
      <c r="I71" s="158">
        <f>INDEX(LCI!N$2:N$130,MATCH('A1 - Raw Material Supply'!$B12,LCI!$D$2:$D$130,0))*$C12</f>
        <v>0</v>
      </c>
      <c r="J71" s="158">
        <f>INDEX(LCI!N$2:N$130,MATCH('A1 - Raw Material Supply'!$B13,LCI!$D$2:$D$130,0))*$C13</f>
        <v>0</v>
      </c>
      <c r="K71" s="154">
        <f t="shared" si="3"/>
        <v>31.054793647495167</v>
      </c>
      <c r="L71" s="158" cm="1">
        <f t="array" ref="L71">INDEX(LCI!N$2:N$130,MATCH('A1 - Raw Material Supply'!$B$14&amp;'A1 - Raw Material Supply'!$D$14,LCI!$B$2:$B$130&amp;LCI!$D$2:$D$130,0))*$C14</f>
        <v>2.0373321039625885</v>
      </c>
      <c r="M71" s="158" cm="1">
        <f t="array" ref="M71">INDEX(LCI!N$2:N$130,MATCH('A1 - Raw Material Supply'!$B$15&amp;'A1 - Raw Material Supply'!$D$15,LCI!$B$2:$B$130&amp;LCI!$D$2:$D$130,0))*$C15</f>
        <v>0</v>
      </c>
      <c r="N71" s="154">
        <f t="shared" si="4"/>
        <v>2.0373321039625885</v>
      </c>
      <c r="O71" s="158" cm="1">
        <f t="array" ref="O71">INDEX(LCI!N$2:N$137,MATCH('A1 - Raw Material Supply'!$B4&amp;'A1 - Raw Material Supply'!$D4,LCI!$B2:$B137&amp;LCI!$D2:$D137,0))*$C4</f>
        <v>1014.928</v>
      </c>
      <c r="P71" s="159"/>
      <c r="Q71" s="159"/>
      <c r="R71" s="154"/>
      <c r="S71" s="158"/>
      <c r="T71" s="158"/>
      <c r="U71" s="154"/>
      <c r="V71" s="158" cm="1">
        <f t="array" ref="V71">INDEX(LCI!N$2:N$130,MATCH('A1 - Raw Material Supply'!$B$20&amp;'A1 - Raw Material Supply'!$D$20,LCI!$B$2:$B$130&amp;LCI!$D$2:$D$130,0))*$C$20</f>
        <v>7.5519828674110823</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7.5519828674110823</v>
      </c>
    </row>
    <row r="72" spans="1:25" x14ac:dyDescent="0.35">
      <c r="A72" s="1" t="s">
        <v>286</v>
      </c>
      <c r="B72" s="158">
        <f>INDEX(LCI!O$2:O$130,MATCH('A1 - Raw Material Supply'!$B5,LCI!$D$2:$D$130,0))*$C5</f>
        <v>1.2750752508948473E-5</v>
      </c>
      <c r="C72" s="158">
        <f>INDEX(LCI!O$2:O$130,MATCH('A1 - Raw Material Supply'!$B6,LCI!$D$2:$D$130,0))*$C6</f>
        <v>2.1320930424799085E-5</v>
      </c>
      <c r="D72" s="158">
        <f>INDEX(LCI!O$2:O$130,MATCH('A1 - Raw Material Supply'!$B7,LCI!$D$2:$D$130,0))*$C7</f>
        <v>7.3787141568177228E-5</v>
      </c>
      <c r="E72" s="158">
        <f>INDEX(LCI!O$2:O$130,MATCH('A1 - Raw Material Supply'!$B8,LCI!$D$2:$D$130,0))*$C8</f>
        <v>0</v>
      </c>
      <c r="F72" s="158">
        <f>INDEX(LCI!O$2:O$130,MATCH('A1 - Raw Material Supply'!$B9,LCI!$D$2:$D$130,0))*$C9</f>
        <v>0</v>
      </c>
      <c r="G72" s="158">
        <f>INDEX(LCI!O$2:O$130,MATCH('A1 - Raw Material Supply'!$B10,LCI!$D$2:$D$130,0))*$C10</f>
        <v>0</v>
      </c>
      <c r="H72" s="158">
        <f>INDEX(LCI!O$2:O$130,MATCH('A1 - Raw Material Supply'!$B11,LCI!$D$2:$D$130,0))*$C11</f>
        <v>3.5986534448919457E-5</v>
      </c>
      <c r="I72" s="158">
        <f>INDEX(LCI!O$2:O$130,MATCH('A1 - Raw Material Supply'!$B12,LCI!$D$2:$D$130,0))*$C12</f>
        <v>0</v>
      </c>
      <c r="J72" s="158">
        <f>INDEX(LCI!O$2:O$130,MATCH('A1 - Raw Material Supply'!$B13,LCI!$D$2:$D$130,0))*$C13</f>
        <v>0</v>
      </c>
      <c r="K72" s="154">
        <f t="shared" si="3"/>
        <v>1.4384535895084423E-4</v>
      </c>
      <c r="L72" s="158" cm="1">
        <f t="array" ref="L72">INDEX(LCI!O$2:O$130,MATCH('A1 - Raw Material Supply'!$B$14&amp;'A1 - Raw Material Supply'!$D$14,LCI!$B$2:$B$130&amp;LCI!$D$2:$D$130,0))*$C14</f>
        <v>7.3105915013882289E-5</v>
      </c>
      <c r="M72" s="158" cm="1">
        <f t="array" ref="M72">INDEX(LCI!O$2:O$130,MATCH('A1 - Raw Material Supply'!$B$15&amp;'A1 - Raw Material Supply'!$D$15,LCI!$B$2:$B$130&amp;LCI!$D$2:$D$130,0))*$C15</f>
        <v>0</v>
      </c>
      <c r="N72" s="154">
        <f t="shared" si="4"/>
        <v>7.3105915013882289E-5</v>
      </c>
      <c r="O72" s="158" cm="1">
        <f t="array" ref="O72">INDEX(LCI!O$2:O$137,MATCH('A1 - Raw Material Supply'!$B4&amp;'A1 - Raw Material Supply'!$D4,LCI!$B2:$B137&amp;LCI!$D2:$D137,0))*$C4</f>
        <v>9.8611999999999997E-6</v>
      </c>
      <c r="P72" s="159"/>
      <c r="Q72" s="159"/>
      <c r="R72" s="154"/>
      <c r="S72" s="158"/>
      <c r="T72" s="158"/>
      <c r="U72" s="154"/>
      <c r="V72" s="158" cm="1">
        <f t="array" ref="V72">INDEX(LCI!O$2:O$130,MATCH('A1 - Raw Material Supply'!$B$20&amp;'A1 - Raw Material Supply'!$D$20,LCI!$B$2:$B$130&amp;LCI!$D$2:$D$130,0))*$C$20</f>
        <v>1.7251445628132297E-4</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1.7251445628132297E-4</v>
      </c>
    </row>
    <row r="73" spans="1:25" x14ac:dyDescent="0.35">
      <c r="A73" s="1" t="s">
        <v>287</v>
      </c>
      <c r="B73" s="158">
        <f>INDEX(LCI!P$2:P$130,MATCH('A1 - Raw Material Supply'!$B5,LCI!$D$2:$D$130,0))*$C5</f>
        <v>1.1928010996352723E-3</v>
      </c>
      <c r="C73" s="158">
        <f>INDEX(LCI!P$2:P$130,MATCH('A1 - Raw Material Supply'!$B6,LCI!$D$2:$D$130,0))*$C6</f>
        <v>1.994519871521275E-3</v>
      </c>
      <c r="D73" s="158">
        <f>INDEX(LCI!P$2:P$130,MATCH('A1 - Raw Material Supply'!$B7,LCI!$D$2:$D$130,0))*$C7</f>
        <v>6.9026030847746086E-3</v>
      </c>
      <c r="E73" s="158">
        <f>INDEX(LCI!P$2:P$130,MATCH('A1 - Raw Material Supply'!$B8,LCI!$D$2:$D$130,0))*$C8</f>
        <v>0</v>
      </c>
      <c r="F73" s="158">
        <f>INDEX(LCI!P$2:P$130,MATCH('A1 - Raw Material Supply'!$B9,LCI!$D$2:$D$130,0))*$C9</f>
        <v>0</v>
      </c>
      <c r="G73" s="158">
        <f>INDEX(LCI!P$2:P$130,MATCH('A1 - Raw Material Supply'!$B10,LCI!$D$2:$D$130,0))*$C10</f>
        <v>0</v>
      </c>
      <c r="H73" s="158">
        <f>INDEX(LCI!P$2:P$130,MATCH('A1 - Raw Material Supply'!$B11,LCI!$D$2:$D$130,0))*$C11</f>
        <v>3.2281769672834067E-3</v>
      </c>
      <c r="I73" s="158">
        <f>INDEX(LCI!P$2:P$130,MATCH('A1 - Raw Material Supply'!$B12,LCI!$D$2:$D$130,0))*$C12</f>
        <v>0</v>
      </c>
      <c r="J73" s="158">
        <f>INDEX(LCI!P$2:P$130,MATCH('A1 - Raw Material Supply'!$B13,LCI!$D$2:$D$130,0))*$C13</f>
        <v>0</v>
      </c>
      <c r="K73" s="154">
        <f t="shared" si="3"/>
        <v>1.3318101023214563E-2</v>
      </c>
      <c r="L73" s="158" cm="1">
        <f t="array" ref="L73">INDEX(LCI!P$2:P$130,MATCH('A1 - Raw Material Supply'!$B$14&amp;'A1 - Raw Material Supply'!$D$14,LCI!$B$2:$B$130&amp;LCI!$D$2:$D$130,0))*$C14</f>
        <v>2.1080260603251652E-4</v>
      </c>
      <c r="M73" s="158" cm="1">
        <f t="array" ref="M73">INDEX(LCI!P$2:P$130,MATCH('A1 - Raw Material Supply'!$B$15&amp;'A1 - Raw Material Supply'!$D$15,LCI!$B$2:$B$130&amp;LCI!$D$2:$D$130,0))*$C15</f>
        <v>0</v>
      </c>
      <c r="N73" s="154">
        <f t="shared" si="4"/>
        <v>2.1080260603251652E-4</v>
      </c>
      <c r="O73" s="158" cm="1">
        <f t="array" ref="O73">INDEX(LCI!P$2:P$137,MATCH('A1 - Raw Material Supply'!$B4&amp;'A1 - Raw Material Supply'!$D4,LCI!$B2:$B137&amp;LCI!$D2:$D137,0))*$C4</f>
        <v>9.8390400000000003E-3</v>
      </c>
      <c r="P73" s="159"/>
      <c r="Q73" s="159"/>
      <c r="R73" s="154"/>
      <c r="S73" s="158"/>
      <c r="T73" s="158"/>
      <c r="U73" s="154"/>
      <c r="V73" s="158" cm="1">
        <f t="array" ref="V73">INDEX(LCI!P$2:P$130,MATCH('A1 - Raw Material Supply'!$B$20&amp;'A1 - Raw Material Supply'!$D$20,LCI!$B$2:$B$130&amp;LCI!$D$2:$D$130,0))*$C$20</f>
        <v>1.0307679995824358E-3</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1.0307679995824358E-3</v>
      </c>
    </row>
    <row r="74" spans="1:25" x14ac:dyDescent="0.35">
      <c r="A74" s="1" t="s">
        <v>288</v>
      </c>
      <c r="B74" s="158">
        <f>INDEX(LCI!Q$2:Q$130,MATCH('A1 - Raw Material Supply'!$B5,LCI!$D$2:$D$130,0))*$C5</f>
        <v>1.6636956030935176E-2</v>
      </c>
      <c r="C74" s="158">
        <f>INDEX(LCI!Q$2:Q$130,MATCH('A1 - Raw Material Supply'!$B6,LCI!$D$2:$D$130,0))*$C6</f>
        <v>2.7819172379596521E-2</v>
      </c>
      <c r="D74" s="158">
        <f>INDEX(LCI!Q$2:Q$130,MATCH('A1 - Raw Material Supply'!$B7,LCI!$D$2:$D$130,0))*$C7</f>
        <v>9.6276155392133064E-2</v>
      </c>
      <c r="E74" s="158">
        <f>INDEX(LCI!Q$2:Q$130,MATCH('A1 - Raw Material Supply'!$B8,LCI!$D$2:$D$130,0))*$C8</f>
        <v>0</v>
      </c>
      <c r="F74" s="158">
        <f>INDEX(LCI!Q$2:Q$130,MATCH('A1 - Raw Material Supply'!$B9,LCI!$D$2:$D$130,0))*$C9</f>
        <v>0</v>
      </c>
      <c r="G74" s="158">
        <f>INDEX(LCI!Q$2:Q$130,MATCH('A1 - Raw Material Supply'!$B10,LCI!$D$2:$D$130,0))*$C10</f>
        <v>0</v>
      </c>
      <c r="H74" s="158">
        <f>INDEX(LCI!Q$2:Q$130,MATCH('A1 - Raw Material Supply'!$B11,LCI!$D$2:$D$130,0))*$C11</f>
        <v>3.5455015593932562E-2</v>
      </c>
      <c r="I74" s="158">
        <f>INDEX(LCI!Q$2:Q$130,MATCH('A1 - Raw Material Supply'!$B12,LCI!$D$2:$D$130,0))*$C12</f>
        <v>0</v>
      </c>
      <c r="J74" s="158">
        <f>INDEX(LCI!Q$2:Q$130,MATCH('A1 - Raw Material Supply'!$B13,LCI!$D$2:$D$130,0))*$C13</f>
        <v>0</v>
      </c>
      <c r="K74" s="154">
        <f t="shared" si="3"/>
        <v>0.17618729939659733</v>
      </c>
      <c r="L74" s="158" cm="1">
        <f t="array" ref="L74">INDEX(LCI!Q$2:Q$130,MATCH('A1 - Raw Material Supply'!$B$14&amp;'A1 - Raw Material Supply'!$D$14,LCI!$B$2:$B$130&amp;LCI!$D$2:$D$130,0))*$C14</f>
        <v>2.49859756171603E-3</v>
      </c>
      <c r="M74" s="158" cm="1">
        <f t="array" ref="M74">INDEX(LCI!Q$2:Q$130,MATCH('A1 - Raw Material Supply'!$B$15&amp;'A1 - Raw Material Supply'!$D$15,LCI!$B$2:$B$130&amp;LCI!$D$2:$D$130,0))*$C15</f>
        <v>0</v>
      </c>
      <c r="N74" s="154">
        <f t="shared" si="4"/>
        <v>2.49859756171603E-3</v>
      </c>
      <c r="O74" s="158" cm="1">
        <f t="array" ref="O74">INDEX(LCI!Q$2:Q$137,MATCH('A1 - Raw Material Supply'!$B4&amp;'A1 - Raw Material Supply'!$D4,LCI!$B2:$B137&amp;LCI!$D2:$D137,0))*$C4</f>
        <v>0.1076976</v>
      </c>
      <c r="P74" s="159"/>
      <c r="Q74" s="159"/>
      <c r="R74" s="154"/>
      <c r="S74" s="158"/>
      <c r="T74" s="158"/>
      <c r="U74" s="154"/>
      <c r="V74" s="158" cm="1">
        <f t="array" ref="V74">INDEX(LCI!Q$2:Q$130,MATCH('A1 - Raw Material Supply'!$B$20&amp;'A1 - Raw Material Supply'!$D$20,LCI!$B$2:$B$130&amp;LCI!$D$2:$D$130,0))*$C$20</f>
        <v>1.0579231622299769E-2</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1.0579231622299769E-2</v>
      </c>
    </row>
    <row r="75" spans="1:25" x14ac:dyDescent="0.35">
      <c r="A75" s="1" t="s">
        <v>289</v>
      </c>
      <c r="B75" s="158">
        <f>INDEX(LCI!R$2:R$130,MATCH('A1 - Raw Material Supply'!$B5,LCI!$D$2:$D$130,0))*$C5</f>
        <v>3.1098734480592764E-11</v>
      </c>
      <c r="C75" s="158">
        <f>INDEX(LCI!R$2:R$130,MATCH('A1 - Raw Material Supply'!$B6,LCI!$D$2:$D$130,0))*$C6</f>
        <v>5.2001162574105932E-11</v>
      </c>
      <c r="D75" s="158">
        <f>INDEX(LCI!R$2:R$130,MATCH('A1 - Raw Material Supply'!$B7,LCI!$D$2:$D$130,0))*$C7</f>
        <v>1.7996480773195484E-10</v>
      </c>
      <c r="E75" s="158">
        <f>INDEX(LCI!R$2:R$130,MATCH('A1 - Raw Material Supply'!$B8,LCI!$D$2:$D$130,0))*$C8</f>
        <v>0</v>
      </c>
      <c r="F75" s="158">
        <f>INDEX(LCI!R$2:R$130,MATCH('A1 - Raw Material Supply'!$B9,LCI!$D$2:$D$130,0))*$C9</f>
        <v>0</v>
      </c>
      <c r="G75" s="158">
        <f>INDEX(LCI!R$2:R$130,MATCH('A1 - Raw Material Supply'!$B10,LCI!$D$2:$D$130,0))*$C10</f>
        <v>0</v>
      </c>
      <c r="H75" s="158">
        <f>INDEX(LCI!R$2:R$130,MATCH('A1 - Raw Material Supply'!$B11,LCI!$D$2:$D$130,0))*$C11</f>
        <v>9.3860734157275078E-11</v>
      </c>
      <c r="I75" s="158">
        <f>INDEX(LCI!R$2:R$130,MATCH('A1 - Raw Material Supply'!$B12,LCI!$D$2:$D$130,0))*$C12</f>
        <v>0</v>
      </c>
      <c r="J75" s="158">
        <f>INDEX(LCI!R$2:R$130,MATCH('A1 - Raw Material Supply'!$B13,LCI!$D$2:$D$130,0))*$C13</f>
        <v>0</v>
      </c>
      <c r="K75" s="154">
        <f t="shared" si="3"/>
        <v>3.5692543894392867E-10</v>
      </c>
      <c r="L75" s="158" cm="1">
        <f t="array" ref="L75">INDEX(LCI!R$2:R$130,MATCH('A1 - Raw Material Supply'!$B$14&amp;'A1 - Raw Material Supply'!$D$14,LCI!$B$2:$B$130&amp;LCI!$D$2:$D$130,0))*$C14</f>
        <v>2.5071044568388908E-11</v>
      </c>
      <c r="M75" s="158" cm="1">
        <f t="array" ref="M75">INDEX(LCI!R$2:R$130,MATCH('A1 - Raw Material Supply'!$B$15&amp;'A1 - Raw Material Supply'!$D$15,LCI!$B$2:$B$130&amp;LCI!$D$2:$D$130,0))*$C15</f>
        <v>0</v>
      </c>
      <c r="N75" s="154">
        <f t="shared" si="4"/>
        <v>2.5071044568388908E-11</v>
      </c>
      <c r="O75" s="158" cm="1">
        <f t="array" ref="O75">INDEX(LCI!R$2:R$137,MATCH('A1 - Raw Material Supply'!$B4&amp;'A1 - Raw Material Supply'!$D4,LCI!$B2:$B137&amp;LCI!$D2:$D137,0))*$C4</f>
        <v>1.099136E-8</v>
      </c>
      <c r="P75" s="159"/>
      <c r="Q75" s="159"/>
      <c r="R75" s="154"/>
      <c r="S75" s="158"/>
      <c r="T75" s="158"/>
      <c r="U75" s="154"/>
      <c r="V75" s="158" cm="1">
        <f t="array" ref="V75">INDEX(LCI!R$2:R$130,MATCH('A1 - Raw Material Supply'!$B$20&amp;'A1 - Raw Material Supply'!$D$20,LCI!$B$2:$B$130&amp;LCI!$D$2:$D$130,0))*$C$20</f>
        <v>3.4322818084723971E-10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3.4322818084723971E-10</v>
      </c>
    </row>
    <row r="76" spans="1:25" x14ac:dyDescent="0.35">
      <c r="A76" s="1" t="s">
        <v>319</v>
      </c>
      <c r="B76" s="158">
        <f>INDEX(LCI!S$2:S$130,MATCH('A1 - Raw Material Supply'!$B5,LCI!$D$2:$D$130,0))*$C5</f>
        <v>8.2554245453956894E-10</v>
      </c>
      <c r="C76" s="158">
        <f>INDEX(LCI!S$2:S$130,MATCH('A1 - Raw Material Supply'!$B6,LCI!$D$2:$D$130,0))*$C6</f>
        <v>1.3804152518530496E-9</v>
      </c>
      <c r="D76" s="158">
        <f>INDEX(LCI!S$2:S$130,MATCH('A1 - Raw Material Supply'!$B7,LCI!$D$2:$D$130,0))*$C7</f>
        <v>4.7773194500404562E-9</v>
      </c>
      <c r="E76" s="158">
        <f>INDEX(LCI!S$2:S$130,MATCH('A1 - Raw Material Supply'!$B8,LCI!$D$2:$D$130,0))*$C8</f>
        <v>0</v>
      </c>
      <c r="F76" s="158">
        <f>INDEX(LCI!S$2:S$130,MATCH('A1 - Raw Material Supply'!$B9,LCI!$D$2:$D$130,0))*$C9</f>
        <v>0</v>
      </c>
      <c r="G76" s="158">
        <f>INDEX(LCI!S$2:S$130,MATCH('A1 - Raw Material Supply'!$B10,LCI!$D$2:$D$130,0))*$C10</f>
        <v>0</v>
      </c>
      <c r="H76" s="158">
        <f>INDEX(LCI!S$2:S$130,MATCH('A1 - Raw Material Supply'!$B11,LCI!$D$2:$D$130,0))*$C11</f>
        <v>1.5129116376803103E-9</v>
      </c>
      <c r="I76" s="158">
        <f>INDEX(LCI!S$2:S$130,MATCH('A1 - Raw Material Supply'!$B12,LCI!$D$2:$D$130,0))*$C12</f>
        <v>0</v>
      </c>
      <c r="J76" s="158">
        <f>INDEX(LCI!S$2:S$130,MATCH('A1 - Raw Material Supply'!$B13,LCI!$D$2:$D$130,0))*$C13</f>
        <v>0</v>
      </c>
      <c r="K76" s="154">
        <f t="shared" si="3"/>
        <v>8.4961887941133851E-9</v>
      </c>
      <c r="L76" s="158" cm="1">
        <f t="array" ref="L76">INDEX(LCI!S$2:S$130,MATCH('A1 - Raw Material Supply'!$B$14&amp;'A1 - Raw Material Supply'!$D$14,LCI!$B$2:$B$130&amp;LCI!$D$2:$D$130,0))*$C14</f>
        <v>9.5260510567475159E-10</v>
      </c>
      <c r="M76" s="158" cm="1">
        <f t="array" ref="M76">INDEX(LCI!S$2:S$130,MATCH('A1 - Raw Material Supply'!$B$15&amp;'A1 - Raw Material Supply'!$D$15,LCI!$B$2:$B$130&amp;LCI!$D$2:$D$130,0))*$C15</f>
        <v>0</v>
      </c>
      <c r="N76" s="154">
        <f t="shared" si="4"/>
        <v>9.5260510567475159E-10</v>
      </c>
      <c r="O76" s="158" cm="1">
        <f t="array" ref="O76">INDEX(LCI!S$2:S$137,MATCH('A1 - Raw Material Supply'!$B4&amp;'A1 - Raw Material Supply'!$D4,LCI!$B2:$B137&amp;LCI!$D2:$D137,0))*$C4</f>
        <v>3.1688799999999997E-7</v>
      </c>
      <c r="P76" s="159"/>
      <c r="Q76" s="159"/>
      <c r="R76" s="154"/>
      <c r="S76" s="158"/>
      <c r="T76" s="158"/>
      <c r="U76" s="154"/>
      <c r="V76" s="158" cm="1">
        <f t="array" ref="V76">INDEX(LCI!S$2:S$130,MATCH('A1 - Raw Material Supply'!$B$20&amp;'A1 - Raw Material Supply'!$D$20,LCI!$B$2:$B$130&amp;LCI!$D$2:$D$130,0))*$C$20</f>
        <v>1.519562698401938E-8</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1.519562698401938E-8</v>
      </c>
    </row>
    <row r="77" spans="1:25" x14ac:dyDescent="0.35">
      <c r="A77" s="1" t="s">
        <v>291</v>
      </c>
      <c r="B77" s="158">
        <f>INDEX(LCI!T$2:T$130,MATCH('A1 - Raw Material Supply'!$B5,LCI!$D$2:$D$130,0))*$C5</f>
        <v>6.5235409876746985E-3</v>
      </c>
      <c r="C77" s="158">
        <f>INDEX(LCI!T$2:T$130,MATCH('A1 - Raw Material Supply'!$B6,LCI!$D$2:$D$130,0))*$C6</f>
        <v>1.0908216077751135E-2</v>
      </c>
      <c r="D77" s="158">
        <f>INDEX(LCI!T$2:T$130,MATCH('A1 - Raw Material Supply'!$B7,LCI!$D$2:$D$130,0))*$C7</f>
        <v>3.7750983092609318E-2</v>
      </c>
      <c r="E77" s="158">
        <f>INDEX(LCI!T$2:T$130,MATCH('A1 - Raw Material Supply'!$B8,LCI!$D$2:$D$130,0))*$C8</f>
        <v>0</v>
      </c>
      <c r="F77" s="158">
        <f>INDEX(LCI!T$2:T$130,MATCH('A1 - Raw Material Supply'!$B9,LCI!$D$2:$D$130,0))*$C9</f>
        <v>0</v>
      </c>
      <c r="G77" s="158">
        <f>INDEX(LCI!T$2:T$130,MATCH('A1 - Raw Material Supply'!$B10,LCI!$D$2:$D$130,0))*$C10</f>
        <v>0</v>
      </c>
      <c r="H77" s="158">
        <f>INDEX(LCI!T$2:T$130,MATCH('A1 - Raw Material Supply'!$B11,LCI!$D$2:$D$130,0))*$C11</f>
        <v>6.8171824219277885E-3</v>
      </c>
      <c r="I77" s="158">
        <f>INDEX(LCI!T$2:T$130,MATCH('A1 - Raw Material Supply'!$B12,LCI!$D$2:$D$130,0))*$C12</f>
        <v>0</v>
      </c>
      <c r="J77" s="158">
        <f>INDEX(LCI!T$2:T$130,MATCH('A1 - Raw Material Supply'!$B13,LCI!$D$2:$D$130,0))*$C13</f>
        <v>0</v>
      </c>
      <c r="K77" s="154">
        <f t="shared" si="3"/>
        <v>6.1999922579962938E-2</v>
      </c>
      <c r="L77" s="158" cm="1">
        <f t="array" ref="L77">INDEX(LCI!T$2:T$130,MATCH('A1 - Raw Material Supply'!$B$14&amp;'A1 - Raw Material Supply'!$D$14,LCI!$B$2:$B$130&amp;LCI!$D$2:$D$130,0))*$C14</f>
        <v>3.9110006778906019E-2</v>
      </c>
      <c r="M77" s="158" cm="1">
        <f t="array" ref="M77">INDEX(LCI!T$2:T$130,MATCH('A1 - Raw Material Supply'!$B$15&amp;'A1 - Raw Material Supply'!$D$15,LCI!$B$2:$B$130&amp;LCI!$D$2:$D$130,0))*$C15</f>
        <v>0</v>
      </c>
      <c r="N77" s="154">
        <f t="shared" si="4"/>
        <v>3.9110006778906019E-2</v>
      </c>
      <c r="O77" s="158" cm="1">
        <f t="array" ref="O77">INDEX(LCI!T$2:T$137,MATCH('A1 - Raw Material Supply'!$B4&amp;'A1 - Raw Material Supply'!$D4,LCI!$B2:$B137&amp;LCI!$D2:$D137,0))*$C4</f>
        <v>0.16730799999999998</v>
      </c>
      <c r="P77" s="159"/>
      <c r="Q77" s="159"/>
      <c r="R77" s="154"/>
      <c r="S77" s="158"/>
      <c r="T77" s="158"/>
      <c r="U77" s="154"/>
      <c r="V77" s="158" cm="1">
        <f t="array" ref="V77">INDEX(LCI!T$2:T$130,MATCH('A1 - Raw Material Supply'!$B$20&amp;'A1 - Raw Material Supply'!$D$20,LCI!$B$2:$B$130&amp;LCI!$D$2:$D$130,0))*$C$20</f>
        <v>0.10643324427322706</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0.10643324427322706</v>
      </c>
    </row>
    <row r="78" spans="1:25" x14ac:dyDescent="0.35">
      <c r="A78" s="1" t="s">
        <v>292</v>
      </c>
      <c r="B78" s="158">
        <f>INDEX(LCI!U$2:U$130,MATCH('A1 - Raw Material Supply'!$B5,LCI!$D$2:$D$130,0))*$C5</f>
        <v>2.0111230924374026</v>
      </c>
      <c r="C78" s="158">
        <f>INDEX(LCI!U$2:U$130,MATCH('A1 - Raw Material Supply'!$B6,LCI!$D$2:$D$130,0))*$C6</f>
        <v>3.3628615644035253</v>
      </c>
      <c r="D78" s="158">
        <f>INDEX(LCI!U$2:U$130,MATCH('A1 - Raw Material Supply'!$B7,LCI!$D$2:$D$130,0))*$C7</f>
        <v>11.638138551318084</v>
      </c>
      <c r="E78" s="158">
        <f>INDEX(LCI!U$2:U$130,MATCH('A1 - Raw Material Supply'!$B8,LCI!$D$2:$D$130,0))*$C8</f>
        <v>0</v>
      </c>
      <c r="F78" s="158">
        <f>INDEX(LCI!U$2:U$130,MATCH('A1 - Raw Material Supply'!$B9,LCI!$D$2:$D$130,0))*$C9</f>
        <v>0</v>
      </c>
      <c r="G78" s="158">
        <f>INDEX(LCI!U$2:U$130,MATCH('A1 - Raw Material Supply'!$B10,LCI!$D$2:$D$130,0))*$C10</f>
        <v>0</v>
      </c>
      <c r="H78" s="158">
        <f>INDEX(LCI!U$2:U$130,MATCH('A1 - Raw Material Supply'!$B11,LCI!$D$2:$D$130,0))*$C11</f>
        <v>374.18983912961073</v>
      </c>
      <c r="I78" s="158">
        <f>INDEX(LCI!U$2:U$130,MATCH('A1 - Raw Material Supply'!$B12,LCI!$D$2:$D$130,0))*$C12</f>
        <v>0</v>
      </c>
      <c r="J78" s="158">
        <f>INDEX(LCI!U$2:U$130,MATCH('A1 - Raw Material Supply'!$B13,LCI!$D$2:$D$130,0))*$C13</f>
        <v>0</v>
      </c>
      <c r="K78" s="154">
        <f t="shared" si="3"/>
        <v>391.20196233776971</v>
      </c>
      <c r="L78" s="158" cm="1">
        <f t="array" ref="L78">INDEX(LCI!U$2:U$130,MATCH('A1 - Raw Material Supply'!$B$14&amp;'A1 - Raw Material Supply'!$D$14,LCI!$B$2:$B$130&amp;LCI!$D$2:$D$130,0))*$C14</f>
        <v>0.6282499716687221</v>
      </c>
      <c r="M78" s="158" cm="1">
        <f t="array" ref="M78">INDEX(LCI!U$2:U$130,MATCH('A1 - Raw Material Supply'!$B$15&amp;'A1 - Raw Material Supply'!$D$15,LCI!$B$2:$B$130&amp;LCI!$D$2:$D$130,0))*$C15</f>
        <v>0</v>
      </c>
      <c r="N78" s="154">
        <f t="shared" si="4"/>
        <v>0.6282499716687221</v>
      </c>
      <c r="O78" s="158" cm="1">
        <f t="array" ref="O78">INDEX(LCI!U$2:U$137,MATCH('A1 - Raw Material Supply'!$B4&amp;'A1 - Raw Material Supply'!$D4,LCI!$B2:$B137&amp;LCI!$D2:$D137,0))*$C4</f>
        <v>5.8280799999999999</v>
      </c>
      <c r="P78" s="159"/>
      <c r="Q78" s="159"/>
      <c r="R78" s="154"/>
      <c r="S78" s="158"/>
      <c r="T78" s="158"/>
      <c r="U78" s="154"/>
      <c r="V78" s="158" cm="1">
        <f t="array" ref="V78">INDEX(LCI!U$2:U$130,MATCH('A1 - Raw Material Supply'!$B$20&amp;'A1 - Raw Material Supply'!$D$20,LCI!$B$2:$B$130&amp;LCI!$D$2:$D$130,0))*$C$20</f>
        <v>2.9238161430011052</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2.9238161430011052</v>
      </c>
    </row>
    <row r="79" spans="1:25" x14ac:dyDescent="0.35">
      <c r="A79" s="1" t="s">
        <v>293</v>
      </c>
      <c r="B79" s="158">
        <f>INDEX(LCI!V$2:V$130,MATCH('A1 - Raw Material Supply'!$B5,LCI!$D$2:$D$130,0))*$C5</f>
        <v>5.0015886110421941E-7</v>
      </c>
      <c r="C79" s="158">
        <f>INDEX(LCI!V$2:V$130,MATCH('A1 - Raw Material Supply'!$B6,LCI!$D$2:$D$130,0))*$C6</f>
        <v>8.363312103709897E-7</v>
      </c>
      <c r="D79" s="158">
        <f>INDEX(LCI!V$2:V$130,MATCH('A1 - Raw Material Supply'!$B7,LCI!$D$2:$D$130,0))*$C7</f>
        <v>2.8943619339309744E-6</v>
      </c>
      <c r="E79" s="158">
        <f>INDEX(LCI!V$2:V$130,MATCH('A1 - Raw Material Supply'!$B8,LCI!$D$2:$D$130,0))*$C8</f>
        <v>0</v>
      </c>
      <c r="F79" s="158">
        <f>INDEX(LCI!V$2:V$130,MATCH('A1 - Raw Material Supply'!$B9,LCI!$D$2:$D$130,0))*$C9</f>
        <v>0</v>
      </c>
      <c r="G79" s="158">
        <f>INDEX(LCI!V$2:V$130,MATCH('A1 - Raw Material Supply'!$B10,LCI!$D$2:$D$130,0))*$C10</f>
        <v>0</v>
      </c>
      <c r="H79" s="158">
        <f>INDEX(LCI!V$2:V$130,MATCH('A1 - Raw Material Supply'!$B11,LCI!$D$2:$D$130,0))*$C11</f>
        <v>5.1185430018615164E-7</v>
      </c>
      <c r="I79" s="158">
        <f>INDEX(LCI!V$2:V$130,MATCH('A1 - Raw Material Supply'!$B12,LCI!$D$2:$D$130,0))*$C12</f>
        <v>0</v>
      </c>
      <c r="J79" s="158">
        <f>INDEX(LCI!V$2:V$130,MATCH('A1 - Raw Material Supply'!$B13,LCI!$D$2:$D$130,0))*$C13</f>
        <v>0</v>
      </c>
      <c r="K79" s="154">
        <f t="shared" si="3"/>
        <v>4.742706305592335E-6</v>
      </c>
      <c r="L79" s="158" cm="1">
        <f t="array" ref="L79">INDEX(LCI!V$2:V$130,MATCH('A1 - Raw Material Supply'!$B$14&amp;'A1 - Raw Material Supply'!$D$14,LCI!$B$2:$B$130&amp;LCI!$D$2:$D$130,0))*$C14</f>
        <v>3.5788766674713027E-7</v>
      </c>
      <c r="M79" s="158" cm="1">
        <f t="array" ref="M79">INDEX(LCI!V$2:V$130,MATCH('A1 - Raw Material Supply'!$B$15&amp;'A1 - Raw Material Supply'!$D$15,LCI!$B$2:$B$130&amp;LCI!$D$2:$D$130,0))*$C15</f>
        <v>0</v>
      </c>
      <c r="N79" s="154">
        <f t="shared" si="4"/>
        <v>3.5788766674713027E-7</v>
      </c>
      <c r="O79" s="158" cm="1">
        <f t="array" ref="O79">INDEX(LCI!V$2:V$137,MATCH('A1 - Raw Material Supply'!$B4&amp;'A1 - Raw Material Supply'!$D4,LCI!$B2:$B137&amp;LCI!$D2:$D137,0))*$C4</f>
        <v>2.2603199999999999E-6</v>
      </c>
      <c r="P79" s="159"/>
      <c r="Q79" s="159"/>
      <c r="R79" s="154"/>
      <c r="S79" s="158"/>
      <c r="T79" s="158"/>
      <c r="U79" s="154"/>
      <c r="V79" s="158" cm="1">
        <f t="array" ref="V79">INDEX(LCI!V$2:V$130,MATCH('A1 - Raw Material Supply'!$B$20&amp;'A1 - Raw Material Supply'!$D$20,LCI!$B$2:$B$130&amp;LCI!$D$2:$D$130,0))*$C$20</f>
        <v>2.0002821138870845E-4</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2.0002821138870845E-4</v>
      </c>
    </row>
    <row r="80" spans="1:25" x14ac:dyDescent="0.35">
      <c r="A80" s="1" t="s">
        <v>294</v>
      </c>
      <c r="B80" s="158">
        <f>INDEX(LCI!W$2:W$130,MATCH('A1 - Raw Material Supply'!$B5,LCI!$D$2:$D$130,0))*$C5</f>
        <v>2.8444523444378932E-9</v>
      </c>
      <c r="C80" s="158">
        <f>INDEX(LCI!W$2:W$130,MATCH('A1 - Raw Material Supply'!$B6,LCI!$D$2:$D$130,0))*$C6</f>
        <v>4.7562973628305749E-9</v>
      </c>
      <c r="D80" s="158">
        <f>INDEX(LCI!W$2:W$130,MATCH('A1 - Raw Material Supply'!$B7,LCI!$D$2:$D$130,0))*$C7</f>
        <v>1.6460519304697971E-8</v>
      </c>
      <c r="E80" s="158">
        <f>INDEX(LCI!W$2:W$130,MATCH('A1 - Raw Material Supply'!$B8,LCI!$D$2:$D$130,0))*$C8</f>
        <v>0</v>
      </c>
      <c r="F80" s="158">
        <f>INDEX(LCI!W$2:W$130,MATCH('A1 - Raw Material Supply'!$B9,LCI!$D$2:$D$130,0))*$C9</f>
        <v>0</v>
      </c>
      <c r="G80" s="158">
        <f>INDEX(LCI!W$2:W$130,MATCH('A1 - Raw Material Supply'!$B10,LCI!$D$2:$D$130,0))*$C10</f>
        <v>0</v>
      </c>
      <c r="H80" s="158">
        <f>INDEX(LCI!W$2:W$130,MATCH('A1 - Raw Material Supply'!$B11,LCI!$D$2:$D$130,0))*$C11</f>
        <v>1.1640990651020557E-8</v>
      </c>
      <c r="I80" s="158">
        <f>INDEX(LCI!W$2:W$130,MATCH('A1 - Raw Material Supply'!$B12,LCI!$D$2:$D$130,0))*$C12</f>
        <v>0</v>
      </c>
      <c r="J80" s="158">
        <f>INDEX(LCI!W$2:W$130,MATCH('A1 - Raw Material Supply'!$B13,LCI!$D$2:$D$130,0))*$C13</f>
        <v>0</v>
      </c>
      <c r="K80" s="154">
        <f t="shared" si="3"/>
        <v>3.5702259662986999E-8</v>
      </c>
      <c r="L80" s="158" cm="1">
        <f t="array" ref="L80">INDEX(LCI!W$2:W$130,MATCH('A1 - Raw Material Supply'!$B$14&amp;'A1 - Raw Material Supply'!$D$14,LCI!$B$2:$B$130&amp;LCI!$D$2:$D$130,0))*$C14</f>
        <v>1.5574157254795618E-9</v>
      </c>
      <c r="M80" s="158" cm="1">
        <f t="array" ref="M80">INDEX(LCI!W$2:W$130,MATCH('A1 - Raw Material Supply'!$B$15&amp;'A1 - Raw Material Supply'!$D$15,LCI!$B$2:$B$130&amp;LCI!$D$2:$D$130,0))*$C15</f>
        <v>0</v>
      </c>
      <c r="N80" s="154">
        <f t="shared" si="4"/>
        <v>1.5574157254795618E-9</v>
      </c>
      <c r="O80" s="158" cm="1">
        <f t="array" ref="O80">INDEX(LCI!W$2:W$137,MATCH('A1 - Raw Material Supply'!$B4&amp;'A1 - Raw Material Supply'!$D4,LCI!$B2:$B137&amp;LCI!$D2:$D137,0))*$C4</f>
        <v>7.3571199999999993E-12</v>
      </c>
      <c r="P80" s="159"/>
      <c r="Q80" s="159"/>
      <c r="R80" s="154"/>
      <c r="S80" s="158"/>
      <c r="T80" s="158"/>
      <c r="U80" s="154"/>
      <c r="V80" s="158" cm="1">
        <f t="array" ref="V80">INDEX(LCI!W$2:W$130,MATCH('A1 - Raw Material Supply'!$B$20&amp;'A1 - Raw Material Supply'!$D$20,LCI!$B$2:$B$130&amp;LCI!$D$2:$D$130,0))*$C$20</f>
        <v>6.6867322617563686E-9</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6.6867322617563686E-9</v>
      </c>
    </row>
    <row r="81" spans="1:25" x14ac:dyDescent="0.35">
      <c r="A81" s="1" t="s">
        <v>295</v>
      </c>
      <c r="B81" s="158">
        <f>INDEX(LCI!X$2:X$130,MATCH('A1 - Raw Material Supply'!$B5,LCI!$D$2:$D$130,0))*$C5</f>
        <v>5.3780018504830818E-8</v>
      </c>
      <c r="C81" s="158">
        <f>INDEX(LCI!X$2:X$130,MATCH('A1 - Raw Material Supply'!$B6,LCI!$D$2:$D$130,0))*$C6</f>
        <v>8.9927244057258084E-8</v>
      </c>
      <c r="D81" s="158">
        <f>INDEX(LCI!X$2:X$130,MATCH('A1 - Raw Material Supply'!$B7,LCI!$D$2:$D$130,0))*$C7</f>
        <v>3.1121879560992262E-7</v>
      </c>
      <c r="E81" s="158">
        <f>INDEX(LCI!X$2:X$130,MATCH('A1 - Raw Material Supply'!$B8,LCI!$D$2:$D$130,0))*$C8</f>
        <v>0</v>
      </c>
      <c r="F81" s="158">
        <f>INDEX(LCI!X$2:X$130,MATCH('A1 - Raw Material Supply'!$B9,LCI!$D$2:$D$130,0))*$C9</f>
        <v>0</v>
      </c>
      <c r="G81" s="158">
        <f>INDEX(LCI!X$2:X$130,MATCH('A1 - Raw Material Supply'!$B10,LCI!$D$2:$D$130,0))*$C10</f>
        <v>0</v>
      </c>
      <c r="H81" s="158">
        <f>INDEX(LCI!X$2:X$130,MATCH('A1 - Raw Material Supply'!$B11,LCI!$D$2:$D$130,0))*$C11</f>
        <v>1.9867763072504735E-7</v>
      </c>
      <c r="I81" s="158">
        <f>INDEX(LCI!X$2:X$130,MATCH('A1 - Raw Material Supply'!$B12,LCI!$D$2:$D$130,0))*$C12</f>
        <v>0</v>
      </c>
      <c r="J81" s="158">
        <f>INDEX(LCI!X$2:X$130,MATCH('A1 - Raw Material Supply'!$B13,LCI!$D$2:$D$130,0))*$C13</f>
        <v>0</v>
      </c>
      <c r="K81" s="154">
        <f t="shared" si="3"/>
        <v>6.5360368889705883E-7</v>
      </c>
      <c r="L81" s="158" cm="1">
        <f t="array" ref="L81">INDEX(LCI!X$2:X$130,MATCH('A1 - Raw Material Supply'!$B$14&amp;'A1 - Raw Material Supply'!$D$14,LCI!$B$2:$B$130&amp;LCI!$D$2:$D$130,0))*$C14</f>
        <v>9.8472396783713966E-9</v>
      </c>
      <c r="M81" s="158" cm="1">
        <f t="array" ref="M81">INDEX(LCI!X$2:X$130,MATCH('A1 - Raw Material Supply'!$B$15&amp;'A1 - Raw Material Supply'!$D$15,LCI!$B$2:$B$130&amp;LCI!$D$2:$D$130,0))*$C15</f>
        <v>0</v>
      </c>
      <c r="N81" s="154">
        <f t="shared" si="4"/>
        <v>9.8472396783713966E-9</v>
      </c>
      <c r="O81" s="158" cm="1">
        <f t="array" ref="O81">INDEX(LCI!X$2:X$137,MATCH('A1 - Raw Material Supply'!$B4&amp;'A1 - Raw Material Supply'!$D4,LCI!$B2:$B137&amp;LCI!$D2:$D137,0))*$C4</f>
        <v>5.9388800000000003E-7</v>
      </c>
      <c r="P81" s="159"/>
      <c r="Q81" s="159"/>
      <c r="R81" s="154"/>
      <c r="S81" s="158"/>
      <c r="T81" s="158"/>
      <c r="U81" s="154"/>
      <c r="V81" s="158" cm="1">
        <f t="array" ref="V81">INDEX(LCI!X$2:X$130,MATCH('A1 - Raw Material Supply'!$B$20&amp;'A1 - Raw Material Supply'!$D$20,LCI!$B$2:$B$130&amp;LCI!$D$2:$D$130,0))*$C$20</f>
        <v>6.9930966262356109E-8</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6.9930966262356109E-8</v>
      </c>
    </row>
    <row r="82" spans="1:25" x14ac:dyDescent="0.35">
      <c r="A82" s="1" t="s">
        <v>296</v>
      </c>
      <c r="B82" s="158">
        <f>INDEX(LCI!Y$2:Y$130,MATCH('A1 - Raw Material Supply'!$B5,LCI!$D$2:$D$130,0))*$C5</f>
        <v>3.7573534574921121E-3</v>
      </c>
      <c r="C82" s="158">
        <f>INDEX(LCI!Y$2:Y$130,MATCH('A1 - Raw Material Supply'!$B6,LCI!$D$2:$D$130,0))*$C6</f>
        <v>6.2827877485933676E-3</v>
      </c>
      <c r="D82" s="158">
        <f>INDEX(LCI!Y$2:Y$130,MATCH('A1 - Raw Material Supply'!$B7,LCI!$D$2:$D$130,0))*$C7</f>
        <v>2.1743373286798616E-2</v>
      </c>
      <c r="E82" s="158">
        <f>INDEX(LCI!Y$2:Y$130,MATCH('A1 - Raw Material Supply'!$B8,LCI!$D$2:$D$130,0))*$C8</f>
        <v>0</v>
      </c>
      <c r="F82" s="158">
        <f>INDEX(LCI!Y$2:Y$130,MATCH('A1 - Raw Material Supply'!$B9,LCI!$D$2:$D$130,0))*$C9</f>
        <v>0</v>
      </c>
      <c r="G82" s="158">
        <f>INDEX(LCI!Y$2:Y$130,MATCH('A1 - Raw Material Supply'!$B10,LCI!$D$2:$D$130,0))*$C10</f>
        <v>0</v>
      </c>
      <c r="H82" s="158">
        <f>INDEX(LCI!Y$2:Y$130,MATCH('A1 - Raw Material Supply'!$B11,LCI!$D$2:$D$130,0))*$C11</f>
        <v>1.057789267704755E-2</v>
      </c>
      <c r="I82" s="158">
        <f>INDEX(LCI!Y$2:Y$130,MATCH('A1 - Raw Material Supply'!$B12,LCI!$D$2:$D$130,0))*$C12</f>
        <v>0</v>
      </c>
      <c r="J82" s="158">
        <f>INDEX(LCI!Y$2:Y$130,MATCH('A1 - Raw Material Supply'!$B13,LCI!$D$2:$D$130,0))*$C13</f>
        <v>0</v>
      </c>
      <c r="K82" s="154">
        <f t="shared" si="3"/>
        <v>4.2361407169931642E-2</v>
      </c>
      <c r="L82" s="158" cm="1">
        <f t="array" ref="L82">INDEX(LCI!Y$2:Y$130,MATCH('A1 - Raw Material Supply'!$B$14&amp;'A1 - Raw Material Supply'!$D$14,LCI!$B$2:$B$130&amp;LCI!$D$2:$D$130,0))*$C14</f>
        <v>6.5993967225239786E-4</v>
      </c>
      <c r="M82" s="158" cm="1">
        <f t="array" ref="M82">INDEX(LCI!Y$2:Y$130,MATCH('A1 - Raw Material Supply'!$B$15&amp;'A1 - Raw Material Supply'!$D$15,LCI!$B$2:$B$130&amp;LCI!$D$2:$D$130,0))*$C15</f>
        <v>0</v>
      </c>
      <c r="N82" s="154">
        <f t="shared" si="4"/>
        <v>6.5993967225239786E-4</v>
      </c>
      <c r="O82" s="158" cm="1">
        <f t="array" ref="O82">INDEX(LCI!Y$2:Y$137,MATCH('A1 - Raw Material Supply'!$B4&amp;'A1 - Raw Material Supply'!$D4,LCI!$B2:$B137&amp;LCI!$D2:$D137,0))*$C4</f>
        <v>4.4984799999999991E-2</v>
      </c>
      <c r="P82" s="159"/>
      <c r="Q82" s="159"/>
      <c r="R82" s="154"/>
      <c r="S82" s="158"/>
      <c r="T82" s="158"/>
      <c r="U82" s="154"/>
      <c r="V82" s="158" cm="1">
        <f t="array" ref="V82">INDEX(LCI!Y$2:Y$130,MATCH('A1 - Raw Material Supply'!$B$20&amp;'A1 - Raw Material Supply'!$D$20,LCI!$B$2:$B$130&amp;LCI!$D$2:$D$130,0))*$C$20</f>
        <v>3.4925808009998527E-3</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3.4925808009998527E-3</v>
      </c>
    </row>
    <row r="83" spans="1:25" x14ac:dyDescent="0.35">
      <c r="A83" s="1" t="s">
        <v>297</v>
      </c>
      <c r="B83" s="158">
        <f>INDEX(LCI!Z$2:Z$130,MATCH('A1 - Raw Material Supply'!$B5,LCI!$D$2:$D$130,0))*$C5</f>
        <v>0.24556325502132795</v>
      </c>
      <c r="C83" s="158">
        <f>INDEX(LCI!Z$2:Z$130,MATCH('A1 - Raw Material Supply'!$B6,LCI!$D$2:$D$130,0))*$C6</f>
        <v>0.41061396741271228</v>
      </c>
      <c r="D83" s="158">
        <f>INDEX(LCI!Z$2:Z$130,MATCH('A1 - Raw Material Supply'!$B7,LCI!$D$2:$D$130,0))*$C7</f>
        <v>1.4210463774185043</v>
      </c>
      <c r="E83" s="158">
        <f>INDEX(LCI!Z$2:Z$130,MATCH('A1 - Raw Material Supply'!$B8,LCI!$D$2:$D$130,0))*$C8</f>
        <v>0</v>
      </c>
      <c r="F83" s="158">
        <f>INDEX(LCI!Z$2:Z$130,MATCH('A1 - Raw Material Supply'!$B9,LCI!$D$2:$D$130,0))*$C9</f>
        <v>0</v>
      </c>
      <c r="G83" s="158">
        <f>INDEX(LCI!Z$2:Z$130,MATCH('A1 - Raw Material Supply'!$B10,LCI!$D$2:$D$130,0))*$C10</f>
        <v>0</v>
      </c>
      <c r="H83" s="158">
        <f>INDEX(LCI!Z$2:Z$130,MATCH('A1 - Raw Material Supply'!$B11,LCI!$D$2:$D$130,0))*$C11</f>
        <v>1.0207570682362821</v>
      </c>
      <c r="I83" s="158">
        <f>INDEX(LCI!Z$2:Z$130,MATCH('A1 - Raw Material Supply'!$B12,LCI!$D$2:$D$130,0))*$C12</f>
        <v>0</v>
      </c>
      <c r="J83" s="158">
        <f>INDEX(LCI!Z$2:Z$130,MATCH('A1 - Raw Material Supply'!$B13,LCI!$D$2:$D$130,0))*$C13</f>
        <v>0</v>
      </c>
      <c r="K83" s="154">
        <f t="shared" si="3"/>
        <v>3.0979806680888267</v>
      </c>
      <c r="L83" s="158" cm="1">
        <f t="array" ref="L83">INDEX(LCI!Z$2:Z$130,MATCH('A1 - Raw Material Supply'!$B$14&amp;'A1 - Raw Material Supply'!$D$14,LCI!$B$2:$B$130&amp;LCI!$D$2:$D$130,0))*$C14</f>
        <v>0.25392572768492161</v>
      </c>
      <c r="M83" s="158" cm="1">
        <f t="array" ref="M83">INDEX(LCI!Z$2:Z$130,MATCH('A1 - Raw Material Supply'!$B$15&amp;'A1 - Raw Material Supply'!$D$15,LCI!$B$2:$B$130&amp;LCI!$D$2:$D$130,0))*$C15</f>
        <v>0</v>
      </c>
      <c r="N83" s="154">
        <f t="shared" si="4"/>
        <v>0.25392572768492161</v>
      </c>
      <c r="O83" s="158" cm="1">
        <f t="array" ref="O83">INDEX(LCI!Z$2:Z$137,MATCH('A1 - Raw Material Supply'!$B4&amp;'A1 - Raw Material Supply'!$D4,LCI!$B2:$B137&amp;LCI!$D2:$D137,0))*$C4</f>
        <v>0.15977359999999999</v>
      </c>
      <c r="P83" s="159"/>
      <c r="Q83" s="159"/>
      <c r="R83" s="154"/>
      <c r="S83" s="158"/>
      <c r="T83" s="158"/>
      <c r="U83" s="154"/>
      <c r="V83" s="158" cm="1">
        <f t="array" ref="V83">INDEX(LCI!Z$2:Z$130,MATCH('A1 - Raw Material Supply'!$B$20&amp;'A1 - Raw Material Supply'!$D$20,LCI!$B$2:$B$130&amp;LCI!$D$2:$D$130,0))*$C$20</f>
        <v>0.33021433976024206</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0.33021433976024206</v>
      </c>
    </row>
    <row r="84" spans="1:25" x14ac:dyDescent="0.35">
      <c r="K84">
        <f>+SUM(K65:K83)</f>
        <v>445.30418379770373</v>
      </c>
      <c r="N84">
        <f>+SUM(N65:N83)</f>
        <v>3.5860956936697885</v>
      </c>
      <c r="O84">
        <f>+SUM(O65:O83)</f>
        <v>1676.3414996832948</v>
      </c>
      <c r="R84">
        <f>+SUM(R65:R83)</f>
        <v>0</v>
      </c>
      <c r="U84">
        <f>+SUM(U65:U83)</f>
        <v>0</v>
      </c>
      <c r="Y84">
        <f>+SUM(Y65:Y83)</f>
        <v>14.973993870647137</v>
      </c>
    </row>
    <row r="85" spans="1:25" ht="23.5" x14ac:dyDescent="0.55000000000000004">
      <c r="A85" s="100" t="s">
        <v>320</v>
      </c>
    </row>
    <row r="87" spans="1:25" x14ac:dyDescent="0.35">
      <c r="B87" s="378" t="s">
        <v>221</v>
      </c>
      <c r="C87" s="387"/>
      <c r="D87" s="387"/>
      <c r="E87" s="387"/>
      <c r="F87" s="387"/>
      <c r="G87" s="387"/>
      <c r="H87" s="387"/>
      <c r="I87" s="387"/>
      <c r="J87" s="387"/>
      <c r="K87" s="387"/>
      <c r="L87" s="387" t="s">
        <v>308</v>
      </c>
      <c r="M87" s="387"/>
      <c r="N87" s="379"/>
      <c r="O87" s="104" t="s">
        <v>266</v>
      </c>
      <c r="P87" s="378" t="s">
        <v>213</v>
      </c>
      <c r="Q87" s="387"/>
      <c r="R87" s="379"/>
      <c r="S87" s="378" t="s">
        <v>309</v>
      </c>
      <c r="T87" s="387"/>
      <c r="U87" s="379"/>
      <c r="V87" s="380" t="s">
        <v>215</v>
      </c>
      <c r="W87" s="380"/>
      <c r="X87" s="380"/>
      <c r="Y87" s="380"/>
    </row>
    <row r="88" spans="1:25" ht="43.5" x14ac:dyDescent="0.35">
      <c r="B88" s="103" t="s">
        <v>62</v>
      </c>
      <c r="C88" s="103" t="s">
        <v>65</v>
      </c>
      <c r="D88" s="103" t="s">
        <v>66</v>
      </c>
      <c r="E88" s="103" t="s">
        <v>67</v>
      </c>
      <c r="F88" s="103" t="s">
        <v>71</v>
      </c>
      <c r="G88" s="103" t="s">
        <v>72</v>
      </c>
      <c r="H88" s="103" t="s">
        <v>73</v>
      </c>
      <c r="I88" s="103" t="s">
        <v>75</v>
      </c>
      <c r="J88" s="103" t="s">
        <v>76</v>
      </c>
      <c r="K88" s="103" t="s">
        <v>310</v>
      </c>
      <c r="L88" s="104" t="s">
        <v>311</v>
      </c>
      <c r="M88" s="104" t="s">
        <v>312</v>
      </c>
      <c r="N88" s="104" t="s">
        <v>313</v>
      </c>
      <c r="O88" s="104" t="s">
        <v>200</v>
      </c>
      <c r="P88" s="249" t="s">
        <v>81</v>
      </c>
      <c r="Q88" s="249" t="s">
        <v>83</v>
      </c>
      <c r="R88" s="249" t="s">
        <v>314</v>
      </c>
      <c r="S88" s="104" t="s">
        <v>315</v>
      </c>
      <c r="T88" s="104" t="s">
        <v>316</v>
      </c>
      <c r="U88" s="104" t="s">
        <v>323</v>
      </c>
      <c r="V88" s="104" t="s">
        <v>90</v>
      </c>
      <c r="W88" s="104" t="s">
        <v>93</v>
      </c>
      <c r="X88" s="104" t="s">
        <v>95</v>
      </c>
      <c r="Y88" s="104" t="s">
        <v>317</v>
      </c>
    </row>
    <row r="89" spans="1:25" x14ac:dyDescent="0.35">
      <c r="A89" s="1" t="s">
        <v>318</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280</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281</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282</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283</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284</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285</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286</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287</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288</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289</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319</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291</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292</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293</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294</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295</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296</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297</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321</v>
      </c>
    </row>
    <row r="112" spans="1:26" x14ac:dyDescent="0.35">
      <c r="B112" s="378" t="s">
        <v>221</v>
      </c>
      <c r="C112" s="387"/>
      <c r="D112" s="387"/>
      <c r="E112" s="387"/>
      <c r="F112" s="387"/>
      <c r="G112" s="387"/>
      <c r="H112" s="387"/>
      <c r="I112" s="387"/>
      <c r="J112" s="387"/>
      <c r="K112" s="387"/>
      <c r="L112" s="387" t="s">
        <v>308</v>
      </c>
      <c r="M112" s="387"/>
      <c r="N112" s="379"/>
      <c r="O112" s="104" t="s">
        <v>266</v>
      </c>
      <c r="P112" s="378" t="s">
        <v>213</v>
      </c>
      <c r="Q112" s="387"/>
      <c r="R112" s="379"/>
      <c r="S112" s="378" t="s">
        <v>309</v>
      </c>
      <c r="T112" s="387"/>
      <c r="U112" s="379"/>
      <c r="V112" s="380" t="s">
        <v>215</v>
      </c>
      <c r="W112" s="380"/>
      <c r="X112" s="380"/>
      <c r="Y112" s="380"/>
      <c r="Z112" s="402" t="s">
        <v>322</v>
      </c>
    </row>
    <row r="113" spans="1:26" ht="43.5" x14ac:dyDescent="0.35">
      <c r="B113" s="103" t="s">
        <v>62</v>
      </c>
      <c r="C113" s="103" t="s">
        <v>65</v>
      </c>
      <c r="D113" s="103" t="s">
        <v>66</v>
      </c>
      <c r="E113" s="103" t="s">
        <v>67</v>
      </c>
      <c r="F113" s="103" t="s">
        <v>71</v>
      </c>
      <c r="G113" s="103" t="s">
        <v>72</v>
      </c>
      <c r="H113" s="103" t="s">
        <v>73</v>
      </c>
      <c r="I113" s="103" t="s">
        <v>75</v>
      </c>
      <c r="J113" s="103" t="s">
        <v>76</v>
      </c>
      <c r="K113" s="103" t="s">
        <v>310</v>
      </c>
      <c r="L113" s="104" t="s">
        <v>311</v>
      </c>
      <c r="M113" s="104" t="s">
        <v>312</v>
      </c>
      <c r="N113" s="104" t="s">
        <v>313</v>
      </c>
      <c r="O113" s="104" t="s">
        <v>200</v>
      </c>
      <c r="P113" s="249" t="s">
        <v>81</v>
      </c>
      <c r="Q113" s="249" t="s">
        <v>83</v>
      </c>
      <c r="R113" s="249" t="s">
        <v>314</v>
      </c>
      <c r="S113" s="104" t="s">
        <v>315</v>
      </c>
      <c r="T113" s="104" t="s">
        <v>316</v>
      </c>
      <c r="U113" s="104" t="s">
        <v>323</v>
      </c>
      <c r="V113" s="104" t="s">
        <v>90</v>
      </c>
      <c r="W113" s="104" t="s">
        <v>93</v>
      </c>
      <c r="X113" s="104" t="s">
        <v>95</v>
      </c>
      <c r="Y113" s="104" t="s">
        <v>317</v>
      </c>
      <c r="Z113" s="402"/>
    </row>
    <row r="114" spans="1:26" x14ac:dyDescent="0.35">
      <c r="A114" s="1" t="s">
        <v>318</v>
      </c>
      <c r="B114" s="154">
        <f>B65+B89</f>
        <v>3.3206591533990028E-3</v>
      </c>
      <c r="C114" s="154">
        <f t="shared" ref="C114:L114" si="6">C65+C89</f>
        <v>5.5525776007655453E-3</v>
      </c>
      <c r="D114" s="154">
        <f t="shared" si="6"/>
        <v>1.9216273461472918E-2</v>
      </c>
      <c r="E114" s="154">
        <f t="shared" si="6"/>
        <v>0</v>
      </c>
      <c r="F114" s="154">
        <f t="shared" si="6"/>
        <v>0</v>
      </c>
      <c r="G114" s="154">
        <f t="shared" si="6"/>
        <v>0</v>
      </c>
      <c r="H114" s="154">
        <f t="shared" si="6"/>
        <v>7.0343064141551023E-3</v>
      </c>
      <c r="I114" s="154">
        <f t="shared" si="6"/>
        <v>0</v>
      </c>
      <c r="J114" s="154">
        <f t="shared" si="6"/>
        <v>0</v>
      </c>
      <c r="K114" s="251">
        <f t="shared" si="6"/>
        <v>3.5123816629792567E-2</v>
      </c>
      <c r="L114" s="154">
        <f t="shared" si="6"/>
        <v>9.3081697010435698E-4</v>
      </c>
      <c r="M114" s="154">
        <f t="shared" ref="M114:Y114" si="7">M65+M89</f>
        <v>0</v>
      </c>
      <c r="N114" s="251">
        <f t="shared" si="7"/>
        <v>9.3081697010435698E-4</v>
      </c>
      <c r="O114" s="251">
        <f t="shared" si="7"/>
        <v>3.8115199999999995E-2</v>
      </c>
      <c r="P114" s="154"/>
      <c r="Q114" s="154"/>
      <c r="R114" s="251"/>
      <c r="S114" s="154"/>
      <c r="T114" s="154"/>
      <c r="U114" s="251"/>
      <c r="V114" s="154">
        <f t="shared" si="7"/>
        <v>5.2168551507805029E-3</v>
      </c>
      <c r="W114" s="154">
        <f t="shared" si="7"/>
        <v>0</v>
      </c>
      <c r="X114" s="154">
        <f t="shared" si="7"/>
        <v>0</v>
      </c>
      <c r="Y114" s="251">
        <f t="shared" si="7"/>
        <v>5.2168551507805029E-3</v>
      </c>
      <c r="Z114" s="251">
        <f>K114+N114+O114+Y114</f>
        <v>7.9386688750677434E-2</v>
      </c>
    </row>
    <row r="115" spans="1:26" x14ac:dyDescent="0.35">
      <c r="A115" s="1" t="s">
        <v>280</v>
      </c>
      <c r="B115" s="154">
        <f t="shared" ref="B115:K132" si="8">B66+B90</f>
        <v>0.1725637053160215</v>
      </c>
      <c r="C115" s="154">
        <f t="shared" si="8"/>
        <v>0.28854914659400316</v>
      </c>
      <c r="D115" s="154">
        <f t="shared" si="8"/>
        <v>0.99860636027140315</v>
      </c>
      <c r="E115" s="154">
        <f t="shared" si="8"/>
        <v>0</v>
      </c>
      <c r="F115" s="154">
        <f t="shared" si="8"/>
        <v>0</v>
      </c>
      <c r="G115" s="154">
        <f t="shared" si="8"/>
        <v>0</v>
      </c>
      <c r="H115" s="154">
        <f t="shared" si="8"/>
        <v>0.79787171992965111</v>
      </c>
      <c r="I115" s="154">
        <f t="shared" si="8"/>
        <v>0</v>
      </c>
      <c r="J115" s="154">
        <f t="shared" si="8"/>
        <v>0</v>
      </c>
      <c r="K115" s="251">
        <f t="shared" si="8"/>
        <v>2.257590932111079</v>
      </c>
      <c r="L115" s="154">
        <f t="shared" ref="L115:Y115" si="9">L66+L90</f>
        <v>0.12166438176342087</v>
      </c>
      <c r="M115" s="154">
        <f t="shared" si="9"/>
        <v>0</v>
      </c>
      <c r="N115" s="251">
        <f t="shared" si="9"/>
        <v>0.12166438176342087</v>
      </c>
      <c r="O115" s="251">
        <f t="shared" si="9"/>
        <v>11.7448</v>
      </c>
      <c r="P115" s="154"/>
      <c r="Q115" s="154"/>
      <c r="R115" s="251"/>
      <c r="S115" s="154"/>
      <c r="T115" s="154"/>
      <c r="U115" s="251"/>
      <c r="V115" s="154">
        <f t="shared" si="9"/>
        <v>0.65423526228811013</v>
      </c>
      <c r="W115" s="154">
        <f t="shared" si="9"/>
        <v>0</v>
      </c>
      <c r="X115" s="154">
        <f t="shared" si="9"/>
        <v>0</v>
      </c>
      <c r="Y115" s="251">
        <f t="shared" si="9"/>
        <v>0.65423526228811013</v>
      </c>
      <c r="Z115" s="251">
        <f t="shared" ref="Z115:Z132" si="10">K115+N115+O115+Y115</f>
        <v>14.778290576162609</v>
      </c>
    </row>
    <row r="116" spans="1:26" x14ac:dyDescent="0.35">
      <c r="A116" s="1" t="s">
        <v>281</v>
      </c>
      <c r="B116" s="154">
        <f t="shared" si="8"/>
        <v>5.3190259255154657E-4</v>
      </c>
      <c r="C116" s="154">
        <f t="shared" si="8"/>
        <v>8.8941089246324186E-4</v>
      </c>
      <c r="D116" s="154">
        <f t="shared" si="8"/>
        <v>3.0780592650933762E-3</v>
      </c>
      <c r="E116" s="154">
        <f t="shared" si="8"/>
        <v>0</v>
      </c>
      <c r="F116" s="154">
        <f t="shared" si="8"/>
        <v>0</v>
      </c>
      <c r="G116" s="154">
        <f t="shared" si="8"/>
        <v>0</v>
      </c>
      <c r="H116" s="154">
        <f t="shared" si="8"/>
        <v>-1.9195362653428194E-4</v>
      </c>
      <c r="I116" s="154">
        <f t="shared" si="8"/>
        <v>0</v>
      </c>
      <c r="J116" s="154">
        <f t="shared" si="8"/>
        <v>0</v>
      </c>
      <c r="K116" s="251">
        <f t="shared" si="8"/>
        <v>4.3074191235738827E-3</v>
      </c>
      <c r="L116" s="154">
        <f t="shared" ref="L116:Y116" si="11">L67+L91</f>
        <v>1.8973973943732778E-3</v>
      </c>
      <c r="M116" s="154">
        <f t="shared" si="11"/>
        <v>0</v>
      </c>
      <c r="N116" s="251">
        <f t="shared" si="11"/>
        <v>1.8973973943732778E-3</v>
      </c>
      <c r="O116" s="251">
        <f t="shared" si="11"/>
        <v>4.6536000000000001E-2</v>
      </c>
      <c r="P116" s="154"/>
      <c r="Q116" s="154"/>
      <c r="R116" s="251"/>
      <c r="S116" s="154"/>
      <c r="T116" s="154"/>
      <c r="U116" s="251"/>
      <c r="V116" s="154">
        <f t="shared" si="11"/>
        <v>0.1068681104617966</v>
      </c>
      <c r="W116" s="154">
        <f t="shared" si="11"/>
        <v>0</v>
      </c>
      <c r="X116" s="154">
        <f t="shared" si="11"/>
        <v>0</v>
      </c>
      <c r="Y116" s="251">
        <f t="shared" si="11"/>
        <v>0.1068681104617966</v>
      </c>
      <c r="Z116" s="251">
        <f t="shared" si="10"/>
        <v>0.15960892697974377</v>
      </c>
    </row>
    <row r="117" spans="1:26" x14ac:dyDescent="0.35">
      <c r="A117" s="1" t="s">
        <v>282</v>
      </c>
      <c r="B117" s="154">
        <f t="shared" si="8"/>
        <v>0.17197507610837182</v>
      </c>
      <c r="C117" s="154">
        <f t="shared" si="8"/>
        <v>0.28756488136153979</v>
      </c>
      <c r="D117" s="154">
        <f t="shared" si="8"/>
        <v>0.99520003059434847</v>
      </c>
      <c r="E117" s="154">
        <f t="shared" si="8"/>
        <v>0</v>
      </c>
      <c r="F117" s="154">
        <f t="shared" si="8"/>
        <v>0</v>
      </c>
      <c r="G117" s="154">
        <f t="shared" si="8"/>
        <v>0</v>
      </c>
      <c r="H117" s="154">
        <f t="shared" si="8"/>
        <v>0.79795387547915309</v>
      </c>
      <c r="I117" s="154">
        <f t="shared" si="8"/>
        <v>0</v>
      </c>
      <c r="J117" s="154">
        <f t="shared" si="8"/>
        <v>0</v>
      </c>
      <c r="K117" s="251">
        <f t="shared" si="8"/>
        <v>2.2526938635434135</v>
      </c>
      <c r="L117" s="154">
        <f t="shared" ref="L117:Y117" si="12">L68+L92</f>
        <v>0.11956136434225269</v>
      </c>
      <c r="M117" s="154">
        <f t="shared" si="12"/>
        <v>0</v>
      </c>
      <c r="N117" s="251">
        <f t="shared" si="12"/>
        <v>0.11956136434225269</v>
      </c>
      <c r="O117" s="251">
        <f t="shared" si="12"/>
        <v>11.700479999999999</v>
      </c>
      <c r="P117" s="154"/>
      <c r="Q117" s="154"/>
      <c r="R117" s="251"/>
      <c r="S117" s="154"/>
      <c r="T117" s="154"/>
      <c r="U117" s="251"/>
      <c r="V117" s="154">
        <f t="shared" si="12"/>
        <v>0.5469162215913369</v>
      </c>
      <c r="W117" s="154">
        <f t="shared" si="12"/>
        <v>0</v>
      </c>
      <c r="X117" s="154">
        <f t="shared" si="12"/>
        <v>0</v>
      </c>
      <c r="Y117" s="251">
        <f t="shared" si="12"/>
        <v>0.5469162215913369</v>
      </c>
      <c r="Z117" s="251">
        <f t="shared" si="10"/>
        <v>14.619651449477002</v>
      </c>
    </row>
    <row r="118" spans="1:26" x14ac:dyDescent="0.35">
      <c r="A118" s="1" t="s">
        <v>283</v>
      </c>
      <c r="B118" s="154">
        <f t="shared" si="8"/>
        <v>5.6726615098107457E-5</v>
      </c>
      <c r="C118" s="154">
        <f t="shared" si="8"/>
        <v>9.4854340000114106E-5</v>
      </c>
      <c r="D118" s="154">
        <f t="shared" si="8"/>
        <v>3.2827041196117923E-4</v>
      </c>
      <c r="E118" s="154">
        <f t="shared" si="8"/>
        <v>0</v>
      </c>
      <c r="F118" s="154">
        <f t="shared" si="8"/>
        <v>0</v>
      </c>
      <c r="G118" s="154">
        <f t="shared" si="8"/>
        <v>0</v>
      </c>
      <c r="H118" s="154">
        <f t="shared" si="8"/>
        <v>1.0979807703255282E-4</v>
      </c>
      <c r="I118" s="154">
        <f t="shared" si="8"/>
        <v>0</v>
      </c>
      <c r="J118" s="154">
        <f t="shared" si="8"/>
        <v>0</v>
      </c>
      <c r="K118" s="251">
        <f t="shared" si="8"/>
        <v>5.8964944409195356E-4</v>
      </c>
      <c r="L118" s="154">
        <f t="shared" ref="L118:Y118" si="13">L69+L93</f>
        <v>2.0562002679489535E-4</v>
      </c>
      <c r="M118" s="154">
        <f t="shared" si="13"/>
        <v>0</v>
      </c>
      <c r="N118" s="251">
        <f t="shared" si="13"/>
        <v>2.0562002679489535E-4</v>
      </c>
      <c r="O118" s="251">
        <f t="shared" si="13"/>
        <v>5.8723999999999998E-3</v>
      </c>
      <c r="P118" s="154"/>
      <c r="Q118" s="154"/>
      <c r="R118" s="251"/>
      <c r="S118" s="154"/>
      <c r="T118" s="154"/>
      <c r="U118" s="251"/>
      <c r="V118" s="154">
        <f t="shared" si="13"/>
        <v>4.5093023497641831E-4</v>
      </c>
      <c r="W118" s="154">
        <f t="shared" si="13"/>
        <v>0</v>
      </c>
      <c r="X118" s="154">
        <f t="shared" si="13"/>
        <v>0</v>
      </c>
      <c r="Y118" s="251">
        <f t="shared" si="13"/>
        <v>4.5093023497641831E-4</v>
      </c>
      <c r="Z118" s="251">
        <f t="shared" si="10"/>
        <v>7.1185997058632669E-3</v>
      </c>
    </row>
    <row r="119" spans="1:26" x14ac:dyDescent="0.35">
      <c r="A119" s="1" t="s">
        <v>284</v>
      </c>
      <c r="B119" s="154">
        <f t="shared" si="8"/>
        <v>1.7051286340328997</v>
      </c>
      <c r="C119" s="154">
        <f t="shared" si="8"/>
        <v>2.8511986995304226</v>
      </c>
      <c r="D119" s="154">
        <f t="shared" si="8"/>
        <v>9.8673837346494029</v>
      </c>
      <c r="E119" s="154">
        <f t="shared" si="8"/>
        <v>0</v>
      </c>
      <c r="F119" s="154">
        <f t="shared" si="8"/>
        <v>0</v>
      </c>
      <c r="G119" s="154">
        <f t="shared" si="8"/>
        <v>0</v>
      </c>
      <c r="H119" s="154">
        <f t="shared" si="8"/>
        <v>0.68141437889121736</v>
      </c>
      <c r="I119" s="154">
        <f t="shared" si="8"/>
        <v>0</v>
      </c>
      <c r="J119" s="154">
        <f t="shared" si="8"/>
        <v>0</v>
      </c>
      <c r="K119" s="251">
        <f t="shared" si="8"/>
        <v>15.105125447103942</v>
      </c>
      <c r="L119" s="154">
        <f t="shared" ref="L119:Y119" si="14">L70+L94</f>
        <v>0.37977548705269193</v>
      </c>
      <c r="M119" s="154">
        <f t="shared" si="14"/>
        <v>0</v>
      </c>
      <c r="N119" s="251">
        <f t="shared" si="14"/>
        <v>0.37977548705269193</v>
      </c>
      <c r="O119" s="251">
        <f t="shared" si="14"/>
        <v>631.55999999999995</v>
      </c>
      <c r="P119" s="154"/>
      <c r="Q119" s="154"/>
      <c r="R119" s="251"/>
      <c r="S119" s="154"/>
      <c r="T119" s="154"/>
      <c r="U119" s="251"/>
      <c r="V119" s="154">
        <f t="shared" si="14"/>
        <v>2.7323846812273751</v>
      </c>
      <c r="W119" s="154">
        <f t="shared" si="14"/>
        <v>0</v>
      </c>
      <c r="X119" s="154">
        <f t="shared" si="14"/>
        <v>0</v>
      </c>
      <c r="Y119" s="251">
        <f t="shared" si="14"/>
        <v>2.7323846812273751</v>
      </c>
      <c r="Z119" s="251">
        <f t="shared" si="10"/>
        <v>649.7772856153839</v>
      </c>
    </row>
    <row r="120" spans="1:26" x14ac:dyDescent="0.35">
      <c r="A120" s="1" t="s">
        <v>285</v>
      </c>
      <c r="B120" s="154">
        <f t="shared" si="8"/>
        <v>2.4451836674520284</v>
      </c>
      <c r="C120" s="154">
        <f t="shared" si="8"/>
        <v>4.0886677718050306</v>
      </c>
      <c r="D120" s="154">
        <f t="shared" si="8"/>
        <v>14.149997288697804</v>
      </c>
      <c r="E120" s="154">
        <f t="shared" si="8"/>
        <v>0</v>
      </c>
      <c r="F120" s="154">
        <f t="shared" si="8"/>
        <v>0</v>
      </c>
      <c r="G120" s="154">
        <f t="shared" si="8"/>
        <v>0</v>
      </c>
      <c r="H120" s="154">
        <f t="shared" si="8"/>
        <v>10.370944919540303</v>
      </c>
      <c r="I120" s="154">
        <f t="shared" si="8"/>
        <v>0</v>
      </c>
      <c r="J120" s="154">
        <f t="shared" si="8"/>
        <v>0</v>
      </c>
      <c r="K120" s="251">
        <f t="shared" si="8"/>
        <v>31.054793647495167</v>
      </c>
      <c r="L120" s="154">
        <f t="shared" ref="L120:Y120" si="15">L71+L95</f>
        <v>2.0373321039625885</v>
      </c>
      <c r="M120" s="154">
        <f t="shared" si="15"/>
        <v>0</v>
      </c>
      <c r="N120" s="251">
        <f t="shared" si="15"/>
        <v>2.0373321039625885</v>
      </c>
      <c r="O120" s="251">
        <f t="shared" si="15"/>
        <v>1014.928</v>
      </c>
      <c r="P120" s="154"/>
      <c r="Q120" s="154"/>
      <c r="R120" s="251"/>
      <c r="S120" s="154"/>
      <c r="T120" s="154"/>
      <c r="U120" s="251"/>
      <c r="V120" s="154">
        <f t="shared" si="15"/>
        <v>7.5519828674110823</v>
      </c>
      <c r="W120" s="154">
        <f t="shared" si="15"/>
        <v>0</v>
      </c>
      <c r="X120" s="154">
        <f t="shared" si="15"/>
        <v>0</v>
      </c>
      <c r="Y120" s="251">
        <f t="shared" si="15"/>
        <v>7.5519828674110823</v>
      </c>
      <c r="Z120" s="251">
        <f t="shared" si="10"/>
        <v>1055.5721086188687</v>
      </c>
    </row>
    <row r="121" spans="1:26" x14ac:dyDescent="0.35">
      <c r="A121" s="1" t="s">
        <v>286</v>
      </c>
      <c r="B121" s="154">
        <f t="shared" si="8"/>
        <v>1.2750752508948473E-5</v>
      </c>
      <c r="C121" s="154">
        <f t="shared" si="8"/>
        <v>2.1320930424799085E-5</v>
      </c>
      <c r="D121" s="154">
        <f t="shared" si="8"/>
        <v>7.3787141568177228E-5</v>
      </c>
      <c r="E121" s="154">
        <f t="shared" si="8"/>
        <v>0</v>
      </c>
      <c r="F121" s="154">
        <f t="shared" si="8"/>
        <v>0</v>
      </c>
      <c r="G121" s="154">
        <f t="shared" si="8"/>
        <v>0</v>
      </c>
      <c r="H121" s="154">
        <f t="shared" si="8"/>
        <v>3.5986534448919457E-5</v>
      </c>
      <c r="I121" s="154">
        <f t="shared" si="8"/>
        <v>0</v>
      </c>
      <c r="J121" s="154">
        <f t="shared" si="8"/>
        <v>0</v>
      </c>
      <c r="K121" s="251">
        <f t="shared" si="8"/>
        <v>1.4384535895084423E-4</v>
      </c>
      <c r="L121" s="154">
        <f t="shared" ref="L121:Y121" si="16">L72+L96</f>
        <v>7.3105915013882289E-5</v>
      </c>
      <c r="M121" s="154">
        <f t="shared" si="16"/>
        <v>0</v>
      </c>
      <c r="N121" s="251">
        <f t="shared" si="16"/>
        <v>7.3105915013882289E-5</v>
      </c>
      <c r="O121" s="251">
        <f t="shared" si="16"/>
        <v>9.8611999999999997E-6</v>
      </c>
      <c r="P121" s="154"/>
      <c r="Q121" s="154"/>
      <c r="R121" s="251"/>
      <c r="S121" s="154"/>
      <c r="T121" s="154"/>
      <c r="U121" s="251"/>
      <c r="V121" s="154">
        <f t="shared" si="16"/>
        <v>1.7251445628132297E-4</v>
      </c>
      <c r="W121" s="154">
        <f t="shared" si="16"/>
        <v>0</v>
      </c>
      <c r="X121" s="154">
        <f t="shared" si="16"/>
        <v>0</v>
      </c>
      <c r="Y121" s="251">
        <f t="shared" si="16"/>
        <v>1.7251445628132297E-4</v>
      </c>
      <c r="Z121" s="251">
        <f t="shared" si="10"/>
        <v>3.9932693024604944E-4</v>
      </c>
    </row>
    <row r="122" spans="1:26" x14ac:dyDescent="0.35">
      <c r="A122" s="1" t="s">
        <v>287</v>
      </c>
      <c r="B122" s="154">
        <f t="shared" si="8"/>
        <v>1.1928010996352723E-3</v>
      </c>
      <c r="C122" s="154">
        <f t="shared" si="8"/>
        <v>1.994519871521275E-3</v>
      </c>
      <c r="D122" s="154">
        <f t="shared" si="8"/>
        <v>6.9026030847746086E-3</v>
      </c>
      <c r="E122" s="154">
        <f t="shared" si="8"/>
        <v>0</v>
      </c>
      <c r="F122" s="154">
        <f t="shared" si="8"/>
        <v>0</v>
      </c>
      <c r="G122" s="154">
        <f t="shared" si="8"/>
        <v>0</v>
      </c>
      <c r="H122" s="154">
        <f t="shared" si="8"/>
        <v>3.2281769672834067E-3</v>
      </c>
      <c r="I122" s="154">
        <f t="shared" si="8"/>
        <v>0</v>
      </c>
      <c r="J122" s="154">
        <f t="shared" si="8"/>
        <v>0</v>
      </c>
      <c r="K122" s="251">
        <f t="shared" si="8"/>
        <v>1.3318101023214563E-2</v>
      </c>
      <c r="L122" s="154">
        <f t="shared" ref="L122:Y122" si="17">L73+L97</f>
        <v>2.1080260603251652E-4</v>
      </c>
      <c r="M122" s="154">
        <f t="shared" si="17"/>
        <v>0</v>
      </c>
      <c r="N122" s="251">
        <f t="shared" si="17"/>
        <v>2.1080260603251652E-4</v>
      </c>
      <c r="O122" s="251">
        <f t="shared" si="17"/>
        <v>9.8390400000000003E-3</v>
      </c>
      <c r="P122" s="154"/>
      <c r="Q122" s="154"/>
      <c r="R122" s="251"/>
      <c r="S122" s="154"/>
      <c r="T122" s="154"/>
      <c r="U122" s="251"/>
      <c r="V122" s="154">
        <f t="shared" si="17"/>
        <v>1.0307679995824358E-3</v>
      </c>
      <c r="W122" s="154">
        <f t="shared" si="17"/>
        <v>0</v>
      </c>
      <c r="X122" s="154">
        <f t="shared" si="17"/>
        <v>0</v>
      </c>
      <c r="Y122" s="251">
        <f t="shared" si="17"/>
        <v>1.0307679995824358E-3</v>
      </c>
      <c r="Z122" s="251">
        <f t="shared" si="10"/>
        <v>2.4398711628829516E-2</v>
      </c>
    </row>
    <row r="123" spans="1:26" x14ac:dyDescent="0.35">
      <c r="A123" s="1" t="s">
        <v>288</v>
      </c>
      <c r="B123" s="154">
        <f t="shared" si="8"/>
        <v>1.6636956030935176E-2</v>
      </c>
      <c r="C123" s="154">
        <f t="shared" si="8"/>
        <v>2.7819172379596521E-2</v>
      </c>
      <c r="D123" s="154">
        <f t="shared" si="8"/>
        <v>9.6276155392133064E-2</v>
      </c>
      <c r="E123" s="154">
        <f t="shared" si="8"/>
        <v>0</v>
      </c>
      <c r="F123" s="154">
        <f t="shared" si="8"/>
        <v>0</v>
      </c>
      <c r="G123" s="154">
        <f t="shared" si="8"/>
        <v>0</v>
      </c>
      <c r="H123" s="154">
        <f t="shared" si="8"/>
        <v>3.5455015593932562E-2</v>
      </c>
      <c r="I123" s="154">
        <f t="shared" si="8"/>
        <v>0</v>
      </c>
      <c r="J123" s="154">
        <f t="shared" si="8"/>
        <v>0</v>
      </c>
      <c r="K123" s="251">
        <f t="shared" si="8"/>
        <v>0.17618729939659733</v>
      </c>
      <c r="L123" s="154">
        <f t="shared" ref="L123:Y123" si="18">L74+L98</f>
        <v>2.49859756171603E-3</v>
      </c>
      <c r="M123" s="154">
        <f t="shared" si="18"/>
        <v>0</v>
      </c>
      <c r="N123" s="251">
        <f t="shared" si="18"/>
        <v>2.49859756171603E-3</v>
      </c>
      <c r="O123" s="251">
        <f t="shared" si="18"/>
        <v>0.1076976</v>
      </c>
      <c r="P123" s="154"/>
      <c r="Q123" s="154"/>
      <c r="R123" s="251"/>
      <c r="S123" s="154"/>
      <c r="T123" s="154"/>
      <c r="U123" s="251"/>
      <c r="V123" s="154">
        <f t="shared" si="18"/>
        <v>1.0579231622299769E-2</v>
      </c>
      <c r="W123" s="154">
        <f t="shared" si="18"/>
        <v>0</v>
      </c>
      <c r="X123" s="154">
        <f t="shared" si="18"/>
        <v>0</v>
      </c>
      <c r="Y123" s="251">
        <f t="shared" si="18"/>
        <v>1.0579231622299769E-2</v>
      </c>
      <c r="Z123" s="251">
        <f t="shared" si="10"/>
        <v>0.29696272858061312</v>
      </c>
    </row>
    <row r="124" spans="1:26" x14ac:dyDescent="0.35">
      <c r="A124" s="1" t="s">
        <v>289</v>
      </c>
      <c r="B124" s="154">
        <f t="shared" si="8"/>
        <v>3.1098734480592764E-11</v>
      </c>
      <c r="C124" s="154">
        <f t="shared" si="8"/>
        <v>5.2001162574105932E-11</v>
      </c>
      <c r="D124" s="154">
        <f t="shared" si="8"/>
        <v>1.7996480773195484E-10</v>
      </c>
      <c r="E124" s="154">
        <f t="shared" si="8"/>
        <v>0</v>
      </c>
      <c r="F124" s="154">
        <f t="shared" si="8"/>
        <v>0</v>
      </c>
      <c r="G124" s="154">
        <f t="shared" si="8"/>
        <v>0</v>
      </c>
      <c r="H124" s="154">
        <f t="shared" si="8"/>
        <v>9.3860734157275078E-11</v>
      </c>
      <c r="I124" s="154">
        <f t="shared" si="8"/>
        <v>0</v>
      </c>
      <c r="J124" s="154">
        <f t="shared" si="8"/>
        <v>0</v>
      </c>
      <c r="K124" s="251">
        <f t="shared" si="8"/>
        <v>3.5692543894392867E-10</v>
      </c>
      <c r="L124" s="154">
        <f t="shared" ref="L124:Y124" si="19">L75+L99</f>
        <v>2.5071044568388908E-11</v>
      </c>
      <c r="M124" s="154">
        <f t="shared" si="19"/>
        <v>0</v>
      </c>
      <c r="N124" s="251">
        <f t="shared" si="19"/>
        <v>2.5071044568388908E-11</v>
      </c>
      <c r="O124" s="251">
        <f t="shared" si="19"/>
        <v>1.099136E-8</v>
      </c>
      <c r="P124" s="154"/>
      <c r="Q124" s="154"/>
      <c r="R124" s="251"/>
      <c r="S124" s="154"/>
      <c r="T124" s="154"/>
      <c r="U124" s="251"/>
      <c r="V124" s="154">
        <f t="shared" si="19"/>
        <v>3.4322818084723971E-10</v>
      </c>
      <c r="W124" s="154">
        <f t="shared" si="19"/>
        <v>0</v>
      </c>
      <c r="X124" s="154">
        <f t="shared" si="19"/>
        <v>0</v>
      </c>
      <c r="Y124" s="251">
        <f t="shared" si="19"/>
        <v>3.4322818084723971E-10</v>
      </c>
      <c r="Z124" s="251">
        <f t="shared" si="10"/>
        <v>1.1716584664359557E-8</v>
      </c>
    </row>
    <row r="125" spans="1:26" x14ac:dyDescent="0.35">
      <c r="A125" s="1" t="s">
        <v>319</v>
      </c>
      <c r="B125" s="154">
        <f t="shared" si="8"/>
        <v>8.2554245453956894E-10</v>
      </c>
      <c r="C125" s="154">
        <f t="shared" si="8"/>
        <v>1.3804152518530496E-9</v>
      </c>
      <c r="D125" s="154">
        <f t="shared" si="8"/>
        <v>4.7773194500404562E-9</v>
      </c>
      <c r="E125" s="154">
        <f t="shared" si="8"/>
        <v>0</v>
      </c>
      <c r="F125" s="154">
        <f t="shared" si="8"/>
        <v>0</v>
      </c>
      <c r="G125" s="154">
        <f t="shared" si="8"/>
        <v>0</v>
      </c>
      <c r="H125" s="154">
        <f t="shared" si="8"/>
        <v>1.5129116376803103E-9</v>
      </c>
      <c r="I125" s="154">
        <f t="shared" si="8"/>
        <v>0</v>
      </c>
      <c r="J125" s="154">
        <f t="shared" si="8"/>
        <v>0</v>
      </c>
      <c r="K125" s="251">
        <f t="shared" si="8"/>
        <v>8.4961887941133851E-9</v>
      </c>
      <c r="L125" s="154">
        <f t="shared" ref="L125:Y125" si="20">L76+L100</f>
        <v>9.5260510567475159E-10</v>
      </c>
      <c r="M125" s="154">
        <f t="shared" si="20"/>
        <v>0</v>
      </c>
      <c r="N125" s="251">
        <f t="shared" si="20"/>
        <v>9.5260510567475159E-10</v>
      </c>
      <c r="O125" s="251">
        <f t="shared" si="20"/>
        <v>3.1688799999999997E-7</v>
      </c>
      <c r="P125" s="154"/>
      <c r="Q125" s="154"/>
      <c r="R125" s="251"/>
      <c r="S125" s="154"/>
      <c r="T125" s="154"/>
      <c r="U125" s="251"/>
      <c r="V125" s="154">
        <f t="shared" si="20"/>
        <v>1.519562698401938E-8</v>
      </c>
      <c r="W125" s="154">
        <f t="shared" si="20"/>
        <v>0</v>
      </c>
      <c r="X125" s="154">
        <f t="shared" si="20"/>
        <v>0</v>
      </c>
      <c r="Y125" s="251">
        <f t="shared" si="20"/>
        <v>1.519562698401938E-8</v>
      </c>
      <c r="Z125" s="251">
        <f t="shared" si="10"/>
        <v>3.4153242088380752E-7</v>
      </c>
    </row>
    <row r="126" spans="1:26" x14ac:dyDescent="0.35">
      <c r="A126" s="1" t="s">
        <v>291</v>
      </c>
      <c r="B126" s="154">
        <f t="shared" si="8"/>
        <v>6.5235409876746985E-3</v>
      </c>
      <c r="C126" s="154">
        <f t="shared" si="8"/>
        <v>1.0908216077751135E-2</v>
      </c>
      <c r="D126" s="154">
        <f t="shared" si="8"/>
        <v>3.7750983092609318E-2</v>
      </c>
      <c r="E126" s="154">
        <f t="shared" si="8"/>
        <v>0</v>
      </c>
      <c r="F126" s="154">
        <f t="shared" si="8"/>
        <v>0</v>
      </c>
      <c r="G126" s="154">
        <f t="shared" si="8"/>
        <v>0</v>
      </c>
      <c r="H126" s="154">
        <f t="shared" si="8"/>
        <v>6.8171824219277885E-3</v>
      </c>
      <c r="I126" s="154">
        <f t="shared" si="8"/>
        <v>0</v>
      </c>
      <c r="J126" s="154">
        <f t="shared" si="8"/>
        <v>0</v>
      </c>
      <c r="K126" s="251">
        <f t="shared" si="8"/>
        <v>6.1999922579962938E-2</v>
      </c>
      <c r="L126" s="154">
        <f t="shared" ref="L126:Y126" si="21">L77+L101</f>
        <v>3.9110006778906019E-2</v>
      </c>
      <c r="M126" s="154">
        <f t="shared" si="21"/>
        <v>0</v>
      </c>
      <c r="N126" s="251">
        <f t="shared" si="21"/>
        <v>3.9110006778906019E-2</v>
      </c>
      <c r="O126" s="251">
        <f t="shared" si="21"/>
        <v>0.16730799999999998</v>
      </c>
      <c r="P126" s="154"/>
      <c r="Q126" s="154"/>
      <c r="R126" s="251"/>
      <c r="S126" s="154"/>
      <c r="T126" s="154"/>
      <c r="U126" s="251"/>
      <c r="V126" s="154">
        <f t="shared" si="21"/>
        <v>0.10643324427322706</v>
      </c>
      <c r="W126" s="154">
        <f t="shared" si="21"/>
        <v>0</v>
      </c>
      <c r="X126" s="154">
        <f t="shared" si="21"/>
        <v>0</v>
      </c>
      <c r="Y126" s="251">
        <f t="shared" si="21"/>
        <v>0.10643324427322706</v>
      </c>
      <c r="Z126" s="251">
        <f t="shared" si="10"/>
        <v>0.37485117363209597</v>
      </c>
    </row>
    <row r="127" spans="1:26" x14ac:dyDescent="0.35">
      <c r="A127" s="1" t="s">
        <v>292</v>
      </c>
      <c r="B127" s="154">
        <f t="shared" si="8"/>
        <v>2.0111230924374026</v>
      </c>
      <c r="C127" s="154">
        <f t="shared" si="8"/>
        <v>3.3628615644035253</v>
      </c>
      <c r="D127" s="154">
        <f t="shared" si="8"/>
        <v>11.638138551318084</v>
      </c>
      <c r="E127" s="154">
        <f t="shared" si="8"/>
        <v>0</v>
      </c>
      <c r="F127" s="154">
        <f t="shared" si="8"/>
        <v>0</v>
      </c>
      <c r="G127" s="154">
        <f t="shared" si="8"/>
        <v>0</v>
      </c>
      <c r="H127" s="154">
        <f t="shared" si="8"/>
        <v>374.18983912961073</v>
      </c>
      <c r="I127" s="154">
        <f t="shared" si="8"/>
        <v>0</v>
      </c>
      <c r="J127" s="154">
        <f t="shared" si="8"/>
        <v>0</v>
      </c>
      <c r="K127" s="251">
        <f t="shared" si="8"/>
        <v>391.20196233776971</v>
      </c>
      <c r="L127" s="154">
        <f t="shared" ref="L127:Y127" si="22">L78+L102</f>
        <v>0.6282499716687221</v>
      </c>
      <c r="M127" s="154">
        <f t="shared" si="22"/>
        <v>0</v>
      </c>
      <c r="N127" s="251">
        <f t="shared" si="22"/>
        <v>0.6282499716687221</v>
      </c>
      <c r="O127" s="251">
        <f t="shared" si="22"/>
        <v>5.8280799999999999</v>
      </c>
      <c r="P127" s="154"/>
      <c r="Q127" s="154"/>
      <c r="R127" s="251"/>
      <c r="S127" s="154"/>
      <c r="T127" s="154"/>
      <c r="U127" s="251"/>
      <c r="V127" s="154">
        <f t="shared" si="22"/>
        <v>2.9238161430011052</v>
      </c>
      <c r="W127" s="154">
        <f t="shared" si="22"/>
        <v>0</v>
      </c>
      <c r="X127" s="154">
        <f t="shared" si="22"/>
        <v>0</v>
      </c>
      <c r="Y127" s="251">
        <f t="shared" si="22"/>
        <v>2.9238161430011052</v>
      </c>
      <c r="Z127" s="251">
        <f t="shared" si="10"/>
        <v>400.58210845243951</v>
      </c>
    </row>
    <row r="128" spans="1:26" x14ac:dyDescent="0.35">
      <c r="A128" s="1" t="s">
        <v>293</v>
      </c>
      <c r="B128" s="154">
        <f t="shared" si="8"/>
        <v>5.0015886110421941E-7</v>
      </c>
      <c r="C128" s="154">
        <f t="shared" si="8"/>
        <v>8.363312103709897E-7</v>
      </c>
      <c r="D128" s="154">
        <f t="shared" si="8"/>
        <v>2.8943619339309744E-6</v>
      </c>
      <c r="E128" s="154">
        <f t="shared" si="8"/>
        <v>0</v>
      </c>
      <c r="F128" s="154">
        <f t="shared" si="8"/>
        <v>0</v>
      </c>
      <c r="G128" s="154">
        <f t="shared" si="8"/>
        <v>0</v>
      </c>
      <c r="H128" s="154">
        <f t="shared" si="8"/>
        <v>5.1185430018615164E-7</v>
      </c>
      <c r="I128" s="154">
        <f t="shared" si="8"/>
        <v>0</v>
      </c>
      <c r="J128" s="154">
        <f t="shared" si="8"/>
        <v>0</v>
      </c>
      <c r="K128" s="251">
        <f t="shared" si="8"/>
        <v>4.742706305592335E-6</v>
      </c>
      <c r="L128" s="154">
        <f t="shared" ref="L128:Y128" si="23">L79+L103</f>
        <v>3.5788766674713027E-7</v>
      </c>
      <c r="M128" s="154">
        <f t="shared" si="23"/>
        <v>0</v>
      </c>
      <c r="N128" s="251">
        <f t="shared" si="23"/>
        <v>3.5788766674713027E-7</v>
      </c>
      <c r="O128" s="251">
        <f t="shared" si="23"/>
        <v>2.2603199999999999E-6</v>
      </c>
      <c r="P128" s="154"/>
      <c r="Q128" s="154"/>
      <c r="R128" s="251"/>
      <c r="S128" s="154"/>
      <c r="T128" s="154"/>
      <c r="U128" s="251"/>
      <c r="V128" s="154">
        <f t="shared" si="23"/>
        <v>2.0002821138870845E-4</v>
      </c>
      <c r="W128" s="154">
        <f t="shared" si="23"/>
        <v>0</v>
      </c>
      <c r="X128" s="154">
        <f t="shared" si="23"/>
        <v>0</v>
      </c>
      <c r="Y128" s="251">
        <f t="shared" si="23"/>
        <v>2.0002821138870845E-4</v>
      </c>
      <c r="Z128" s="251">
        <f t="shared" si="10"/>
        <v>2.0738912536104792E-4</v>
      </c>
    </row>
    <row r="129" spans="1:26" x14ac:dyDescent="0.35">
      <c r="A129" s="1" t="s">
        <v>294</v>
      </c>
      <c r="B129" s="154">
        <f t="shared" si="8"/>
        <v>2.8444523444378932E-9</v>
      </c>
      <c r="C129" s="154">
        <f t="shared" si="8"/>
        <v>4.7562973628305749E-9</v>
      </c>
      <c r="D129" s="154">
        <f t="shared" si="8"/>
        <v>1.6460519304697971E-8</v>
      </c>
      <c r="E129" s="154">
        <f t="shared" si="8"/>
        <v>0</v>
      </c>
      <c r="F129" s="154">
        <f t="shared" si="8"/>
        <v>0</v>
      </c>
      <c r="G129" s="154">
        <f t="shared" si="8"/>
        <v>0</v>
      </c>
      <c r="H129" s="154">
        <f t="shared" si="8"/>
        <v>1.1640990651020557E-8</v>
      </c>
      <c r="I129" s="154">
        <f t="shared" si="8"/>
        <v>0</v>
      </c>
      <c r="J129" s="154">
        <f t="shared" si="8"/>
        <v>0</v>
      </c>
      <c r="K129" s="251">
        <f t="shared" si="8"/>
        <v>3.5702259662986999E-8</v>
      </c>
      <c r="L129" s="154">
        <f t="shared" ref="L129:Y129" si="24">L80+L104</f>
        <v>1.5574157254795618E-9</v>
      </c>
      <c r="M129" s="154">
        <f t="shared" si="24"/>
        <v>0</v>
      </c>
      <c r="N129" s="251">
        <f t="shared" si="24"/>
        <v>1.5574157254795618E-9</v>
      </c>
      <c r="O129" s="251">
        <f t="shared" si="24"/>
        <v>7.3571199999999993E-12</v>
      </c>
      <c r="P129" s="154"/>
      <c r="Q129" s="154"/>
      <c r="R129" s="251"/>
      <c r="S129" s="154"/>
      <c r="T129" s="154"/>
      <c r="U129" s="251"/>
      <c r="V129" s="154">
        <f t="shared" si="24"/>
        <v>6.6867322617563686E-9</v>
      </c>
      <c r="W129" s="154">
        <f t="shared" si="24"/>
        <v>0</v>
      </c>
      <c r="X129" s="154">
        <f t="shared" si="24"/>
        <v>0</v>
      </c>
      <c r="Y129" s="251">
        <f t="shared" si="24"/>
        <v>6.6867322617563686E-9</v>
      </c>
      <c r="Z129" s="251">
        <f t="shared" si="10"/>
        <v>4.3953764770222923E-8</v>
      </c>
    </row>
    <row r="130" spans="1:26" x14ac:dyDescent="0.35">
      <c r="A130" s="1" t="s">
        <v>295</v>
      </c>
      <c r="B130" s="154">
        <f t="shared" si="8"/>
        <v>5.3780018504830818E-8</v>
      </c>
      <c r="C130" s="154">
        <f t="shared" si="8"/>
        <v>8.9927244057258084E-8</v>
      </c>
      <c r="D130" s="154">
        <f t="shared" si="8"/>
        <v>3.1121879560992262E-7</v>
      </c>
      <c r="E130" s="154">
        <f t="shared" si="8"/>
        <v>0</v>
      </c>
      <c r="F130" s="154">
        <f t="shared" si="8"/>
        <v>0</v>
      </c>
      <c r="G130" s="154">
        <f t="shared" si="8"/>
        <v>0</v>
      </c>
      <c r="H130" s="154">
        <f t="shared" si="8"/>
        <v>1.9867763072504735E-7</v>
      </c>
      <c r="I130" s="154">
        <f t="shared" si="8"/>
        <v>0</v>
      </c>
      <c r="J130" s="154">
        <f t="shared" si="8"/>
        <v>0</v>
      </c>
      <c r="K130" s="251">
        <f t="shared" si="8"/>
        <v>6.5360368889705883E-7</v>
      </c>
      <c r="L130" s="154">
        <f t="shared" ref="L130:Y130" si="25">L81+L105</f>
        <v>9.8472396783713966E-9</v>
      </c>
      <c r="M130" s="154">
        <f t="shared" si="25"/>
        <v>0</v>
      </c>
      <c r="N130" s="251">
        <f t="shared" si="25"/>
        <v>9.8472396783713966E-9</v>
      </c>
      <c r="O130" s="251">
        <f t="shared" si="25"/>
        <v>5.9388800000000003E-7</v>
      </c>
      <c r="P130" s="154"/>
      <c r="Q130" s="154"/>
      <c r="R130" s="251"/>
      <c r="S130" s="154"/>
      <c r="T130" s="154"/>
      <c r="U130" s="251"/>
      <c r="V130" s="154">
        <f t="shared" si="25"/>
        <v>6.9930966262356109E-8</v>
      </c>
      <c r="W130" s="154">
        <f t="shared" si="25"/>
        <v>0</v>
      </c>
      <c r="X130" s="154">
        <f t="shared" si="25"/>
        <v>0</v>
      </c>
      <c r="Y130" s="251">
        <f t="shared" si="25"/>
        <v>6.9930966262356109E-8</v>
      </c>
      <c r="Z130" s="251">
        <f t="shared" si="10"/>
        <v>1.3272698948377861E-6</v>
      </c>
    </row>
    <row r="131" spans="1:26" x14ac:dyDescent="0.35">
      <c r="A131" s="1" t="s">
        <v>296</v>
      </c>
      <c r="B131" s="154">
        <f t="shared" si="8"/>
        <v>3.7573534574921121E-3</v>
      </c>
      <c r="C131" s="154">
        <f t="shared" si="8"/>
        <v>6.2827877485933676E-3</v>
      </c>
      <c r="D131" s="154">
        <f t="shared" si="8"/>
        <v>2.1743373286798616E-2</v>
      </c>
      <c r="E131" s="154">
        <f t="shared" si="8"/>
        <v>0</v>
      </c>
      <c r="F131" s="154">
        <f t="shared" si="8"/>
        <v>0</v>
      </c>
      <c r="G131" s="154">
        <f t="shared" si="8"/>
        <v>0</v>
      </c>
      <c r="H131" s="154">
        <f t="shared" si="8"/>
        <v>1.057789267704755E-2</v>
      </c>
      <c r="I131" s="154">
        <f t="shared" si="8"/>
        <v>0</v>
      </c>
      <c r="J131" s="154">
        <f t="shared" si="8"/>
        <v>0</v>
      </c>
      <c r="K131" s="251">
        <f t="shared" si="8"/>
        <v>4.2361407169931642E-2</v>
      </c>
      <c r="L131" s="154">
        <f t="shared" ref="L131:Y131" si="26">L82+L106</f>
        <v>6.5993967225239786E-4</v>
      </c>
      <c r="M131" s="154">
        <f t="shared" si="26"/>
        <v>0</v>
      </c>
      <c r="N131" s="251">
        <f t="shared" si="26"/>
        <v>6.5993967225239786E-4</v>
      </c>
      <c r="O131" s="251">
        <f t="shared" si="26"/>
        <v>4.4984799999999991E-2</v>
      </c>
      <c r="P131" s="154"/>
      <c r="Q131" s="154"/>
      <c r="R131" s="251"/>
      <c r="S131" s="154"/>
      <c r="T131" s="154"/>
      <c r="U131" s="251"/>
      <c r="V131" s="154">
        <f t="shared" si="26"/>
        <v>3.4925808009998527E-3</v>
      </c>
      <c r="W131" s="154">
        <f t="shared" si="26"/>
        <v>0</v>
      </c>
      <c r="X131" s="154">
        <f t="shared" si="26"/>
        <v>0</v>
      </c>
      <c r="Y131" s="251">
        <f t="shared" si="26"/>
        <v>3.4925808009998527E-3</v>
      </c>
      <c r="Z131" s="251">
        <f t="shared" si="10"/>
        <v>9.1498727643183883E-2</v>
      </c>
    </row>
    <row r="132" spans="1:26" x14ac:dyDescent="0.35">
      <c r="A132" s="1" t="s">
        <v>297</v>
      </c>
      <c r="B132" s="154">
        <f t="shared" si="8"/>
        <v>0.24556325502132795</v>
      </c>
      <c r="C132" s="154">
        <f t="shared" si="8"/>
        <v>0.41061396741271228</v>
      </c>
      <c r="D132" s="154">
        <f t="shared" si="8"/>
        <v>1.4210463774185043</v>
      </c>
      <c r="E132" s="154">
        <f t="shared" si="8"/>
        <v>0</v>
      </c>
      <c r="F132" s="154">
        <f t="shared" si="8"/>
        <v>0</v>
      </c>
      <c r="G132" s="154">
        <f t="shared" si="8"/>
        <v>0</v>
      </c>
      <c r="H132" s="154">
        <f t="shared" si="8"/>
        <v>1.0207570682362821</v>
      </c>
      <c r="I132" s="154">
        <f t="shared" si="8"/>
        <v>0</v>
      </c>
      <c r="J132" s="154">
        <f t="shared" si="8"/>
        <v>0</v>
      </c>
      <c r="K132" s="251">
        <f t="shared" si="8"/>
        <v>3.0979806680888267</v>
      </c>
      <c r="L132" s="154">
        <f t="shared" ref="L132:Y132" si="27">L83+L107</f>
        <v>0.25392572768492161</v>
      </c>
      <c r="M132" s="154">
        <f t="shared" si="27"/>
        <v>0</v>
      </c>
      <c r="N132" s="251">
        <f t="shared" si="27"/>
        <v>0.25392572768492161</v>
      </c>
      <c r="O132" s="251">
        <f t="shared" si="27"/>
        <v>0.15977359999999999</v>
      </c>
      <c r="P132" s="154"/>
      <c r="Q132" s="154"/>
      <c r="R132" s="251"/>
      <c r="S132" s="154"/>
      <c r="T132" s="154"/>
      <c r="U132" s="251"/>
      <c r="V132" s="154">
        <f t="shared" si="27"/>
        <v>0.33021433976024206</v>
      </c>
      <c r="W132" s="154">
        <f t="shared" si="27"/>
        <v>0</v>
      </c>
      <c r="X132" s="154">
        <f t="shared" si="27"/>
        <v>0</v>
      </c>
      <c r="Y132" s="251">
        <f t="shared" si="27"/>
        <v>0.33021433976024206</v>
      </c>
      <c r="Z132" s="251">
        <f t="shared" si="10"/>
        <v>3.8418943355339903</v>
      </c>
    </row>
    <row r="133" spans="1:26" x14ac:dyDescent="0.35">
      <c r="K133">
        <f>+SUM(K114:K132)</f>
        <v>445.30418379770373</v>
      </c>
      <c r="N133">
        <f>+SUM(N114:N132)</f>
        <v>3.5860956936697885</v>
      </c>
      <c r="O133">
        <f>+SUM(O114:O132)</f>
        <v>1676.3414996832948</v>
      </c>
      <c r="R133">
        <f>+SUM(R114:R132)</f>
        <v>0</v>
      </c>
      <c r="U133">
        <f>+SUM(U114:U132)</f>
        <v>0</v>
      </c>
      <c r="Y133">
        <f>+SUM(Y114:Y132)</f>
        <v>14.973993870647137</v>
      </c>
      <c r="Z133">
        <f>+SUM(Z114:Z132)</f>
        <v>2140.2057730453148</v>
      </c>
    </row>
    <row r="136" spans="1:26" x14ac:dyDescent="0.35">
      <c r="B136" s="205" t="s">
        <v>324</v>
      </c>
      <c r="C136" s="205" t="s">
        <v>325</v>
      </c>
      <c r="D136" s="205" t="s">
        <v>200</v>
      </c>
    </row>
    <row r="137" spans="1:26" x14ac:dyDescent="0.35">
      <c r="A137" s="95" t="s">
        <v>326</v>
      </c>
      <c r="B137" s="1">
        <f>+SUM(E4:W22)</f>
        <v>2140.2057730453157</v>
      </c>
      <c r="C137" s="1">
        <f>+SUM(E28:W46)</f>
        <v>0</v>
      </c>
      <c r="D137" s="1">
        <f>+SUM(E54:W54)</f>
        <v>2140.2057730453148</v>
      </c>
    </row>
    <row r="138" spans="1:26" x14ac:dyDescent="0.35">
      <c r="A138" s="95" t="s">
        <v>327</v>
      </c>
      <c r="B138" s="1">
        <f>+SUM(B65:J83,L65:M83,O65:O83,P65:Q83,S65:T83,V65:X83)</f>
        <v>2140.2057730453148</v>
      </c>
      <c r="C138" s="1">
        <f>+SUM(B89:J107,L89:M107,O89:O107,P89:Q107,S89:T107,V89:X107)</f>
        <v>0</v>
      </c>
      <c r="D138" s="1">
        <f>+SUM(B114:G132,H114:J132,L114:M132,O114:O132,P114:Q132,S114:T132,V114:X132)</f>
        <v>2140.2057730453148</v>
      </c>
    </row>
    <row r="139" spans="1:26" x14ac:dyDescent="0.35">
      <c r="A139" s="148" t="s">
        <v>58</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977</v>
      </c>
    </row>
    <row r="2" spans="1:3" ht="38.5" customHeight="1" x14ac:dyDescent="0.35">
      <c r="A2" s="335" t="s">
        <v>1003</v>
      </c>
    </row>
    <row r="3" spans="1:3" ht="17.5" customHeight="1" x14ac:dyDescent="0.55000000000000004">
      <c r="A3" s="100"/>
    </row>
    <row r="4" spans="1:3" ht="17.5" customHeight="1" x14ac:dyDescent="0.55000000000000004">
      <c r="A4" s="228" t="s">
        <v>978</v>
      </c>
      <c r="B4" s="110"/>
    </row>
    <row r="5" spans="1:3" ht="17.5" customHeight="1" x14ac:dyDescent="0.55000000000000004">
      <c r="A5" s="228"/>
      <c r="B5" s="110"/>
    </row>
    <row r="6" spans="1:3" ht="17.5" customHeight="1" x14ac:dyDescent="0.35">
      <c r="A6" s="306" t="s">
        <v>355</v>
      </c>
      <c r="B6" s="306" t="s">
        <v>32</v>
      </c>
      <c r="C6" s="306" t="s">
        <v>33</v>
      </c>
    </row>
    <row r="7" spans="1:3" ht="17.5" customHeight="1" x14ac:dyDescent="0.35">
      <c r="A7" s="1" t="s">
        <v>356</v>
      </c>
      <c r="B7" s="96" t="s">
        <v>357</v>
      </c>
      <c r="C7" s="96" t="s">
        <v>36</v>
      </c>
    </row>
    <row r="8" spans="1:3" ht="17.5" customHeight="1" x14ac:dyDescent="0.35">
      <c r="A8" s="1" t="s">
        <v>358</v>
      </c>
      <c r="B8" s="96" t="s">
        <v>359</v>
      </c>
      <c r="C8" s="96" t="s">
        <v>36</v>
      </c>
    </row>
    <row r="9" spans="1:3" ht="17.5" customHeight="1" x14ac:dyDescent="0.35">
      <c r="A9" s="1" t="s">
        <v>360</v>
      </c>
      <c r="B9" s="96" t="s">
        <v>361</v>
      </c>
      <c r="C9" s="96" t="s">
        <v>36</v>
      </c>
    </row>
    <row r="10" spans="1:3" ht="17.5" customHeight="1" x14ac:dyDescent="0.35">
      <c r="A10" s="1" t="s">
        <v>362</v>
      </c>
      <c r="B10" s="96" t="s">
        <v>363</v>
      </c>
      <c r="C10" s="96" t="s">
        <v>36</v>
      </c>
    </row>
    <row r="11" spans="1:3" ht="17.5" customHeight="1" x14ac:dyDescent="0.35">
      <c r="B11"/>
    </row>
    <row r="12" spans="1:3" ht="17.5" customHeight="1" x14ac:dyDescent="0.35">
      <c r="A12" t="s">
        <v>364</v>
      </c>
      <c r="B12"/>
    </row>
    <row r="13" spans="1:3" ht="17.5" customHeight="1" x14ac:dyDescent="0.35">
      <c r="A13" s="62" t="s">
        <v>365</v>
      </c>
      <c r="B13" s="62" t="s">
        <v>32</v>
      </c>
      <c r="C13" s="62" t="s">
        <v>33</v>
      </c>
    </row>
    <row r="14" spans="1:3" ht="17.5" customHeight="1" x14ac:dyDescent="0.35">
      <c r="A14" s="1" t="s">
        <v>366</v>
      </c>
      <c r="B14" s="96" t="s">
        <v>367</v>
      </c>
      <c r="C14" s="96" t="s">
        <v>36</v>
      </c>
    </row>
    <row r="15" spans="1:3" ht="17.5" customHeight="1" x14ac:dyDescent="0.35">
      <c r="A15" s="1" t="s">
        <v>358</v>
      </c>
      <c r="B15" s="96" t="s">
        <v>368</v>
      </c>
      <c r="C15" s="96" t="s">
        <v>36</v>
      </c>
    </row>
    <row r="16" spans="1:3" ht="17.5" customHeight="1" x14ac:dyDescent="0.35">
      <c r="A16" s="1" t="s">
        <v>360</v>
      </c>
      <c r="B16" s="96" t="s">
        <v>369</v>
      </c>
      <c r="C16" s="96" t="s">
        <v>36</v>
      </c>
    </row>
    <row r="17" spans="1:4" ht="17.5" customHeight="1" x14ac:dyDescent="0.35">
      <c r="A17" s="1" t="s">
        <v>362</v>
      </c>
      <c r="B17" s="96" t="s">
        <v>370</v>
      </c>
      <c r="C17" s="96" t="s">
        <v>36</v>
      </c>
    </row>
    <row r="18" spans="1:4" ht="17.5" customHeight="1" x14ac:dyDescent="0.55000000000000004">
      <c r="A18" s="100"/>
    </row>
    <row r="19" spans="1:4" ht="15" customHeight="1" x14ac:dyDescent="0.55000000000000004">
      <c r="A19" s="100"/>
    </row>
    <row r="20" spans="1:4" ht="15" customHeight="1" x14ac:dyDescent="0.35">
      <c r="A20" s="1" t="s">
        <v>371</v>
      </c>
      <c r="B20" s="90">
        <v>0.51</v>
      </c>
      <c r="C20" s="2" t="s">
        <v>372</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992</v>
      </c>
    </row>
    <row r="27" spans="1:4" ht="13.25" customHeight="1" x14ac:dyDescent="0.45">
      <c r="A27" s="74" t="s">
        <v>993</v>
      </c>
    </row>
    <row r="28" spans="1:4" ht="13.25" customHeight="1" x14ac:dyDescent="0.4">
      <c r="A28" s="81"/>
    </row>
    <row r="29" spans="1:4" ht="13.25" customHeight="1" x14ac:dyDescent="0.35">
      <c r="A29" s="62" t="s">
        <v>374</v>
      </c>
      <c r="B29" s="304" t="s">
        <v>375</v>
      </c>
      <c r="C29" s="295" t="s">
        <v>330</v>
      </c>
      <c r="D29" s="62" t="s">
        <v>331</v>
      </c>
    </row>
    <row r="30" spans="1:4" x14ac:dyDescent="0.35">
      <c r="A30" s="2" t="s">
        <v>376</v>
      </c>
      <c r="B30" s="90" t="s">
        <v>377</v>
      </c>
      <c r="C30" s="224" t="s">
        <v>378</v>
      </c>
      <c r="D30" s="30" t="s">
        <v>379</v>
      </c>
    </row>
    <row r="31" spans="1:4" x14ac:dyDescent="0.35">
      <c r="A31" s="2" t="s">
        <v>380</v>
      </c>
      <c r="B31" s="90">
        <v>1</v>
      </c>
      <c r="C31" s="33"/>
      <c r="D31" s="1"/>
    </row>
    <row r="32" spans="1:4" x14ac:dyDescent="0.35">
      <c r="A32" s="2" t="s">
        <v>411</v>
      </c>
      <c r="B32" s="90">
        <v>263.2</v>
      </c>
      <c r="C32" s="224" t="s">
        <v>378</v>
      </c>
      <c r="D32" s="30" t="s">
        <v>379</v>
      </c>
    </row>
    <row r="33" spans="1:4" ht="29" x14ac:dyDescent="0.35">
      <c r="A33" s="2" t="s">
        <v>381</v>
      </c>
      <c r="B33" s="90">
        <v>0.51</v>
      </c>
      <c r="C33" s="53" t="s">
        <v>382</v>
      </c>
      <c r="D33" s="1"/>
    </row>
    <row r="34" spans="1:4" ht="43.5" x14ac:dyDescent="0.35">
      <c r="A34" s="1" t="s">
        <v>383</v>
      </c>
      <c r="B34" s="90">
        <v>0.25</v>
      </c>
      <c r="C34" s="39" t="s">
        <v>384</v>
      </c>
      <c r="D34" s="214" t="s">
        <v>385</v>
      </c>
    </row>
    <row r="35" spans="1:4" x14ac:dyDescent="0.35">
      <c r="A35" s="2" t="s">
        <v>386</v>
      </c>
      <c r="B35" s="90">
        <v>2.2000000000000002</v>
      </c>
      <c r="C35" s="1" t="s">
        <v>387</v>
      </c>
      <c r="D35" s="30" t="s">
        <v>388</v>
      </c>
    </row>
    <row r="36" spans="1:4" x14ac:dyDescent="0.35">
      <c r="A36" s="2" t="s">
        <v>389</v>
      </c>
      <c r="B36" s="90">
        <v>0.45</v>
      </c>
      <c r="C36" s="1" t="s">
        <v>390</v>
      </c>
      <c r="D36" s="1"/>
    </row>
    <row r="37" spans="1:4" x14ac:dyDescent="0.35">
      <c r="A37" s="2" t="s">
        <v>391</v>
      </c>
      <c r="B37" s="152">
        <f>60/$B$36</f>
        <v>133.33333333333334</v>
      </c>
      <c r="C37" s="1"/>
      <c r="D37" s="1"/>
    </row>
    <row r="38" spans="1:4" x14ac:dyDescent="0.35">
      <c r="A38" s="2" t="s">
        <v>392</v>
      </c>
      <c r="B38" s="90">
        <v>5.4</v>
      </c>
      <c r="C38" s="224" t="s">
        <v>378</v>
      </c>
      <c r="D38" s="30" t="s">
        <v>379</v>
      </c>
    </row>
    <row r="39" spans="1:4" x14ac:dyDescent="0.35">
      <c r="A39" s="2" t="s">
        <v>393</v>
      </c>
      <c r="B39" s="152">
        <f>$B$35*$B$37*$B$38</f>
        <v>1584.0000000000002</v>
      </c>
      <c r="C39" s="8"/>
      <c r="D39" s="1"/>
    </row>
    <row r="40" spans="1:4" x14ac:dyDescent="0.35">
      <c r="A40" s="2" t="s">
        <v>394</v>
      </c>
      <c r="B40" s="152">
        <f>(Input!$B$51+Input!$B$52)/'C3'' - Secondary Raw Material '!$B$39</f>
        <v>1.8939393939393937E-4</v>
      </c>
      <c r="C40" s="13" t="s">
        <v>395</v>
      </c>
      <c r="D40" s="1"/>
    </row>
    <row r="41" spans="1:4" x14ac:dyDescent="0.35">
      <c r="A41" s="1" t="s">
        <v>396</v>
      </c>
      <c r="B41" s="152">
        <f>$B$32*$B$33*$B$34</f>
        <v>33.558</v>
      </c>
      <c r="C41" s="13" t="s">
        <v>397</v>
      </c>
      <c r="D41" s="1" t="s">
        <v>398</v>
      </c>
    </row>
    <row r="42" spans="1:4" ht="19.25" customHeight="1" x14ac:dyDescent="0.5">
      <c r="A42" s="76"/>
    </row>
    <row r="43" spans="1:4" ht="13.25" customHeight="1" x14ac:dyDescent="0.45">
      <c r="A43" s="116" t="s">
        <v>994</v>
      </c>
      <c r="B43" s="116"/>
      <c r="C43" s="116"/>
    </row>
    <row r="44" spans="1:4" ht="13.25" customHeight="1" x14ac:dyDescent="0.45">
      <c r="A44" s="75"/>
      <c r="B44" s="75"/>
      <c r="C44" s="75"/>
    </row>
    <row r="45" spans="1:4" ht="13.25" customHeight="1" x14ac:dyDescent="0.35">
      <c r="A45" s="62" t="s">
        <v>374</v>
      </c>
      <c r="B45" s="304" t="s">
        <v>375</v>
      </c>
      <c r="C45" s="295" t="s">
        <v>330</v>
      </c>
      <c r="D45" s="62" t="s">
        <v>331</v>
      </c>
    </row>
    <row r="46" spans="1:4" ht="13.25" customHeight="1" x14ac:dyDescent="0.35">
      <c r="A46" s="1" t="s">
        <v>381</v>
      </c>
      <c r="B46" s="90">
        <v>0.51</v>
      </c>
      <c r="C46" s="1" t="s">
        <v>382</v>
      </c>
      <c r="D46" s="1"/>
    </row>
    <row r="47" spans="1:4" ht="13.25" customHeight="1" x14ac:dyDescent="0.35">
      <c r="A47" s="1" t="s">
        <v>406</v>
      </c>
      <c r="B47" s="90" t="s">
        <v>407</v>
      </c>
      <c r="C47" s="46" t="s">
        <v>407</v>
      </c>
      <c r="D47" s="30" t="s">
        <v>408</v>
      </c>
    </row>
    <row r="48" spans="1:4" ht="13.25" customHeight="1" x14ac:dyDescent="0.35">
      <c r="A48" s="1" t="s">
        <v>409</v>
      </c>
      <c r="B48" s="90">
        <v>1</v>
      </c>
      <c r="C48" s="1"/>
      <c r="D48" s="1"/>
    </row>
    <row r="49" spans="1:4" ht="13.25" customHeight="1" x14ac:dyDescent="0.35">
      <c r="A49" s="1" t="s">
        <v>410</v>
      </c>
      <c r="B49" s="90">
        <v>400</v>
      </c>
      <c r="C49" s="1"/>
      <c r="D49" s="1"/>
    </row>
    <row r="50" spans="1:4" ht="13.25" customHeight="1" x14ac:dyDescent="0.35">
      <c r="A50" s="1" t="s">
        <v>411</v>
      </c>
      <c r="B50" s="90">
        <v>200</v>
      </c>
      <c r="C50" s="39" t="s">
        <v>384</v>
      </c>
      <c r="D50" s="214" t="s">
        <v>385</v>
      </c>
    </row>
    <row r="51" spans="1:4" ht="13.25" customHeight="1" x14ac:dyDescent="0.35">
      <c r="A51" s="1" t="s">
        <v>383</v>
      </c>
      <c r="B51" s="90">
        <v>0.25</v>
      </c>
      <c r="C51" s="221" t="s">
        <v>384</v>
      </c>
      <c r="D51" s="1"/>
    </row>
    <row r="52" spans="1:4" ht="13.25" customHeight="1" x14ac:dyDescent="0.35">
      <c r="A52" s="1" t="s">
        <v>412</v>
      </c>
      <c r="B52" s="152">
        <f>Input!$B$51+Input!$B$52</f>
        <v>0.3</v>
      </c>
      <c r="C52" s="1"/>
      <c r="D52" s="1"/>
    </row>
    <row r="53" spans="1:4" ht="13.25" customHeight="1" x14ac:dyDescent="0.35">
      <c r="A53" s="1" t="s">
        <v>413</v>
      </c>
      <c r="B53" s="152">
        <f>$B$52/$B$49</f>
        <v>7.5000000000000002E-4</v>
      </c>
      <c r="C53" s="1" t="s">
        <v>414</v>
      </c>
      <c r="D53" s="1"/>
    </row>
    <row r="54" spans="1:4" ht="13.25" customHeight="1" x14ac:dyDescent="0.35">
      <c r="A54" s="2" t="s">
        <v>396</v>
      </c>
      <c r="B54" s="152">
        <f>$B$50*$B$51*$B$46</f>
        <v>25.5</v>
      </c>
      <c r="C54" s="1" t="s">
        <v>397</v>
      </c>
      <c r="D54" s="1" t="s">
        <v>398</v>
      </c>
    </row>
    <row r="55" spans="1:4" ht="13.25" customHeight="1" x14ac:dyDescent="0.35"/>
    <row r="56" spans="1:4" ht="13.25" customHeight="1" x14ac:dyDescent="0.45">
      <c r="A56" s="116" t="s">
        <v>995</v>
      </c>
      <c r="B56" s="116"/>
      <c r="C56" s="116"/>
    </row>
    <row r="57" spans="1:4" ht="18.5" x14ac:dyDescent="0.45">
      <c r="A57" s="74"/>
    </row>
    <row r="58" spans="1:4" ht="12.65" customHeight="1" x14ac:dyDescent="0.35">
      <c r="A58" s="62" t="s">
        <v>374</v>
      </c>
      <c r="B58" s="304" t="s">
        <v>375</v>
      </c>
      <c r="C58" s="305" t="s">
        <v>330</v>
      </c>
      <c r="D58" s="62" t="s">
        <v>331</v>
      </c>
    </row>
    <row r="59" spans="1:4" x14ac:dyDescent="0.35">
      <c r="A59" s="1" t="s">
        <v>381</v>
      </c>
      <c r="B59" s="90">
        <v>0.51</v>
      </c>
      <c r="C59" s="141" t="s">
        <v>382</v>
      </c>
      <c r="D59" s="1"/>
    </row>
    <row r="60" spans="1:4" x14ac:dyDescent="0.35">
      <c r="A60" s="1" t="s">
        <v>415</v>
      </c>
      <c r="B60" s="90" t="s">
        <v>416</v>
      </c>
      <c r="C60" s="199" t="s">
        <v>416</v>
      </c>
      <c r="D60" s="30" t="s">
        <v>417</v>
      </c>
    </row>
    <row r="61" spans="1:4" x14ac:dyDescent="0.35">
      <c r="A61" s="1" t="s">
        <v>418</v>
      </c>
      <c r="B61" s="90">
        <v>1</v>
      </c>
      <c r="C61" s="141"/>
      <c r="D61" s="1"/>
    </row>
    <row r="62" spans="1:4" ht="43.5" x14ac:dyDescent="0.35">
      <c r="A62" s="1" t="s">
        <v>383</v>
      </c>
      <c r="B62" s="90">
        <v>0.25</v>
      </c>
      <c r="C62" s="220" t="s">
        <v>384</v>
      </c>
      <c r="D62" s="214" t="s">
        <v>385</v>
      </c>
    </row>
    <row r="63" spans="1:4" x14ac:dyDescent="0.35">
      <c r="A63" s="1" t="s">
        <v>410</v>
      </c>
      <c r="B63" s="90">
        <v>500</v>
      </c>
      <c r="C63" s="141"/>
      <c r="D63" s="1"/>
    </row>
    <row r="64" spans="1:4" x14ac:dyDescent="0.35">
      <c r="A64" s="1" t="s">
        <v>411</v>
      </c>
      <c r="B64" s="113">
        <v>55</v>
      </c>
      <c r="C64" s="141"/>
      <c r="D64" s="1"/>
    </row>
    <row r="65" spans="1:4" x14ac:dyDescent="0.35">
      <c r="A65" s="1" t="s">
        <v>412</v>
      </c>
      <c r="B65" s="152">
        <f>Input!$B$51+Input!$B$52</f>
        <v>0.3</v>
      </c>
      <c r="C65" s="141"/>
      <c r="D65" s="1"/>
    </row>
    <row r="66" spans="1:4" ht="29" x14ac:dyDescent="0.35">
      <c r="A66" s="6" t="s">
        <v>419</v>
      </c>
      <c r="B66" s="152">
        <f>$B$65/$B$49</f>
        <v>7.5000000000000002E-4</v>
      </c>
      <c r="C66" s="218" t="s">
        <v>420</v>
      </c>
      <c r="D66" s="1"/>
    </row>
    <row r="67" spans="1:4" x14ac:dyDescent="0.35">
      <c r="A67" s="6" t="s">
        <v>396</v>
      </c>
      <c r="B67" s="152">
        <f>$B$64*$B$62*$B$59</f>
        <v>7.0125000000000002</v>
      </c>
      <c r="C67" s="141" t="s">
        <v>397</v>
      </c>
      <c r="D67" s="1" t="s">
        <v>398</v>
      </c>
    </row>
    <row r="68" spans="1:4" x14ac:dyDescent="0.35">
      <c r="A68" s="55"/>
      <c r="C68" s="28"/>
    </row>
    <row r="69" spans="1:4" ht="18.5" x14ac:dyDescent="0.45">
      <c r="A69" s="116" t="s">
        <v>996</v>
      </c>
      <c r="B69" s="116"/>
      <c r="C69" s="116"/>
    </row>
    <row r="70" spans="1:4" ht="18.5" x14ac:dyDescent="0.45">
      <c r="A70" s="74"/>
    </row>
    <row r="71" spans="1:4" x14ac:dyDescent="0.35">
      <c r="A71" s="62" t="s">
        <v>374</v>
      </c>
      <c r="B71" s="304" t="s">
        <v>375</v>
      </c>
      <c r="C71" s="305" t="s">
        <v>330</v>
      </c>
      <c r="D71" s="62" t="s">
        <v>331</v>
      </c>
    </row>
    <row r="72" spans="1:4" x14ac:dyDescent="0.35">
      <c r="A72" s="1" t="s">
        <v>421</v>
      </c>
      <c r="B72" s="90" t="s">
        <v>422</v>
      </c>
      <c r="C72" s="141" t="s">
        <v>422</v>
      </c>
      <c r="D72" s="30" t="s">
        <v>423</v>
      </c>
    </row>
    <row r="73" spans="1:4" x14ac:dyDescent="0.35">
      <c r="A73" s="1" t="s">
        <v>424</v>
      </c>
      <c r="B73" s="90">
        <v>1</v>
      </c>
      <c r="C73" s="141"/>
      <c r="D73" s="1"/>
    </row>
    <row r="74" spans="1:4" x14ac:dyDescent="0.35">
      <c r="A74" s="1" t="s">
        <v>411</v>
      </c>
      <c r="B74" s="90">
        <v>99</v>
      </c>
      <c r="C74" s="141"/>
      <c r="D74" s="1"/>
    </row>
    <row r="75" spans="1:4" ht="29" x14ac:dyDescent="0.35">
      <c r="A75" s="2" t="s">
        <v>381</v>
      </c>
      <c r="B75" s="90">
        <v>0.51</v>
      </c>
      <c r="C75" s="218" t="s">
        <v>382</v>
      </c>
      <c r="D75" s="1"/>
    </row>
    <row r="76" spans="1:4" x14ac:dyDescent="0.35">
      <c r="A76" s="1" t="s">
        <v>410</v>
      </c>
      <c r="B76" s="90">
        <v>500</v>
      </c>
      <c r="C76" s="141"/>
      <c r="D76" s="1"/>
    </row>
    <row r="77" spans="1:4" ht="43.5" x14ac:dyDescent="0.35">
      <c r="A77" s="1" t="s">
        <v>383</v>
      </c>
      <c r="B77" s="90">
        <v>0.25</v>
      </c>
      <c r="C77" s="222" t="s">
        <v>384</v>
      </c>
      <c r="D77" s="1"/>
    </row>
    <row r="78" spans="1:4" x14ac:dyDescent="0.35">
      <c r="A78" s="1" t="s">
        <v>412</v>
      </c>
      <c r="B78" s="152">
        <f>Input!$B$51+Input!$B$52</f>
        <v>0.3</v>
      </c>
      <c r="C78" s="141"/>
      <c r="D78" s="1"/>
    </row>
    <row r="79" spans="1:4" ht="29" x14ac:dyDescent="0.35">
      <c r="A79" s="2" t="s">
        <v>413</v>
      </c>
      <c r="B79" s="152">
        <f>$B$78/$B$49</f>
        <v>7.5000000000000002E-4</v>
      </c>
      <c r="C79" s="218" t="s">
        <v>420</v>
      </c>
      <c r="D79" s="1"/>
    </row>
    <row r="80" spans="1:4" x14ac:dyDescent="0.35">
      <c r="A80" s="2" t="s">
        <v>396</v>
      </c>
      <c r="B80" s="152">
        <f>$B$74*$B$77*$B$75</f>
        <v>12.6225</v>
      </c>
      <c r="C80" s="141" t="s">
        <v>397</v>
      </c>
      <c r="D80" s="1" t="s">
        <v>398</v>
      </c>
    </row>
    <row r="83" spans="1:4" ht="23.5" x14ac:dyDescent="0.55000000000000004">
      <c r="A83" s="100" t="s">
        <v>997</v>
      </c>
    </row>
    <row r="84" spans="1:4" ht="18.5" x14ac:dyDescent="0.45">
      <c r="A84" s="334" t="s">
        <v>998</v>
      </c>
      <c r="B84" s="47"/>
      <c r="C84" s="11"/>
    </row>
    <row r="85" spans="1:4" x14ac:dyDescent="0.35">
      <c r="A85" s="62" t="s">
        <v>374</v>
      </c>
      <c r="B85" s="304" t="s">
        <v>375</v>
      </c>
      <c r="C85" s="295" t="s">
        <v>330</v>
      </c>
      <c r="D85" s="62" t="s">
        <v>331</v>
      </c>
    </row>
    <row r="86" spans="1:4" x14ac:dyDescent="0.35">
      <c r="A86" s="2" t="s">
        <v>376</v>
      </c>
      <c r="B86" s="90" t="s">
        <v>377</v>
      </c>
      <c r="C86" s="202" t="s">
        <v>378</v>
      </c>
      <c r="D86" s="30" t="s">
        <v>379</v>
      </c>
    </row>
    <row r="87" spans="1:4" x14ac:dyDescent="0.35">
      <c r="A87" s="2" t="s">
        <v>380</v>
      </c>
      <c r="B87" s="90">
        <v>1</v>
      </c>
      <c r="C87" s="33"/>
      <c r="D87" s="1"/>
    </row>
    <row r="88" spans="1:4" x14ac:dyDescent="0.35">
      <c r="A88" s="2" t="s">
        <v>411</v>
      </c>
      <c r="B88" s="90">
        <v>263.2</v>
      </c>
      <c r="C88" s="202" t="s">
        <v>378</v>
      </c>
      <c r="D88" s="30" t="s">
        <v>379</v>
      </c>
    </row>
    <row r="89" spans="1:4" x14ac:dyDescent="0.35">
      <c r="A89" s="2" t="s">
        <v>381</v>
      </c>
      <c r="B89" s="90">
        <v>0.51</v>
      </c>
      <c r="C89" s="141" t="s">
        <v>382</v>
      </c>
      <c r="D89" s="1"/>
    </row>
    <row r="90" spans="1:4" ht="43.5" x14ac:dyDescent="0.35">
      <c r="A90" s="1" t="s">
        <v>383</v>
      </c>
      <c r="B90" s="90">
        <v>0.25</v>
      </c>
      <c r="C90" s="39" t="s">
        <v>384</v>
      </c>
      <c r="D90" s="214" t="s">
        <v>385</v>
      </c>
    </row>
    <row r="91" spans="1:4" x14ac:dyDescent="0.35">
      <c r="A91" s="2" t="s">
        <v>399</v>
      </c>
      <c r="B91" s="90">
        <v>2.2999999999999998</v>
      </c>
      <c r="C91" t="s">
        <v>400</v>
      </c>
      <c r="D91" s="30" t="s">
        <v>401</v>
      </c>
    </row>
    <row r="92" spans="1:4" x14ac:dyDescent="0.35">
      <c r="A92" s="2" t="s">
        <v>389</v>
      </c>
      <c r="B92" s="90">
        <v>0.45</v>
      </c>
      <c r="C92" s="141" t="s">
        <v>390</v>
      </c>
      <c r="D92" s="1"/>
    </row>
    <row r="93" spans="1:4" x14ac:dyDescent="0.35">
      <c r="A93" s="2" t="s">
        <v>391</v>
      </c>
      <c r="B93" s="152">
        <f>60/$B$36</f>
        <v>133.33333333333334</v>
      </c>
      <c r="C93" s="1"/>
      <c r="D93" s="1"/>
    </row>
    <row r="94" spans="1:4" x14ac:dyDescent="0.35">
      <c r="A94" s="2" t="s">
        <v>392</v>
      </c>
      <c r="B94" s="90">
        <v>5.4</v>
      </c>
      <c r="C94" s="202" t="s">
        <v>378</v>
      </c>
      <c r="D94" s="30" t="s">
        <v>379</v>
      </c>
    </row>
    <row r="95" spans="1:4" x14ac:dyDescent="0.35">
      <c r="A95" s="2" t="s">
        <v>393</v>
      </c>
      <c r="B95" s="152">
        <f>$B$35*$B$37*$B$38</f>
        <v>1584.0000000000002</v>
      </c>
      <c r="C95" s="8"/>
      <c r="D95" s="1"/>
    </row>
    <row r="96" spans="1:4" x14ac:dyDescent="0.35">
      <c r="A96" s="2" t="s">
        <v>402</v>
      </c>
      <c r="B96" s="152">
        <f>IF(Input!$C$53="Recycled_concrete_aggregate",Input!$B$53,0)/B95</f>
        <v>0</v>
      </c>
      <c r="C96" s="13" t="s">
        <v>403</v>
      </c>
      <c r="D96" s="1"/>
    </row>
    <row r="97" spans="1:4" x14ac:dyDescent="0.35">
      <c r="A97" s="2" t="s">
        <v>404</v>
      </c>
      <c r="B97" s="152">
        <f>IF(Input!$C$54="Recycled_concrete_aggregate",Input!$B$54,0)/B95</f>
        <v>0</v>
      </c>
      <c r="C97" s="8"/>
      <c r="D97" s="1"/>
    </row>
    <row r="98" spans="1:4" x14ac:dyDescent="0.35">
      <c r="A98" s="2" t="s">
        <v>405</v>
      </c>
      <c r="B98" s="152">
        <f>$B$96+$B$97</f>
        <v>0</v>
      </c>
      <c r="C98" s="8"/>
      <c r="D98" s="1"/>
    </row>
    <row r="99" spans="1:4" x14ac:dyDescent="0.35">
      <c r="A99" s="2" t="s">
        <v>396</v>
      </c>
      <c r="B99" s="2">
        <f>$B$88*$B$89*$B$90</f>
        <v>33.558</v>
      </c>
      <c r="C99" s="1" t="s">
        <v>397</v>
      </c>
      <c r="D99" s="1" t="s">
        <v>398</v>
      </c>
    </row>
    <row r="101" spans="1:4" ht="18.5" x14ac:dyDescent="0.45">
      <c r="A101" s="116" t="s">
        <v>999</v>
      </c>
      <c r="B101" s="116"/>
      <c r="C101" s="116"/>
    </row>
    <row r="102" spans="1:4" x14ac:dyDescent="0.35">
      <c r="A102" s="27"/>
      <c r="B102" s="27"/>
      <c r="C102" s="27"/>
    </row>
    <row r="103" spans="1:4" x14ac:dyDescent="0.35">
      <c r="A103" s="62" t="s">
        <v>374</v>
      </c>
      <c r="B103" s="304" t="s">
        <v>375</v>
      </c>
      <c r="C103" s="295" t="s">
        <v>330</v>
      </c>
      <c r="D103" s="62" t="s">
        <v>331</v>
      </c>
    </row>
    <row r="104" spans="1:4" x14ac:dyDescent="0.35">
      <c r="A104" s="48" t="s">
        <v>425</v>
      </c>
      <c r="B104" s="48"/>
      <c r="C104" s="48"/>
      <c r="D104" s="1"/>
    </row>
    <row r="105" spans="1:4" ht="29" x14ac:dyDescent="0.35">
      <c r="A105" s="89" t="s">
        <v>381</v>
      </c>
      <c r="B105" s="90">
        <v>0.51</v>
      </c>
      <c r="C105" s="53" t="s">
        <v>382</v>
      </c>
      <c r="D105" s="1"/>
    </row>
    <row r="106" spans="1:4" ht="29" x14ac:dyDescent="0.35">
      <c r="A106" s="1" t="s">
        <v>406</v>
      </c>
      <c r="B106" s="90" t="s">
        <v>407</v>
      </c>
      <c r="C106" s="46" t="s">
        <v>407</v>
      </c>
      <c r="D106" s="123" t="s">
        <v>408</v>
      </c>
    </row>
    <row r="107" spans="1:4" x14ac:dyDescent="0.35">
      <c r="A107" s="1" t="s">
        <v>409</v>
      </c>
      <c r="B107" s="90">
        <v>1</v>
      </c>
      <c r="C107" s="1"/>
      <c r="D107" s="1"/>
    </row>
    <row r="108" spans="1:4" x14ac:dyDescent="0.35">
      <c r="A108" s="1" t="s">
        <v>410</v>
      </c>
      <c r="B108" s="90">
        <v>400</v>
      </c>
      <c r="C108" s="1"/>
      <c r="D108" s="1"/>
    </row>
    <row r="109" spans="1:4" x14ac:dyDescent="0.35">
      <c r="A109" s="1" t="s">
        <v>411</v>
      </c>
      <c r="B109" s="90">
        <v>200</v>
      </c>
      <c r="C109" s="1"/>
      <c r="D109" s="1"/>
    </row>
    <row r="110" spans="1:4" ht="43.5" x14ac:dyDescent="0.35">
      <c r="A110" s="1" t="s">
        <v>383</v>
      </c>
      <c r="B110" s="90">
        <v>0.25</v>
      </c>
      <c r="C110" s="39" t="s">
        <v>384</v>
      </c>
      <c r="D110" s="1"/>
    </row>
    <row r="111" spans="1:4" x14ac:dyDescent="0.35">
      <c r="A111" s="1" t="s">
        <v>426</v>
      </c>
      <c r="B111" s="152">
        <f>IF(Input!$C$53="Recycled_concrete_aggregate",Input!$B$53,0)</f>
        <v>0</v>
      </c>
      <c r="C111" s="1"/>
      <c r="D111" s="1"/>
    </row>
    <row r="112" spans="1:4" x14ac:dyDescent="0.35">
      <c r="A112" s="1" t="s">
        <v>427</v>
      </c>
      <c r="B112" s="152">
        <f>IF(Input!$C$54="Recycled_concrete_aggregate",Input!$B$54,0)</f>
        <v>0</v>
      </c>
      <c r="C112" s="1"/>
      <c r="D112" s="1"/>
    </row>
    <row r="113" spans="1:4" ht="29" x14ac:dyDescent="0.35">
      <c r="A113" s="1" t="s">
        <v>428</v>
      </c>
      <c r="B113" s="152">
        <f>IF(Input!$C$53="Recycled_concrete_aggregate",($B$111/$B$108),0)</f>
        <v>0</v>
      </c>
      <c r="C113" s="53" t="s">
        <v>429</v>
      </c>
      <c r="D113" s="1"/>
    </row>
    <row r="114" spans="1:4" x14ac:dyDescent="0.35">
      <c r="A114" s="9" t="s">
        <v>430</v>
      </c>
      <c r="B114" s="90">
        <f>IF(Input!$C$54="Recycled_concrete_aggregate",$B$112/$B$108,0)</f>
        <v>0</v>
      </c>
      <c r="C114" s="1"/>
      <c r="D114" s="1"/>
    </row>
    <row r="115" spans="1:4" x14ac:dyDescent="0.35">
      <c r="A115" s="1" t="s">
        <v>431</v>
      </c>
      <c r="B115" s="90">
        <f>B113+B114</f>
        <v>0</v>
      </c>
      <c r="C115" s="1"/>
      <c r="D115" s="1"/>
    </row>
    <row r="116" spans="1:4" x14ac:dyDescent="0.35">
      <c r="A116" s="2" t="s">
        <v>396</v>
      </c>
      <c r="B116" s="90">
        <f>$B$109*$B$105*$B$110</f>
        <v>25.5</v>
      </c>
      <c r="C116" s="1" t="s">
        <v>397</v>
      </c>
      <c r="D116" s="1" t="s">
        <v>398</v>
      </c>
    </row>
    <row r="118" spans="1:4" ht="18.5" x14ac:dyDescent="0.45">
      <c r="A118" s="116" t="s">
        <v>1000</v>
      </c>
      <c r="B118" s="116"/>
      <c r="C118" s="116"/>
    </row>
    <row r="119" spans="1:4" x14ac:dyDescent="0.35">
      <c r="A119" s="32"/>
    </row>
    <row r="120" spans="1:4" x14ac:dyDescent="0.35">
      <c r="A120" s="62" t="s">
        <v>374</v>
      </c>
      <c r="B120" s="304" t="s">
        <v>375</v>
      </c>
      <c r="C120" s="295" t="s">
        <v>330</v>
      </c>
      <c r="D120" s="62" t="s">
        <v>331</v>
      </c>
    </row>
    <row r="121" spans="1:4" x14ac:dyDescent="0.35">
      <c r="A121" s="48" t="s">
        <v>432</v>
      </c>
      <c r="B121" s="48"/>
      <c r="C121" s="48"/>
      <c r="D121" s="1"/>
    </row>
    <row r="122" spans="1:4" ht="29" x14ac:dyDescent="0.35">
      <c r="A122" s="1" t="s">
        <v>381</v>
      </c>
      <c r="B122" s="90">
        <v>0.51</v>
      </c>
      <c r="C122" s="53" t="s">
        <v>382</v>
      </c>
      <c r="D122" s="1"/>
    </row>
    <row r="123" spans="1:4" ht="29" x14ac:dyDescent="0.35">
      <c r="A123" s="1" t="s">
        <v>415</v>
      </c>
      <c r="B123" s="90" t="s">
        <v>416</v>
      </c>
      <c r="C123" s="219" t="s">
        <v>416</v>
      </c>
      <c r="D123" s="123" t="s">
        <v>417</v>
      </c>
    </row>
    <row r="124" spans="1:4" x14ac:dyDescent="0.35">
      <c r="A124" s="1" t="s">
        <v>433</v>
      </c>
      <c r="B124" s="90">
        <v>1</v>
      </c>
      <c r="C124" s="1"/>
      <c r="D124" s="1"/>
    </row>
    <row r="125" spans="1:4" x14ac:dyDescent="0.35">
      <c r="A125" s="1" t="s">
        <v>410</v>
      </c>
      <c r="B125" s="90">
        <v>500</v>
      </c>
      <c r="C125" s="1"/>
      <c r="D125" s="1"/>
    </row>
    <row r="126" spans="1:4" x14ac:dyDescent="0.35">
      <c r="A126" s="1" t="s">
        <v>411</v>
      </c>
      <c r="B126" s="90">
        <v>55</v>
      </c>
      <c r="C126" s="1"/>
      <c r="D126" s="1"/>
    </row>
    <row r="127" spans="1:4" ht="43.5" x14ac:dyDescent="0.35">
      <c r="A127" s="1" t="s">
        <v>383</v>
      </c>
      <c r="B127" s="90">
        <v>0.25</v>
      </c>
      <c r="C127" s="53" t="s">
        <v>384</v>
      </c>
      <c r="D127" s="1"/>
    </row>
    <row r="128" spans="1:4" x14ac:dyDescent="0.35">
      <c r="A128" s="1" t="s">
        <v>426</v>
      </c>
      <c r="B128" s="152">
        <f>IF(Input!$C$53="Recycled_concrete_aggregate",Input!$B$53,0)</f>
        <v>0</v>
      </c>
      <c r="C128" s="1"/>
      <c r="D128" s="1"/>
    </row>
    <row r="129" spans="1:4" x14ac:dyDescent="0.35">
      <c r="A129" s="1" t="s">
        <v>427</v>
      </c>
      <c r="B129" s="152">
        <f>IF(Input!$C$54="Recycled_concrete_aggregate",Input!$B$54,0)</f>
        <v>0</v>
      </c>
      <c r="C129" s="1"/>
      <c r="D129" s="1"/>
    </row>
    <row r="130" spans="1:4" ht="29" x14ac:dyDescent="0.35">
      <c r="A130" s="6" t="s">
        <v>434</v>
      </c>
      <c r="B130" s="152">
        <f>($B$128)/$B$108</f>
        <v>0</v>
      </c>
      <c r="C130" s="53" t="s">
        <v>420</v>
      </c>
      <c r="D130" s="1"/>
    </row>
    <row r="131" spans="1:4" x14ac:dyDescent="0.35">
      <c r="A131" s="6" t="s">
        <v>435</v>
      </c>
      <c r="B131" s="152">
        <f>$B$129/$B$108</f>
        <v>0</v>
      </c>
      <c r="C131" s="53"/>
      <c r="D131" s="1"/>
    </row>
    <row r="132" spans="1:4" x14ac:dyDescent="0.35">
      <c r="A132" s="6" t="s">
        <v>431</v>
      </c>
      <c r="B132" s="152">
        <f>B130+B131</f>
        <v>0</v>
      </c>
      <c r="C132" s="53"/>
      <c r="D132" s="1"/>
    </row>
    <row r="133" spans="1:4" x14ac:dyDescent="0.35">
      <c r="A133" s="6" t="s">
        <v>396</v>
      </c>
      <c r="B133" s="152">
        <f>$B$126*$B$122*$B$127</f>
        <v>7.0125000000000002</v>
      </c>
      <c r="C133" s="1" t="s">
        <v>397</v>
      </c>
      <c r="D133" s="1" t="s">
        <v>436</v>
      </c>
    </row>
    <row r="134" spans="1:4" x14ac:dyDescent="0.35">
      <c r="A134" s="55"/>
      <c r="C134" s="28"/>
    </row>
    <row r="135" spans="1:4" ht="18.5" x14ac:dyDescent="0.45">
      <c r="A135" s="116" t="s">
        <v>1001</v>
      </c>
      <c r="B135" s="116"/>
      <c r="C135" s="116"/>
    </row>
    <row r="137" spans="1:4" x14ac:dyDescent="0.35">
      <c r="A137" s="62" t="s">
        <v>374</v>
      </c>
      <c r="B137" s="304" t="s">
        <v>375</v>
      </c>
      <c r="C137" s="295" t="s">
        <v>330</v>
      </c>
      <c r="D137" s="62" t="s">
        <v>331</v>
      </c>
    </row>
    <row r="138" spans="1:4" x14ac:dyDescent="0.35">
      <c r="A138" s="1" t="s">
        <v>437</v>
      </c>
      <c r="B138" s="2"/>
      <c r="C138" s="1"/>
      <c r="D138" s="1"/>
    </row>
    <row r="139" spans="1:4" x14ac:dyDescent="0.35">
      <c r="A139" s="1" t="s">
        <v>421</v>
      </c>
      <c r="B139" s="90" t="s">
        <v>422</v>
      </c>
      <c r="C139" s="1" t="s">
        <v>422</v>
      </c>
      <c r="D139" s="30" t="s">
        <v>423</v>
      </c>
    </row>
    <row r="140" spans="1:4" x14ac:dyDescent="0.35">
      <c r="A140" s="1" t="s">
        <v>424</v>
      </c>
      <c r="B140" s="90">
        <v>1</v>
      </c>
      <c r="C140" s="1"/>
      <c r="D140" s="1"/>
    </row>
    <row r="141" spans="1:4" x14ac:dyDescent="0.35">
      <c r="A141" s="2" t="s">
        <v>411</v>
      </c>
      <c r="B141" s="90">
        <v>99</v>
      </c>
      <c r="C141" s="1"/>
      <c r="D141" s="1"/>
    </row>
    <row r="142" spans="1:4" ht="29" x14ac:dyDescent="0.35">
      <c r="A142" s="2" t="s">
        <v>381</v>
      </c>
      <c r="B142" s="90">
        <v>0.51</v>
      </c>
      <c r="C142" s="53" t="s">
        <v>382</v>
      </c>
      <c r="D142" s="1"/>
    </row>
    <row r="143" spans="1:4" ht="43.5" x14ac:dyDescent="0.35">
      <c r="A143" s="1" t="s">
        <v>383</v>
      </c>
      <c r="B143" s="90">
        <v>0.25</v>
      </c>
      <c r="C143" s="53" t="s">
        <v>384</v>
      </c>
      <c r="D143" s="1"/>
    </row>
    <row r="144" spans="1:4" x14ac:dyDescent="0.35">
      <c r="A144" s="1" t="s">
        <v>410</v>
      </c>
      <c r="B144" s="90">
        <v>500</v>
      </c>
      <c r="C144" s="1"/>
      <c r="D144" s="1"/>
    </row>
    <row r="145" spans="1:4" x14ac:dyDescent="0.35">
      <c r="A145" s="1" t="s">
        <v>426</v>
      </c>
      <c r="B145" s="152">
        <f>IF(Input!$C$53="Recycled_concrete_aggregate",Input!$B$53,0)</f>
        <v>0</v>
      </c>
      <c r="C145" s="1"/>
      <c r="D145" s="1"/>
    </row>
    <row r="146" spans="1:4" x14ac:dyDescent="0.35">
      <c r="A146" s="1" t="s">
        <v>427</v>
      </c>
      <c r="B146" s="152">
        <f>IF(Input!$C$54="Recycled_concrete_aggregate",Input!$B$54,0)</f>
        <v>0</v>
      </c>
      <c r="C146" s="1"/>
      <c r="D146" s="1"/>
    </row>
    <row r="147" spans="1:4" ht="29" x14ac:dyDescent="0.35">
      <c r="A147" s="6" t="s">
        <v>428</v>
      </c>
      <c r="B147" s="152">
        <f>($B$145)/$B$108</f>
        <v>0</v>
      </c>
      <c r="C147" s="53" t="s">
        <v>420</v>
      </c>
      <c r="D147" s="1"/>
    </row>
    <row r="148" spans="1:4" x14ac:dyDescent="0.35">
      <c r="A148" s="6" t="s">
        <v>430</v>
      </c>
      <c r="B148" s="152">
        <f>$B$146/$B$108</f>
        <v>0</v>
      </c>
      <c r="C148" s="1"/>
      <c r="D148" s="1"/>
    </row>
    <row r="149" spans="1:4" x14ac:dyDescent="0.35">
      <c r="A149" s="1" t="s">
        <v>438</v>
      </c>
      <c r="B149" s="152">
        <f>B147+B148</f>
        <v>0</v>
      </c>
      <c r="C149" s="1"/>
      <c r="D149" s="1"/>
    </row>
    <row r="150" spans="1:4" x14ac:dyDescent="0.35">
      <c r="A150" s="6" t="s">
        <v>396</v>
      </c>
      <c r="B150" s="152">
        <f>$B$141*$B$142*$B$143</f>
        <v>12.6225</v>
      </c>
      <c r="C150" s="1" t="s">
        <v>397</v>
      </c>
      <c r="D150" s="1" t="s">
        <v>398</v>
      </c>
    </row>
    <row r="153" spans="1:4" ht="21" x14ac:dyDescent="0.5">
      <c r="A153" s="99" t="s">
        <v>439</v>
      </c>
    </row>
    <row r="154" spans="1:4" ht="18.5" x14ac:dyDescent="0.45">
      <c r="A154" s="77"/>
    </row>
    <row r="155" spans="1:4" x14ac:dyDescent="0.35">
      <c r="A155" t="s">
        <v>440</v>
      </c>
    </row>
    <row r="157" spans="1:4" x14ac:dyDescent="0.35">
      <c r="A157" s="306" t="s">
        <v>441</v>
      </c>
      <c r="B157" s="302" t="s">
        <v>442</v>
      </c>
      <c r="C157" s="102" t="s">
        <v>443</v>
      </c>
      <c r="D157" s="62" t="s">
        <v>396</v>
      </c>
    </row>
    <row r="158" spans="1:4" x14ac:dyDescent="0.35">
      <c r="A158" s="1" t="s">
        <v>444</v>
      </c>
      <c r="B158" s="152">
        <v>0</v>
      </c>
      <c r="C158" s="152">
        <v>0</v>
      </c>
      <c r="D158" s="154">
        <v>0</v>
      </c>
    </row>
    <row r="159" spans="1:4" x14ac:dyDescent="0.35">
      <c r="A159" s="1" t="s">
        <v>357</v>
      </c>
      <c r="B159" s="152">
        <f>$B$53</f>
        <v>7.5000000000000002E-4</v>
      </c>
      <c r="C159" s="152">
        <f>$B$50</f>
        <v>200</v>
      </c>
      <c r="D159" s="154">
        <f>$B$54</f>
        <v>25.5</v>
      </c>
    </row>
    <row r="160" spans="1:4" x14ac:dyDescent="0.35">
      <c r="A160" s="1" t="s">
        <v>445</v>
      </c>
      <c r="B160" s="152">
        <v>0</v>
      </c>
      <c r="C160" s="152">
        <v>0</v>
      </c>
      <c r="D160" s="154">
        <v>0</v>
      </c>
    </row>
    <row r="161" spans="1:4" x14ac:dyDescent="0.35">
      <c r="A161" s="1" t="s">
        <v>367</v>
      </c>
      <c r="B161" s="152">
        <f>$B$115</f>
        <v>0</v>
      </c>
      <c r="C161" s="152">
        <f>$B$109</f>
        <v>200</v>
      </c>
      <c r="D161" s="154">
        <f>$B$116</f>
        <v>25.5</v>
      </c>
    </row>
    <row r="162" spans="1:4" x14ac:dyDescent="0.35">
      <c r="A162" s="1" t="s">
        <v>446</v>
      </c>
      <c r="B162" s="152">
        <v>0</v>
      </c>
      <c r="C162" s="152">
        <v>0</v>
      </c>
      <c r="D162" s="154">
        <v>0</v>
      </c>
    </row>
    <row r="163" spans="1:4" x14ac:dyDescent="0.35">
      <c r="A163" s="1" t="s">
        <v>361</v>
      </c>
      <c r="B163" s="152">
        <f>$B$66</f>
        <v>7.5000000000000002E-4</v>
      </c>
      <c r="C163" s="152">
        <f>$B$64</f>
        <v>55</v>
      </c>
      <c r="D163" s="154">
        <f>$B$67</f>
        <v>7.0125000000000002</v>
      </c>
    </row>
    <row r="164" spans="1:4" x14ac:dyDescent="0.35">
      <c r="A164" s="1" t="s">
        <v>447</v>
      </c>
      <c r="B164" s="152">
        <v>0</v>
      </c>
      <c r="C164" s="152">
        <v>0</v>
      </c>
      <c r="D164" s="154">
        <v>0</v>
      </c>
    </row>
    <row r="165" spans="1:4" x14ac:dyDescent="0.35">
      <c r="A165" s="1" t="s">
        <v>369</v>
      </c>
      <c r="B165" s="152">
        <f>$B$132</f>
        <v>0</v>
      </c>
      <c r="C165" s="152">
        <f>$B$126</f>
        <v>55</v>
      </c>
      <c r="D165" s="154">
        <f>$B$133</f>
        <v>7.0125000000000002</v>
      </c>
    </row>
    <row r="166" spans="1:4" x14ac:dyDescent="0.35">
      <c r="A166" s="1" t="s">
        <v>448</v>
      </c>
      <c r="B166" s="152">
        <v>0</v>
      </c>
      <c r="C166" s="152">
        <v>0</v>
      </c>
      <c r="D166" s="154">
        <v>0</v>
      </c>
    </row>
    <row r="167" spans="1:4" x14ac:dyDescent="0.35">
      <c r="A167" s="1" t="s">
        <v>363</v>
      </c>
      <c r="B167" s="152">
        <f>$B$79</f>
        <v>7.5000000000000002E-4</v>
      </c>
      <c r="C167" s="152">
        <f>$B$74</f>
        <v>99</v>
      </c>
      <c r="D167" s="154">
        <f>B80</f>
        <v>12.6225</v>
      </c>
    </row>
    <row r="168" spans="1:4" x14ac:dyDescent="0.35">
      <c r="A168" s="1" t="s">
        <v>449</v>
      </c>
      <c r="B168" s="152">
        <v>0</v>
      </c>
      <c r="C168" s="152">
        <v>0</v>
      </c>
      <c r="D168" s="154">
        <v>0</v>
      </c>
    </row>
    <row r="169" spans="1:4" x14ac:dyDescent="0.35">
      <c r="A169" s="1" t="s">
        <v>370</v>
      </c>
      <c r="B169" s="152">
        <f>$B$149</f>
        <v>0</v>
      </c>
      <c r="C169" s="152">
        <f>$B$141</f>
        <v>99</v>
      </c>
      <c r="D169" s="154">
        <f>B150</f>
        <v>12.6225</v>
      </c>
    </row>
    <row r="170" spans="1:4" x14ac:dyDescent="0.35">
      <c r="A170" s="1" t="s">
        <v>450</v>
      </c>
      <c r="B170" s="152">
        <v>0</v>
      </c>
      <c r="C170" s="152">
        <f>$B$32</f>
        <v>263.2</v>
      </c>
      <c r="D170" s="154">
        <v>0</v>
      </c>
    </row>
    <row r="171" spans="1:4" x14ac:dyDescent="0.35">
      <c r="A171" s="1" t="s">
        <v>359</v>
      </c>
      <c r="B171" s="152">
        <f>$B$40</f>
        <v>1.8939393939393937E-4</v>
      </c>
      <c r="C171" s="152">
        <f>$B$32</f>
        <v>263.2</v>
      </c>
      <c r="D171" s="154">
        <f>$B$41</f>
        <v>33.558</v>
      </c>
    </row>
    <row r="172" spans="1:4" x14ac:dyDescent="0.35">
      <c r="A172" s="1" t="s">
        <v>368</v>
      </c>
      <c r="B172" s="152">
        <f>$B$98</f>
        <v>0</v>
      </c>
      <c r="C172" s="152">
        <f>$B$88</f>
        <v>263.2</v>
      </c>
      <c r="D172" s="154">
        <f>$B$99</f>
        <v>33.558</v>
      </c>
    </row>
    <row r="175" spans="1:4" ht="23.5" x14ac:dyDescent="0.55000000000000004">
      <c r="A175" s="100" t="s">
        <v>1002</v>
      </c>
    </row>
    <row r="176" spans="1:4" ht="23.5" x14ac:dyDescent="0.55000000000000004">
      <c r="A176" s="100"/>
    </row>
    <row r="177" spans="1:26" ht="72" customHeight="1" x14ac:dyDescent="0.35">
      <c r="A177" s="302" t="s">
        <v>451</v>
      </c>
      <c r="B177" s="300" t="s">
        <v>452</v>
      </c>
      <c r="C177" s="302" t="s">
        <v>453</v>
      </c>
      <c r="D177" s="302" t="s">
        <v>454</v>
      </c>
      <c r="E177" s="302" t="s">
        <v>442</v>
      </c>
      <c r="F177" s="103" t="s">
        <v>443</v>
      </c>
      <c r="G177" s="104" t="s">
        <v>396</v>
      </c>
      <c r="H177" s="103" t="s">
        <v>279</v>
      </c>
      <c r="I177" s="103" t="s">
        <v>280</v>
      </c>
      <c r="J177" s="103" t="s">
        <v>281</v>
      </c>
      <c r="K177" s="103" t="s">
        <v>282</v>
      </c>
      <c r="L177" s="103" t="s">
        <v>283</v>
      </c>
      <c r="M177" s="103" t="s">
        <v>284</v>
      </c>
      <c r="N177" s="103" t="s">
        <v>285</v>
      </c>
      <c r="O177" s="103" t="s">
        <v>286</v>
      </c>
      <c r="P177" s="103" t="s">
        <v>287</v>
      </c>
      <c r="Q177" s="103" t="s">
        <v>288</v>
      </c>
      <c r="R177" s="103" t="s">
        <v>289</v>
      </c>
      <c r="S177" s="103" t="s">
        <v>290</v>
      </c>
      <c r="T177" s="103" t="s">
        <v>291</v>
      </c>
      <c r="U177" s="103" t="s">
        <v>292</v>
      </c>
      <c r="V177" s="103" t="s">
        <v>293</v>
      </c>
      <c r="W177" s="103" t="s">
        <v>294</v>
      </c>
      <c r="X177" s="103" t="s">
        <v>295</v>
      </c>
      <c r="Y177" s="103" t="s">
        <v>296</v>
      </c>
      <c r="Z177" s="103" t="s">
        <v>297</v>
      </c>
    </row>
    <row r="178" spans="1:26" ht="25.5" customHeight="1" x14ac:dyDescent="0.35">
      <c r="A178" s="52" t="s">
        <v>455</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456</v>
      </c>
      <c r="B179" s="152" t="str">
        <f>$B$7</f>
        <v>Mobile_jaw_crusher_400tph_RAP</v>
      </c>
      <c r="C179" s="188">
        <f>$B$48</f>
        <v>1</v>
      </c>
      <c r="D179" s="154" t="str">
        <f>'C3'' - Secondary Raw Material '!$C$7</f>
        <v>Diesel</v>
      </c>
      <c r="E179" s="154">
        <f>INDEX($B$158:$B$172,MATCH($B$179,$A$158:$A$172,0))</f>
        <v>7.5000000000000002E-4</v>
      </c>
      <c r="F179" s="154">
        <f>INDEX($C$158:$C$172,MATCH($B$179,$A$158:$A$172,0))</f>
        <v>200</v>
      </c>
      <c r="G179" s="174">
        <f>INDEX($D$158:$D$172,MATCH($B$179,$A$158:$A$172,0))</f>
        <v>25.5</v>
      </c>
      <c r="H179" s="154" cm="1">
        <f t="array" ref="H179">INDEX(LCI!H$2:H$137,MATCH($A$178&amp;$D179,LCI!$B$2:$B$137&amp;LCI!$D$2:$D$137,0))*IF(OR($D179="Electric", $D179="Electric_green"), ($F179*$E179)*$B$20, $G179*$E179)*$C179</f>
        <v>1.0143031694447656E-4</v>
      </c>
      <c r="I179" s="154" cm="1">
        <f t="array" ref="I179">INDEX(LCI!I$2:I$137,MATCH($A$178&amp;$D179,LCI!$B$2:$B$137&amp;LCI!$D$2:$D$137,0))*IF(OR($D179="Electric", $D179="Electric_green"), ($F179*$E179)*$B$20, $G179*$E179)*$C179</f>
        <v>7.9336200727524814E-2</v>
      </c>
      <c r="J179" s="154" cm="1">
        <f t="array" ref="J179">INDEX(LCI!J$2:J$137,MATCH($A$178&amp;$D179,LCI!$B$2:$B$137&amp;LCI!$D$2:$D$137,0))*IF(OR($D179="Electric", $D179="Electric_green"), ($F179*$E179)*$B$20, $G179*$E179)*$C179</f>
        <v>1.6396780340949864E-5</v>
      </c>
      <c r="K179" s="154" cm="1">
        <f t="array" ref="K179">INDEX(LCI!K$2:K$137,MATCH($A$178&amp;$D179,LCI!$B$2:$B$137&amp;LCI!$D$2:$D$137,0))*IF(OR($D179="Electric", $D179="Electric_green"), ($F179*$E179)*$B$20, $G179*$E179)*$C179</f>
        <v>7.9316295493120831E-2</v>
      </c>
      <c r="L179" s="154" cm="1">
        <f t="array" ref="L179">INDEX(LCI!L$2:L$137,MATCH($A$178&amp;$D179,LCI!$B$2:$B$137&amp;LCI!$D$2:$D$137,0))*IF(OR($D179="Electric", $D179="Electric_green"), ($F179*$E179)*$B$20, $G179*$E179)*$C179</f>
        <v>3.5084540630337219E-6</v>
      </c>
      <c r="M179" s="154" cm="1">
        <f t="array" ref="M179">INDEX(LCI!M$2:M$137,MATCH($A$178&amp;$D179,LCI!$B$2:$B$137&amp;LCI!$D$2:$D$137,0))*IF(OR($D179="Electric", $D179="Electric_green"), ($F179*$E179)*$B$20, $G179*$E179)*$C179</f>
        <v>3.5053163219078795E-2</v>
      </c>
      <c r="N179" s="154" cm="1">
        <f t="array" ref="N179">INDEX(LCI!N$2:N$137,MATCH($A$178&amp;$D179,LCI!$B$2:$B$137&amp;LCI!$D$2:$D$137,0))*IF(OR($D179="Electric", $D179="Electric_green"), ($F179*$E179)*$B$20, $G179*$E179)*$C179</f>
        <v>1.0537968216722122</v>
      </c>
      <c r="O179" s="154" cm="1">
        <f t="array" ref="O179">INDEX(LCI!O$2:O$137,MATCH($A$178&amp;$D179,LCI!$B$2:$B$137&amp;LCI!$D$2:$D$137,0))*IF(OR($D179="Electric", $D179="Electric_green"), ($F179*$E179)*$B$20, $G179*$E179)*$C179</f>
        <v>8.3869087090684462E-7</v>
      </c>
      <c r="P179" s="154" cm="1">
        <f t="array" ref="P179">INDEX(LCI!P$2:P$137,MATCH($A$178&amp;$D179,LCI!$B$2:$B$137&amp;LCI!$D$2:$D$137,0))*IF(OR($D179="Electric", $D179="Electric_green"), ($F179*$E179)*$B$20, $G179*$E179)*$C179</f>
        <v>2.2936699291128569E-5</v>
      </c>
      <c r="Q179" s="154" cm="1">
        <f t="array" ref="Q179">INDEX(LCI!Q$2:Q$137,MATCH($A$178&amp;$D179,LCI!$B$2:$B$137&amp;LCI!$D$2:$D$137,0))*IF(OR($D179="Electric", $D179="Electric_green"), ($F179*$E179)*$B$20, $G179*$E179)*$C179</f>
        <v>2.493501848823738E-4</v>
      </c>
      <c r="R179" s="154" cm="1">
        <f t="array" ref="R179">INDEX(LCI!R$2:R$137,MATCH($A$178&amp;$D179,LCI!$B$2:$B$137&amp;LCI!$D$2:$D$137,0))*IF(OR($D179="Electric", $D179="Electric_green"), ($F179*$E179)*$B$20, $G179*$E179)*$C179</f>
        <v>4.848277723549407E-12</v>
      </c>
      <c r="S179" s="154" cm="1">
        <f t="array" ref="S179">INDEX(LCI!S$2:S$137,MATCH($A$178&amp;$D179,LCI!$B$2:$B$137&amp;LCI!$D$2:$D$137,0))*IF(OR($D179="Electric", $D179="Electric_green"), ($F179*$E179)*$B$20, $G179*$E179)*$C179</f>
        <v>1.2922638778242711E-10</v>
      </c>
      <c r="T179" s="154" cm="1">
        <f t="array" ref="T179">INDEX(LCI!T$2:T$137,MATCH($A$178&amp;$D179,LCI!$B$2:$B$137&amp;LCI!$D$2:$D$137,0))*IF(OR($D179="Electric", $D179="Electric_green"), ($F179*$E179)*$B$20, $G179*$E179)*$C179</f>
        <v>3.1641123142374812E-4</v>
      </c>
      <c r="U179" s="154" cm="1">
        <f t="array" ref="U179">INDEX(LCI!U$2:U$137,MATCH($A$178&amp;$D179,LCI!$B$2:$B$137&amp;LCI!$D$2:$D$137,0))*IF(OR($D179="Electric", $D179="Electric_green"), ($F179*$E179)*$B$20, $G179*$E179)*$C179</f>
        <v>5.4180361432501725E-2</v>
      </c>
      <c r="V179" s="154" cm="1">
        <f t="array" ref="V179">INDEX(LCI!V$2:V$137,MATCH($A$178&amp;$D179,LCI!$B$2:$B$137&amp;LCI!$D$2:$D$137,0))*IF(OR($D179="Electric", $D179="Electric_green"), ($F179*$E179)*$B$20, $G179*$E179)*$C179</f>
        <v>1.2371044695688872E-8</v>
      </c>
      <c r="W179" s="154" cm="1">
        <f t="array" ref="W179">INDEX(LCI!W$2:W$137,MATCH($A$178&amp;$D179,LCI!$B$2:$B$137&amp;LCI!$D$2:$D$137,0))*IF(OR($D179="Electric", $D179="Electric_green"), ($F179*$E179)*$B$20, $G179*$E179)*$C179</f>
        <v>1.7878109434942962E-9</v>
      </c>
      <c r="X179" s="154" cm="1">
        <f t="array" ref="X179">INDEX(LCI!X$2:X$137,MATCH($A$178&amp;$D179,LCI!$B$2:$B$137&amp;LCI!$D$2:$D$137,0))*IF(OR($D179="Electric", $D179="Electric_green"), ($F179*$E179)*$B$20, $G179*$E179)*$C179</f>
        <v>7.8140286615358748E-10</v>
      </c>
      <c r="Y179" s="154" cm="1">
        <f t="array" ref="Y179">INDEX(LCI!Y$2:Y$137,MATCH($A$178&amp;$D179,LCI!$B$2:$B$137&amp;LCI!$D$2:$D$137,0))*IF(OR($D179="Electric", $D179="Electric_green"), ($F179*$E179)*$B$20, $G179*$E179)*$C179</f>
        <v>1.9541589991000182E-4</v>
      </c>
      <c r="Z179" s="154" cm="1">
        <f t="array" ref="Z179">INDEX(LCI!Z$2:Z$137,MATCH($A$178&amp;$D179,LCI!$B$2:$B$137&amp;LCI!$D$2:$D$137,0))*IF(OR($D179="Electric", $D179="Electric_green"), ($F179*$E179)*$B$20, $G179*$E179)*$C179</f>
        <v>1.4262342206873197E-3</v>
      </c>
    </row>
    <row r="180" spans="1:26" s="11" customFormat="1" x14ac:dyDescent="0.35">
      <c r="A180" s="13" t="s">
        <v>457</v>
      </c>
      <c r="B180" s="160" t="str">
        <f>'C3'' - Secondary Raw Material '!$B$8</f>
        <v>Wheel_loader_338tph_Komatsu_WA500_RAP</v>
      </c>
      <c r="C180" s="189">
        <f>$B$31</f>
        <v>1</v>
      </c>
      <c r="D180" s="154" t="str">
        <f>'C3'' - Secondary Raw Material '!$C$8</f>
        <v>Diesel</v>
      </c>
      <c r="E180" s="154">
        <f>INDEX($B$158:$B$172,MATCH($B$180,$A$158:$A$172,0))</f>
        <v>1.8939393939393937E-4</v>
      </c>
      <c r="F180" s="154">
        <f>INDEX($C$158:$C$172,MATCH($B$180,$A$158:$A$172,0))</f>
        <v>263.2</v>
      </c>
      <c r="G180" s="174">
        <f>INDEX($D$158:$D$172,MATCH($B$180,$A$158:$A$172,0))</f>
        <v>33.558</v>
      </c>
      <c r="H180" s="154" cm="1">
        <f t="array" ref="H180">INDEX(LCI!H$2:H$137,MATCH($A$178&amp;$D180,LCI!$B$2:$B$137&amp;LCI!$D$2:$D$137,0))*IF(OR($D180="Electric", $D180="Electric_green"), ($F180*$E180)*$B$20, $G180*$E180)*$C180</f>
        <v>3.370765078255837E-5</v>
      </c>
      <c r="I180" s="154" cm="1">
        <f t="array" ref="I180">INDEX(LCI!I$2:I$137,MATCH($A$178&amp;$D180,LCI!$B$2:$B$137&amp;LCI!$D$2:$D$137,0))*IF(OR($D180="Electric", $D180="Electric_green"), ($F180*$E180)*$B$20, $G180*$E180)*$C180</f>
        <v>2.6365262666015819E-2</v>
      </c>
      <c r="J180" s="154" cm="1">
        <f t="array" ref="J180">INDEX(LCI!J$2:J$137,MATCH($A$178&amp;$D180,LCI!$B$2:$B$137&amp;LCI!$D$2:$D$137,0))*IF(OR($D180="Electric", $D180="Electric_green"), ($F180*$E180)*$B$20, $G180*$E180)*$C180</f>
        <v>5.4490310425984902E-6</v>
      </c>
      <c r="K180" s="154" cm="1">
        <f t="array" ref="K180">INDEX(LCI!K$2:K$137,MATCH($A$178&amp;$D180,LCI!$B$2:$B$137&amp;LCI!$D$2:$D$137,0))*IF(OR($D180="Electric", $D180="Electric_green"), ($F180*$E180)*$B$20, $G180*$E180)*$C180</f>
        <v>2.6358647694178537E-2</v>
      </c>
      <c r="L180" s="154" cm="1">
        <f t="array" ref="L180">INDEX(LCI!L$2:L$137,MATCH($A$178&amp;$D180,LCI!$B$2:$B$137&amp;LCI!$D$2:$D$137,0))*IF(OR($D180="Electric", $D180="Electric_green"), ($F180*$E180)*$B$20, $G180*$E180)*$C180</f>
        <v>1.165940794684944E-6</v>
      </c>
      <c r="M180" s="154" cm="1">
        <f t="array" ref="M180">INDEX(LCI!M$2:M$137,MATCH($A$178&amp;$D180,LCI!$B$2:$B$137&amp;LCI!$D$2:$D$137,0))*IF(OR($D180="Electric", $D180="Electric_green"), ($F180*$E180)*$B$20, $G180*$E180)*$C180</f>
        <v>1.1648980504118105E-2</v>
      </c>
      <c r="N180" s="154" cm="1">
        <f t="array" ref="N180">INDEX(LCI!N$2:N$137,MATCH($A$178&amp;$D180,LCI!$B$2:$B$137&amp;LCI!$D$2:$D$137,0))*IF(OR($D180="Electric", $D180="Electric_green"), ($F180*$E180)*$B$20, $G180*$E180)*$C180</f>
        <v>0.35020116599005841</v>
      </c>
      <c r="O180" s="154" cm="1">
        <f t="array" ref="O180">INDEX(LCI!O$2:O$137,MATCH($A$178&amp;$D180,LCI!$B$2:$B$137&amp;LCI!$D$2:$D$137,0))*IF(OR($D180="Electric", $D180="Electric_green"), ($F180*$E180)*$B$20, $G180*$E180)*$C180</f>
        <v>2.7871646113974934E-7</v>
      </c>
      <c r="P180" s="154" cm="1">
        <f t="array" ref="P180">INDEX(LCI!P$2:P$137,MATCH($A$178&amp;$D180,LCI!$B$2:$B$137&amp;LCI!$D$2:$D$137,0))*IF(OR($D180="Electric", $D180="Electric_green"), ($F180*$E180)*$B$20, $G180*$E180)*$C180</f>
        <v>7.6223980472538374E-6</v>
      </c>
      <c r="Q180" s="154" cm="1">
        <f t="array" ref="Q180">INDEX(LCI!Q$2:Q$137,MATCH($A$178&amp;$D180,LCI!$B$2:$B$137&amp;LCI!$D$2:$D$137,0))*IF(OR($D180="Electric", $D180="Electric_green"), ($F180*$E180)*$B$20, $G180*$E180)*$C180</f>
        <v>8.2864859420506032E-5</v>
      </c>
      <c r="R180" s="154" cm="1">
        <f t="array" ref="R180">INDEX(LCI!R$2:R$137,MATCH($A$178&amp;$D180,LCI!$B$2:$B$137&amp;LCI!$D$2:$D$137,0))*IF(OR($D180="Electric", $D180="Electric_green"), ($F180*$E180)*$B$20, $G180*$E180)*$C180</f>
        <v>1.6111953242906613E-12</v>
      </c>
      <c r="S180" s="154" cm="1">
        <f t="array" ref="S180">INDEX(LCI!S$2:S$137,MATCH($A$178&amp;$D180,LCI!$B$2:$B$137&amp;LCI!$D$2:$D$137,0))*IF(OR($D180="Electric", $D180="Electric_green"), ($F180*$E180)*$B$20, $G180*$E180)*$C180</f>
        <v>4.2944930889311633E-11</v>
      </c>
      <c r="T180" s="154" cm="1">
        <f t="array" ref="T180">INDEX(LCI!T$2:T$137,MATCH($A$178&amp;$D180,LCI!$B$2:$B$137&amp;LCI!$D$2:$D$137,0))*IF(OR($D180="Electric", $D180="Electric_green"), ($F180*$E180)*$B$20, $G180*$E180)*$C180</f>
        <v>1.0515080317011426E-4</v>
      </c>
      <c r="U180" s="154" cm="1">
        <f t="array" ref="U180">INDEX(LCI!U$2:U$137,MATCH($A$178&amp;$D180,LCI!$B$2:$B$137&amp;LCI!$D$2:$D$137,0))*IF(OR($D180="Electric", $D180="Electric_green"), ($F180*$E180)*$B$20, $G180*$E180)*$C180</f>
        <v>1.8005392839689965E-2</v>
      </c>
      <c r="V180" s="154" cm="1">
        <f t="array" ref="V180">INDEX(LCI!V$2:V$137,MATCH($A$178&amp;$D180,LCI!$B$2:$B$137&amp;LCI!$D$2:$D$137,0))*IF(OR($D180="Electric", $D180="Electric_green"), ($F180*$E180)*$B$20, $G180*$E180)*$C180</f>
        <v>4.1111855604865036E-9</v>
      </c>
      <c r="W180" s="154" cm="1">
        <f t="array" ref="W180">INDEX(LCI!W$2:W$137,MATCH($A$178&amp;$D180,LCI!$B$2:$B$137&amp;LCI!$D$2:$D$137,0))*IF(OR($D180="Electric", $D180="Electric_green"), ($F180*$E180)*$B$20, $G180*$E180)*$C180</f>
        <v>5.9413111152487218E-10</v>
      </c>
      <c r="X180" s="154" cm="1">
        <f t="array" ref="X180">INDEX(LCI!X$2:X$137,MATCH($A$178&amp;$D180,LCI!$B$2:$B$137&amp;LCI!$D$2:$D$137,0))*IF(OR($D180="Electric", $D180="Electric_green"), ($F180*$E180)*$B$20, $G180*$E180)*$C180</f>
        <v>2.5967832622679825E-10</v>
      </c>
      <c r="Y180" s="154" cm="1">
        <f t="array" ref="Y180">INDEX(LCI!Y$2:Y$137,MATCH($A$178&amp;$D180,LCI!$B$2:$B$137&amp;LCI!$D$2:$D$137,0))*IF(OR($D180="Electric", $D180="Electric_green"), ($F180*$E180)*$B$20, $G180*$E180)*$C180</f>
        <v>6.4941243505445043E-5</v>
      </c>
      <c r="Z180" s="154" cm="1">
        <f t="array" ref="Z180">INDEX(LCI!Z$2:Z$137,MATCH($A$178&amp;$D180,LCI!$B$2:$B$137&amp;LCI!$D$2:$D$137,0))*IF(OR($D180="Electric", $D180="Electric_green"), ($F180*$E180)*$B$20, $G180*$E180)*$C180</f>
        <v>4.7397076626881635E-4</v>
      </c>
    </row>
    <row r="181" spans="1:26" x14ac:dyDescent="0.35">
      <c r="A181" s="1" t="s">
        <v>458</v>
      </c>
      <c r="B181" s="152" t="str">
        <f>'C3'' - Secondary Raw Material '!$B$9</f>
        <v>Tracked_stacker_500tph_RAP</v>
      </c>
      <c r="C181" s="188">
        <f>$B$31</f>
        <v>1</v>
      </c>
      <c r="D181" s="154" t="str">
        <f>'C3'' - Secondary Raw Material '!$C$9</f>
        <v>Diesel</v>
      </c>
      <c r="E181" s="154">
        <f>INDEX($B$158:$B$172,MATCH($B$181,$A$158:$A$172,0))</f>
        <v>7.5000000000000002E-4</v>
      </c>
      <c r="F181" s="154">
        <f>INDEX($C$158:$C$172,MATCH($B$181,$A$158:$A$172,0))</f>
        <v>55</v>
      </c>
      <c r="G181" s="174">
        <f>INDEX($D$158:$D$172,MATCH($B$181,$A$158:$A$172,0))</f>
        <v>7.0125000000000002</v>
      </c>
      <c r="H181" s="154" cm="1">
        <f t="array" ref="H181">INDEX(LCI!H$2:H$137,MATCH($A$178&amp;$D181,LCI!$B$2:$B$137&amp;LCI!$D$2:$D$137,0))*IF(OR($D181="Electric", $D181="Electric_green"), ($F181*$E181)*$B$20, $G181*$E181)*$C181</f>
        <v>2.7893337159731058E-5</v>
      </c>
      <c r="I181" s="154" cm="1">
        <f t="array" ref="I181">INDEX(LCI!I$2:I$137,MATCH($A$178&amp;$D181,LCI!$B$2:$B$137&amp;LCI!$D$2:$D$137,0))*IF(OR($D181="Electric", $D181="Electric_green"), ($F181*$E181)*$B$20, $G181*$E181)*$C181</f>
        <v>2.1817455200069325E-2</v>
      </c>
      <c r="J181" s="154" cm="1">
        <f t="array" ref="J181">INDEX(LCI!J$2:J$137,MATCH($A$178&amp;$D181,LCI!$B$2:$B$137&amp;LCI!$D$2:$D$137,0))*IF(OR($D181="Electric", $D181="Electric_green"), ($F181*$E181)*$B$20, $G181*$E181)*$C181</f>
        <v>4.5091145937612129E-6</v>
      </c>
      <c r="K181" s="154" cm="1">
        <f t="array" ref="K181">INDEX(LCI!K$2:K$137,MATCH($A$178&amp;$D181,LCI!$B$2:$B$137&amp;LCI!$D$2:$D$137,0))*IF(OR($D181="Electric", $D181="Electric_green"), ($F181*$E181)*$B$20, $G181*$E181)*$C181</f>
        <v>2.1811981260608227E-2</v>
      </c>
      <c r="L181" s="154" cm="1">
        <f t="array" ref="L181">INDEX(LCI!L$2:L$137,MATCH($A$178&amp;$D181,LCI!$B$2:$B$137&amp;LCI!$D$2:$D$137,0))*IF(OR($D181="Electric", $D181="Electric_green"), ($F181*$E181)*$B$20, $G181*$E181)*$C181</f>
        <v>9.6482486733427367E-7</v>
      </c>
      <c r="M181" s="154" cm="1">
        <f t="array" ref="M181">INDEX(LCI!M$2:M$137,MATCH($A$178&amp;$D181,LCI!$B$2:$B$137&amp;LCI!$D$2:$D$137,0))*IF(OR($D181="Electric", $D181="Electric_green"), ($F181*$E181)*$B$20, $G181*$E181)*$C181</f>
        <v>9.6396198852466697E-3</v>
      </c>
      <c r="N181" s="154" cm="1">
        <f t="array" ref="N181">INDEX(LCI!N$2:N$137,MATCH($A$178&amp;$D181,LCI!$B$2:$B$137&amp;LCI!$D$2:$D$137,0))*IF(OR($D181="Electric", $D181="Electric_green"), ($F181*$E181)*$B$20, $G181*$E181)*$C181</f>
        <v>0.28979412595985837</v>
      </c>
      <c r="O181" s="154" cm="1">
        <f t="array" ref="O181">INDEX(LCI!O$2:O$137,MATCH($A$178&amp;$D181,LCI!$B$2:$B$137&amp;LCI!$D$2:$D$137,0))*IF(OR($D181="Electric", $D181="Electric_green"), ($F181*$E181)*$B$20, $G181*$E181)*$C181</f>
        <v>2.3063998949938227E-7</v>
      </c>
      <c r="P181" s="154" cm="1">
        <f t="array" ref="P181">INDEX(LCI!P$2:P$137,MATCH($A$178&amp;$D181,LCI!$B$2:$B$137&amp;LCI!$D$2:$D$137,0))*IF(OR($D181="Electric", $D181="Electric_green"), ($F181*$E181)*$B$20, $G181*$E181)*$C181</f>
        <v>6.3075923050603569E-6</v>
      </c>
      <c r="Q181" s="154" cm="1">
        <f t="array" ref="Q181">INDEX(LCI!Q$2:Q$137,MATCH($A$178&amp;$D181,LCI!$B$2:$B$137&amp;LCI!$D$2:$D$137,0))*IF(OR($D181="Electric", $D181="Electric_green"), ($F181*$E181)*$B$20, $G181*$E181)*$C181</f>
        <v>6.8571300842652796E-5</v>
      </c>
      <c r="R181" s="154" cm="1">
        <f t="array" ref="R181">INDEX(LCI!R$2:R$137,MATCH($A$178&amp;$D181,LCI!$B$2:$B$137&amp;LCI!$D$2:$D$137,0))*IF(OR($D181="Electric", $D181="Electric_green"), ($F181*$E181)*$B$20, $G181*$E181)*$C181</f>
        <v>1.333276373976087E-12</v>
      </c>
      <c r="S181" s="154" cm="1">
        <f t="array" ref="S181">INDEX(LCI!S$2:S$137,MATCH($A$178&amp;$D181,LCI!$B$2:$B$137&amp;LCI!$D$2:$D$137,0))*IF(OR($D181="Electric", $D181="Electric_green"), ($F181*$E181)*$B$20, $G181*$E181)*$C181</f>
        <v>3.5537256640167458E-11</v>
      </c>
      <c r="T181" s="154" cm="1">
        <f t="array" ref="T181">INDEX(LCI!T$2:T$137,MATCH($A$178&amp;$D181,LCI!$B$2:$B$137&amp;LCI!$D$2:$D$137,0))*IF(OR($D181="Electric", $D181="Electric_green"), ($F181*$E181)*$B$20, $G181*$E181)*$C181</f>
        <v>8.7013088641530736E-5</v>
      </c>
      <c r="U181" s="154" cm="1">
        <f t="array" ref="U181">INDEX(LCI!U$2:U$137,MATCH($A$178&amp;$D181,LCI!$B$2:$B$137&amp;LCI!$D$2:$D$137,0))*IF(OR($D181="Electric", $D181="Electric_green"), ($F181*$E181)*$B$20, $G181*$E181)*$C181</f>
        <v>1.4899599393937975E-2</v>
      </c>
      <c r="V181" s="154" cm="1">
        <f t="array" ref="V181">INDEX(LCI!V$2:V$137,MATCH($A$178&amp;$D181,LCI!$B$2:$B$137&amp;LCI!$D$2:$D$137,0))*IF(OR($D181="Electric", $D181="Electric_green"), ($F181*$E181)*$B$20, $G181*$E181)*$C181</f>
        <v>3.4020372913144401E-9</v>
      </c>
      <c r="W181" s="154" cm="1">
        <f t="array" ref="W181">INDEX(LCI!W$2:W$137,MATCH($A$178&amp;$D181,LCI!$B$2:$B$137&amp;LCI!$D$2:$D$137,0))*IF(OR($D181="Electric", $D181="Electric_green"), ($F181*$E181)*$B$20, $G181*$E181)*$C181</f>
        <v>4.9164800946093144E-10</v>
      </c>
      <c r="X181" s="154" cm="1">
        <f t="array" ref="X181">INDEX(LCI!X$2:X$137,MATCH($A$178&amp;$D181,LCI!$B$2:$B$137&amp;LCI!$D$2:$D$137,0))*IF(OR($D181="Electric", $D181="Electric_green"), ($F181*$E181)*$B$20, $G181*$E181)*$C181</f>
        <v>2.1488578819223659E-10</v>
      </c>
      <c r="Y181" s="154" cm="1">
        <f t="array" ref="Y181">INDEX(LCI!Y$2:Y$137,MATCH($A$178&amp;$D181,LCI!$B$2:$B$137&amp;LCI!$D$2:$D$137,0))*IF(OR($D181="Electric", $D181="Electric_green"), ($F181*$E181)*$B$20, $G181*$E181)*$C181</f>
        <v>5.3739372475250501E-5</v>
      </c>
      <c r="Z181" s="154" cm="1">
        <f t="array" ref="Z181">INDEX(LCI!Z$2:Z$137,MATCH($A$178&amp;$D181,LCI!$B$2:$B$137&amp;LCI!$D$2:$D$137,0))*IF(OR($D181="Electric", $D181="Electric_green"), ($F181*$E181)*$B$20, $G181*$E181)*$C181</f>
        <v>3.9221441068901296E-4</v>
      </c>
    </row>
    <row r="182" spans="1:26" x14ac:dyDescent="0.35">
      <c r="A182" s="1" t="s">
        <v>362</v>
      </c>
      <c r="B182" s="152" t="str">
        <f>'C3'' - Secondary Raw Material '!$B$10</f>
        <v>Mobile_screener_500tph_RAP</v>
      </c>
      <c r="C182" s="188">
        <f>$B$73</f>
        <v>1</v>
      </c>
      <c r="D182" s="154" t="str">
        <f>'C3'' - Secondary Raw Material '!$C$10</f>
        <v>Diesel</v>
      </c>
      <c r="E182" s="154">
        <f>INDEX($B$158:$B$172,MATCH($B$182,$A$158:$A$172,0))</f>
        <v>7.5000000000000002E-4</v>
      </c>
      <c r="F182" s="154">
        <f>INDEX($C$158:$C$172,MATCH($B$182,$A$158:$A$172,0))</f>
        <v>99</v>
      </c>
      <c r="G182" s="174">
        <f>INDEX($D$158:$D$172,MATCH($B$182,$A$158:$A$172,0))</f>
        <v>12.6225</v>
      </c>
      <c r="H182" s="154" cm="1">
        <f t="array" ref="H182">INDEX(LCI!H$2:H$137,MATCH($A$178&amp;$D182,LCI!$B$2:$B$137&amp;LCI!$D$2:$D$137,0))*IF(OR($D182="Electric", $D182="Electric_green"), ($F182*$E182)*$B$20, $G182*$E182)*$C182</f>
        <v>5.0208006887515905E-5</v>
      </c>
      <c r="I182" s="154" cm="1">
        <f t="array" ref="I182">INDEX(LCI!I$2:I$137,MATCH($A$178&amp;$D182,LCI!$B$2:$B$137&amp;LCI!$D$2:$D$137,0))*IF(OR($D182="Electric", $D182="Electric_green"), ($F182*$E182)*$B$20, $G182*$E182)*$C182</f>
        <v>3.9271419360124786E-2</v>
      </c>
      <c r="J182" s="154" cm="1">
        <f t="array" ref="J182">INDEX(LCI!J$2:J$137,MATCH($A$178&amp;$D182,LCI!$B$2:$B$137&amp;LCI!$D$2:$D$137,0))*IF(OR($D182="Electric", $D182="Electric_green"), ($F182*$E182)*$B$20, $G182*$E182)*$C182</f>
        <v>8.1164062687701852E-6</v>
      </c>
      <c r="K182" s="154" cm="1">
        <f t="array" ref="K182">INDEX(LCI!K$2:K$137,MATCH($A$178&amp;$D182,LCI!$B$2:$B$137&amp;LCI!$D$2:$D$137,0))*IF(OR($D182="Electric", $D182="Electric_green"), ($F182*$E182)*$B$20, $G182*$E182)*$C182</f>
        <v>3.9261566269094814E-2</v>
      </c>
      <c r="L182" s="154" cm="1">
        <f t="array" ref="L182">INDEX(LCI!L$2:L$137,MATCH($A$178&amp;$D182,LCI!$B$2:$B$137&amp;LCI!$D$2:$D$137,0))*IF(OR($D182="Electric", $D182="Electric_green"), ($F182*$E182)*$B$20, $G182*$E182)*$C182</f>
        <v>1.7366847612016926E-6</v>
      </c>
      <c r="M182" s="154" cm="1">
        <f t="array" ref="M182">INDEX(LCI!M$2:M$137,MATCH($A$178&amp;$D182,LCI!$B$2:$B$137&amp;LCI!$D$2:$D$137,0))*IF(OR($D182="Electric", $D182="Electric_green"), ($F182*$E182)*$B$20, $G182*$E182)*$C182</f>
        <v>1.7351315793444008E-2</v>
      </c>
      <c r="N182" s="154" cm="1">
        <f t="array" ref="N182">INDEX(LCI!N$2:N$137,MATCH($A$178&amp;$D182,LCI!$B$2:$B$137&amp;LCI!$D$2:$D$137,0))*IF(OR($D182="Electric", $D182="Electric_green"), ($F182*$E182)*$B$20, $G182*$E182)*$C182</f>
        <v>0.52162942672774515</v>
      </c>
      <c r="O182" s="154" cm="1">
        <f t="array" ref="O182">INDEX(LCI!O$2:O$137,MATCH($A$178&amp;$D182,LCI!$B$2:$B$137&amp;LCI!$D$2:$D$137,0))*IF(OR($D182="Electric", $D182="Electric_green"), ($F182*$E182)*$B$20, $G182*$E182)*$C182</f>
        <v>4.1515198109888813E-7</v>
      </c>
      <c r="P182" s="154" cm="1">
        <f t="array" ref="P182">INDEX(LCI!P$2:P$137,MATCH($A$178&amp;$D182,LCI!$B$2:$B$137&amp;LCI!$D$2:$D$137,0))*IF(OR($D182="Electric", $D182="Electric_green"), ($F182*$E182)*$B$20, $G182*$E182)*$C182</f>
        <v>1.1353666149108644E-5</v>
      </c>
      <c r="Q182" s="154" cm="1">
        <f t="array" ref="Q182">INDEX(LCI!Q$2:Q$137,MATCH($A$178&amp;$D182,LCI!$B$2:$B$137&amp;LCI!$D$2:$D$137,0))*IF(OR($D182="Electric", $D182="Electric_green"), ($F182*$E182)*$B$20, $G182*$E182)*$C182</f>
        <v>1.2342834151677504E-4</v>
      </c>
      <c r="R182" s="154" cm="1">
        <f t="array" ref="R182">INDEX(LCI!R$2:R$137,MATCH($A$178&amp;$D182,LCI!$B$2:$B$137&amp;LCI!$D$2:$D$137,0))*IF(OR($D182="Electric", $D182="Electric_green"), ($F182*$E182)*$B$20, $G182*$E182)*$C182</f>
        <v>2.3998974731569568E-12</v>
      </c>
      <c r="S182" s="154" cm="1">
        <f t="array" ref="S182">INDEX(LCI!S$2:S$137,MATCH($A$178&amp;$D182,LCI!$B$2:$B$137&amp;LCI!$D$2:$D$137,0))*IF(OR($D182="Electric", $D182="Electric_green"), ($F182*$E182)*$B$20, $G182*$E182)*$C182</f>
        <v>6.3967061952301428E-11</v>
      </c>
      <c r="T182" s="154" cm="1">
        <f t="array" ref="T182">INDEX(LCI!T$2:T$137,MATCH($A$178&amp;$D182,LCI!$B$2:$B$137&amp;LCI!$D$2:$D$137,0))*IF(OR($D182="Electric", $D182="Electric_green"), ($F182*$E182)*$B$20, $G182*$E182)*$C182</f>
        <v>1.5662355955475534E-4</v>
      </c>
      <c r="U182" s="154" cm="1">
        <f t="array" ref="U182">INDEX(LCI!U$2:U$137,MATCH($A$178&amp;$D182,LCI!$B$2:$B$137&amp;LCI!$D$2:$D$137,0))*IF(OR($D182="Electric", $D182="Electric_green"), ($F182*$E182)*$B$20, $G182*$E182)*$C182</f>
        <v>2.6819278909088359E-2</v>
      </c>
      <c r="V182" s="154" cm="1">
        <f t="array" ref="V182">INDEX(LCI!V$2:V$137,MATCH($A$178&amp;$D182,LCI!$B$2:$B$137&amp;LCI!$D$2:$D$137,0))*IF(OR($D182="Electric", $D182="Electric_green"), ($F182*$E182)*$B$20, $G182*$E182)*$C182</f>
        <v>6.1236671243659927E-9</v>
      </c>
      <c r="W182" s="154" cm="1">
        <f t="array" ref="W182">INDEX(LCI!W$2:W$137,MATCH($A$178&amp;$D182,LCI!$B$2:$B$137&amp;LCI!$D$2:$D$137,0))*IF(OR($D182="Electric", $D182="Electric_green"), ($F182*$E182)*$B$20, $G182*$E182)*$C182</f>
        <v>8.849664170296768E-10</v>
      </c>
      <c r="X182" s="154" cm="1">
        <f t="array" ref="X182">INDEX(LCI!X$2:X$137,MATCH($A$178&amp;$D182,LCI!$B$2:$B$137&amp;LCI!$D$2:$D$137,0))*IF(OR($D182="Electric", $D182="Electric_green"), ($F182*$E182)*$B$20, $G182*$E182)*$C182</f>
        <v>3.8679441874602589E-10</v>
      </c>
      <c r="Y182" s="154" cm="1">
        <f t="array" ref="Y182">INDEX(LCI!Y$2:Y$137,MATCH($A$178&amp;$D182,LCI!$B$2:$B$137&amp;LCI!$D$2:$D$137,0))*IF(OR($D182="Electric", $D182="Electric_green"), ($F182*$E182)*$B$20, $G182*$E182)*$C182</f>
        <v>9.6730870455450914E-5</v>
      </c>
      <c r="Z182" s="154" cm="1">
        <f t="array" ref="Z182">INDEX(LCI!Z$2:Z$137,MATCH($A$178&amp;$D182,LCI!$B$2:$B$137&amp;LCI!$D$2:$D$137,0))*IF(OR($D182="Electric", $D182="Electric_green"), ($F182*$E182)*$B$20, $G182*$E182)*$C182</f>
        <v>7.0598593924022337E-4</v>
      </c>
    </row>
    <row r="183" spans="1:26" x14ac:dyDescent="0.35">
      <c r="A183" s="1" t="s">
        <v>200</v>
      </c>
      <c r="B183" s="1"/>
      <c r="C183" s="1"/>
      <c r="D183" s="1"/>
      <c r="E183" s="1"/>
      <c r="F183" s="1"/>
      <c r="G183" s="1"/>
      <c r="H183" s="1">
        <f t="shared" ref="H183:Z183" si="0">SUM(H179:H182)</f>
        <v>2.132393117742819E-4</v>
      </c>
      <c r="I183" s="1">
        <f t="shared" si="0"/>
        <v>0.16679033795373477</v>
      </c>
      <c r="J183" s="1">
        <f t="shared" si="0"/>
        <v>3.4471332246079752E-5</v>
      </c>
      <c r="K183" s="1">
        <f t="shared" si="0"/>
        <v>0.16674849071700243</v>
      </c>
      <c r="L183" s="1">
        <f t="shared" si="0"/>
        <v>7.375904486254632E-6</v>
      </c>
      <c r="M183" s="1">
        <f t="shared" si="0"/>
        <v>7.3693079401887573E-2</v>
      </c>
      <c r="N183" s="1">
        <f t="shared" si="0"/>
        <v>2.2154215403498743</v>
      </c>
      <c r="O183" s="1">
        <f t="shared" si="0"/>
        <v>1.7631993026448645E-6</v>
      </c>
      <c r="P183" s="1">
        <f t="shared" si="0"/>
        <v>4.8220355792551409E-5</v>
      </c>
      <c r="Q183" s="1">
        <f t="shared" si="0"/>
        <v>5.2421468666230769E-4</v>
      </c>
      <c r="R183" s="1">
        <f t="shared" si="0"/>
        <v>1.0192646894973112E-11</v>
      </c>
      <c r="S183" s="1">
        <f t="shared" si="0"/>
        <v>2.7167563726420761E-10</v>
      </c>
      <c r="T183" s="1">
        <f t="shared" si="0"/>
        <v>6.6519868279014841E-4</v>
      </c>
      <c r="U183" s="1">
        <f t="shared" si="0"/>
        <v>0.11390463257521803</v>
      </c>
      <c r="V183" s="1">
        <f t="shared" si="0"/>
        <v>2.6007934671855809E-8</v>
      </c>
      <c r="W183" s="1">
        <f t="shared" si="0"/>
        <v>3.7585564815097762E-9</v>
      </c>
      <c r="X183" s="1">
        <f t="shared" si="0"/>
        <v>1.6427613993186483E-9</v>
      </c>
      <c r="Y183" s="1">
        <f t="shared" si="0"/>
        <v>4.1082738634614822E-4</v>
      </c>
      <c r="Z183" s="1">
        <f t="shared" si="0"/>
        <v>2.9984053368853725E-3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459</v>
      </c>
    </row>
    <row r="187" spans="1:26" x14ac:dyDescent="0.35">
      <c r="A187" s="1" t="s">
        <v>366</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358</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360</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362</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200</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979</v>
      </c>
      <c r="B194"/>
      <c r="L194" s="3"/>
      <c r="M194" s="3"/>
      <c r="N194" s="3"/>
    </row>
    <row r="195" spans="1:14" x14ac:dyDescent="0.35">
      <c r="B195"/>
      <c r="L195" s="3"/>
      <c r="M195" s="3"/>
      <c r="N195" s="3"/>
    </row>
    <row r="196" spans="1:14" ht="16" x14ac:dyDescent="0.4">
      <c r="A196" s="81" t="s">
        <v>460</v>
      </c>
      <c r="B196" s="47"/>
      <c r="C196" s="29"/>
      <c r="L196" s="3"/>
      <c r="M196" s="3"/>
      <c r="N196" s="3"/>
    </row>
    <row r="197" spans="1:14" x14ac:dyDescent="0.35">
      <c r="A197" s="1" t="s">
        <v>461</v>
      </c>
      <c r="B197" s="22" t="s">
        <v>462</v>
      </c>
      <c r="C197" s="2" t="s">
        <v>462</v>
      </c>
      <c r="D197" s="1" t="s">
        <v>463</v>
      </c>
      <c r="L197" s="3"/>
      <c r="M197" s="3"/>
      <c r="N197" s="3"/>
    </row>
    <row r="198" spans="1:14" x14ac:dyDescent="0.35">
      <c r="A198" s="1" t="s">
        <v>464</v>
      </c>
      <c r="B198" s="119">
        <v>0.51</v>
      </c>
      <c r="C198" s="2"/>
      <c r="D198" s="1"/>
      <c r="L198" s="3"/>
      <c r="M198" s="3"/>
      <c r="N198" s="3"/>
    </row>
    <row r="199" spans="1:14" x14ac:dyDescent="0.35">
      <c r="A199" s="1" t="s">
        <v>411</v>
      </c>
      <c r="B199" s="119">
        <v>18.5</v>
      </c>
      <c r="C199" s="2"/>
      <c r="D199" s="1"/>
      <c r="L199" s="3"/>
      <c r="M199" s="3"/>
      <c r="N199" s="3"/>
    </row>
    <row r="200" spans="1:14" x14ac:dyDescent="0.35">
      <c r="A200" s="1" t="s">
        <v>383</v>
      </c>
      <c r="B200" s="119">
        <v>0.25</v>
      </c>
      <c r="C200" s="2"/>
      <c r="D200" s="1"/>
      <c r="L200" s="3"/>
      <c r="M200" s="3"/>
      <c r="N200" s="3"/>
    </row>
    <row r="201" spans="1:14" x14ac:dyDescent="0.35">
      <c r="A201" s="1" t="s">
        <v>392</v>
      </c>
      <c r="B201" s="119">
        <v>0.66</v>
      </c>
      <c r="C201" s="2"/>
      <c r="D201" s="1"/>
      <c r="L201" s="3"/>
      <c r="M201" s="3"/>
      <c r="N201" s="3"/>
    </row>
    <row r="202" spans="1:14" ht="43.5" x14ac:dyDescent="0.35">
      <c r="A202" s="143" t="s">
        <v>465</v>
      </c>
      <c r="B202" s="119">
        <v>0.37</v>
      </c>
      <c r="C202" s="144" t="s">
        <v>466</v>
      </c>
      <c r="D202" s="1"/>
      <c r="L202" s="3"/>
      <c r="M202" s="3"/>
      <c r="N202" s="3"/>
    </row>
    <row r="203" spans="1:14" x14ac:dyDescent="0.35">
      <c r="A203" s="69" t="s">
        <v>467</v>
      </c>
      <c r="B203" s="207">
        <v>0.75</v>
      </c>
      <c r="C203" s="2"/>
      <c r="D203" s="1"/>
      <c r="L203" s="3"/>
      <c r="M203" s="3"/>
      <c r="N203" s="3"/>
    </row>
    <row r="204" spans="1:14" x14ac:dyDescent="0.35">
      <c r="A204" s="69" t="s">
        <v>468</v>
      </c>
      <c r="B204" s="145">
        <v>23</v>
      </c>
      <c r="C204" s="2"/>
      <c r="D204" s="1"/>
      <c r="L204" s="3"/>
      <c r="M204" s="3"/>
      <c r="N204" s="3"/>
    </row>
    <row r="205" spans="1:14" x14ac:dyDescent="0.35">
      <c r="A205" s="69" t="s">
        <v>469</v>
      </c>
      <c r="B205" s="206">
        <f>3600/$B$204</f>
        <v>156.52173913043478</v>
      </c>
      <c r="C205" s="2"/>
      <c r="D205" s="1"/>
      <c r="L205" s="3"/>
      <c r="M205" s="3"/>
      <c r="N205" s="3"/>
    </row>
    <row r="206" spans="1:14" x14ac:dyDescent="0.35">
      <c r="A206" s="1" t="s">
        <v>470</v>
      </c>
      <c r="B206" s="208">
        <v>0.75</v>
      </c>
      <c r="C206" s="2"/>
      <c r="D206" s="1"/>
      <c r="L206" s="3"/>
      <c r="M206" s="3"/>
      <c r="N206" s="3"/>
    </row>
    <row r="207" spans="1:14" x14ac:dyDescent="0.35">
      <c r="A207" s="1" t="s">
        <v>471</v>
      </c>
      <c r="B207" s="197">
        <f>$B$202*$B$201*$B$203*$B$205*$B$206</f>
        <v>21.500217391304346</v>
      </c>
      <c r="C207" s="1" t="s">
        <v>472</v>
      </c>
      <c r="D207" s="1"/>
      <c r="L207" s="3"/>
      <c r="M207" s="3"/>
      <c r="N207" s="3"/>
    </row>
    <row r="208" spans="1:14" x14ac:dyDescent="0.35">
      <c r="A208" s="1" t="s">
        <v>396</v>
      </c>
      <c r="B208" s="154">
        <f>$B$199*$B$198*$B$200</f>
        <v>2.3587500000000001</v>
      </c>
      <c r="C208" s="39" t="s">
        <v>397</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473</v>
      </c>
      <c r="B211"/>
      <c r="L211" s="3"/>
      <c r="M211" s="3"/>
      <c r="N211" s="3"/>
    </row>
    <row r="212" spans="1:14" x14ac:dyDescent="0.35">
      <c r="A212" s="1" t="s">
        <v>474</v>
      </c>
      <c r="B212" s="96">
        <v>3.5</v>
      </c>
      <c r="C212" s="1"/>
      <c r="D212" s="1"/>
      <c r="L212" s="3"/>
      <c r="M212" s="3"/>
      <c r="N212" s="3"/>
    </row>
    <row r="213" spans="1:14" ht="43.5" x14ac:dyDescent="0.35">
      <c r="A213" s="1" t="s">
        <v>475</v>
      </c>
      <c r="B213" s="119" t="s">
        <v>476</v>
      </c>
      <c r="C213" s="1" t="s">
        <v>477</v>
      </c>
      <c r="D213" s="53" t="s">
        <v>478</v>
      </c>
      <c r="L213" s="3"/>
      <c r="M213" s="3"/>
      <c r="N213" s="3"/>
    </row>
    <row r="214" spans="1:14" ht="43.5" x14ac:dyDescent="0.35">
      <c r="A214" s="1" t="s">
        <v>383</v>
      </c>
      <c r="B214" s="96">
        <v>0.25</v>
      </c>
      <c r="C214" s="53" t="s">
        <v>384</v>
      </c>
      <c r="D214" s="123" t="s">
        <v>479</v>
      </c>
      <c r="L214" s="3"/>
      <c r="M214" s="3"/>
      <c r="N214" s="3"/>
    </row>
    <row r="215" spans="1:14" ht="29" x14ac:dyDescent="0.35">
      <c r="A215" s="1" t="s">
        <v>464</v>
      </c>
      <c r="B215" s="96">
        <v>0.51</v>
      </c>
      <c r="C215" s="53" t="s">
        <v>382</v>
      </c>
      <c r="D215" s="1"/>
      <c r="L215" s="3"/>
      <c r="M215" s="3"/>
      <c r="N215" s="3"/>
    </row>
    <row r="216" spans="1:14" x14ac:dyDescent="0.35">
      <c r="A216" s="1" t="s">
        <v>411</v>
      </c>
      <c r="B216" s="96">
        <v>42</v>
      </c>
      <c r="C216" s="1"/>
      <c r="D216" s="1"/>
      <c r="L216" s="3"/>
      <c r="M216" s="3"/>
      <c r="N216" s="3"/>
    </row>
    <row r="217" spans="1:14" x14ac:dyDescent="0.35">
      <c r="A217" s="1" t="s">
        <v>470</v>
      </c>
      <c r="B217" s="313">
        <v>0.83</v>
      </c>
      <c r="C217" s="1"/>
      <c r="D217" s="1"/>
      <c r="L217" s="3"/>
      <c r="M217" s="3"/>
      <c r="N217" s="3"/>
    </row>
    <row r="218" spans="1:14" x14ac:dyDescent="0.35">
      <c r="A218" s="1" t="s">
        <v>480</v>
      </c>
      <c r="B218" s="129">
        <v>3</v>
      </c>
      <c r="C218" s="1" t="s">
        <v>481</v>
      </c>
      <c r="D218" s="1"/>
      <c r="L218" s="3"/>
      <c r="M218" s="3"/>
      <c r="N218" s="3"/>
    </row>
    <row r="219" spans="1:14" x14ac:dyDescent="0.35">
      <c r="A219" s="1" t="s">
        <v>469</v>
      </c>
      <c r="B219" s="314">
        <f>60/$B$218</f>
        <v>20</v>
      </c>
      <c r="C219" s="1"/>
      <c r="D219" s="1"/>
      <c r="L219" s="3"/>
      <c r="M219" s="3"/>
      <c r="N219" s="3"/>
    </row>
    <row r="220" spans="1:14" x14ac:dyDescent="0.35">
      <c r="A220" s="1" t="s">
        <v>471</v>
      </c>
      <c r="B220" s="154">
        <f>B212*B219*B217</f>
        <v>58.099999999999994</v>
      </c>
      <c r="C220" s="2" t="s">
        <v>482</v>
      </c>
      <c r="D220" s="1"/>
      <c r="L220" s="3"/>
      <c r="M220" s="3"/>
      <c r="N220" s="3"/>
    </row>
    <row r="221" spans="1:14" x14ac:dyDescent="0.35">
      <c r="A221" s="1" t="s">
        <v>396</v>
      </c>
      <c r="B221" s="154">
        <f>$B$216*$B$215*$B$214</f>
        <v>5.3550000000000004</v>
      </c>
      <c r="C221" s="39" t="s">
        <v>397</v>
      </c>
      <c r="D221" s="1"/>
      <c r="L221" s="3"/>
      <c r="M221" s="3"/>
      <c r="N221" s="3"/>
    </row>
    <row r="222" spans="1:14" x14ac:dyDescent="0.35">
      <c r="B222"/>
      <c r="C222" s="85"/>
      <c r="L222" s="3"/>
      <c r="M222" s="3"/>
      <c r="N222" s="3"/>
    </row>
    <row r="223" spans="1:14" x14ac:dyDescent="0.35">
      <c r="A223" s="1" t="s">
        <v>371</v>
      </c>
      <c r="B223" s="96">
        <v>0.51</v>
      </c>
      <c r="C223" s="39" t="s">
        <v>372</v>
      </c>
      <c r="L223" s="3"/>
      <c r="M223" s="3"/>
      <c r="N223" s="3"/>
    </row>
    <row r="224" spans="1:14" x14ac:dyDescent="0.35">
      <c r="B224"/>
      <c r="L224" s="3"/>
      <c r="M224" s="3"/>
      <c r="N224" s="3"/>
    </row>
    <row r="225" spans="1:14" ht="18.5" x14ac:dyDescent="0.45">
      <c r="A225" s="116" t="s">
        <v>483</v>
      </c>
      <c r="B225"/>
      <c r="N225" s="142"/>
    </row>
    <row r="226" spans="1:14" x14ac:dyDescent="0.35">
      <c r="A226" s="62" t="s">
        <v>484</v>
      </c>
      <c r="B226" s="62" t="s">
        <v>485</v>
      </c>
      <c r="C226" s="62" t="s">
        <v>486</v>
      </c>
      <c r="D226" s="62" t="s">
        <v>33</v>
      </c>
      <c r="E226" s="62" t="s">
        <v>487</v>
      </c>
      <c r="F226" s="62" t="s">
        <v>1004</v>
      </c>
    </row>
    <row r="227" spans="1:14" x14ac:dyDescent="0.35">
      <c r="A227" s="1" t="s">
        <v>488</v>
      </c>
      <c r="B227" s="1" t="s">
        <v>69</v>
      </c>
      <c r="C227" s="96">
        <v>1</v>
      </c>
      <c r="D227" s="96" t="s">
        <v>489</v>
      </c>
      <c r="E227" s="96">
        <v>50</v>
      </c>
      <c r="F227" s="96">
        <v>1.25</v>
      </c>
    </row>
    <row r="228" spans="1:14" x14ac:dyDescent="0.35">
      <c r="B228"/>
    </row>
    <row r="229" spans="1:14" ht="18.5" x14ac:dyDescent="0.45">
      <c r="A229" s="74" t="s">
        <v>490</v>
      </c>
      <c r="B229"/>
    </row>
    <row r="230" spans="1:14" x14ac:dyDescent="0.35">
      <c r="A230" s="294" t="s">
        <v>491</v>
      </c>
      <c r="B230" s="294" t="s">
        <v>330</v>
      </c>
      <c r="C230" s="294" t="s">
        <v>486</v>
      </c>
      <c r="D230" s="294" t="s">
        <v>33</v>
      </c>
      <c r="E230" s="294" t="s">
        <v>411</v>
      </c>
      <c r="F230" s="294" t="s">
        <v>492</v>
      </c>
      <c r="G230" s="294" t="s">
        <v>493</v>
      </c>
    </row>
    <row r="231" spans="1:14" x14ac:dyDescent="0.35">
      <c r="A231" s="1" t="s">
        <v>494</v>
      </c>
      <c r="B231" s="1" t="s">
        <v>495</v>
      </c>
      <c r="C231" s="96">
        <v>1</v>
      </c>
      <c r="D231" s="96" t="s">
        <v>25</v>
      </c>
      <c r="E231" s="96">
        <v>55.93</v>
      </c>
      <c r="F231" s="96">
        <v>0.33300000000000002</v>
      </c>
      <c r="G231" s="154">
        <f>$E$231*$F$231</f>
        <v>18.624690000000001</v>
      </c>
    </row>
    <row r="232" spans="1:14" x14ac:dyDescent="0.35">
      <c r="A232" s="1" t="s">
        <v>496</v>
      </c>
      <c r="B232" s="1" t="s">
        <v>495</v>
      </c>
      <c r="C232" s="96">
        <v>1</v>
      </c>
      <c r="D232" s="96" t="s">
        <v>25</v>
      </c>
      <c r="E232" s="96">
        <v>3.73</v>
      </c>
      <c r="F232" s="96">
        <v>0.33300000000000002</v>
      </c>
      <c r="G232" s="154">
        <f>$E$232*$F$232</f>
        <v>1.2420900000000001</v>
      </c>
    </row>
    <row r="233" spans="1:14" x14ac:dyDescent="0.35">
      <c r="A233" s="1" t="s">
        <v>497</v>
      </c>
      <c r="B233" s="1" t="s">
        <v>495</v>
      </c>
      <c r="C233" s="96">
        <v>4</v>
      </c>
      <c r="D233" s="96" t="s">
        <v>25</v>
      </c>
      <c r="E233" s="96">
        <v>1.49</v>
      </c>
      <c r="F233" s="96">
        <v>0.33</v>
      </c>
      <c r="G233" s="154">
        <f>$E$233*$F$233</f>
        <v>0.49170000000000003</v>
      </c>
    </row>
    <row r="234" spans="1:14" x14ac:dyDescent="0.35">
      <c r="A234" s="3"/>
      <c r="B234" s="3"/>
      <c r="C234" s="3"/>
      <c r="D234" s="3"/>
      <c r="E234" s="3"/>
      <c r="F234" s="3"/>
    </row>
    <row r="235" spans="1:14" ht="18.5" x14ac:dyDescent="0.45">
      <c r="A235" s="74" t="s">
        <v>498</v>
      </c>
      <c r="B235"/>
    </row>
    <row r="236" spans="1:14" x14ac:dyDescent="0.35">
      <c r="A236" s="294" t="s">
        <v>491</v>
      </c>
      <c r="B236" s="294" t="s">
        <v>330</v>
      </c>
      <c r="C236" s="294" t="s">
        <v>486</v>
      </c>
      <c r="D236" s="294" t="s">
        <v>33</v>
      </c>
      <c r="E236" s="294" t="s">
        <v>411</v>
      </c>
      <c r="F236" s="294" t="s">
        <v>492</v>
      </c>
      <c r="G236" s="294" t="s">
        <v>493</v>
      </c>
    </row>
    <row r="237" spans="1:14" x14ac:dyDescent="0.35">
      <c r="A237" s="1" t="s">
        <v>499</v>
      </c>
      <c r="B237" s="1" t="s">
        <v>500</v>
      </c>
      <c r="C237" s="96">
        <v>1</v>
      </c>
      <c r="D237" s="96" t="s">
        <v>25</v>
      </c>
      <c r="E237" s="96">
        <v>250</v>
      </c>
      <c r="F237" s="96">
        <v>0.25</v>
      </c>
      <c r="G237" s="154">
        <f>$E$237*$F$237</f>
        <v>62.5</v>
      </c>
    </row>
    <row r="238" spans="1:14" x14ac:dyDescent="0.35">
      <c r="A238" s="1" t="s">
        <v>497</v>
      </c>
      <c r="B238" s="1" t="s">
        <v>495</v>
      </c>
      <c r="C238" s="96">
        <v>2</v>
      </c>
      <c r="D238" s="96" t="s">
        <v>25</v>
      </c>
      <c r="E238" s="96">
        <v>1.49</v>
      </c>
      <c r="F238" s="96">
        <v>0.25</v>
      </c>
      <c r="G238" s="154">
        <f>E238*F238</f>
        <v>0.3725</v>
      </c>
    </row>
    <row r="239" spans="1:14" x14ac:dyDescent="0.35">
      <c r="B239"/>
    </row>
    <row r="240" spans="1:14" x14ac:dyDescent="0.35">
      <c r="A240" s="62" t="s">
        <v>491</v>
      </c>
      <c r="B240" s="62" t="s">
        <v>330</v>
      </c>
      <c r="C240" s="62" t="s">
        <v>486</v>
      </c>
      <c r="D240" s="62" t="s">
        <v>33</v>
      </c>
      <c r="E240" s="62" t="s">
        <v>411</v>
      </c>
      <c r="F240" s="62" t="s">
        <v>492</v>
      </c>
      <c r="G240" s="62" t="s">
        <v>396</v>
      </c>
    </row>
    <row r="241" spans="1:7" x14ac:dyDescent="0.35">
      <c r="A241" s="1" t="s">
        <v>501</v>
      </c>
      <c r="B241" s="1" t="s">
        <v>108</v>
      </c>
      <c r="C241" s="96">
        <v>1</v>
      </c>
      <c r="D241" s="96" t="s">
        <v>36</v>
      </c>
      <c r="E241" s="96">
        <v>160</v>
      </c>
      <c r="F241" s="96">
        <v>0.25</v>
      </c>
      <c r="G241" s="154">
        <f>$B$208</f>
        <v>2.3587500000000001</v>
      </c>
    </row>
    <row r="242" spans="1:7" x14ac:dyDescent="0.35">
      <c r="B242"/>
    </row>
    <row r="243" spans="1:7" ht="18.5" x14ac:dyDescent="0.45">
      <c r="A243" s="74" t="s">
        <v>502</v>
      </c>
      <c r="B243"/>
    </row>
    <row r="244" spans="1:7" x14ac:dyDescent="0.35">
      <c r="A244" s="294" t="s">
        <v>491</v>
      </c>
      <c r="B244" s="294" t="s">
        <v>330</v>
      </c>
      <c r="C244" s="294" t="s">
        <v>486</v>
      </c>
      <c r="D244" s="294" t="s">
        <v>33</v>
      </c>
      <c r="E244" s="294" t="s">
        <v>411</v>
      </c>
      <c r="F244" s="294" t="s">
        <v>492</v>
      </c>
      <c r="G244" s="294" t="s">
        <v>493</v>
      </c>
    </row>
    <row r="245" spans="1:7" x14ac:dyDescent="0.35">
      <c r="A245" s="1" t="s">
        <v>503</v>
      </c>
      <c r="B245" s="1" t="s">
        <v>504</v>
      </c>
      <c r="C245" s="96">
        <v>1</v>
      </c>
      <c r="D245" s="96" t="s">
        <v>25</v>
      </c>
      <c r="E245" s="96">
        <v>160</v>
      </c>
      <c r="F245" s="96">
        <v>0.25</v>
      </c>
      <c r="G245" s="154">
        <f>$E$245*$F$245</f>
        <v>40</v>
      </c>
    </row>
    <row r="246" spans="1:7" x14ac:dyDescent="0.35">
      <c r="A246" s="1" t="s">
        <v>505</v>
      </c>
      <c r="B246" s="1" t="s">
        <v>495</v>
      </c>
      <c r="C246" s="96">
        <v>1</v>
      </c>
      <c r="D246" s="96" t="s">
        <v>25</v>
      </c>
      <c r="E246" s="96">
        <v>1.49</v>
      </c>
      <c r="F246" s="96">
        <v>0.25</v>
      </c>
      <c r="G246" s="154">
        <f>$E$246*$F$246</f>
        <v>0.3725</v>
      </c>
    </row>
    <row r="247" spans="1:7" x14ac:dyDescent="0.35">
      <c r="B247"/>
    </row>
    <row r="248" spans="1:7" ht="18.5" x14ac:dyDescent="0.45">
      <c r="A248" s="74" t="s">
        <v>506</v>
      </c>
      <c r="B248"/>
    </row>
    <row r="249" spans="1:7" x14ac:dyDescent="0.35">
      <c r="A249" s="294" t="s">
        <v>491</v>
      </c>
      <c r="B249" s="294" t="s">
        <v>330</v>
      </c>
      <c r="C249" s="294" t="s">
        <v>486</v>
      </c>
      <c r="D249" s="294" t="s">
        <v>33</v>
      </c>
      <c r="E249" s="294" t="s">
        <v>411</v>
      </c>
      <c r="F249" s="294" t="s">
        <v>492</v>
      </c>
      <c r="G249" s="294" t="s">
        <v>493</v>
      </c>
    </row>
    <row r="250" spans="1:7" x14ac:dyDescent="0.35">
      <c r="A250" s="1" t="s">
        <v>507</v>
      </c>
      <c r="B250" s="1" t="s">
        <v>508</v>
      </c>
      <c r="C250" s="96">
        <v>1</v>
      </c>
      <c r="D250" s="96" t="s">
        <v>25</v>
      </c>
      <c r="E250" s="96">
        <v>250</v>
      </c>
      <c r="F250" s="96">
        <v>2</v>
      </c>
      <c r="G250" s="154">
        <f>$E$250*$F$250</f>
        <v>500</v>
      </c>
    </row>
    <row r="251" spans="1:7" x14ac:dyDescent="0.35">
      <c r="A251" s="1" t="s">
        <v>505</v>
      </c>
      <c r="B251" s="1" t="s">
        <v>495</v>
      </c>
      <c r="C251" s="96">
        <v>1</v>
      </c>
      <c r="D251" s="96" t="s">
        <v>25</v>
      </c>
      <c r="E251" s="96">
        <v>1.49</v>
      </c>
      <c r="F251" s="96">
        <v>2</v>
      </c>
      <c r="G251" s="154">
        <f>$E$251*$F$251</f>
        <v>2.98</v>
      </c>
    </row>
    <row r="252" spans="1:7" x14ac:dyDescent="0.35">
      <c r="A252" s="1" t="s">
        <v>509</v>
      </c>
      <c r="B252" s="1"/>
      <c r="C252" s="96">
        <v>1</v>
      </c>
      <c r="D252" s="96" t="s">
        <v>25</v>
      </c>
      <c r="E252" s="96">
        <v>37</v>
      </c>
      <c r="F252" s="96">
        <v>2</v>
      </c>
      <c r="G252" s="154">
        <f>$E$252*$F$252</f>
        <v>74</v>
      </c>
    </row>
    <row r="253" spans="1:7" x14ac:dyDescent="0.35">
      <c r="A253" s="1" t="s">
        <v>510</v>
      </c>
      <c r="B253" s="1" t="s">
        <v>511</v>
      </c>
      <c r="C253" s="96">
        <v>1</v>
      </c>
      <c r="D253" s="96" t="s">
        <v>25</v>
      </c>
      <c r="E253" s="96">
        <v>3.73</v>
      </c>
      <c r="F253" s="96">
        <v>2</v>
      </c>
      <c r="G253" s="154">
        <f>$E$253*$F$253</f>
        <v>7.46</v>
      </c>
    </row>
    <row r="254" spans="1:7" x14ac:dyDescent="0.35">
      <c r="B254"/>
    </row>
    <row r="255" spans="1:7" x14ac:dyDescent="0.35">
      <c r="A255" s="62" t="s">
        <v>491</v>
      </c>
      <c r="B255" s="62" t="s">
        <v>330</v>
      </c>
      <c r="C255" s="62" t="s">
        <v>486</v>
      </c>
      <c r="D255" s="294" t="s">
        <v>33</v>
      </c>
      <c r="E255" s="294" t="s">
        <v>411</v>
      </c>
      <c r="F255" s="294" t="s">
        <v>492</v>
      </c>
      <c r="G255" s="62" t="s">
        <v>396</v>
      </c>
    </row>
    <row r="256" spans="1:7" x14ac:dyDescent="0.35">
      <c r="A256" s="1" t="s">
        <v>512</v>
      </c>
      <c r="B256" s="1"/>
      <c r="C256" s="96">
        <v>1</v>
      </c>
      <c r="D256" s="96" t="s">
        <v>36</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513</v>
      </c>
      <c r="B260"/>
    </row>
    <row r="261" spans="1:26" x14ac:dyDescent="0.35">
      <c r="B261"/>
    </row>
    <row r="262" spans="1:26" ht="72.5" x14ac:dyDescent="0.35">
      <c r="A262" s="302" t="s">
        <v>451</v>
      </c>
      <c r="B262" s="300" t="s">
        <v>452</v>
      </c>
      <c r="C262" s="302" t="s">
        <v>453</v>
      </c>
      <c r="D262" s="302" t="s">
        <v>514</v>
      </c>
      <c r="E262" s="302" t="s">
        <v>454</v>
      </c>
      <c r="F262" s="302" t="s">
        <v>515</v>
      </c>
      <c r="G262" s="302" t="s">
        <v>516</v>
      </c>
      <c r="H262" s="103" t="s">
        <v>279</v>
      </c>
      <c r="I262" s="103" t="s">
        <v>280</v>
      </c>
      <c r="J262" s="103" t="s">
        <v>281</v>
      </c>
      <c r="K262" s="103" t="s">
        <v>282</v>
      </c>
      <c r="L262" s="103" t="s">
        <v>283</v>
      </c>
      <c r="M262" s="103" t="s">
        <v>284</v>
      </c>
      <c r="N262" s="103" t="s">
        <v>285</v>
      </c>
      <c r="O262" s="103" t="s">
        <v>286</v>
      </c>
      <c r="P262" s="103" t="s">
        <v>287</v>
      </c>
      <c r="Q262" s="103" t="s">
        <v>288</v>
      </c>
      <c r="R262" s="103" t="s">
        <v>289</v>
      </c>
      <c r="S262" s="103" t="s">
        <v>290</v>
      </c>
      <c r="T262" s="103" t="s">
        <v>291</v>
      </c>
      <c r="U262" s="103" t="s">
        <v>292</v>
      </c>
      <c r="V262" s="103" t="s">
        <v>293</v>
      </c>
      <c r="W262" s="103" t="s">
        <v>294</v>
      </c>
      <c r="X262" s="103" t="s">
        <v>295</v>
      </c>
      <c r="Y262" s="103" t="s">
        <v>296</v>
      </c>
      <c r="Z262" s="103" t="s">
        <v>297</v>
      </c>
    </row>
    <row r="263" spans="1:26" x14ac:dyDescent="0.35">
      <c r="A263" s="1" t="s">
        <v>517</v>
      </c>
      <c r="B263" s="1" t="str">
        <f>$A$227</f>
        <v>Transportation</v>
      </c>
      <c r="C263" s="154">
        <f>$C$227</f>
        <v>1</v>
      </c>
      <c r="D263" s="154" t="str">
        <f>$B$227</f>
        <v>Truck</v>
      </c>
      <c r="E263" s="154" t="str">
        <f>$D$227</f>
        <v>Diesel_Euro6</v>
      </c>
      <c r="F263" s="152">
        <f>$E$227</f>
        <v>50</v>
      </c>
      <c r="G263" s="154" t="s">
        <v>518</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451</v>
      </c>
      <c r="B266" s="300" t="s">
        <v>452</v>
      </c>
      <c r="C266" s="302" t="s">
        <v>453</v>
      </c>
      <c r="D266" s="302" t="s">
        <v>411</v>
      </c>
      <c r="E266" s="302" t="s">
        <v>454</v>
      </c>
      <c r="F266" s="302" t="s">
        <v>516</v>
      </c>
      <c r="G266" s="103" t="s">
        <v>279</v>
      </c>
      <c r="H266" s="103" t="s">
        <v>280</v>
      </c>
      <c r="I266" s="103" t="s">
        <v>281</v>
      </c>
      <c r="J266" s="103" t="s">
        <v>282</v>
      </c>
      <c r="K266" s="103" t="s">
        <v>283</v>
      </c>
      <c r="L266" s="103" t="s">
        <v>284</v>
      </c>
      <c r="M266" s="103" t="s">
        <v>285</v>
      </c>
      <c r="N266" s="103" t="s">
        <v>286</v>
      </c>
      <c r="O266" s="103" t="s">
        <v>287</v>
      </c>
      <c r="P266" s="103" t="s">
        <v>288</v>
      </c>
      <c r="Q266" s="103" t="s">
        <v>289</v>
      </c>
      <c r="R266" s="103" t="s">
        <v>290</v>
      </c>
      <c r="S266" s="103" t="s">
        <v>291</v>
      </c>
      <c r="T266" s="103" t="s">
        <v>292</v>
      </c>
      <c r="U266" s="103" t="s">
        <v>293</v>
      </c>
      <c r="V266" s="103" t="s">
        <v>294</v>
      </c>
      <c r="W266" s="103" t="s">
        <v>295</v>
      </c>
      <c r="X266" s="103" t="s">
        <v>296</v>
      </c>
      <c r="Y266" s="103" t="s">
        <v>297</v>
      </c>
    </row>
    <row r="267" spans="1:26" x14ac:dyDescent="0.35">
      <c r="A267" s="401" t="s">
        <v>519</v>
      </c>
      <c r="B267" s="1" t="s">
        <v>494</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496</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497</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520</v>
      </c>
      <c r="B270" s="1" t="s">
        <v>499</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497</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521</v>
      </c>
      <c r="B272" s="1" t="s">
        <v>503</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505</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522</v>
      </c>
      <c r="B274" s="1" t="s">
        <v>507</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505</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509</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510</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451</v>
      </c>
      <c r="B280" s="300" t="s">
        <v>452</v>
      </c>
      <c r="C280" s="302" t="s">
        <v>453</v>
      </c>
      <c r="D280" s="302" t="s">
        <v>454</v>
      </c>
      <c r="E280" s="302" t="s">
        <v>492</v>
      </c>
      <c r="F280" s="302" t="s">
        <v>396</v>
      </c>
      <c r="G280" s="103" t="s">
        <v>279</v>
      </c>
      <c r="H280" s="103" t="s">
        <v>280</v>
      </c>
      <c r="I280" s="103" t="s">
        <v>281</v>
      </c>
      <c r="J280" s="103" t="s">
        <v>282</v>
      </c>
      <c r="K280" s="103" t="s">
        <v>283</v>
      </c>
      <c r="L280" s="103" t="s">
        <v>284</v>
      </c>
      <c r="M280" s="103" t="s">
        <v>285</v>
      </c>
      <c r="N280" s="103" t="s">
        <v>286</v>
      </c>
      <c r="O280" s="103" t="s">
        <v>287</v>
      </c>
      <c r="P280" s="103" t="s">
        <v>288</v>
      </c>
      <c r="Q280" s="103" t="s">
        <v>289</v>
      </c>
      <c r="R280" s="103" t="s">
        <v>290</v>
      </c>
      <c r="S280" s="103" t="s">
        <v>291</v>
      </c>
      <c r="T280" s="103" t="s">
        <v>292</v>
      </c>
      <c r="U280" s="103" t="s">
        <v>293</v>
      </c>
      <c r="V280" s="103" t="s">
        <v>294</v>
      </c>
      <c r="W280" s="103" t="s">
        <v>295</v>
      </c>
      <c r="X280" s="103" t="s">
        <v>296</v>
      </c>
      <c r="Y280" s="103" t="s">
        <v>297</v>
      </c>
    </row>
    <row r="281" spans="1:25" x14ac:dyDescent="0.35">
      <c r="A281" s="73"/>
      <c r="B281" s="1" t="s">
        <v>523</v>
      </c>
      <c r="C281" s="1">
        <v>1</v>
      </c>
      <c r="D281" s="1" t="s">
        <v>36</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524</v>
      </c>
      <c r="C282" s="1">
        <v>1</v>
      </c>
      <c r="D282" s="1" t="s">
        <v>36</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980</v>
      </c>
      <c r="B285"/>
    </row>
    <row r="286" spans="1:25" x14ac:dyDescent="0.35">
      <c r="B286"/>
    </row>
    <row r="287" spans="1:25" ht="72.5" x14ac:dyDescent="0.35">
      <c r="A287" s="102" t="s">
        <v>451</v>
      </c>
      <c r="B287" s="102"/>
      <c r="C287" s="103" t="s">
        <v>279</v>
      </c>
      <c r="D287" s="103" t="s">
        <v>280</v>
      </c>
      <c r="E287" s="103" t="s">
        <v>281</v>
      </c>
      <c r="F287" s="103" t="s">
        <v>282</v>
      </c>
      <c r="G287" s="103" t="s">
        <v>283</v>
      </c>
      <c r="H287" s="103" t="s">
        <v>284</v>
      </c>
      <c r="I287" s="103" t="s">
        <v>285</v>
      </c>
      <c r="J287" s="103" t="s">
        <v>286</v>
      </c>
      <c r="K287" s="103" t="s">
        <v>287</v>
      </c>
      <c r="L287" s="103" t="s">
        <v>288</v>
      </c>
      <c r="M287" s="103" t="s">
        <v>289</v>
      </c>
      <c r="N287" s="103" t="s">
        <v>290</v>
      </c>
      <c r="O287" s="103" t="s">
        <v>291</v>
      </c>
      <c r="P287" s="103" t="s">
        <v>292</v>
      </c>
      <c r="Q287" s="103" t="s">
        <v>293</v>
      </c>
      <c r="R287" s="103" t="s">
        <v>294</v>
      </c>
      <c r="S287" s="103" t="s">
        <v>295</v>
      </c>
      <c r="T287" s="103" t="s">
        <v>296</v>
      </c>
      <c r="U287" s="103" t="s">
        <v>297</v>
      </c>
    </row>
    <row r="288" spans="1:25" x14ac:dyDescent="0.35">
      <c r="A288" s="31" t="s">
        <v>517</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519</v>
      </c>
      <c r="B289" s="1" t="s">
        <v>494</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496</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497</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520</v>
      </c>
      <c r="B292" s="1" t="s">
        <v>499</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497</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521</v>
      </c>
      <c r="B294" s="1" t="s">
        <v>503</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505</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522</v>
      </c>
      <c r="B296" s="1" t="s">
        <v>507</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505</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509</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510</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523</v>
      </c>
      <c r="B300" s="1" t="s">
        <v>513</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524</v>
      </c>
      <c r="B301" s="1" t="s">
        <v>513</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525</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526</v>
      </c>
      <c r="B303" s="324" t="s">
        <v>58</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976</v>
      </c>
    </row>
    <row r="310" spans="1:23" ht="72.5" x14ac:dyDescent="0.35">
      <c r="A310" s="104" t="s">
        <v>276</v>
      </c>
      <c r="B310" s="104" t="s">
        <v>277</v>
      </c>
      <c r="C310" s="103" t="s">
        <v>278</v>
      </c>
      <c r="D310" s="103" t="s">
        <v>57</v>
      </c>
      <c r="E310" s="103" t="s">
        <v>279</v>
      </c>
      <c r="F310" s="103" t="s">
        <v>280</v>
      </c>
      <c r="G310" s="103" t="s">
        <v>281</v>
      </c>
      <c r="H310" s="103" t="s">
        <v>282</v>
      </c>
      <c r="I310" s="103" t="s">
        <v>283</v>
      </c>
      <c r="J310" s="103" t="s">
        <v>284</v>
      </c>
      <c r="K310" s="103" t="s">
        <v>285</v>
      </c>
      <c r="L310" s="103" t="s">
        <v>286</v>
      </c>
      <c r="M310" s="103" t="s">
        <v>287</v>
      </c>
      <c r="N310" s="103" t="s">
        <v>288</v>
      </c>
      <c r="O310" s="103" t="s">
        <v>289</v>
      </c>
      <c r="P310" s="103" t="s">
        <v>290</v>
      </c>
      <c r="Q310" s="103" t="s">
        <v>291</v>
      </c>
      <c r="R310" s="103" t="s">
        <v>292</v>
      </c>
      <c r="S310" s="103" t="s">
        <v>293</v>
      </c>
      <c r="T310" s="103" t="s">
        <v>294</v>
      </c>
      <c r="U310" s="103" t="s">
        <v>295</v>
      </c>
      <c r="V310" s="103" t="s">
        <v>296</v>
      </c>
      <c r="W310" s="103" t="s">
        <v>297</v>
      </c>
    </row>
    <row r="311" spans="1:23" x14ac:dyDescent="0.35">
      <c r="A311" s="401" t="s">
        <v>299</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200</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981</v>
      </c>
    </row>
    <row r="318" spans="1:23" x14ac:dyDescent="0.35">
      <c r="D318" s="28"/>
      <c r="E318" s="404"/>
      <c r="F318" s="404"/>
    </row>
    <row r="319" spans="1:23" x14ac:dyDescent="0.35">
      <c r="A319" s="107" t="s">
        <v>153</v>
      </c>
      <c r="B319" s="128" t="s">
        <v>528</v>
      </c>
      <c r="C319" s="107" t="s">
        <v>365</v>
      </c>
      <c r="D319" s="107" t="s">
        <v>315</v>
      </c>
      <c r="E319" s="107" t="s">
        <v>316</v>
      </c>
      <c r="F319" s="62" t="s">
        <v>529</v>
      </c>
    </row>
    <row r="320" spans="1:23" x14ac:dyDescent="0.35">
      <c r="A320" s="1" t="s">
        <v>318</v>
      </c>
      <c r="B320" s="154">
        <f>SUM(H179:H182)</f>
        <v>2.132393117742819E-4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2.132393117742819E-4</v>
      </c>
    </row>
    <row r="321" spans="1:6" x14ac:dyDescent="0.35">
      <c r="A321" s="1" t="s">
        <v>280</v>
      </c>
      <c r="B321" s="154">
        <f>SUM(I179:I182)</f>
        <v>0.16679033795373477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0.16679033795373477</v>
      </c>
    </row>
    <row r="322" spans="1:6" x14ac:dyDescent="0.35">
      <c r="A322" s="1" t="s">
        <v>281</v>
      </c>
      <c r="B322" s="154">
        <f>SUM(J179:J182)</f>
        <v>3.4471332246079752E-5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3.4471332246079752E-5</v>
      </c>
    </row>
    <row r="323" spans="1:6" x14ac:dyDescent="0.35">
      <c r="A323" s="1" t="s">
        <v>282</v>
      </c>
      <c r="B323" s="154">
        <f>SUM(K179:K182)</f>
        <v>0.16674849071700243</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0.16674849071700243</v>
      </c>
    </row>
    <row r="324" spans="1:6" x14ac:dyDescent="0.35">
      <c r="A324" s="1" t="s">
        <v>283</v>
      </c>
      <c r="B324" s="154">
        <f>SUM(L179:L182)</f>
        <v>7.375904486254632E-6</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7.375904486254632E-6</v>
      </c>
    </row>
    <row r="325" spans="1:6" x14ac:dyDescent="0.35">
      <c r="A325" s="1" t="s">
        <v>284</v>
      </c>
      <c r="B325" s="154">
        <f>SUM(M179:M182)</f>
        <v>7.3693079401887573E-2</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7.3693079401887573E-2</v>
      </c>
    </row>
    <row r="326" spans="1:6" x14ac:dyDescent="0.35">
      <c r="A326" s="1" t="s">
        <v>285</v>
      </c>
      <c r="B326" s="154">
        <f>SUM(N179:N182)</f>
        <v>2.2154215403498743</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2.2154215403498743</v>
      </c>
    </row>
    <row r="327" spans="1:6" x14ac:dyDescent="0.35">
      <c r="A327" s="1" t="s">
        <v>286</v>
      </c>
      <c r="B327" s="154">
        <f>SUM(O179:O182)</f>
        <v>1.7631993026448645E-6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1.7631993026448645E-6</v>
      </c>
    </row>
    <row r="328" spans="1:6" x14ac:dyDescent="0.35">
      <c r="A328" s="1" t="s">
        <v>287</v>
      </c>
      <c r="B328" s="154">
        <f>SUM(P179:P182)</f>
        <v>4.8220355792551409E-5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4.8220355792551409E-5</v>
      </c>
    </row>
    <row r="329" spans="1:6" x14ac:dyDescent="0.35">
      <c r="A329" s="1" t="s">
        <v>288</v>
      </c>
      <c r="B329" s="154">
        <f>SUM(Q179:Q182)</f>
        <v>5.2421468666230769E-4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5.2421468666230769E-4</v>
      </c>
    </row>
    <row r="330" spans="1:6" x14ac:dyDescent="0.35">
      <c r="A330" s="1" t="s">
        <v>289</v>
      </c>
      <c r="B330" s="154">
        <f>SUM(R179:R182)</f>
        <v>1.0192646894973112E-11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1.0192646894973112E-11</v>
      </c>
    </row>
    <row r="331" spans="1:6" x14ac:dyDescent="0.35">
      <c r="A331" s="1" t="s">
        <v>319</v>
      </c>
      <c r="B331" s="154">
        <f>SUM(S179:S182)</f>
        <v>2.7167563726420761E-10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2.7167563726420761E-10</v>
      </c>
    </row>
    <row r="332" spans="1:6" x14ac:dyDescent="0.35">
      <c r="A332" s="1" t="s">
        <v>291</v>
      </c>
      <c r="B332" s="154">
        <f>SUM(T179:T182)</f>
        <v>6.6519868279014841E-4</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6.6519868279014841E-4</v>
      </c>
    </row>
    <row r="333" spans="1:6" x14ac:dyDescent="0.35">
      <c r="A333" s="1" t="s">
        <v>292</v>
      </c>
      <c r="B333" s="154">
        <f>SUM(U179:U182)</f>
        <v>0.11390463257521803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0.11390463257521803</v>
      </c>
    </row>
    <row r="334" spans="1:6" x14ac:dyDescent="0.35">
      <c r="A334" s="1" t="s">
        <v>293</v>
      </c>
      <c r="B334" s="154">
        <f>SUM(V179:V182)</f>
        <v>2.6007934671855809E-8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2.6007934671855809E-8</v>
      </c>
    </row>
    <row r="335" spans="1:6" x14ac:dyDescent="0.35">
      <c r="A335" s="1" t="s">
        <v>294</v>
      </c>
      <c r="B335" s="154">
        <f>SUM(W179:W182)</f>
        <v>3.7585564815097762E-9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3.7585564815097762E-9</v>
      </c>
    </row>
    <row r="336" spans="1:6" x14ac:dyDescent="0.35">
      <c r="A336" s="1" t="s">
        <v>295</v>
      </c>
      <c r="B336" s="154">
        <f>SUM(X179:X182)</f>
        <v>1.6427613993186483E-9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1.6427613993186483E-9</v>
      </c>
    </row>
    <row r="337" spans="1:6" x14ac:dyDescent="0.35">
      <c r="A337" s="1" t="s">
        <v>296</v>
      </c>
      <c r="B337" s="154">
        <f>SUM(Y179:Y182)</f>
        <v>4.1082738634614822E-4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4.1082738634614822E-4</v>
      </c>
    </row>
    <row r="338" spans="1:6" x14ac:dyDescent="0.35">
      <c r="A338" s="1" t="s">
        <v>297</v>
      </c>
      <c r="B338" s="154">
        <f>SUM(Z179:Z182)</f>
        <v>2.9984053368853725E-3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2.9984053368853725E-3</v>
      </c>
    </row>
    <row r="342" spans="1:6" x14ac:dyDescent="0.35">
      <c r="B342" t="s">
        <v>982</v>
      </c>
    </row>
    <row r="343" spans="1:6" x14ac:dyDescent="0.35">
      <c r="A343" s="95" t="s">
        <v>326</v>
      </c>
      <c r="B343" s="1">
        <f>SUM($H$183:$Z$183)+SUM($H$191:$Z$191)+SUM(E311:W312)</f>
        <v>2.7414618288851238</v>
      </c>
    </row>
    <row r="344" spans="1:6" x14ac:dyDescent="0.35">
      <c r="A344" s="95" t="s">
        <v>327</v>
      </c>
      <c r="B344" s="1">
        <f>SUM($B$320:$E$338)</f>
        <v>2.7414618288851238</v>
      </c>
    </row>
    <row r="345" spans="1:6" x14ac:dyDescent="0.35">
      <c r="A345" s="95" t="s">
        <v>58</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6" t="s">
        <v>266</v>
      </c>
      <c r="B15" s="158" t="str">
        <f>Input!A39</f>
        <v>Virgin binder</v>
      </c>
      <c r="C15" s="158">
        <f>+Input!B39</f>
        <v>2.2159999999999999E-2</v>
      </c>
      <c r="D15" s="158">
        <f>Input!$L39</f>
        <v>261.62</v>
      </c>
      <c r="E15" s="158" t="str">
        <f>Input!$J39</f>
        <v>Truck</v>
      </c>
      <c r="F15" s="158" t="str">
        <f>Input!$K39</f>
        <v>Diesel_Euro6</v>
      </c>
      <c r="G15" s="158" cm="1">
        <f t="array" ref="G15">INDEX(LCI!H$2:H$73, MATCH($E15&amp;$F15, LCI!$B$2:$B$73&amp;LCI!$D$2:$D$73, 0))* IF(AND($E15="Truck", OR($F15="Electric", $F15="Electric_green")), $B$6, 1)* $C15* $D15</f>
        <v>1.3723956056223999E-3</v>
      </c>
      <c r="H15" s="158" cm="1">
        <f t="array" ref="H15">INDEX(LCI!I$2:I$73, MATCH($E15&amp;$F15, LCI!$B$2:$B$73&amp;LCI!$D$2:$D$73, 0))* IF(AND($E15="Truck", OR($F15="Electric", $F15="Electric_green")), $B$6, 1)* $C15* $D15</f>
        <v>0.9203231930566127</v>
      </c>
      <c r="I15" s="158" cm="1">
        <f t="array" ref="I15">INDEX(LCI!J$2:J$73, MATCH($E15&amp;$F15, LCI!$B$2:$B$73&amp;LCI!$D$2:$D$73, 0))* IF(AND($E15="Truck", OR($F15="Electric", $F15="Electric_green")), $B$6, 1)* $C15* $D15</f>
        <v>4.3011820489776E-4</v>
      </c>
      <c r="J15" s="158" cm="1">
        <f t="array" ref="J15">INDEX(LCI!K$2:K$73, MATCH($E15&amp;$F15, LCI!$B$2:$B$73&amp;LCI!$D$2:$D$73, 0))* IF(AND($E15="Truck", OR($F15="Electric", $F15="Electric_green")), $B$6, 1)* $C15* $D15</f>
        <v>0.91981987156856637</v>
      </c>
      <c r="K15" s="158" cm="1">
        <f t="array" ref="K15">INDEX(LCI!L$2:L$73, MATCH($E15&amp;$F15, LCI!$B$2:$B$73&amp;LCI!$D$2:$D$73, 0))* IF(AND($E15="Truck", OR($F15="Electric", $F15="Electric_green")), $B$6, 1)* $C15* $D15</f>
        <v>7.3202123648800002E-5</v>
      </c>
      <c r="L15" s="158" cm="1">
        <f t="array" ref="L15">INDEX(LCI!M$2:M$73, MATCH($E15&amp;$F15, LCI!$B$2:$B$73&amp;LCI!$D$2:$D$73, 0))* IF(AND($E15="Truck", OR($F15="Electric", $F15="Electric_green")), $B$6, 1)* $C15* $D15</f>
        <v>0.79045393525234076</v>
      </c>
      <c r="M15" s="158" cm="1">
        <f t="array" ref="M15">INDEX(LCI!N$2:N$73, MATCH($E15&amp;$F15, LCI!$B$2:$B$73&amp;LCI!$D$2:$D$73, 0))* IF(AND($E15="Truck", OR($F15="Electric", $F15="Electric_green")), $B$6, 1)* $C15* $D15</f>
        <v>12.386593346867391</v>
      </c>
      <c r="N15" s="158" cm="1">
        <f t="array" ref="N15">INDEX(LCI!O$2:O$73, MATCH($E15&amp;$F15, LCI!$B$2:$B$73&amp;LCI!$D$2:$D$73, 0))* IF(AND($E15="Truck", OR($F15="Electric", $F15="Electric_green")), $B$6, 1)* $C15* $D15</f>
        <v>2.1466342312848E-5</v>
      </c>
      <c r="O15" s="158" cm="1">
        <f t="array" ref="O15">INDEX(LCI!P$2:P$73, MATCH($E15&amp;$F15, LCI!$B$2:$B$73&amp;LCI!$D$2:$D$73, 0))* IF(AND($E15="Truck", OR($F15="Electric", $F15="Electric_green")), $B$6, 1)* $C15* $D15</f>
        <v>2.9913472572224001E-4</v>
      </c>
      <c r="P15" s="158" cm="1">
        <f t="array" ref="P15">INDEX(LCI!Q$2:Q$73, MATCH($E15&amp;$F15, LCI!$B$2:$B$73&amp;LCI!$D$2:$D$73, 0))* IF(AND($E15="Truck", OR($F15="Electric", $F15="Electric_green")), $B$6, 1)* $C15* $D15</f>
        <v>3.2378627207056E-3</v>
      </c>
      <c r="Q15" s="158" cm="1">
        <f t="array" ref="Q15">INDEX(LCI!R$2:R$73, MATCH($E15&amp;$F15, LCI!$B$2:$B$73&amp;LCI!$D$2:$D$73, 0))* IF(AND($E15="Truck", OR($F15="Electric", $F15="Electric_green")), $B$6, 1)* $C15* $D15</f>
        <v>8.1569074494239994E-11</v>
      </c>
      <c r="R15" s="158" cm="1">
        <f t="array" ref="R15">INDEX(LCI!S$2:S$73, MATCH($E15&amp;$F15, LCI!$B$2:$B$73&amp;LCI!$D$2:$D$73, 0))* IF(AND($E15="Truck", OR($F15="Electric", $F15="Electric_green")), $B$6, 1)* $C15* $D15</f>
        <v>6.6368611341760007E-9</v>
      </c>
      <c r="S15" s="158" cm="1">
        <f t="array" ref="S15">INDEX(LCI!T$2:T$73, MATCH($E15&amp;$F15, LCI!$B$2:$B$73&amp;LCI!$D$2:$D$73, 0))* IF(AND($E15="Truck", OR($F15="Electric", $F15="Electric_green")), $B$6, 1)* $C15* $D15</f>
        <v>5.6166520099551996E-3</v>
      </c>
      <c r="T15" s="158" cm="1">
        <f t="array" ref="T15">INDEX(LCI!U$2:U$73, MATCH($E15&amp;$F15, LCI!$B$2:$B$73&amp;LCI!$D$2:$D$73, 0))* IF(AND($E15="Truck", OR($F15="Electric", $F15="Electric_green")), $B$6, 1)* $C15* $D15</f>
        <v>0.78130875710178882</v>
      </c>
      <c r="U15" s="158" cm="1">
        <f t="array" ref="U15">INDEX(LCI!V$2:V$73, MATCH($E15&amp;$F15, LCI!$B$2:$B$73&amp;LCI!$D$2:$D$73, 0))* IF(AND($E15="Truck", OR($F15="Electric", $F15="Electric_green")), $B$6, 1)* $C15* $D15</f>
        <v>1.0153566173903999E-6</v>
      </c>
      <c r="V15" s="158" cm="1">
        <f t="array" ref="V15">INDEX(LCI!W$2:W$73, MATCH($E15&amp;$F15, LCI!$B$2:$B$73&amp;LCI!$D$2:$D$73, 0))* IF(AND($E15="Truck", OR($F15="Electric", $F15="Electric_green")), $B$6, 1)* $C15* $D15</f>
        <v>2.0464128626144001E-8</v>
      </c>
      <c r="W15" s="158" cm="1">
        <f t="array" ref="W15">INDEX(LCI!X$2:X$73, MATCH($E15&amp;$F15, LCI!$B$2:$B$73&amp;LCI!$D$2:$D$73, 0))* IF(AND($E15="Truck", OR($F15="Electric", $F15="Electric_green")), $B$6, 1)* $C15* $D15</f>
        <v>5.7044899203343993E-8</v>
      </c>
      <c r="X15" s="158" cm="1">
        <f t="array" ref="X15">INDEX(LCI!Y$2:Y$73, MATCH($E15&amp;$F15, LCI!$B$2:$B$73&amp;LCI!$D$2:$D$73, 0))* IF(AND($E15="Truck", OR($F15="Electric", $F15="Electric_green")), $B$6, 1)* $C15* $D15</f>
        <v>2.3927206798272003E-3</v>
      </c>
      <c r="Y15" s="158" cm="1">
        <f t="array" ref="Y15">INDEX(LCI!Z$2:Z$73, MATCH($E15&amp;$F15, LCI!$B$2:$B$73&amp;LCI!$D$2:$D$73, 0))* IF(AND($E15="Truck", OR($F15="Electric", $F15="Electric_green")), $B$6, 1)* $C15* $D15</f>
        <v>2.8211726834548801E-2</v>
      </c>
    </row>
    <row r="16" spans="1:25" ht="14" customHeight="1" x14ac:dyDescent="0.35">
      <c r="A16" s="395" t="s">
        <v>211</v>
      </c>
      <c r="B16" s="158" t="str">
        <f>Input!A40</f>
        <v>Virgin crushed coarse aggregate 1 (&gt;2 mm)</v>
      </c>
      <c r="C16" s="158">
        <f>+Input!B40</f>
        <v>6.0999999999999999E-2</v>
      </c>
      <c r="D16" s="158">
        <f>Input!$L40</f>
        <v>114.54</v>
      </c>
      <c r="E16" s="158" t="str">
        <f>Input!$J40</f>
        <v>Truck</v>
      </c>
      <c r="F16" s="158" t="str">
        <f>Input!$K40</f>
        <v>Diesel_Euro6</v>
      </c>
      <c r="G16" s="158" cm="1">
        <f t="array" ref="G16">INDEX(LCI!H$2:H$73, MATCH($E16&amp;$F16, LCI!$B$2:$B$73&amp;LCI!$D$2:$D$73, 0))* IF(AND($E16="Truck", OR($F16="Electric", $F16="Electric_green")), $B$6, 1)* $C16* $D16</f>
        <v>1.6539624106800001E-3</v>
      </c>
      <c r="H16" s="158" cm="1">
        <f t="array" ref="H16">INDEX(LCI!I$2:I$73, MATCH($E16&amp;$F16, LCI!$B$2:$B$73&amp;LCI!$D$2:$D$73, 0))* IF(AND($E16="Truck", OR($F16="Electric", $F16="Electric_green")), $B$6, 1)* $C16* $D16</f>
        <v>1.10914080514146</v>
      </c>
      <c r="I16" s="158" cm="1">
        <f t="array" ref="I16">INDEX(LCI!J$2:J$73, MATCH($E16&amp;$F16, LCI!$B$2:$B$73&amp;LCI!$D$2:$D$73, 0))* IF(AND($E16="Truck", OR($F16="Electric", $F16="Electric_green")), $B$6, 1)* $C16* $D16</f>
        <v>5.1836317468199997E-4</v>
      </c>
      <c r="J16" s="158" cm="1">
        <f t="array" ref="J16">INDEX(LCI!K$2:K$73, MATCH($E16&amp;$F16, LCI!$B$2:$B$73&amp;LCI!$D$2:$D$73, 0))* IF(AND($E16="Truck", OR($F16="Electric", $F16="Electric_green")), $B$6, 1)* $C16* $D16</f>
        <v>1.1085342199714801</v>
      </c>
      <c r="K16" s="158" cm="1">
        <f t="array" ref="K16">INDEX(LCI!L$2:L$73, MATCH($E16&amp;$F16, LCI!$B$2:$B$73&amp;LCI!$D$2:$D$73, 0))* IF(AND($E16="Truck", OR($F16="Electric", $F16="Electric_green")), $B$6, 1)* $C16* $D16</f>
        <v>8.822059791E-5</v>
      </c>
      <c r="L16" s="158" cm="1">
        <f t="array" ref="L16">INDEX(LCI!M$2:M$73, MATCH($E16&amp;$F16, LCI!$B$2:$B$73&amp;LCI!$D$2:$D$73, 0))* IF(AND($E16="Truck", OR($F16="Electric", $F16="Electric_green")), $B$6, 1)* $C16* $D16</f>
        <v>0.95262699102605986</v>
      </c>
      <c r="M16" s="158" cm="1">
        <f t="array" ref="M16">INDEX(LCI!N$2:N$73, MATCH($E16&amp;$F16, LCI!$B$2:$B$73&amp;LCI!$D$2:$D$73, 0))* IF(AND($E16="Truck", OR($F16="Electric", $F16="Electric_green")), $B$6, 1)* $C16* $D16</f>
        <v>14.927882097674399</v>
      </c>
      <c r="N16" s="158" cm="1">
        <f t="array" ref="N16">INDEX(LCI!O$2:O$73, MATCH($E16&amp;$F16, LCI!$B$2:$B$73&amp;LCI!$D$2:$D$73, 0))* IF(AND($E16="Truck", OR($F16="Electric", $F16="Electric_green")), $B$6, 1)* $C16* $D16</f>
        <v>2.5870472868600001E-5</v>
      </c>
      <c r="O16" s="158" cm="1">
        <f t="array" ref="O16">INDEX(LCI!P$2:P$73, MATCH($E16&amp;$F16, LCI!$B$2:$B$73&amp;LCI!$D$2:$D$73, 0))* IF(AND($E16="Truck", OR($F16="Electric", $F16="Electric_green")), $B$6, 1)* $C16* $D16</f>
        <v>3.6050654056800005E-4</v>
      </c>
      <c r="P16" s="158" cm="1">
        <f t="array" ref="P16">INDEX(LCI!Q$2:Q$73, MATCH($E16&amp;$F16, LCI!$B$2:$B$73&amp;LCI!$D$2:$D$73, 0))* IF(AND($E16="Truck", OR($F16="Electric", $F16="Electric_green")), $B$6, 1)* $C16* $D16</f>
        <v>3.9021570814200004E-3</v>
      </c>
      <c r="Q16" s="158" cm="1">
        <f t="array" ref="Q16">INDEX(LCI!R$2:R$73, MATCH($E16&amp;$F16, LCI!$B$2:$B$73&amp;LCI!$D$2:$D$73, 0))* IF(AND($E16="Truck", OR($F16="Electric", $F16="Electric_green")), $B$6, 1)* $C16* $D16</f>
        <v>9.8304149718000006E-11</v>
      </c>
      <c r="R16" s="158" cm="1">
        <f t="array" ref="R16">INDEX(LCI!S$2:S$73, MATCH($E16&amp;$F16, LCI!$B$2:$B$73&amp;LCI!$D$2:$D$73, 0))* IF(AND($E16="Truck", OR($F16="Electric", $F16="Electric_green")), $B$6, 1)* $C16* $D16</f>
        <v>7.9985091732E-9</v>
      </c>
      <c r="S16" s="158" cm="1">
        <f t="array" ref="S16">INDEX(LCI!T$2:T$73, MATCH($E16&amp;$F16, LCI!$B$2:$B$73&amp;LCI!$D$2:$D$73, 0))* IF(AND($E16="Truck", OR($F16="Electric", $F16="Electric_green")), $B$6, 1)* $C16* $D16</f>
        <v>6.7689893936400004E-3</v>
      </c>
      <c r="T16" s="158" cm="1">
        <f t="array" ref="T16">INDEX(LCI!U$2:U$73, MATCH($E16&amp;$F16, LCI!$B$2:$B$73&amp;LCI!$D$2:$D$73, 0))* IF(AND($E16="Truck", OR($F16="Electric", $F16="Electric_green")), $B$6, 1)* $C16* $D16</f>
        <v>0.94160554732716006</v>
      </c>
      <c r="U16" s="158" cm="1">
        <f t="array" ref="U16">INDEX(LCI!V$2:V$73, MATCH($E16&amp;$F16, LCI!$B$2:$B$73&amp;LCI!$D$2:$D$73, 0))* IF(AND($E16="Truck", OR($F16="Electric", $F16="Electric_green")), $B$6, 1)* $C16* $D16</f>
        <v>1.2236717107799999E-6</v>
      </c>
      <c r="V16" s="158" cm="1">
        <f t="array" ref="V16">INDEX(LCI!W$2:W$73, MATCH($E16&amp;$F16, LCI!$B$2:$B$73&amp;LCI!$D$2:$D$73, 0))* IF(AND($E16="Truck", OR($F16="Electric", $F16="Electric_green")), $B$6, 1)* $C16* $D16</f>
        <v>2.4662640550800004E-8</v>
      </c>
      <c r="W16" s="158" cm="1">
        <f t="array" ref="W16">INDEX(LCI!X$2:X$73, MATCH($E16&amp;$F16, LCI!$B$2:$B$73&amp;LCI!$D$2:$D$73, 0))* IF(AND($E16="Truck", OR($F16="Electric", $F16="Electric_green")), $B$6, 1)* $C16* $D16</f>
        <v>6.87484852158E-8</v>
      </c>
      <c r="X16" s="158" cm="1">
        <f t="array" ref="X16">INDEX(LCI!Y$2:Y$73, MATCH($E16&amp;$F16, LCI!$B$2:$B$73&amp;LCI!$D$2:$D$73, 0))* IF(AND($E16="Truck", OR($F16="Electric", $F16="Electric_green")), $B$6, 1)* $C16* $D16</f>
        <v>2.8836219290399997E-3</v>
      </c>
      <c r="Y16" s="158" cm="1">
        <f t="array" ref="Y16">INDEX(LCI!Z$2:Z$73, MATCH($E16&amp;$F16, LCI!$B$2:$B$73&amp;LCI!$D$2:$D$73, 0))* IF(AND($E16="Truck", OR($F16="Electric", $F16="Electric_green")), $B$6, 1)* $C16* $D16</f>
        <v>3.3999770571660003E-2</v>
      </c>
    </row>
    <row r="17" spans="1:25" ht="14" customHeight="1" x14ac:dyDescent="0.35">
      <c r="A17" s="396"/>
      <c r="B17" s="158" t="str">
        <f>Input!A41</f>
        <v>Virgin crushed coarse aggregate 2 (&gt;2 mm)</v>
      </c>
      <c r="C17" s="158">
        <f>+Input!B41</f>
        <v>0.10199999999999999</v>
      </c>
      <c r="D17" s="158">
        <f>Input!$L41</f>
        <v>50.91</v>
      </c>
      <c r="E17" s="158" t="str">
        <f>Input!$J41</f>
        <v>Barge</v>
      </c>
      <c r="F17" s="158" t="str">
        <f>Input!$K41</f>
        <v>Diesel</v>
      </c>
      <c r="G17" s="158" cm="1">
        <f t="array" ref="G17">INDEX(LCI!H$2:H$73, MATCH($E17&amp;$F17, LCI!$B$2:$B$73&amp;LCI!$D$2:$D$73, 0))* IF(AND($E17="Truck", OR($F17="Electric", $F17="Electric_green")), $B$6, 1)* $C17* $D17</f>
        <v>2.297718526668254E-3</v>
      </c>
      <c r="H17" s="158" cm="1">
        <f t="array" ref="H17">INDEX(LCI!I$2:I$73, MATCH($E17&amp;$F17, LCI!$B$2:$B$73&amp;LCI!$D$2:$D$73, 0))* IF(AND($E17="Truck", OR($F17="Electric", $F17="Electric_green")), $B$6, 1)* $C17* $D17</f>
        <v>0.26190059793315229</v>
      </c>
      <c r="I17" s="158" cm="1">
        <f t="array" ref="I17">INDEX(LCI!J$2:J$73, MATCH($E17&amp;$F17, LCI!$B$2:$B$73&amp;LCI!$D$2:$D$73, 0))* IF(AND($E17="Truck", OR($F17="Electric", $F17="Electric_green")), $B$6, 1)* $C17* $D17</f>
        <v>7.2138734852998581E-5</v>
      </c>
      <c r="J17" s="158" cm="1">
        <f t="array" ref="J17">INDEX(LCI!K$2:K$73, MATCH($E17&amp;$F17, LCI!$B$2:$B$73&amp;LCI!$D$2:$D$73, 0))* IF(AND($E17="Truck", OR($F17="Electric", $F17="Electric_green")), $B$6, 1)* $C17* $D17</f>
        <v>0.26158555419831681</v>
      </c>
      <c r="K17" s="158" cm="1">
        <f t="array" ref="K17">INDEX(LCI!L$2:L$73, MATCH($E17&amp;$F17, LCI!$B$2:$B$73&amp;LCI!$D$2:$D$73, 0))* IF(AND($E17="Truck", OR($F17="Electric", $F17="Electric_green")), $B$6, 1)* $C17* $D17</f>
        <v>2.4290499998249384E-4</v>
      </c>
      <c r="L17" s="158" cm="1">
        <f t="array" ref="L17">INDEX(LCI!M$2:M$73, MATCH($E17&amp;$F17, LCI!$B$2:$B$73&amp;LCI!$D$2:$D$73, 0))* IF(AND($E17="Truck", OR($F17="Electric", $F17="Electric_green")), $B$6, 1)* $C17* $D17</f>
        <v>0.26515691587426826</v>
      </c>
      <c r="M17" s="158" cm="1">
        <f t="array" ref="M17">INDEX(LCI!N$2:N$73, MATCH($E17&amp;$F17, LCI!$B$2:$B$73&amp;LCI!$D$2:$D$73, 0))* IF(AND($E17="Truck", OR($F17="Electric", $F17="Electric_green")), $B$6, 1)* $C17* $D17</f>
        <v>3.212436841507297</v>
      </c>
      <c r="N17" s="158" cm="1">
        <f t="array" ref="N17">INDEX(LCI!O$2:O$73, MATCH($E17&amp;$F17, LCI!$B$2:$B$73&amp;LCI!$D$2:$D$73, 0))* IF(AND($E17="Truck", OR($F17="Electric", $F17="Electric_green")), $B$6, 1)* $C17* $D17</f>
        <v>2.3616109793515238E-5</v>
      </c>
      <c r="O17" s="158" cm="1">
        <f t="array" ref="O17">INDEX(LCI!P$2:P$73, MATCH($E17&amp;$F17, LCI!$B$2:$B$73&amp;LCI!$D$2:$D$73, 0))* IF(AND($E17="Truck", OR($F17="Electric", $F17="Electric_green")), $B$6, 1)* $C17* $D17</f>
        <v>1.0417028069120895E-3</v>
      </c>
      <c r="P17" s="158" cm="1">
        <f t="array" ref="P17">INDEX(LCI!Q$2:Q$73, MATCH($E17&amp;$F17, LCI!$B$2:$B$73&amp;LCI!$D$2:$D$73, 0))* IF(AND($E17="Truck", OR($F17="Electric", $F17="Electric_green")), $B$6, 1)* $C17* $D17</f>
        <v>1.1389811255470939E-2</v>
      </c>
      <c r="Q17" s="158" cm="1">
        <f t="array" ref="Q17">INDEX(LCI!R$2:R$73, MATCH($E17&amp;$F17, LCI!$B$2:$B$73&amp;LCI!$D$2:$D$73, 0))* IF(AND($E17="Truck", OR($F17="Electric", $F17="Electric_green")), $B$6, 1)* $C17* $D17</f>
        <v>3.5355823048434585E-11</v>
      </c>
      <c r="R17" s="158" cm="1">
        <f t="array" ref="R17">INDEX(LCI!S$2:S$73, MATCH($E17&amp;$F17, LCI!$B$2:$B$73&amp;LCI!$D$2:$D$73, 0))* IF(AND($E17="Truck", OR($F17="Electric", $F17="Electric_green")), $B$6, 1)* $C17* $D17</f>
        <v>7.8088343677663526E-10</v>
      </c>
      <c r="S17" s="158" cm="1">
        <f t="array" ref="S17">INDEX(LCI!T$2:T$73, MATCH($E17&amp;$F17, LCI!$B$2:$B$73&amp;LCI!$D$2:$D$73, 0))* IF(AND($E17="Truck", OR($F17="Electric", $F17="Electric_green")), $B$6, 1)* $C17* $D17</f>
        <v>8.7873262829506003E-3</v>
      </c>
      <c r="T17" s="158" cm="1">
        <f t="array" ref="T17">INDEX(LCI!U$2:U$73, MATCH($E17&amp;$F17, LCI!$B$2:$B$73&amp;LCI!$D$2:$D$73, 0))* IF(AND($E17="Truck", OR($F17="Electric", $F17="Electric_green")), $B$6, 1)* $C17* $D17</f>
        <v>2.1441851910635874</v>
      </c>
      <c r="U17" s="158" cm="1">
        <f t="array" ref="U17">INDEX(LCI!V$2:V$73, MATCH($E17&amp;$F17, LCI!$B$2:$B$73&amp;LCI!$D$2:$D$73, 0))* IF(AND($E17="Truck", OR($F17="Electric", $F17="Electric_green")), $B$6, 1)* $C17* $D17</f>
        <v>3.6083713799714019E-7</v>
      </c>
      <c r="V17" s="158" cm="1">
        <f t="array" ref="V17">INDEX(LCI!W$2:W$73, MATCH($E17&amp;$F17, LCI!$B$2:$B$73&amp;LCI!$D$2:$D$73, 0))* IF(AND($E17="Truck", OR($F17="Electric", $F17="Electric_green")), $B$6, 1)* $C17* $D17</f>
        <v>4.8488568522340386E-9</v>
      </c>
      <c r="W17" s="158" cm="1">
        <f t="array" ref="W17">INDEX(LCI!X$2:X$73, MATCH($E17&amp;$F17, LCI!$B$2:$B$73&amp;LCI!$D$2:$D$73, 0))* IF(AND($E17="Truck", OR($F17="Electric", $F17="Electric_green")), $B$6, 1)* $C17* $D17</f>
        <v>5.5297484714204754E-9</v>
      </c>
      <c r="X17" s="158" cm="1">
        <f t="array" ref="X17">INDEX(LCI!Y$2:Y$73, MATCH($E17&amp;$F17, LCI!$B$2:$B$73&amp;LCI!$D$2:$D$73, 0))* IF(AND($E17="Truck", OR($F17="Electric", $F17="Electric_green")), $B$6, 1)* $C17* $D17</f>
        <v>3.184382162361343E-3</v>
      </c>
      <c r="Y17" s="158" cm="1">
        <f t="array" ref="Y17">INDEX(LCI!Z$2:Z$73, MATCH($E17&amp;$F17, LCI!$B$2:$B$73&amp;LCI!$D$2:$D$73, 0))* IF(AND($E17="Truck", OR($F17="Electric", $F17="Electric_green")), $B$6, 1)* $C17* $D17</f>
        <v>2.4836553016510714E-2</v>
      </c>
    </row>
    <row r="18" spans="1:25" ht="14" customHeight="1" x14ac:dyDescent="0.35">
      <c r="A18" s="396"/>
      <c r="B18" s="158" t="str">
        <f>Input!A42</f>
        <v>Virgin crushed coarse aggregate 3 (&gt;2 mm)</v>
      </c>
      <c r="C18" s="158">
        <f>+Input!B42</f>
        <v>0.35299999999999998</v>
      </c>
      <c r="D18" s="158">
        <f>Input!$L42</f>
        <v>188.2</v>
      </c>
      <c r="E18" s="158" t="str">
        <f>Input!$J42</f>
        <v>Truck</v>
      </c>
      <c r="F18" s="158" t="str">
        <f>Input!$K42</f>
        <v>Diesel_Euro6</v>
      </c>
      <c r="G18" s="158" cm="1">
        <f t="array" ref="G18">INDEX(LCI!H$2:H$73, MATCH($E18&amp;$F18, LCI!$B$2:$B$73&amp;LCI!$D$2:$D$73, 0))* IF(AND($E18="Truck", OR($F18="Electric", $F18="Electric_green")), $B$6, 1)* $C18* $D18</f>
        <v>1.5726531381199997E-2</v>
      </c>
      <c r="H18" s="158" cm="1">
        <f t="array" ref="H18">INDEX(LCI!I$2:I$73, MATCH($E18&amp;$F18, LCI!$B$2:$B$73&amp;LCI!$D$2:$D$73, 0))* IF(AND($E18="Truck", OR($F18="Electric", $F18="Electric_green")), $B$6, 1)* $C18* $D18</f>
        <v>10.546151209721398</v>
      </c>
      <c r="I18" s="158" cm="1">
        <f t="array" ref="I18">INDEX(LCI!J$2:J$73, MATCH($E18&amp;$F18, LCI!$B$2:$B$73&amp;LCI!$D$2:$D$73, 0))* IF(AND($E18="Truck", OR($F18="Electric", $F18="Electric_green")), $B$6, 1)* $C18* $D18</f>
        <v>4.9288029043799992E-3</v>
      </c>
      <c r="J18" s="158" cm="1">
        <f t="array" ref="J18">INDEX(LCI!K$2:K$73, MATCH($E18&amp;$F18, LCI!$B$2:$B$73&amp;LCI!$D$2:$D$73, 0))* IF(AND($E18="Truck", OR($F18="Electric", $F18="Electric_green")), $B$6, 1)* $C18* $D18</f>
        <v>10.540383557053199</v>
      </c>
      <c r="K18" s="158" cm="1">
        <f t="array" ref="K18">INDEX(LCI!L$2:L$73, MATCH($E18&amp;$F18, LCI!$B$2:$B$73&amp;LCI!$D$2:$D$73, 0))* IF(AND($E18="Truck", OR($F18="Electric", $F18="Electric_green")), $B$6, 1)* $C18* $D18</f>
        <v>8.3883647689999999E-4</v>
      </c>
      <c r="L18" s="158" cm="1">
        <f t="array" ref="L18">INDEX(LCI!M$2:M$73, MATCH($E18&amp;$F18, LCI!$B$2:$B$73&amp;LCI!$D$2:$D$73, 0))* IF(AND($E18="Truck", OR($F18="Electric", $F18="Electric_green")), $B$6, 1)* $C18* $D18</f>
        <v>9.0579557142353977</v>
      </c>
      <c r="M18" s="158" cm="1">
        <f t="array" ref="M18">INDEX(LCI!N$2:N$73, MATCH($E18&amp;$F18, LCI!$B$2:$B$73&amp;LCI!$D$2:$D$73, 0))* IF(AND($E18="Truck", OR($F18="Electric", $F18="Electric_green")), $B$6, 1)* $C18* $D18</f>
        <v>141.94023077429597</v>
      </c>
      <c r="N18" s="158" cm="1">
        <f t="array" ref="N18">INDEX(LCI!O$2:O$73, MATCH($E18&amp;$F18, LCI!$B$2:$B$73&amp;LCI!$D$2:$D$73, 0))* IF(AND($E18="Truck", OR($F18="Electric", $F18="Electric_green")), $B$6, 1)* $C18* $D18</f>
        <v>2.4598672907399997E-4</v>
      </c>
      <c r="O18" s="158" cm="1">
        <f t="array" ref="O18">INDEX(LCI!P$2:P$73, MATCH($E18&amp;$F18, LCI!$B$2:$B$73&amp;LCI!$D$2:$D$73, 0))* IF(AND($E18="Truck", OR($F18="Electric", $F18="Electric_green")), $B$6, 1)* $C18* $D18</f>
        <v>3.4278393431199992E-3</v>
      </c>
      <c r="P18" s="158" cm="1">
        <f t="array" ref="P18">INDEX(LCI!Q$2:Q$73, MATCH($E18&amp;$F18, LCI!$B$2:$B$73&amp;LCI!$D$2:$D$73, 0))* IF(AND($E18="Truck", OR($F18="Electric", $F18="Electric_green")), $B$6, 1)* $C18* $D18</f>
        <v>3.7103259057799994E-2</v>
      </c>
      <c r="Q18" s="158" cm="1">
        <f t="array" ref="Q18">INDEX(LCI!R$2:R$73, MATCH($E18&amp;$F18, LCI!$B$2:$B$73&amp;LCI!$D$2:$D$73, 0))* IF(AND($E18="Truck", OR($F18="Electric", $F18="Electric_green")), $B$6, 1)* $C18* $D18</f>
        <v>9.3471489161999977E-10</v>
      </c>
      <c r="R18" s="158" cm="1">
        <f t="array" ref="R18">INDEX(LCI!S$2:S$73, MATCH($E18&amp;$F18, LCI!$B$2:$B$73&amp;LCI!$D$2:$D$73, 0))* IF(AND($E18="Truck", OR($F18="Electric", $F18="Electric_green")), $B$6, 1)* $C18* $D18</f>
        <v>7.6053001388000001E-8</v>
      </c>
      <c r="S18" s="158" cm="1">
        <f t="array" ref="S18">INDEX(LCI!T$2:T$73, MATCH($E18&amp;$F18, LCI!$B$2:$B$73&amp;LCI!$D$2:$D$73, 0))* IF(AND($E18="Truck", OR($F18="Electric", $F18="Electric_green")), $B$6, 1)* $C18* $D18</f>
        <v>6.4362239087599998E-2</v>
      </c>
      <c r="T18" s="158" cm="1">
        <f t="array" ref="T18">INDEX(LCI!U$2:U$73, MATCH($E18&amp;$F18, LCI!$B$2:$B$73&amp;LCI!$D$2:$D$73, 0))* IF(AND($E18="Truck", OR($F18="Electric", $F18="Electric_green")), $B$6, 1)* $C18* $D18</f>
        <v>8.9531594509843995</v>
      </c>
      <c r="U18" s="158" cm="1">
        <f t="array" ref="U18">INDEX(LCI!V$2:V$73, MATCH($E18&amp;$F18, LCI!$B$2:$B$73&amp;LCI!$D$2:$D$73, 0))* IF(AND($E18="Truck", OR($F18="Electric", $F18="Electric_green")), $B$6, 1)* $C18* $D18</f>
        <v>1.1635156540199998E-5</v>
      </c>
      <c r="V18" s="158" cm="1">
        <f t="array" ref="V18">INDEX(LCI!W$2:W$73, MATCH($E18&amp;$F18, LCI!$B$2:$B$73&amp;LCI!$D$2:$D$73, 0))* IF(AND($E18="Truck", OR($F18="Electric", $F18="Electric_green")), $B$6, 1)* $C18* $D18</f>
        <v>2.3450217977199999E-7</v>
      </c>
      <c r="W18" s="158" cm="1">
        <f t="array" ref="W18">INDEX(LCI!X$2:X$73, MATCH($E18&amp;$F18, LCI!$B$2:$B$73&amp;LCI!$D$2:$D$73, 0))* IF(AND($E18="Truck", OR($F18="Electric", $F18="Electric_green")), $B$6, 1)* $C18* $D18</f>
        <v>6.5368789712199987E-7</v>
      </c>
      <c r="X18" s="158" cm="1">
        <f t="array" ref="X18">INDEX(LCI!Y$2:Y$73, MATCH($E18&amp;$F18, LCI!$B$2:$B$73&amp;LCI!$D$2:$D$73, 0))* IF(AND($E18="Truck", OR($F18="Electric", $F18="Electric_green")), $B$6, 1)* $C18* $D18</f>
        <v>2.7418622373599995E-2</v>
      </c>
      <c r="Y18" s="158" cm="1">
        <f t="array" ref="Y18">INDEX(LCI!Z$2:Z$73, MATCH($E18&amp;$F18, LCI!$B$2:$B$73&amp;LCI!$D$2:$D$73, 0))* IF(AND($E18="Truck", OR($F18="Electric", $F18="Electric_green")), $B$6, 1)* $C18* $D18</f>
        <v>0.32328331973939994</v>
      </c>
    </row>
    <row r="19" spans="1:25" ht="14" customHeight="1" x14ac:dyDescent="0.35">
      <c r="A19" s="396"/>
      <c r="B19" s="158" t="str">
        <f>Input!A43</f>
        <v>Virgin crushed fine aggregate 1 (≤2 mm)</v>
      </c>
      <c r="C19" s="158">
        <f>+Input!B43</f>
        <v>0</v>
      </c>
      <c r="D19" s="158">
        <f>Input!$L43</f>
        <v>0</v>
      </c>
      <c r="E19" s="158" t="str">
        <f>Input!$J43</f>
        <v>No</v>
      </c>
      <c r="F19" s="158" t="str">
        <f>Input!$K43</f>
        <v>No</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0.153</v>
      </c>
      <c r="D22" s="158">
        <f>Input!$L46</f>
        <v>44.35</v>
      </c>
      <c r="E22" s="158" t="str">
        <f>Input!$J46</f>
        <v>Barge</v>
      </c>
      <c r="F22" s="158" t="str">
        <f>Input!$K46</f>
        <v>Diesel</v>
      </c>
      <c r="G22" s="158" cm="1">
        <f t="array" ref="G22">INDEX(LCI!H$2:H$73, MATCH($E22&amp;$F22, LCI!$B$2:$B$73&amp;LCI!$D$2:$D$73, 0))* IF(AND($E22="Truck", OR($F22="Electric", $F22="Electric_green")), $B$6, 1)* $C22* $D22</f>
        <v>3.0024695538520062E-3</v>
      </c>
      <c r="H22" s="158" cm="1">
        <f t="array" ref="H22">INDEX(LCI!I$2:I$73, MATCH($E22&amp;$F22, LCI!$B$2:$B$73&amp;LCI!$D$2:$D$73, 0))* IF(AND($E22="Truck", OR($F22="Electric", $F22="Electric_green")), $B$6, 1)* $C22* $D22</f>
        <v>0.34223015669815277</v>
      </c>
      <c r="I22" s="158" cm="1">
        <f t="array" ref="I22">INDEX(LCI!J$2:J$73, MATCH($E22&amp;$F22, LCI!$B$2:$B$73&amp;LCI!$D$2:$D$73, 0))* IF(AND($E22="Truck", OR($F22="Electric", $F22="Electric_green")), $B$6, 1)* $C22* $D22</f>
        <v>9.4264964370373817E-5</v>
      </c>
      <c r="J22" s="158" cm="1">
        <f t="array" ref="J22">INDEX(LCI!K$2:K$73, MATCH($E22&amp;$F22, LCI!$B$2:$B$73&amp;LCI!$D$2:$D$73, 0))* IF(AND($E22="Truck", OR($F22="Electric", $F22="Electric_green")), $B$6, 1)* $C22* $D22</f>
        <v>0.34181848346185484</v>
      </c>
      <c r="K22" s="158" cm="1">
        <f t="array" ref="K22">INDEX(LCI!L$2:L$73, MATCH($E22&amp;$F22, LCI!$B$2:$B$73&amp;LCI!$D$2:$D$73, 0))* IF(AND($E22="Truck", OR($F22="Electric", $F22="Electric_green")), $B$6, 1)* $C22* $D22</f>
        <v>3.1740827192762536E-4</v>
      </c>
      <c r="L22" s="158" cm="1">
        <f t="array" ref="L22">INDEX(LCI!M$2:M$73, MATCH($E22&amp;$F22, LCI!$B$2:$B$73&amp;LCI!$D$2:$D$73, 0))* IF(AND($E22="Truck", OR($F22="Electric", $F22="Electric_green")), $B$6, 1)* $C22* $D22</f>
        <v>0.34648524510971707</v>
      </c>
      <c r="M22" s="158" cm="1">
        <f t="array" ref="M22">INDEX(LCI!N$2:N$73, MATCH($E22&amp;$F22, LCI!$B$2:$B$73&amp;LCI!$D$2:$D$73, 0))* IF(AND($E22="Truck", OR($F22="Electric", $F22="Electric_green")), $B$6, 1)* $C22* $D22</f>
        <v>4.1977482003785695</v>
      </c>
      <c r="N22" s="158" cm="1">
        <f t="array" ref="N22">INDEX(LCI!O$2:O$73, MATCH($E22&amp;$F22, LCI!$B$2:$B$73&amp;LCI!$D$2:$D$73, 0))* IF(AND($E22="Truck", OR($F22="Electric", $F22="Electric_green")), $B$6, 1)* $C22* $D22</f>
        <v>3.0859589550453768E-5</v>
      </c>
      <c r="O22" s="158" cm="1">
        <f t="array" ref="O22">INDEX(LCI!P$2:P$73, MATCH($E22&amp;$F22, LCI!$B$2:$B$73&amp;LCI!$D$2:$D$73, 0))* IF(AND($E22="Truck", OR($F22="Electric", $F22="Electric_green")), $B$6, 1)* $C22* $D22</f>
        <v>1.3612115346656208E-3</v>
      </c>
      <c r="P22" s="158" cm="1">
        <f t="array" ref="P22">INDEX(LCI!Q$2:Q$73, MATCH($E22&amp;$F22, LCI!$B$2:$B$73&amp;LCI!$D$2:$D$73, 0))* IF(AND($E22="Truck", OR($F22="Electric", $F22="Electric_green")), $B$6, 1)* $C22* $D22</f>
        <v>1.4883268390693464E-2</v>
      </c>
      <c r="Q22" s="158" cm="1">
        <f t="array" ref="Q22">INDEX(LCI!R$2:R$73, MATCH($E22&amp;$F22, LCI!$B$2:$B$73&amp;LCI!$D$2:$D$73, 0))* IF(AND($E22="Truck", OR($F22="Electric", $F22="Electric_green")), $B$6, 1)* $C22* $D22</f>
        <v>4.6200081090102362E-11</v>
      </c>
      <c r="R22" s="158" cm="1">
        <f t="array" ref="R22">INDEX(LCI!S$2:S$73, MATCH($E22&amp;$F22, LCI!$B$2:$B$73&amp;LCI!$D$2:$D$73, 0))* IF(AND($E22="Truck", OR($F22="Electric", $F22="Electric_green")), $B$6, 1)* $C22* $D22</f>
        <v>1.020394237508656E-9</v>
      </c>
      <c r="S22" s="158" cm="1">
        <f t="array" ref="S22">INDEX(LCI!T$2:T$73, MATCH($E22&amp;$F22, LCI!$B$2:$B$73&amp;LCI!$D$2:$D$73, 0))* IF(AND($E22="Truck", OR($F22="Electric", $F22="Electric_green")), $B$6, 1)* $C22* $D22</f>
        <v>1.1482555116348237E-2</v>
      </c>
      <c r="T22" s="158" cm="1">
        <f t="array" ref="T22">INDEX(LCI!U$2:U$73, MATCH($E22&amp;$F22, LCI!$B$2:$B$73&amp;LCI!$D$2:$D$73, 0))* IF(AND($E22="Truck", OR($F22="Electric", $F22="Electric_green")), $B$6, 1)* $C22* $D22</f>
        <v>2.8018448209684768</v>
      </c>
      <c r="U22" s="158" cm="1">
        <f t="array" ref="U22">INDEX(LCI!V$2:V$73, MATCH($E22&amp;$F22, LCI!$B$2:$B$73&amp;LCI!$D$2:$D$73, 0))* IF(AND($E22="Truck", OR($F22="Electric", $F22="Electric_green")), $B$6, 1)* $C22* $D22</f>
        <v>4.7151228845530849E-7</v>
      </c>
      <c r="V22" s="158" cm="1">
        <f t="array" ref="V22">INDEX(LCI!W$2:W$73, MATCH($E22&amp;$F22, LCI!$B$2:$B$73&amp;LCI!$D$2:$D$73, 0))* IF(AND($E22="Truck", OR($F22="Electric", $F22="Electric_green")), $B$6, 1)* $C22* $D22</f>
        <v>6.3360872538768302E-9</v>
      </c>
      <c r="W22" s="158" cm="1">
        <f t="array" ref="W22">INDEX(LCI!X$2:X$73, MATCH($E22&amp;$F22, LCI!$B$2:$B$73&amp;LCI!$D$2:$D$73, 0))* IF(AND($E22="Truck", OR($F22="Electric", $F22="Electric_green")), $B$6, 1)* $C22* $D22</f>
        <v>7.2258204097671811E-9</v>
      </c>
      <c r="X22" s="158" cm="1">
        <f t="array" ref="X22">INDEX(LCI!Y$2:Y$73, MATCH($E22&amp;$F22, LCI!$B$2:$B$73&amp;LCI!$D$2:$D$73, 0))* IF(AND($E22="Truck", OR($F22="Electric", $F22="Electric_green")), $B$6, 1)* $C22* $D22</f>
        <v>4.1610886535275657E-3</v>
      </c>
      <c r="Y22" s="158" cm="1">
        <f t="array" ref="Y22">INDEX(LCI!Z$2:Z$73, MATCH($E22&amp;$F22, LCI!$B$2:$B$73&amp;LCI!$D$2:$D$73, 0))* IF(AND($E22="Truck", OR($F22="Electric", $F22="Electric_green")), $B$6, 1)* $C22* $D22</f>
        <v>3.2454364357167066E-2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212</v>
      </c>
      <c r="B25" s="158" t="str">
        <f>Input!A49</f>
        <v>Filler 1</v>
      </c>
      <c r="C25" s="158">
        <f>+Input!B49</f>
        <v>5.4999999999999997E-3</v>
      </c>
      <c r="D25" s="158">
        <f>Input!$L49</f>
        <v>190.35</v>
      </c>
      <c r="E25" s="158" t="str">
        <f>Input!$J49</f>
        <v>Truck</v>
      </c>
      <c r="F25" s="158" t="str">
        <f>Input!$K49</f>
        <v>Diesel_Euro6</v>
      </c>
      <c r="G25" s="158" cm="1">
        <f t="array" ref="G25">INDEX(LCI!H$2:H$73, MATCH($E25&amp;$F25, LCI!$B$2:$B$73&amp;LCI!$D$2:$D$73, 0))* IF(AND($E25="Truck", OR($F25="Electric", $F25="Electric_green")), $B$6, 1)* $C25* $D25</f>
        <v>2.4783017985000001E-4</v>
      </c>
      <c r="H25" s="158" cm="1">
        <f t="array" ref="H25">INDEX(LCI!I$2:I$73, MATCH($E25&amp;$F25, LCI!$B$2:$B$73&amp;LCI!$D$2:$D$73, 0))* IF(AND($E25="Truck", OR($F25="Electric", $F25="Electric_green")), $B$6, 1)* $C25* $D25</f>
        <v>0.16619396150857496</v>
      </c>
      <c r="I25" s="158" cm="1">
        <f t="array" ref="I25">INDEX(LCI!J$2:J$73, MATCH($E25&amp;$F25, LCI!$B$2:$B$73&amp;LCI!$D$2:$D$73, 0))* IF(AND($E25="Truck", OR($F25="Electric", $F25="Electric_green")), $B$6, 1)* $C25* $D25</f>
        <v>7.7671679827499994E-5</v>
      </c>
      <c r="J25" s="158" cm="1">
        <f t="array" ref="J25">INDEX(LCI!K$2:K$73, MATCH($E25&amp;$F25, LCI!$B$2:$B$73&amp;LCI!$D$2:$D$73, 0))* IF(AND($E25="Truck", OR($F25="Electric", $F25="Electric_green")), $B$6, 1)* $C25* $D25</f>
        <v>0.16610307062085</v>
      </c>
      <c r="K25" s="158" cm="1">
        <f t="array" ref="K25">INDEX(LCI!L$2:L$73, MATCH($E25&amp;$F25, LCI!$B$2:$B$73&amp;LCI!$D$2:$D$73, 0))* IF(AND($E25="Truck", OR($F25="Electric", $F25="Electric_green")), $B$6, 1)* $C25* $D25</f>
        <v>1.3218998512499998E-5</v>
      </c>
      <c r="L25" s="158" cm="1">
        <f t="array" ref="L25">INDEX(LCI!M$2:M$73, MATCH($E25&amp;$F25, LCI!$B$2:$B$73&amp;LCI!$D$2:$D$73, 0))* IF(AND($E25="Truck", OR($F25="Electric", $F25="Electric_green")), $B$6, 1)* $C25* $D25</f>
        <v>0.14274188880682498</v>
      </c>
      <c r="M25" s="158" cm="1">
        <f t="array" ref="M25">INDEX(LCI!N$2:N$73, MATCH($E25&amp;$F25, LCI!$B$2:$B$73&amp;LCI!$D$2:$D$73, 0))* IF(AND($E25="Truck", OR($F25="Electric", $F25="Electric_green")), $B$6, 1)* $C25* $D25</f>
        <v>2.2367979351629996</v>
      </c>
      <c r="N25" s="158" cm="1">
        <f t="array" ref="N25">INDEX(LCI!O$2:O$73, MATCH($E25&amp;$F25, LCI!$B$2:$B$73&amp;LCI!$D$2:$D$73, 0))* IF(AND($E25="Truck", OR($F25="Electric", $F25="Electric_green")), $B$6, 1)* $C25* $D25</f>
        <v>3.8764387282499998E-6</v>
      </c>
      <c r="O25" s="158" cm="1">
        <f t="array" ref="O25">INDEX(LCI!P$2:P$73, MATCH($E25&amp;$F25, LCI!$B$2:$B$73&amp;LCI!$D$2:$D$73, 0))* IF(AND($E25="Truck", OR($F25="Electric", $F25="Electric_green")), $B$6, 1)* $C25* $D25</f>
        <v>5.4018398609999992E-5</v>
      </c>
      <c r="P25" s="158" cm="1">
        <f t="array" ref="P25">INDEX(LCI!Q$2:Q$73, MATCH($E25&amp;$F25, LCI!$B$2:$B$73&amp;LCI!$D$2:$D$73, 0))* IF(AND($E25="Truck", OR($F25="Electric", $F25="Electric_green")), $B$6, 1)* $C25* $D25</f>
        <v>5.8470028402499987E-4</v>
      </c>
      <c r="Q25" s="158" cm="1">
        <f t="array" ref="Q25">INDEX(LCI!R$2:R$73, MATCH($E25&amp;$F25, LCI!$B$2:$B$73&amp;LCI!$D$2:$D$73, 0))* IF(AND($E25="Truck", OR($F25="Electric", $F25="Electric_green")), $B$6, 1)* $C25* $D25</f>
        <v>1.4729920672499999E-11</v>
      </c>
      <c r="R25" s="158" cm="1">
        <f t="array" ref="R25">INDEX(LCI!S$2:S$73, MATCH($E25&amp;$F25, LCI!$B$2:$B$73&amp;LCI!$D$2:$D$73, 0))* IF(AND($E25="Truck", OR($F25="Electric", $F25="Electric_green")), $B$6, 1)* $C25* $D25</f>
        <v>1.1984988015E-9</v>
      </c>
      <c r="S25" s="158" cm="1">
        <f t="array" ref="S25">INDEX(LCI!T$2:T$73, MATCH($E25&amp;$F25, LCI!$B$2:$B$73&amp;LCI!$D$2:$D$73, 0))* IF(AND($E25="Truck", OR($F25="Electric", $F25="Electric_green")), $B$6, 1)* $C25* $D25</f>
        <v>1.01426722155E-3</v>
      </c>
      <c r="T25" s="158" cm="1">
        <f t="array" ref="T25">INDEX(LCI!U$2:U$73, MATCH($E25&amp;$F25, LCI!$B$2:$B$73&amp;LCI!$D$2:$D$73, 0))* IF(AND($E25="Truck", OR($F25="Electric", $F25="Electric_green")), $B$6, 1)* $C25* $D25</f>
        <v>0.14109043266944998</v>
      </c>
      <c r="U25" s="158" cm="1">
        <f t="array" ref="U25">INDEX(LCI!V$2:V$73, MATCH($E25&amp;$F25, LCI!$B$2:$B$73&amp;LCI!$D$2:$D$73, 0))* IF(AND($E25="Truck", OR($F25="Electric", $F25="Electric_green")), $B$6, 1)* $C25* $D25</f>
        <v>1.8335530372499996E-7</v>
      </c>
      <c r="V25" s="158" cm="1">
        <f t="array" ref="V25">INDEX(LCI!W$2:W$73, MATCH($E25&amp;$F25, LCI!$B$2:$B$73&amp;LCI!$D$2:$D$73, 0))* IF(AND($E25="Truck", OR($F25="Electric", $F25="Electric_green")), $B$6, 1)* $C25* $D25</f>
        <v>3.6954568034999995E-9</v>
      </c>
      <c r="W25" s="158" cm="1">
        <f t="array" ref="W25">INDEX(LCI!X$2:X$73, MATCH($E25&amp;$F25, LCI!$B$2:$B$73&amp;LCI!$D$2:$D$73, 0))* IF(AND($E25="Truck", OR($F25="Electric", $F25="Electric_green")), $B$6, 1)* $C25* $D25</f>
        <v>1.0301291822249998E-8</v>
      </c>
      <c r="X25" s="158" cm="1">
        <f t="array" ref="X25">INDEX(LCI!Y$2:Y$73, MATCH($E25&amp;$F25, LCI!$B$2:$B$73&amp;LCI!$D$2:$D$73, 0))* IF(AND($E25="Truck", OR($F25="Electric", $F25="Electric_green")), $B$6, 1)* $C25* $D25</f>
        <v>4.3208269829999994E-4</v>
      </c>
      <c r="Y25" s="158" cm="1">
        <f t="array" ref="Y25">INDEX(LCI!Z$2:Z$73, MATCH($E25&amp;$F25, LCI!$B$2:$B$73&amp;LCI!$D$2:$D$73, 0))* IF(AND($E25="Truck", OR($F25="Electric", $F25="Electric_green")), $B$6, 1)* $C25* $D25</f>
        <v>5.0945349188249991E-3</v>
      </c>
    </row>
    <row r="26" spans="1:25" ht="14" customHeight="1" x14ac:dyDescent="0.35">
      <c r="A26" s="399"/>
      <c r="B26" s="158" t="str">
        <f>Input!A50</f>
        <v>Filler 2</v>
      </c>
      <c r="C26" s="158">
        <f>+Input!B50</f>
        <v>0</v>
      </c>
      <c r="D26" s="158">
        <f>Input!$L50</f>
        <v>0</v>
      </c>
      <c r="E26" s="158" t="str">
        <f>Input!$J50</f>
        <v>No</v>
      </c>
      <c r="F26" s="158" t="str">
        <f>Input!$K50</f>
        <v>No</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298</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299</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261</v>
      </c>
      <c r="B31" s="158" t="str">
        <f>Input!A55</f>
        <v>Additive 1</v>
      </c>
      <c r="C31" s="158">
        <f>+Input!B55</f>
        <v>3.3E-3</v>
      </c>
      <c r="D31" s="158">
        <f>Input!$L55</f>
        <v>1239.32</v>
      </c>
      <c r="E31" s="158" t="str">
        <f>Input!$J55</f>
        <v>Truck</v>
      </c>
      <c r="F31" s="158" t="str">
        <f>Input!$K55</f>
        <v>Diesel_Euro6</v>
      </c>
      <c r="G31" s="158" cm="1">
        <f t="array" ref="G31">INDEX(LCI!H$2:H$73, MATCH($E31&amp;$F31, LCI!$B$2:$B$73&amp;LCI!$D$2:$D$73, 0))* IF(AND($E31="Truck", OR($F31="Electric", $F31="Electric_green")), $B$6, 1)* $C31* $D31</f>
        <v>9.68135219832E-4</v>
      </c>
      <c r="H31" s="158" cm="1">
        <f t="array" ref="H31">INDEX(LCI!I$2:I$73, MATCH($E31&amp;$F31, LCI!$B$2:$B$73&amp;LCI!$D$2:$D$73, 0))* IF(AND($E31="Truck", OR($F31="Electric", $F31="Electric_green")), $B$6, 1)* $C31* $D31</f>
        <v>0.64922773956440383</v>
      </c>
      <c r="I31" s="158" cm="1">
        <f t="array" ref="I31">INDEX(LCI!J$2:J$73, MATCH($E31&amp;$F31, LCI!$B$2:$B$73&amp;LCI!$D$2:$D$73, 0))* IF(AND($E31="Truck", OR($F31="Electric", $F31="Electric_green")), $B$6, 1)* $C31* $D31</f>
        <v>3.0342022456679999E-4</v>
      </c>
      <c r="J31" s="158" cm="1">
        <f t="array" ref="J31">INDEX(LCI!K$2:K$73, MATCH($E31&amp;$F31, LCI!$B$2:$B$73&amp;LCI!$D$2:$D$73, 0))* IF(AND($E31="Truck", OR($F31="Electric", $F31="Electric_green")), $B$6, 1)* $C31* $D31</f>
        <v>0.64887267921775194</v>
      </c>
      <c r="K31" s="158" cm="1">
        <f t="array" ref="K31">INDEX(LCI!L$2:L$73, MATCH($E31&amp;$F31, LCI!$B$2:$B$73&amp;LCI!$D$2:$D$73, 0))* IF(AND($E31="Truck", OR($F31="Electric", $F31="Electric_green")), $B$6, 1)* $C31* $D31</f>
        <v>5.1639304133999999E-5</v>
      </c>
      <c r="L31" s="158" cm="1">
        <f t="array" ref="L31">INDEX(LCI!M$2:M$73, MATCH($E31&amp;$F31, LCI!$B$2:$B$73&amp;LCI!$D$2:$D$73, 0))* IF(AND($E31="Truck", OR($F31="Electric", $F31="Electric_green")), $B$6, 1)* $C31* $D31</f>
        <v>0.55761348348644391</v>
      </c>
      <c r="M31" s="158" cm="1">
        <f t="array" ref="M31">INDEX(LCI!N$2:N$73, MATCH($E31&amp;$F31, LCI!$B$2:$B$73&amp;LCI!$D$2:$D$73, 0))* IF(AND($E31="Truck", OR($F31="Electric", $F31="Electric_green")), $B$6, 1)* $C31* $D31</f>
        <v>8.7379303924545599</v>
      </c>
      <c r="N31" s="158" cm="1">
        <f t="array" ref="N31">INDEX(LCI!O$2:O$73, MATCH($E31&amp;$F31, LCI!$B$2:$B$73&amp;LCI!$D$2:$D$73, 0))* IF(AND($E31="Truck", OR($F31="Electric", $F31="Electric_green")), $B$6, 1)* $C31* $D31</f>
        <v>1.5143098643639998E-5</v>
      </c>
      <c r="O31" s="158" cm="1">
        <f t="array" ref="O31">INDEX(LCI!P$2:P$73, MATCH($E31&amp;$F31, LCI!$B$2:$B$73&amp;LCI!$D$2:$D$73, 0))* IF(AND($E31="Truck", OR($F31="Electric", $F31="Electric_green")), $B$6, 1)* $C31* $D31</f>
        <v>2.110199582832E-4</v>
      </c>
      <c r="P31" s="158" cm="1">
        <f t="array" ref="P31">INDEX(LCI!Q$2:Q$73, MATCH($E31&amp;$F31, LCI!$B$2:$B$73&amp;LCI!$D$2:$D$73, 0))* IF(AND($E31="Truck", OR($F31="Electric", $F31="Electric_green")), $B$6, 1)* $C31* $D31</f>
        <v>2.284100097708E-3</v>
      </c>
      <c r="Q31" s="158" cm="1">
        <f t="array" ref="Q31">INDEX(LCI!R$2:R$73, MATCH($E31&amp;$F31, LCI!$B$2:$B$73&amp;LCI!$D$2:$D$73, 0))* IF(AND($E31="Truck", OR($F31="Electric", $F31="Electric_green")), $B$6, 1)* $C31* $D31</f>
        <v>5.7541639993199993E-11</v>
      </c>
      <c r="R31" s="158" cm="1">
        <f t="array" ref="R31">INDEX(LCI!S$2:S$73, MATCH($E31&amp;$F31, LCI!$B$2:$B$73&amp;LCI!$D$2:$D$73, 0))* IF(AND($E31="Truck", OR($F31="Electric", $F31="Electric_green")), $B$6, 1)* $C31* $D31</f>
        <v>4.6818708736799992E-9</v>
      </c>
      <c r="S31" s="158" cm="1">
        <f t="array" ref="S31">INDEX(LCI!T$2:T$73, MATCH($E31&amp;$F31, LCI!$B$2:$B$73&amp;LCI!$D$2:$D$73, 0))* IF(AND($E31="Truck", OR($F31="Electric", $F31="Electric_green")), $B$6, 1)* $C31* $D31</f>
        <v>3.9621801513360002E-3</v>
      </c>
      <c r="T31" s="158" cm="1">
        <f t="array" ref="T31">INDEX(LCI!U$2:U$73, MATCH($E31&amp;$F31, LCI!$B$2:$B$73&amp;LCI!$D$2:$D$73, 0))* IF(AND($E31="Truck", OR($F31="Electric", $F31="Electric_green")), $B$6, 1)* $C31* $D31</f>
        <v>0.55116215923058398</v>
      </c>
      <c r="U31" s="158" cm="1">
        <f t="array" ref="U31">INDEX(LCI!V$2:V$73, MATCH($E31&amp;$F31, LCI!$B$2:$B$73&amp;LCI!$D$2:$D$73, 0))* IF(AND($E31="Truck", OR($F31="Electric", $F31="Electric_green")), $B$6, 1)* $C31* $D31</f>
        <v>7.1626759657199998E-7</v>
      </c>
      <c r="V31" s="158" cm="1">
        <f t="array" ref="V31">INDEX(LCI!W$2:W$73, MATCH($E31&amp;$F31, LCI!$B$2:$B$73&amp;LCI!$D$2:$D$73, 0))* IF(AND($E31="Truck", OR($F31="Electric", $F31="Electric_green")), $B$6, 1)* $C31* $D31</f>
        <v>1.4436102523919999E-8</v>
      </c>
      <c r="W31" s="158" cm="1">
        <f t="array" ref="W31">INDEX(LCI!X$2:X$73, MATCH($E31&amp;$F31, LCI!$B$2:$B$73&amp;LCI!$D$2:$D$73, 0))* IF(AND($E31="Truck", OR($F31="Electric", $F31="Electric_green")), $B$6, 1)* $C31* $D31</f>
        <v>4.0241440444919994E-8</v>
      </c>
      <c r="X31" s="158" cm="1">
        <f t="array" ref="X31">INDEX(LCI!Y$2:Y$73, MATCH($E31&amp;$F31, LCI!$B$2:$B$73&amp;LCI!$D$2:$D$73, 0))* IF(AND($E31="Truck", OR($F31="Electric", $F31="Electric_green")), $B$6, 1)* $C31* $D31</f>
        <v>1.6879077372959999E-3</v>
      </c>
      <c r="Y31" s="158" cm="1">
        <f t="array" ref="Y31">INDEX(LCI!Z$2:Z$73, MATCH($E31&amp;$F31, LCI!$B$2:$B$73&amp;LCI!$D$2:$D$73, 0))* IF(AND($E31="Truck", OR($F31="Electric", $F31="Electric_green")), $B$6, 1)* $C31* $D31</f>
        <v>1.9901525659883998E-2</v>
      </c>
    </row>
    <row r="32" spans="1:25" ht="14" customHeight="1" x14ac:dyDescent="0.35">
      <c r="A32" s="401"/>
      <c r="B32" s="158" t="str">
        <f>Input!A56</f>
        <v>Additive 2</v>
      </c>
      <c r="C32" s="158">
        <f>+Input!B56</f>
        <v>0</v>
      </c>
      <c r="D32" s="158">
        <f>Input!$L56</f>
        <v>0</v>
      </c>
      <c r="E32" s="158" t="str">
        <f>Input!$J56</f>
        <v>No</v>
      </c>
      <c r="F32" s="158" t="str">
        <f>Input!$K56</f>
        <v>No</v>
      </c>
      <c r="G32" s="158" cm="1">
        <f t="array" ref="G32">INDEX(LCI!H$2:H$73, MATCH($E32&amp;$F32, LCI!$B$2:$B$73&amp;LCI!$D$2:$D$73, 0))* IF(AND($E32="Truck", OR($F32="Electric", $F32="Electric_green")), $B$6, 1)* $C32* $D32</f>
        <v>0</v>
      </c>
      <c r="H32" s="158" cm="1">
        <f t="array" ref="H32">INDEX(LCI!I$2:I$73, MATCH($E32&amp;$F32, LCI!$B$2:$B$73&amp;LCI!$D$2:$D$73, 0))* IF(AND($E32="Truck", OR($F32="Electric", $F32="Electric_green")), $B$6, 1)* $C32* $D32</f>
        <v>0</v>
      </c>
      <c r="I32" s="158" cm="1">
        <f t="array" ref="I32">INDEX(LCI!J$2:J$73, MATCH($E32&amp;$F32, LCI!$B$2:$B$73&amp;LCI!$D$2:$D$73, 0))* IF(AND($E32="Truck", OR($F32="Electric", $F32="Electric_green")), $B$6, 1)* $C32* $D32</f>
        <v>0</v>
      </c>
      <c r="J32" s="158" cm="1">
        <f t="array" ref="J32">INDEX(LCI!K$2:K$73, MATCH($E32&amp;$F32, LCI!$B$2:$B$73&amp;LCI!$D$2:$D$73, 0))* IF(AND($E32="Truck", OR($F32="Electric", $F32="Electric_green")), $B$6, 1)* $C32* $D32</f>
        <v>0</v>
      </c>
      <c r="K32" s="158" cm="1">
        <f t="array" ref="K32">INDEX(LCI!L$2:L$73, MATCH($E32&amp;$F32, LCI!$B$2:$B$73&amp;LCI!$D$2:$D$73, 0))* IF(AND($E32="Truck", OR($F32="Electric", $F32="Electric_green")), $B$6, 1)* $C32* $D32</f>
        <v>0</v>
      </c>
      <c r="L32" s="158" cm="1">
        <f t="array" ref="L32">INDEX(LCI!M$2:M$73, MATCH($E32&amp;$F32, LCI!$B$2:$B$73&amp;LCI!$D$2:$D$73, 0))* IF(AND($E32="Truck", OR($F32="Electric", $F32="Electric_green")), $B$6, 1)* $C32* $D32</f>
        <v>0</v>
      </c>
      <c r="M32" s="158" cm="1">
        <f t="array" ref="M32">INDEX(LCI!N$2:N$73, MATCH($E32&amp;$F32, LCI!$B$2:$B$73&amp;LCI!$D$2:$D$73, 0))* IF(AND($E32="Truck", OR($F32="Electric", $F32="Electric_green")), $B$6, 1)* $C32* $D32</f>
        <v>0</v>
      </c>
      <c r="N32" s="158" cm="1">
        <f t="array" ref="N32">INDEX(LCI!O$2:O$73, MATCH($E32&amp;$F32, LCI!$B$2:$B$73&amp;LCI!$D$2:$D$73, 0))* IF(AND($E32="Truck", OR($F32="Electric", $F32="Electric_green")), $B$6, 1)* $C32* $D32</f>
        <v>0</v>
      </c>
      <c r="O32" s="158" cm="1">
        <f t="array" ref="O32">INDEX(LCI!P$2:P$73, MATCH($E32&amp;$F32, LCI!$B$2:$B$73&amp;LCI!$D$2:$D$73, 0))* IF(AND($E32="Truck", OR($F32="Electric", $F32="Electric_green")), $B$6, 1)* $C32* $D32</f>
        <v>0</v>
      </c>
      <c r="P32" s="158" cm="1">
        <f t="array" ref="P32">INDEX(LCI!Q$2:Q$73, MATCH($E32&amp;$F32, LCI!$B$2:$B$73&amp;LCI!$D$2:$D$73, 0))* IF(AND($E32="Truck", OR($F32="Electric", $F32="Electric_green")), $B$6, 1)* $C32* $D32</f>
        <v>0</v>
      </c>
      <c r="Q32" s="158" cm="1">
        <f t="array" ref="Q32">INDEX(LCI!R$2:R$73, MATCH($E32&amp;$F32, LCI!$B$2:$B$73&amp;LCI!$D$2:$D$73, 0))* IF(AND($E32="Truck", OR($F32="Electric", $F32="Electric_green")), $B$6, 1)* $C32* $D32</f>
        <v>0</v>
      </c>
      <c r="R32" s="158" cm="1">
        <f t="array" ref="R32">INDEX(LCI!S$2:S$73, MATCH($E32&amp;$F32, LCI!$B$2:$B$73&amp;LCI!$D$2:$D$73, 0))* IF(AND($E32="Truck", OR($F32="Electric", $F32="Electric_green")), $B$6, 1)* $C32* $D32</f>
        <v>0</v>
      </c>
      <c r="S32" s="158" cm="1">
        <f t="array" ref="S32">INDEX(LCI!T$2:T$73, MATCH($E32&amp;$F32, LCI!$B$2:$B$73&amp;LCI!$D$2:$D$73, 0))* IF(AND($E32="Truck", OR($F32="Electric", $F32="Electric_green")), $B$6, 1)* $C32* $D32</f>
        <v>0</v>
      </c>
      <c r="T32" s="158" cm="1">
        <f t="array" ref="T32">INDEX(LCI!U$2:U$73, MATCH($E32&amp;$F32, LCI!$B$2:$B$73&amp;LCI!$D$2:$D$73, 0))* IF(AND($E32="Truck", OR($F32="Electric", $F32="Electric_green")), $B$6, 1)* $C32* $D32</f>
        <v>0</v>
      </c>
      <c r="U32" s="158" cm="1">
        <f t="array" ref="U32">INDEX(LCI!V$2:V$73, MATCH($E32&amp;$F32, LCI!$B$2:$B$73&amp;LCI!$D$2:$D$73, 0))* IF(AND($E32="Truck", OR($F32="Electric", $F32="Electric_green")), $B$6, 1)* $C32* $D32</f>
        <v>0</v>
      </c>
      <c r="V32" s="158" cm="1">
        <f t="array" ref="V32">INDEX(LCI!W$2:W$73, MATCH($E32&amp;$F32, LCI!$B$2:$B$73&amp;LCI!$D$2:$D$73, 0))* IF(AND($E32="Truck", OR($F32="Electric", $F32="Electric_green")), $B$6, 1)* $C32* $D32</f>
        <v>0</v>
      </c>
      <c r="W32" s="158" cm="1">
        <f t="array" ref="W32">INDEX(LCI!X$2:X$73, MATCH($E32&amp;$F32, LCI!$B$2:$B$73&amp;LCI!$D$2:$D$73, 0))* IF(AND($E32="Truck", OR($F32="Electric", $F32="Electric_green")), $B$6, 1)* $C32* $D32</f>
        <v>0</v>
      </c>
      <c r="X32" s="158" cm="1">
        <f t="array" ref="X32">INDEX(LCI!Y$2:Y$73, MATCH($E32&amp;$F32, LCI!$B$2:$B$73&amp;LCI!$D$2:$D$73, 0))* IF(AND($E32="Truck", OR($F32="Electric", $F32="Electric_green")), $B$6, 1)* $C32* $D32</f>
        <v>0</v>
      </c>
      <c r="Y32" s="158" cm="1">
        <f t="array" ref="Y32">INDEX(LCI!Z$2:Z$73, MATCH($E32&amp;$F32, LCI!$B$2:$B$73&amp;LCI!$D$2:$D$73, 0))* IF(AND($E32="Truck", OR($F32="Electric", $F32="Electric_green")), $B$6, 1)* $C32* $D32</f>
        <v>0</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341</v>
      </c>
      <c r="B34" s="406"/>
      <c r="C34" s="406"/>
      <c r="D34" s="406"/>
      <c r="E34" s="406"/>
      <c r="F34" s="406"/>
      <c r="G34" s="139">
        <f t="shared" ref="G34:Y34" si="0">SUM(G15:G33)</f>
        <v>2.5269042877704657E-2</v>
      </c>
      <c r="H34" s="139">
        <f t="shared" si="0"/>
        <v>13.995167663623754</v>
      </c>
      <c r="I34" s="139">
        <f t="shared" si="0"/>
        <v>6.4247798875774311E-3</v>
      </c>
      <c r="J34" s="139">
        <f t="shared" si="0"/>
        <v>13.987117436092017</v>
      </c>
      <c r="K34" s="139">
        <f t="shared" si="0"/>
        <v>1.6254307730154192E-3</v>
      </c>
      <c r="L34" s="139">
        <f t="shared" si="0"/>
        <v>12.113034173791052</v>
      </c>
      <c r="M34" s="139">
        <f t="shared" si="0"/>
        <v>187.63961958834116</v>
      </c>
      <c r="N34" s="139">
        <f t="shared" si="0"/>
        <v>3.6681878097130698E-4</v>
      </c>
      <c r="O34" s="139">
        <f t="shared" si="0"/>
        <v>6.7554333078811502E-3</v>
      </c>
      <c r="P34" s="139">
        <f t="shared" si="0"/>
        <v>7.3385158887823015E-2</v>
      </c>
      <c r="Q34" s="139">
        <f t="shared" si="0"/>
        <v>1.2684155806364766E-9</v>
      </c>
      <c r="R34" s="139">
        <f t="shared" si="0"/>
        <v>9.8370019044841292E-8</v>
      </c>
      <c r="S34" s="139">
        <f t="shared" si="0"/>
        <v>0.10199420926338004</v>
      </c>
      <c r="T34" s="139">
        <f t="shared" si="0"/>
        <v>16.314356359345446</v>
      </c>
      <c r="U34" s="139">
        <f t="shared" si="0"/>
        <v>1.5606157195119845E-5</v>
      </c>
      <c r="V34" s="139">
        <f t="shared" si="0"/>
        <v>3.0894545238247486E-7</v>
      </c>
      <c r="W34" s="139">
        <f t="shared" si="0"/>
        <v>8.4277958268950149E-7</v>
      </c>
      <c r="X34" s="139">
        <f t="shared" si="0"/>
        <v>4.2160426233952102E-2</v>
      </c>
      <c r="Y34" s="139">
        <f t="shared" si="0"/>
        <v>0.46778179509799556</v>
      </c>
    </row>
    <row r="37" spans="1:25" ht="23.5" x14ac:dyDescent="0.55000000000000004">
      <c r="A37" s="100" t="s">
        <v>342</v>
      </c>
    </row>
    <row r="39" spans="1:25" ht="101.5" x14ac:dyDescent="0.35">
      <c r="A39" s="104" t="s">
        <v>276</v>
      </c>
      <c r="B39" s="104" t="s">
        <v>277</v>
      </c>
      <c r="C39" s="103" t="s">
        <v>278</v>
      </c>
      <c r="D39" s="103" t="s">
        <v>56</v>
      </c>
      <c r="E39" s="103" t="s">
        <v>339</v>
      </c>
      <c r="F39" s="103" t="s">
        <v>340</v>
      </c>
      <c r="G39" s="103" t="s">
        <v>279</v>
      </c>
      <c r="H39" s="103" t="s">
        <v>280</v>
      </c>
      <c r="I39" s="103" t="s">
        <v>281</v>
      </c>
      <c r="J39" s="103" t="s">
        <v>282</v>
      </c>
      <c r="K39" s="103" t="s">
        <v>283</v>
      </c>
      <c r="L39" s="103" t="s">
        <v>284</v>
      </c>
      <c r="M39" s="103" t="s">
        <v>285</v>
      </c>
      <c r="N39" s="103" t="s">
        <v>286</v>
      </c>
      <c r="O39" s="103" t="s">
        <v>287</v>
      </c>
      <c r="P39" s="103" t="s">
        <v>288</v>
      </c>
      <c r="Q39" s="103" t="s">
        <v>289</v>
      </c>
      <c r="R39" s="103" t="s">
        <v>290</v>
      </c>
      <c r="S39" s="103" t="s">
        <v>291</v>
      </c>
      <c r="T39" s="103" t="s">
        <v>292</v>
      </c>
      <c r="U39" s="103" t="s">
        <v>293</v>
      </c>
      <c r="V39" s="103" t="s">
        <v>294</v>
      </c>
      <c r="W39" s="103" t="s">
        <v>295</v>
      </c>
      <c r="X39" s="103" t="s">
        <v>296</v>
      </c>
      <c r="Y39" s="103" t="s">
        <v>297</v>
      </c>
    </row>
    <row r="40" spans="1:25" x14ac:dyDescent="0.35">
      <c r="A40" s="6" t="s">
        <v>266</v>
      </c>
      <c r="B40" s="154" t="str">
        <f>Input!A39</f>
        <v>Virgin binder</v>
      </c>
      <c r="C40" s="158">
        <f>+Input!B39</f>
        <v>2.2159999999999999E-2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211</v>
      </c>
      <c r="B41" s="154" t="str">
        <f>Input!A40</f>
        <v>Virgin crushed coarse aggregate 1 (&gt;2 mm)</v>
      </c>
      <c r="C41" s="158">
        <f>+Input!B40</f>
        <v>6.0999999999999999E-2</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0.10199999999999999</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0.35299999999999998</v>
      </c>
      <c r="D43" s="154">
        <f>Input!$O42</f>
        <v>0</v>
      </c>
      <c r="E43" s="154" t="str">
        <f>Input!$M42</f>
        <v>No</v>
      </c>
      <c r="F43" s="154" t="str">
        <f>Input!$N42</f>
        <v>No</v>
      </c>
      <c r="G43" s="154" cm="1">
        <f t="array" ref="G43">INDEX(LCI!H$2:H$73,MATCH($E43&amp;$F43,LCI!$B$2:$B$73&amp;LCI!$D$2:$D$73,0))*IF(AND($E43="Truck", OR($F43="Electric", $F43="Electric_green")), $B$6, 1)*$D43*$C43</f>
        <v>0</v>
      </c>
      <c r="H43" s="154" cm="1">
        <f t="array" ref="H43">INDEX(LCI!I$2:I$73,MATCH($E43&amp;$F43,LCI!$B$2:$B$73&amp;LCI!$D$2:$D$73,0))*IF(AND($E43="Truck", OR($F43="Electric", $F43="Electric_green")), $B$6, 1)*$D43*$C43</f>
        <v>0</v>
      </c>
      <c r="I43" s="154" cm="1">
        <f t="array" ref="I43">INDEX(LCI!J$2:J$73,MATCH($E43&amp;$F43,LCI!$B$2:$B$73&amp;LCI!$D$2:$D$73,0))*IF(AND($E43="Truck", OR($F43="Electric", $F43="Electric_green")), $B$6, 1)*$D43*$C43</f>
        <v>0</v>
      </c>
      <c r="J43" s="154" cm="1">
        <f t="array" ref="J43">INDEX(LCI!K$2:K$73,MATCH($E43&amp;$F43,LCI!$B$2:$B$73&amp;LCI!$D$2:$D$73,0))*IF(AND($E43="Truck", OR($F43="Electric", $F43="Electric_green")), $B$6, 1)*$D43*$C43</f>
        <v>0</v>
      </c>
      <c r="K43" s="154" cm="1">
        <f t="array" ref="K43">INDEX(LCI!L$2:L$73,MATCH($E43&amp;$F43,LCI!$B$2:$B$73&amp;LCI!$D$2:$D$73,0))*IF(AND($E43="Truck", OR($F43="Electric", $F43="Electric_green")), $B$6, 1)*$D43*$C43</f>
        <v>0</v>
      </c>
      <c r="L43" s="154" cm="1">
        <f t="array" ref="L43">INDEX(LCI!M$2:M$73,MATCH($E43&amp;$F43,LCI!$B$2:$B$73&amp;LCI!$D$2:$D$73,0))*IF(AND($E43="Truck", OR($F43="Electric", $F43="Electric_green")), $B$6, 1)*$D43*$C43</f>
        <v>0</v>
      </c>
      <c r="M43" s="154" cm="1">
        <f t="array" ref="M43">INDEX(LCI!N$2:N$73,MATCH($E43&amp;$F43,LCI!$B$2:$B$73&amp;LCI!$D$2:$D$73,0))*IF(AND($E43="Truck", OR($F43="Electric", $F43="Electric_green")), $B$6, 1)*$D43*$C43</f>
        <v>0</v>
      </c>
      <c r="N43" s="154" cm="1">
        <f t="array" ref="N43">INDEX(LCI!O$2:O$73,MATCH($E43&amp;$F43,LCI!$B$2:$B$73&amp;LCI!$D$2:$D$73,0))*IF(AND($E43="Truck", OR($F43="Electric", $F43="Electric_green")), $B$6, 1)*$D43*$C43</f>
        <v>0</v>
      </c>
      <c r="O43" s="154" cm="1">
        <f t="array" ref="O43">INDEX(LCI!P$2:P$73,MATCH($E43&amp;$F43,LCI!$B$2:$B$73&amp;LCI!$D$2:$D$73,0))*IF(AND($E43="Truck", OR($F43="Electric", $F43="Electric_green")), $B$6, 1)*$D43*$C43</f>
        <v>0</v>
      </c>
      <c r="P43" s="154" cm="1">
        <f t="array" ref="P43">INDEX(LCI!Q$2:Q$73,MATCH($E43&amp;$F43,LCI!$B$2:$B$73&amp;LCI!$D$2:$D$73,0))*IF(AND($E43="Truck", OR($F43="Electric", $F43="Electric_green")), $B$6, 1)*$D43*$C43</f>
        <v>0</v>
      </c>
      <c r="Q43" s="154" cm="1">
        <f t="array" ref="Q43">INDEX(LCI!R$2:R$73,MATCH($E43&amp;$F43,LCI!$B$2:$B$73&amp;LCI!$D$2:$D$73,0))*IF(AND($E43="Truck", OR($F43="Electric", $F43="Electric_green")), $B$6, 1)*$D43*$C43</f>
        <v>0</v>
      </c>
      <c r="R43" s="154" cm="1">
        <f t="array" ref="R43">INDEX(LCI!S$2:S$73,MATCH($E43&amp;$F43,LCI!$B$2:$B$73&amp;LCI!$D$2:$D$73,0))*IF(AND($E43="Truck", OR($F43="Electric", $F43="Electric_green")), $B$6, 1)*$D43*$C43</f>
        <v>0</v>
      </c>
      <c r="S43" s="154" cm="1">
        <f t="array" ref="S43">INDEX(LCI!T$2:T$73,MATCH($E43&amp;$F43,LCI!$B$2:$B$73&amp;LCI!$D$2:$D$73,0))*IF(AND($E43="Truck", OR($F43="Electric", $F43="Electric_green")), $B$6, 1)*$D43*$C43</f>
        <v>0</v>
      </c>
      <c r="T43" s="154" cm="1">
        <f t="array" ref="T43">INDEX(LCI!U$2:U$73,MATCH($E43&amp;$F43,LCI!$B$2:$B$73&amp;LCI!$D$2:$D$73,0))*IF(AND($E43="Truck", OR($F43="Electric", $F43="Electric_green")), $B$6, 1)*$D43*$C43</f>
        <v>0</v>
      </c>
      <c r="U43" s="154" cm="1">
        <f t="array" ref="U43">INDEX(LCI!V$2:V$73,MATCH($E43&amp;$F43,LCI!$B$2:$B$73&amp;LCI!$D$2:$D$73,0))*IF(AND($E43="Truck", OR($F43="Electric", $F43="Electric_green")), $B$6, 1)*$D43*$C43</f>
        <v>0</v>
      </c>
      <c r="V43" s="154" cm="1">
        <f t="array" ref="V43">INDEX(LCI!W$2:W$73,MATCH($E43&amp;$F43,LCI!$B$2:$B$73&amp;LCI!$D$2:$D$73,0))*IF(AND($E43="Truck", OR($F43="Electric", $F43="Electric_green")), $B$6, 1)*$D43*$C43</f>
        <v>0</v>
      </c>
      <c r="W43" s="154" cm="1">
        <f t="array" ref="W43">INDEX(LCI!X$2:X$73,MATCH($E43&amp;$F43,LCI!$B$2:$B$73&amp;LCI!$D$2:$D$73,0))*IF(AND($E43="Truck", OR($F43="Electric", $F43="Electric_green")), $B$6, 1)*$D43*$C43</f>
        <v>0</v>
      </c>
      <c r="X43" s="154" cm="1">
        <f t="array" ref="X43">INDEX(LCI!Y$2:Y$73,MATCH($E43&amp;$F43,LCI!$B$2:$B$73&amp;LCI!$D$2:$D$73,0))*IF(AND($E43="Truck", OR($F43="Electric", $F43="Electric_green")), $B$6, 1)*$D43*$C43</f>
        <v>0</v>
      </c>
      <c r="Y43" s="154" cm="1">
        <f t="array" ref="Y43">INDEX(LCI!Z$2:Z$73,MATCH($E43&amp;$F43,LCI!$B$2:$B$73&amp;LCI!$D$2:$D$73,0))*IF(AND($E43="Truck", OR($F43="Electric", $F43="Electric_green")), $B$6, 1)*$D43*$C43</f>
        <v>0</v>
      </c>
    </row>
    <row r="44" spans="1:25" ht="14" customHeight="1" x14ac:dyDescent="0.35">
      <c r="A44" s="396"/>
      <c r="B44" s="154" t="str">
        <f>Input!A43</f>
        <v>Virgin crushed fine aggregate 1 (≤2 mm)</v>
      </c>
      <c r="C44" s="158">
        <f>+Input!B43</f>
        <v>0</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0.153</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212</v>
      </c>
      <c r="B50" s="154" t="str">
        <f>Input!A49</f>
        <v>Filler 1</v>
      </c>
      <c r="C50" s="158">
        <f>+Input!B49</f>
        <v>5.4999999999999997E-3</v>
      </c>
      <c r="D50" s="154">
        <f>Input!$O49</f>
        <v>0</v>
      </c>
      <c r="E50" s="154" t="str">
        <f>Input!$M49</f>
        <v>No</v>
      </c>
      <c r="F50" s="154" t="str">
        <f>Input!$N49</f>
        <v>No</v>
      </c>
      <c r="G50" s="154" cm="1">
        <f t="array" ref="G50">INDEX(LCI!H$2:H$73,MATCH($E50&amp;$F50,LCI!$B$2:$B$73&amp;LCI!$D$2:$D$73,0))*IF(AND($E50="Truck", OR($F50="Electric", $F50="Electric_green")), $B$6, 1)*$D50*$C50</f>
        <v>0</v>
      </c>
      <c r="H50" s="154" cm="1">
        <f t="array" ref="H50">INDEX(LCI!I$2:I$73,MATCH($E50&amp;$F50,LCI!$B$2:$B$73&amp;LCI!$D$2:$D$73,0))*IF(AND($E50="Truck", OR($F50="Electric", $F50="Electric_green")), $B$6, 1)*$D50*$C50</f>
        <v>0</v>
      </c>
      <c r="I50" s="154" cm="1">
        <f t="array" ref="I50">INDEX(LCI!J$2:J$73,MATCH($E50&amp;$F50,LCI!$B$2:$B$73&amp;LCI!$D$2:$D$73,0))*IF(AND($E50="Truck", OR($F50="Electric", $F50="Electric_green")), $B$6, 1)*$D50*$C50</f>
        <v>0</v>
      </c>
      <c r="J50" s="154" cm="1">
        <f t="array" ref="J50">INDEX(LCI!K$2:K$73,MATCH($E50&amp;$F50,LCI!$B$2:$B$73&amp;LCI!$D$2:$D$73,0))*IF(AND($E50="Truck", OR($F50="Electric", $F50="Electric_green")), $B$6, 1)*$D50*$C50</f>
        <v>0</v>
      </c>
      <c r="K50" s="154" cm="1">
        <f t="array" ref="K50">INDEX(LCI!L$2:L$73,MATCH($E50&amp;$F50,LCI!$B$2:$B$73&amp;LCI!$D$2:$D$73,0))*IF(AND($E50="Truck", OR($F50="Electric", $F50="Electric_green")), $B$6, 1)*$D50*$C50</f>
        <v>0</v>
      </c>
      <c r="L50" s="154" cm="1">
        <f t="array" ref="L50">INDEX(LCI!M$2:M$73,MATCH($E50&amp;$F50,LCI!$B$2:$B$73&amp;LCI!$D$2:$D$73,0))*IF(AND($E50="Truck", OR($F50="Electric", $F50="Electric_green")), $B$6, 1)*$D50*$C50</f>
        <v>0</v>
      </c>
      <c r="M50" s="154" cm="1">
        <f t="array" ref="M50">INDEX(LCI!N$2:N$73,MATCH($E50&amp;$F50,LCI!$B$2:$B$73&amp;LCI!$D$2:$D$73,0))*IF(AND($E50="Truck", OR($F50="Electric", $F50="Electric_green")), $B$6, 1)*$D50*$C50</f>
        <v>0</v>
      </c>
      <c r="N50" s="154" cm="1">
        <f t="array" ref="N50">INDEX(LCI!O$2:O$73,MATCH($E50&amp;$F50,LCI!$B$2:$B$73&amp;LCI!$D$2:$D$73,0))*IF(AND($E50="Truck", OR($F50="Electric", $F50="Electric_green")), $B$6, 1)*$D50*$C50</f>
        <v>0</v>
      </c>
      <c r="O50" s="154" cm="1">
        <f t="array" ref="O50">INDEX(LCI!P$2:P$73,MATCH($E50&amp;$F50,LCI!$B$2:$B$73&amp;LCI!$D$2:$D$73,0))*IF(AND($E50="Truck", OR($F50="Electric", $F50="Electric_green")), $B$6, 1)*$D50*$C50</f>
        <v>0</v>
      </c>
      <c r="P50" s="154" cm="1">
        <f t="array" ref="P50">INDEX(LCI!Q$2:Q$73,MATCH($E50&amp;$F50,LCI!$B$2:$B$73&amp;LCI!$D$2:$D$73,0))*IF(AND($E50="Truck", OR($F50="Electric", $F50="Electric_green")), $B$6, 1)*$D50*$C50</f>
        <v>0</v>
      </c>
      <c r="Q50" s="154" cm="1">
        <f t="array" ref="Q50">INDEX(LCI!R$2:R$73,MATCH($E50&amp;$F50,LCI!$B$2:$B$73&amp;LCI!$D$2:$D$73,0))*IF(AND($E50="Truck", OR($F50="Electric", $F50="Electric_green")), $B$6, 1)*$D50*$C50</f>
        <v>0</v>
      </c>
      <c r="R50" s="154" cm="1">
        <f t="array" ref="R50">INDEX(LCI!S$2:S$73,MATCH($E50&amp;$F50,LCI!$B$2:$B$73&amp;LCI!$D$2:$D$73,0))*IF(AND($E50="Truck", OR($F50="Electric", $F50="Electric_green")), $B$6, 1)*$D50*$C50</f>
        <v>0</v>
      </c>
      <c r="S50" s="154" cm="1">
        <f t="array" ref="S50">INDEX(LCI!T$2:T$73,MATCH($E50&amp;$F50,LCI!$B$2:$B$73&amp;LCI!$D$2:$D$73,0))*IF(AND($E50="Truck", OR($F50="Electric", $F50="Electric_green")), $B$6, 1)*$D50*$C50</f>
        <v>0</v>
      </c>
      <c r="T50" s="154" cm="1">
        <f t="array" ref="T50">INDEX(LCI!U$2:U$73,MATCH($E50&amp;$F50,LCI!$B$2:$B$73&amp;LCI!$D$2:$D$73,0))*IF(AND($E50="Truck", OR($F50="Electric", $F50="Electric_green")), $B$6, 1)*$D50*$C50</f>
        <v>0</v>
      </c>
      <c r="U50" s="154" cm="1">
        <f t="array" ref="U50">INDEX(LCI!V$2:V$73,MATCH($E50&amp;$F50,LCI!$B$2:$B$73&amp;LCI!$D$2:$D$73,0))*IF(AND($E50="Truck", OR($F50="Electric", $F50="Electric_green")), $B$6, 1)*$D50*$C50</f>
        <v>0</v>
      </c>
      <c r="V50" s="154" cm="1">
        <f t="array" ref="V50">INDEX(LCI!W$2:W$73,MATCH($E50&amp;$F50,LCI!$B$2:$B$73&amp;LCI!$D$2:$D$73,0))*IF(AND($E50="Truck", OR($F50="Electric", $F50="Electric_green")), $B$6, 1)*$D50*$C50</f>
        <v>0</v>
      </c>
      <c r="W50" s="154" cm="1">
        <f t="array" ref="W50">INDEX(LCI!X$2:X$73,MATCH($E50&amp;$F50,LCI!$B$2:$B$73&amp;LCI!$D$2:$D$73,0))*IF(AND($E50="Truck", OR($F50="Electric", $F50="Electric_green")), $B$6, 1)*$D50*$C50</f>
        <v>0</v>
      </c>
      <c r="X50" s="154" cm="1">
        <f t="array" ref="X50">INDEX(LCI!Y$2:Y$73,MATCH($E50&amp;$F50,LCI!$B$2:$B$73&amp;LCI!$D$2:$D$73,0))*IF(AND($E50="Truck", OR($F50="Electric", $F50="Electric_green")), $B$6, 1)*$D50*$C50</f>
        <v>0</v>
      </c>
      <c r="Y50" s="154" cm="1">
        <f t="array" ref="Y50">INDEX(LCI!Z$2:Z$73,MATCH($E50&amp;$F50,LCI!$B$2:$B$73&amp;LCI!$D$2:$D$73,0))*IF(AND($E50="Truck", OR($F50="Electric", $F50="Electric_green")), $B$6, 1)*$D50*$C50</f>
        <v>0</v>
      </c>
    </row>
    <row r="51" spans="1:25" ht="14" customHeight="1" x14ac:dyDescent="0.35">
      <c r="A51" s="399"/>
      <c r="B51" s="154" t="str">
        <f>Input!A50</f>
        <v>Filler 2</v>
      </c>
      <c r="C51" s="158">
        <f>+Input!B50</f>
        <v>0</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298</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299</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261</v>
      </c>
      <c r="B56" s="154" t="str">
        <f>Input!A55</f>
        <v>Additive 1</v>
      </c>
      <c r="C56" s="158">
        <f>+Input!B55</f>
        <v>3.3E-3</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0</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343</v>
      </c>
      <c r="B59" s="406"/>
      <c r="C59" s="406"/>
      <c r="D59" s="406"/>
      <c r="E59" s="406"/>
      <c r="F59" s="406"/>
      <c r="G59" s="140">
        <f t="shared" ref="G59:Y59" si="1">SUM(G40:G58)</f>
        <v>0</v>
      </c>
      <c r="H59" s="140">
        <f t="shared" si="1"/>
        <v>0</v>
      </c>
      <c r="I59" s="140">
        <f t="shared" si="1"/>
        <v>0</v>
      </c>
      <c r="J59" s="140">
        <f t="shared" si="1"/>
        <v>0</v>
      </c>
      <c r="K59" s="140">
        <f t="shared" si="1"/>
        <v>0</v>
      </c>
      <c r="L59" s="140">
        <f t="shared" si="1"/>
        <v>0</v>
      </c>
      <c r="M59" s="140">
        <f t="shared" si="1"/>
        <v>0</v>
      </c>
      <c r="N59" s="140">
        <f t="shared" si="1"/>
        <v>0</v>
      </c>
      <c r="O59" s="140">
        <f t="shared" si="1"/>
        <v>0</v>
      </c>
      <c r="P59" s="140">
        <f t="shared" si="1"/>
        <v>0</v>
      </c>
      <c r="Q59" s="140">
        <f t="shared" si="1"/>
        <v>0</v>
      </c>
      <c r="R59" s="140">
        <f t="shared" si="1"/>
        <v>0</v>
      </c>
      <c r="S59" s="140">
        <f t="shared" si="1"/>
        <v>0</v>
      </c>
      <c r="T59" s="140">
        <f t="shared" si="1"/>
        <v>0</v>
      </c>
      <c r="U59" s="140">
        <f t="shared" si="1"/>
        <v>0</v>
      </c>
      <c r="V59" s="140">
        <f t="shared" si="1"/>
        <v>0</v>
      </c>
      <c r="W59" s="140">
        <f t="shared" si="1"/>
        <v>0</v>
      </c>
      <c r="X59" s="140">
        <f t="shared" si="1"/>
        <v>0</v>
      </c>
      <c r="Y59" s="140">
        <f t="shared" si="1"/>
        <v>0</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344</v>
      </c>
    </row>
    <row r="64" spans="1:25" ht="101.5" x14ac:dyDescent="0.35">
      <c r="A64" s="104" t="s">
        <v>276</v>
      </c>
      <c r="B64" s="104" t="s">
        <v>277</v>
      </c>
      <c r="C64" s="103" t="s">
        <v>278</v>
      </c>
      <c r="D64" s="103" t="s">
        <v>56</v>
      </c>
      <c r="E64" s="103" t="s">
        <v>339</v>
      </c>
      <c r="F64" s="103" t="s">
        <v>340</v>
      </c>
      <c r="G64" s="103" t="s">
        <v>279</v>
      </c>
      <c r="H64" s="103" t="s">
        <v>280</v>
      </c>
      <c r="I64" s="103" t="s">
        <v>281</v>
      </c>
      <c r="J64" s="103" t="s">
        <v>282</v>
      </c>
      <c r="K64" s="103" t="s">
        <v>283</v>
      </c>
      <c r="L64" s="103" t="s">
        <v>284</v>
      </c>
      <c r="M64" s="103" t="s">
        <v>285</v>
      </c>
      <c r="N64" s="103" t="s">
        <v>286</v>
      </c>
      <c r="O64" s="103" t="s">
        <v>287</v>
      </c>
      <c r="P64" s="103" t="s">
        <v>288</v>
      </c>
      <c r="Q64" s="103" t="s">
        <v>289</v>
      </c>
      <c r="R64" s="103" t="s">
        <v>290</v>
      </c>
      <c r="S64" s="103" t="s">
        <v>291</v>
      </c>
      <c r="T64" s="103" t="s">
        <v>292</v>
      </c>
      <c r="U64" s="103" t="s">
        <v>293</v>
      </c>
      <c r="V64" s="103" t="s">
        <v>294</v>
      </c>
      <c r="W64" s="103" t="s">
        <v>295</v>
      </c>
      <c r="X64" s="103" t="s">
        <v>296</v>
      </c>
      <c r="Y64" s="103" t="s">
        <v>297</v>
      </c>
    </row>
    <row r="65" spans="1:25" x14ac:dyDescent="0.35">
      <c r="A65" s="6" t="s">
        <v>266</v>
      </c>
      <c r="B65" s="154" t="str">
        <f>Input!A39</f>
        <v>Virgin binder</v>
      </c>
      <c r="C65" s="154">
        <f>+Input!B39</f>
        <v>2.2159999999999999E-2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211</v>
      </c>
      <c r="B66" s="154" t="str">
        <f>Input!A40</f>
        <v>Virgin crushed coarse aggregate 1 (&gt;2 mm)</v>
      </c>
      <c r="C66" s="154">
        <f>+Input!B40</f>
        <v>6.0999999999999999E-2</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0.10199999999999999</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0.35299999999999998</v>
      </c>
      <c r="D68" s="154">
        <f>Input!$R42</f>
        <v>0</v>
      </c>
      <c r="E68" s="154" t="str">
        <f>Input!$P42</f>
        <v>No</v>
      </c>
      <c r="F68" s="154" t="str">
        <f>Input!$Q42</f>
        <v>No</v>
      </c>
      <c r="G68" s="154" cm="1">
        <f t="array" ref="G68">INDEX(LCI!H$2:H$73,MATCH($E68&amp;$F68,LCI!$B$2:$B$73&amp;LCI!$D$2:$D$73,0))*IF(AND($E68="Truck", OR($F68="Electric", $F68="Electric_green")), $B$6, 1)*$D68*$C68</f>
        <v>0</v>
      </c>
      <c r="H68" s="154" cm="1">
        <f t="array" ref="H68">INDEX(LCI!I$2:I$73,MATCH($E68&amp;$F68,LCI!$B$2:$B$73&amp;LCI!$D$2:$D$73,0))*IF(AND($E68="Truck", OR($F68="Electric", $F68="Electric_green")), $B$6, 1)*$D68*$C68</f>
        <v>0</v>
      </c>
      <c r="I68" s="154" cm="1">
        <f t="array" ref="I68">INDEX(LCI!J$2:J$73,MATCH($E68&amp;$F68,LCI!$B$2:$B$73&amp;LCI!$D$2:$D$73,0))*IF(AND($E68="Truck", OR($F68="Electric", $F68="Electric_green")), $B$6, 1)*$D68*$C68</f>
        <v>0</v>
      </c>
      <c r="J68" s="154" cm="1">
        <f t="array" ref="J68">INDEX(LCI!K$2:K$73,MATCH($E68&amp;$F68,LCI!$B$2:$B$73&amp;LCI!$D$2:$D$73,0))*IF(AND($E68="Truck", OR($F68="Electric", $F68="Electric_green")), $B$6, 1)*$D68*$C68</f>
        <v>0</v>
      </c>
      <c r="K68" s="154" cm="1">
        <f t="array" ref="K68">INDEX(LCI!L$2:L$73,MATCH($E68&amp;$F68,LCI!$B$2:$B$73&amp;LCI!$D$2:$D$73,0))*IF(AND($E68="Truck", OR($F68="Electric", $F68="Electric_green")), $B$6, 1)*$D68*$C68</f>
        <v>0</v>
      </c>
      <c r="L68" s="154" cm="1">
        <f t="array" ref="L68">INDEX(LCI!M$2:M$73,MATCH($E68&amp;$F68,LCI!$B$2:$B$73&amp;LCI!$D$2:$D$73,0))*IF(AND($E68="Truck", OR($F68="Electric", $F68="Electric_green")), $B$6, 1)*$D68*$C68</f>
        <v>0</v>
      </c>
      <c r="M68" s="154" cm="1">
        <f t="array" ref="M68">INDEX(LCI!N$2:N$73,MATCH($E68&amp;$F68,LCI!$B$2:$B$73&amp;LCI!$D$2:$D$73,0))*IF(AND($E68="Truck", OR($F68="Electric", $F68="Electric_green")), $B$6, 1)*$D68*$C68</f>
        <v>0</v>
      </c>
      <c r="N68" s="154" cm="1">
        <f t="array" ref="N68">INDEX(LCI!O$2:O$73,MATCH($E68&amp;$F68,LCI!$B$2:$B$73&amp;LCI!$D$2:$D$73,0))*IF(AND($E68="Truck", OR($F68="Electric", $F68="Electric_green")), $B$6, 1)*$D68*$C68</f>
        <v>0</v>
      </c>
      <c r="O68" s="154" cm="1">
        <f t="array" ref="O68">INDEX(LCI!P$2:P$73,MATCH($E68&amp;$F68,LCI!$B$2:$B$73&amp;LCI!$D$2:$D$73,0))*IF(AND($E68="Truck", OR($F68="Electric", $F68="Electric_green")), $B$6, 1)*$D68*$C68</f>
        <v>0</v>
      </c>
      <c r="P68" s="154" cm="1">
        <f t="array" ref="P68">INDEX(LCI!Q$2:Q$73,MATCH($E68&amp;$F68,LCI!$B$2:$B$73&amp;LCI!$D$2:$D$73,0))*IF(AND($E68="Truck", OR($F68="Electric", $F68="Electric_green")), $B$6, 1)*$D68*$C68</f>
        <v>0</v>
      </c>
      <c r="Q68" s="154" cm="1">
        <f t="array" ref="Q68">INDEX(LCI!R$2:R$73,MATCH($E68&amp;$F68,LCI!$B$2:$B$73&amp;LCI!$D$2:$D$73,0))*IF(AND($E68="Truck", OR($F68="Electric", $F68="Electric_green")), $B$6, 1)*$D68*$C68</f>
        <v>0</v>
      </c>
      <c r="R68" s="154" cm="1">
        <f t="array" ref="R68">INDEX(LCI!S$2:S$73,MATCH($E68&amp;$F68,LCI!$B$2:$B$73&amp;LCI!$D$2:$D$73,0))*IF(AND($E68="Truck", OR($F68="Electric", $F68="Electric_green")), $B$6, 1)*$D68*$C68</f>
        <v>0</v>
      </c>
      <c r="S68" s="154" cm="1">
        <f t="array" ref="S68">INDEX(LCI!T$2:T$73,MATCH($E68&amp;$F68,LCI!$B$2:$B$73&amp;LCI!$D$2:$D$73,0))*IF(AND($E68="Truck", OR($F68="Electric", $F68="Electric_green")), $B$6, 1)*$D68*$C68</f>
        <v>0</v>
      </c>
      <c r="T68" s="154" cm="1">
        <f t="array" ref="T68">INDEX(LCI!U$2:U$73,MATCH($E68&amp;$F68,LCI!$B$2:$B$73&amp;LCI!$D$2:$D$73,0))*IF(AND($E68="Truck", OR($F68="Electric", $F68="Electric_green")), $B$6, 1)*$D68*$C68</f>
        <v>0</v>
      </c>
      <c r="U68" s="154" cm="1">
        <f t="array" ref="U68">INDEX(LCI!V$2:V$73,MATCH($E68&amp;$F68,LCI!$B$2:$B$73&amp;LCI!$D$2:$D$73,0))*IF(AND($E68="Truck", OR($F68="Electric", $F68="Electric_green")), $B$6, 1)*$D68*$C68</f>
        <v>0</v>
      </c>
      <c r="V68" s="154" cm="1">
        <f t="array" ref="V68">INDEX(LCI!W$2:W$73,MATCH($E68&amp;$F68,LCI!$B$2:$B$73&amp;LCI!$D$2:$D$73,0))*IF(AND($E68="Truck", OR($F68="Electric", $F68="Electric_green")), $B$6, 1)*$D68*$C68</f>
        <v>0</v>
      </c>
      <c r="W68" s="154" cm="1">
        <f t="array" ref="W68">INDEX(LCI!X$2:X$73,MATCH($E68&amp;$F68,LCI!$B$2:$B$73&amp;LCI!$D$2:$D$73,0))*IF(AND($E68="Truck", OR($F68="Electric", $F68="Electric_green")), $B$6, 1)*$D68*$C68</f>
        <v>0</v>
      </c>
      <c r="X68" s="154" cm="1">
        <f t="array" ref="X68">INDEX(LCI!Y$2:Y$73,MATCH($E68&amp;$F68,LCI!$B$2:$B$73&amp;LCI!$D$2:$D$73,0))*IF(AND($E68="Truck", OR($F68="Electric", $F68="Electric_green")), $B$6, 1)*$D68*$C68</f>
        <v>0</v>
      </c>
      <c r="Y68" s="154" cm="1">
        <f t="array" ref="Y68">INDEX(LCI!Z$2:Z$73,MATCH($E68&amp;$F68,LCI!$B$2:$B$73&amp;LCI!$D$2:$D$73,0))*IF(AND($E68="Truck", OR($F68="Electric", $F68="Electric_green")), $B$6, 1)*$D68*$C68</f>
        <v>0</v>
      </c>
    </row>
    <row r="69" spans="1:25" x14ac:dyDescent="0.35">
      <c r="A69" s="396"/>
      <c r="B69" s="154" t="str">
        <f>Input!A43</f>
        <v>Virgin crushed fine aggregate 1 (≤2 mm)</v>
      </c>
      <c r="C69" s="154">
        <f>+Input!B43</f>
        <v>0</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0.153</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212</v>
      </c>
      <c r="B75" s="154" t="str">
        <f>Input!A49</f>
        <v>Filler 1</v>
      </c>
      <c r="C75" s="154">
        <f>+Input!B49</f>
        <v>5.4999999999999997E-3</v>
      </c>
      <c r="D75" s="154">
        <f>Input!$R49</f>
        <v>0</v>
      </c>
      <c r="E75" s="154" t="str">
        <f>Input!$P49</f>
        <v>No</v>
      </c>
      <c r="F75" s="154" t="str">
        <f>Input!$Q49</f>
        <v>No</v>
      </c>
      <c r="G75" s="154" cm="1">
        <f t="array" ref="G75">INDEX(LCI!H$2:H$73,MATCH($E75&amp;$F75,LCI!$B$2:$B$73&amp;LCI!$D$2:$D$73,0))*IF(AND($E75="Truck", OR($F75="Electric", $F75="Electric_green")), $B$6, 1)*$D75*$C75</f>
        <v>0</v>
      </c>
      <c r="H75" s="154" cm="1">
        <f t="array" ref="H75">INDEX(LCI!I$2:I$73,MATCH($E75&amp;$F75,LCI!$B$2:$B$73&amp;LCI!$D$2:$D$73,0))*IF(AND($E75="Truck", OR($F75="Electric", $F75="Electric_green")), $B$6, 1)*$D75*$C75</f>
        <v>0</v>
      </c>
      <c r="I75" s="154" cm="1">
        <f t="array" ref="I75">INDEX(LCI!J$2:J$73,MATCH($E75&amp;$F75,LCI!$B$2:$B$73&amp;LCI!$D$2:$D$73,0))*IF(AND($E75="Truck", OR($F75="Electric", $F75="Electric_green")), $B$6, 1)*$D75*$C75</f>
        <v>0</v>
      </c>
      <c r="J75" s="154" cm="1">
        <f t="array" ref="J75">INDEX(LCI!K$2:K$73,MATCH($E75&amp;$F75,LCI!$B$2:$B$73&amp;LCI!$D$2:$D$73,0))*IF(AND($E75="Truck", OR($F75="Electric", $F75="Electric_green")), $B$6, 1)*$D75*$C75</f>
        <v>0</v>
      </c>
      <c r="K75" s="154" cm="1">
        <f t="array" ref="K75">INDEX(LCI!L$2:L$73,MATCH($E75&amp;$F75,LCI!$B$2:$B$73&amp;LCI!$D$2:$D$73,0))*IF(AND($E75="Truck", OR($F75="Electric", $F75="Electric_green")), $B$6, 1)*$D75*$C75</f>
        <v>0</v>
      </c>
      <c r="L75" s="154" cm="1">
        <f t="array" ref="L75">INDEX(LCI!M$2:M$73,MATCH($E75&amp;$F75,LCI!$B$2:$B$73&amp;LCI!$D$2:$D$73,0))*IF(AND($E75="Truck", OR($F75="Electric", $F75="Electric_green")), $B$6, 1)*$D75*$C75</f>
        <v>0</v>
      </c>
      <c r="M75" s="154" cm="1">
        <f t="array" ref="M75">INDEX(LCI!N$2:N$73,MATCH($E75&amp;$F75,LCI!$B$2:$B$73&amp;LCI!$D$2:$D$73,0))*IF(AND($E75="Truck", OR($F75="Electric", $F75="Electric_green")), $B$6, 1)*$D75*$C75</f>
        <v>0</v>
      </c>
      <c r="N75" s="154" cm="1">
        <f t="array" ref="N75">INDEX(LCI!O$2:O$73,MATCH($E75&amp;$F75,LCI!$B$2:$B$73&amp;LCI!$D$2:$D$73,0))*IF(AND($E75="Truck", OR($F75="Electric", $F75="Electric_green")), $B$6, 1)*$D75*$C75</f>
        <v>0</v>
      </c>
      <c r="O75" s="154" cm="1">
        <f t="array" ref="O75">INDEX(LCI!P$2:P$73,MATCH($E75&amp;$F75,LCI!$B$2:$B$73&amp;LCI!$D$2:$D$73,0))*IF(AND($E75="Truck", OR($F75="Electric", $F75="Electric_green")), $B$6, 1)*$D75*$C75</f>
        <v>0</v>
      </c>
      <c r="P75" s="154" cm="1">
        <f t="array" ref="P75">INDEX(LCI!Q$2:Q$73,MATCH($E75&amp;$F75,LCI!$B$2:$B$73&amp;LCI!$D$2:$D$73,0))*IF(AND($E75="Truck", OR($F75="Electric", $F75="Electric_green")), $B$6, 1)*$D75*$C75</f>
        <v>0</v>
      </c>
      <c r="Q75" s="154" cm="1">
        <f t="array" ref="Q75">INDEX(LCI!R$2:R$73,MATCH($E75&amp;$F75,LCI!$B$2:$B$73&amp;LCI!$D$2:$D$73,0))*IF(AND($E75="Truck", OR($F75="Electric", $F75="Electric_green")), $B$6, 1)*$D75*$C75</f>
        <v>0</v>
      </c>
      <c r="R75" s="154" cm="1">
        <f t="array" ref="R75">INDEX(LCI!S$2:S$73,MATCH($E75&amp;$F75,LCI!$B$2:$B$73&amp;LCI!$D$2:$D$73,0))*IF(AND($E75="Truck", OR($F75="Electric", $F75="Electric_green")), $B$6, 1)*$D75*$C75</f>
        <v>0</v>
      </c>
      <c r="S75" s="154" cm="1">
        <f t="array" ref="S75">INDEX(LCI!T$2:T$73,MATCH($E75&amp;$F75,LCI!$B$2:$B$73&amp;LCI!$D$2:$D$73,0))*IF(AND($E75="Truck", OR($F75="Electric", $F75="Electric_green")), $B$6, 1)*$D75*$C75</f>
        <v>0</v>
      </c>
      <c r="T75" s="154" cm="1">
        <f t="array" ref="T75">INDEX(LCI!U$2:U$73,MATCH($E75&amp;$F75,LCI!$B$2:$B$73&amp;LCI!$D$2:$D$73,0))*IF(AND($E75="Truck", OR($F75="Electric", $F75="Electric_green")), $B$6, 1)*$D75*$C75</f>
        <v>0</v>
      </c>
      <c r="U75" s="154" cm="1">
        <f t="array" ref="U75">INDEX(LCI!V$2:V$73,MATCH($E75&amp;$F75,LCI!$B$2:$B$73&amp;LCI!$D$2:$D$73,0))*IF(AND($E75="Truck", OR($F75="Electric", $F75="Electric_green")), $B$6, 1)*$D75*$C75</f>
        <v>0</v>
      </c>
      <c r="V75" s="154" cm="1">
        <f t="array" ref="V75">INDEX(LCI!W$2:W$73,MATCH($E75&amp;$F75,LCI!$B$2:$B$73&amp;LCI!$D$2:$D$73,0))*IF(AND($E75="Truck", OR($F75="Electric", $F75="Electric_green")), $B$6, 1)*$D75*$C75</f>
        <v>0</v>
      </c>
      <c r="W75" s="154" cm="1">
        <f t="array" ref="W75">INDEX(LCI!X$2:X$73,MATCH($E75&amp;$F75,LCI!$B$2:$B$73&amp;LCI!$D$2:$D$73,0))*IF(AND($E75="Truck", OR($F75="Electric", $F75="Electric_green")), $B$6, 1)*$D75*$C75</f>
        <v>0</v>
      </c>
      <c r="X75" s="154" cm="1">
        <f t="array" ref="X75">INDEX(LCI!Y$2:Y$73,MATCH($E75&amp;$F75,LCI!$B$2:$B$73&amp;LCI!$D$2:$D$73,0))*IF(AND($E75="Truck", OR($F75="Electric", $F75="Electric_green")), $B$6, 1)*$D75*$C75</f>
        <v>0</v>
      </c>
      <c r="Y75" s="154" cm="1">
        <f t="array" ref="Y75">INDEX(LCI!Z$2:Z$73,MATCH($E75&amp;$F75,LCI!$B$2:$B$73&amp;LCI!$D$2:$D$73,0))*IF(AND($E75="Truck", OR($F75="Electric", $F75="Electric_green")), $B$6, 1)*$D75*$C75</f>
        <v>0</v>
      </c>
    </row>
    <row r="76" spans="1:25" ht="14" customHeight="1" x14ac:dyDescent="0.35">
      <c r="A76" s="399"/>
      <c r="B76" s="154" t="str">
        <f>Input!A50</f>
        <v>Filler 2</v>
      </c>
      <c r="C76" s="154">
        <f>+Input!B50</f>
        <v>0</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298</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299</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261</v>
      </c>
      <c r="B81" s="154" t="str">
        <f>Input!A55</f>
        <v>Additive 1</v>
      </c>
      <c r="C81" s="154">
        <f>+Input!B55</f>
        <v>3.3E-3</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0</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1018</v>
      </c>
      <c r="B84" s="406"/>
      <c r="C84" s="406"/>
      <c r="D84" s="406"/>
      <c r="E84" s="406"/>
      <c r="F84" s="406"/>
      <c r="G84" s="139">
        <f t="shared" ref="G84:Y84" si="2">SUM(G65:G83)</f>
        <v>0</v>
      </c>
      <c r="H84" s="139">
        <f t="shared" si="2"/>
        <v>0</v>
      </c>
      <c r="I84" s="139">
        <f t="shared" si="2"/>
        <v>0</v>
      </c>
      <c r="J84" s="139">
        <f t="shared" si="2"/>
        <v>0</v>
      </c>
      <c r="K84" s="139">
        <f t="shared" si="2"/>
        <v>0</v>
      </c>
      <c r="L84" s="139">
        <f t="shared" si="2"/>
        <v>0</v>
      </c>
      <c r="M84" s="139">
        <f t="shared" si="2"/>
        <v>0</v>
      </c>
      <c r="N84" s="139">
        <f t="shared" si="2"/>
        <v>0</v>
      </c>
      <c r="O84" s="139">
        <f t="shared" si="2"/>
        <v>0</v>
      </c>
      <c r="P84" s="139">
        <f t="shared" si="2"/>
        <v>0</v>
      </c>
      <c r="Q84" s="139">
        <f t="shared" si="2"/>
        <v>0</v>
      </c>
      <c r="R84" s="139">
        <f t="shared" si="2"/>
        <v>0</v>
      </c>
      <c r="S84" s="139">
        <f t="shared" si="2"/>
        <v>0</v>
      </c>
      <c r="T84" s="139">
        <f t="shared" si="2"/>
        <v>0</v>
      </c>
      <c r="U84" s="139">
        <f t="shared" si="2"/>
        <v>0</v>
      </c>
      <c r="V84" s="139">
        <f t="shared" si="2"/>
        <v>0</v>
      </c>
      <c r="W84" s="139">
        <f t="shared" si="2"/>
        <v>0</v>
      </c>
      <c r="X84" s="139">
        <f t="shared" si="2"/>
        <v>0</v>
      </c>
      <c r="Y84" s="139">
        <f t="shared" si="2"/>
        <v>0</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345</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276</v>
      </c>
      <c r="B90" s="104" t="s">
        <v>277</v>
      </c>
      <c r="C90" s="103" t="s">
        <v>278</v>
      </c>
      <c r="D90" s="103" t="s">
        <v>56</v>
      </c>
      <c r="E90" s="103" t="s">
        <v>339</v>
      </c>
      <c r="F90" s="103" t="s">
        <v>340</v>
      </c>
      <c r="G90" s="103" t="s">
        <v>279</v>
      </c>
      <c r="H90" s="103" t="s">
        <v>280</v>
      </c>
      <c r="I90" s="103" t="s">
        <v>281</v>
      </c>
      <c r="J90" s="103" t="s">
        <v>282</v>
      </c>
      <c r="K90" s="103" t="s">
        <v>283</v>
      </c>
      <c r="L90" s="103" t="s">
        <v>284</v>
      </c>
      <c r="M90" s="103" t="s">
        <v>285</v>
      </c>
      <c r="N90" s="103" t="s">
        <v>286</v>
      </c>
      <c r="O90" s="103" t="s">
        <v>287</v>
      </c>
      <c r="P90" s="103" t="s">
        <v>288</v>
      </c>
      <c r="Q90" s="103" t="s">
        <v>289</v>
      </c>
      <c r="R90" s="103" t="s">
        <v>290</v>
      </c>
      <c r="S90" s="103" t="s">
        <v>291</v>
      </c>
      <c r="T90" s="103" t="s">
        <v>292</v>
      </c>
      <c r="U90" s="103" t="s">
        <v>293</v>
      </c>
      <c r="V90" s="103" t="s">
        <v>294</v>
      </c>
      <c r="W90" s="103" t="s">
        <v>295</v>
      </c>
      <c r="X90" s="103" t="s">
        <v>296</v>
      </c>
      <c r="Y90" s="103" t="s">
        <v>297</v>
      </c>
    </row>
    <row r="91" spans="1:25" x14ac:dyDescent="0.35">
      <c r="A91" s="6" t="s">
        <v>266</v>
      </c>
      <c r="B91" s="1" t="str">
        <f>Input!A39</f>
        <v>Virgin binder</v>
      </c>
      <c r="C91" s="154">
        <f>+Input!B39</f>
        <v>2.2159999999999999E-2</v>
      </c>
      <c r="D91" s="158">
        <f t="shared" ref="D91:D102" si="3">D15+D40+D65</f>
        <v>261.62</v>
      </c>
      <c r="E91" s="154" t="s">
        <v>346</v>
      </c>
      <c r="F91" s="154" t="s">
        <v>346</v>
      </c>
      <c r="G91" s="154">
        <f t="shared" ref="G91:Y91" si="4">G15+G40+G65</f>
        <v>1.3723956056223999E-3</v>
      </c>
      <c r="H91" s="154">
        <f t="shared" si="4"/>
        <v>0.9203231930566127</v>
      </c>
      <c r="I91" s="154">
        <f t="shared" si="4"/>
        <v>4.3011820489776E-4</v>
      </c>
      <c r="J91" s="154">
        <f t="shared" si="4"/>
        <v>0.91981987156856637</v>
      </c>
      <c r="K91" s="154">
        <f t="shared" si="4"/>
        <v>7.3202123648800002E-5</v>
      </c>
      <c r="L91" s="154">
        <f t="shared" si="4"/>
        <v>0.79045393525234076</v>
      </c>
      <c r="M91" s="154">
        <f t="shared" si="4"/>
        <v>12.386593346867391</v>
      </c>
      <c r="N91" s="154">
        <f t="shared" si="4"/>
        <v>2.1466342312848E-5</v>
      </c>
      <c r="O91" s="154">
        <f t="shared" si="4"/>
        <v>2.9913472572224001E-4</v>
      </c>
      <c r="P91" s="154">
        <f t="shared" si="4"/>
        <v>3.2378627207056E-3</v>
      </c>
      <c r="Q91" s="154">
        <f t="shared" si="4"/>
        <v>8.1569074494239994E-11</v>
      </c>
      <c r="R91" s="154">
        <f t="shared" si="4"/>
        <v>6.6368611341760007E-9</v>
      </c>
      <c r="S91" s="154">
        <f t="shared" si="4"/>
        <v>5.6166520099551996E-3</v>
      </c>
      <c r="T91" s="154">
        <f t="shared" si="4"/>
        <v>0.78130875710178882</v>
      </c>
      <c r="U91" s="154">
        <f t="shared" si="4"/>
        <v>1.0153566173903999E-6</v>
      </c>
      <c r="V91" s="154">
        <f t="shared" si="4"/>
        <v>2.0464128626144001E-8</v>
      </c>
      <c r="W91" s="154">
        <f t="shared" si="4"/>
        <v>5.7044899203343993E-8</v>
      </c>
      <c r="X91" s="154">
        <f t="shared" si="4"/>
        <v>2.3927206798272003E-3</v>
      </c>
      <c r="Y91" s="154">
        <f t="shared" si="4"/>
        <v>2.8211726834548801E-2</v>
      </c>
    </row>
    <row r="92" spans="1:25" ht="14" customHeight="1" x14ac:dyDescent="0.35">
      <c r="A92" s="395" t="s">
        <v>211</v>
      </c>
      <c r="B92" s="1" t="str">
        <f>Input!A40</f>
        <v>Virgin crushed coarse aggregate 1 (&gt;2 mm)</v>
      </c>
      <c r="C92" s="154">
        <f>+Input!B40</f>
        <v>6.0999999999999999E-2</v>
      </c>
      <c r="D92" s="158">
        <f t="shared" si="3"/>
        <v>114.54</v>
      </c>
      <c r="E92" s="154" t="s">
        <v>346</v>
      </c>
      <c r="F92" s="154" t="s">
        <v>346</v>
      </c>
      <c r="G92" s="154">
        <f t="shared" ref="G92:Y92" si="5">G16+G41+G66</f>
        <v>1.6539624106800001E-3</v>
      </c>
      <c r="H92" s="154">
        <f t="shared" si="5"/>
        <v>1.10914080514146</v>
      </c>
      <c r="I92" s="154">
        <f t="shared" si="5"/>
        <v>5.1836317468199997E-4</v>
      </c>
      <c r="J92" s="154">
        <f t="shared" si="5"/>
        <v>1.1085342199714801</v>
      </c>
      <c r="K92" s="154">
        <f t="shared" si="5"/>
        <v>8.822059791E-5</v>
      </c>
      <c r="L92" s="154">
        <f t="shared" si="5"/>
        <v>0.95262699102605986</v>
      </c>
      <c r="M92" s="154">
        <f t="shared" si="5"/>
        <v>14.927882097674399</v>
      </c>
      <c r="N92" s="154">
        <f t="shared" si="5"/>
        <v>2.5870472868600001E-5</v>
      </c>
      <c r="O92" s="154">
        <f t="shared" si="5"/>
        <v>3.6050654056800005E-4</v>
      </c>
      <c r="P92" s="154">
        <f t="shared" si="5"/>
        <v>3.9021570814200004E-3</v>
      </c>
      <c r="Q92" s="154">
        <f t="shared" si="5"/>
        <v>9.8304149718000006E-11</v>
      </c>
      <c r="R92" s="154">
        <f t="shared" si="5"/>
        <v>7.9985091732E-9</v>
      </c>
      <c r="S92" s="154">
        <f t="shared" si="5"/>
        <v>6.7689893936400004E-3</v>
      </c>
      <c r="T92" s="154">
        <f t="shared" si="5"/>
        <v>0.94160554732716006</v>
      </c>
      <c r="U92" s="154">
        <f t="shared" si="5"/>
        <v>1.2236717107799999E-6</v>
      </c>
      <c r="V92" s="154">
        <f t="shared" si="5"/>
        <v>2.4662640550800004E-8</v>
      </c>
      <c r="W92" s="154">
        <f t="shared" si="5"/>
        <v>6.87484852158E-8</v>
      </c>
      <c r="X92" s="154">
        <f t="shared" si="5"/>
        <v>2.8836219290399997E-3</v>
      </c>
      <c r="Y92" s="154">
        <f t="shared" si="5"/>
        <v>3.3999770571660003E-2</v>
      </c>
    </row>
    <row r="93" spans="1:25" ht="14" customHeight="1" x14ac:dyDescent="0.35">
      <c r="A93" s="396"/>
      <c r="B93" s="1" t="str">
        <f>Input!A41</f>
        <v>Virgin crushed coarse aggregate 2 (&gt;2 mm)</v>
      </c>
      <c r="C93" s="154">
        <f>+Input!B41</f>
        <v>0.10199999999999999</v>
      </c>
      <c r="D93" s="158">
        <f t="shared" si="3"/>
        <v>50.91</v>
      </c>
      <c r="E93" s="154" t="s">
        <v>346</v>
      </c>
      <c r="F93" s="154" t="s">
        <v>346</v>
      </c>
      <c r="G93" s="154">
        <f t="shared" ref="G93:Y93" si="6">G17+G42+G67</f>
        <v>2.297718526668254E-3</v>
      </c>
      <c r="H93" s="154">
        <f t="shared" si="6"/>
        <v>0.26190059793315229</v>
      </c>
      <c r="I93" s="154">
        <f t="shared" si="6"/>
        <v>7.2138734852998581E-5</v>
      </c>
      <c r="J93" s="154">
        <f t="shared" si="6"/>
        <v>0.26158555419831681</v>
      </c>
      <c r="K93" s="154">
        <f t="shared" si="6"/>
        <v>2.4290499998249384E-4</v>
      </c>
      <c r="L93" s="154">
        <f t="shared" si="6"/>
        <v>0.26515691587426826</v>
      </c>
      <c r="M93" s="154">
        <f t="shared" si="6"/>
        <v>3.212436841507297</v>
      </c>
      <c r="N93" s="154">
        <f t="shared" si="6"/>
        <v>2.3616109793515238E-5</v>
      </c>
      <c r="O93" s="154">
        <f t="shared" si="6"/>
        <v>1.0417028069120895E-3</v>
      </c>
      <c r="P93" s="154">
        <f t="shared" si="6"/>
        <v>1.1389811255470939E-2</v>
      </c>
      <c r="Q93" s="154">
        <f t="shared" si="6"/>
        <v>3.5355823048434585E-11</v>
      </c>
      <c r="R93" s="154">
        <f t="shared" si="6"/>
        <v>7.8088343677663526E-10</v>
      </c>
      <c r="S93" s="154">
        <f t="shared" si="6"/>
        <v>8.7873262829506003E-3</v>
      </c>
      <c r="T93" s="154">
        <f t="shared" si="6"/>
        <v>2.1441851910635874</v>
      </c>
      <c r="U93" s="154">
        <f t="shared" si="6"/>
        <v>3.6083713799714019E-7</v>
      </c>
      <c r="V93" s="154">
        <f t="shared" si="6"/>
        <v>4.8488568522340386E-9</v>
      </c>
      <c r="W93" s="154">
        <f t="shared" si="6"/>
        <v>5.5297484714204754E-9</v>
      </c>
      <c r="X93" s="154">
        <f t="shared" si="6"/>
        <v>3.184382162361343E-3</v>
      </c>
      <c r="Y93" s="154">
        <f t="shared" si="6"/>
        <v>2.4836553016510714E-2</v>
      </c>
    </row>
    <row r="94" spans="1:25" ht="14" customHeight="1" x14ac:dyDescent="0.35">
      <c r="A94" s="396"/>
      <c r="B94" s="1" t="str">
        <f>Input!A42</f>
        <v>Virgin crushed coarse aggregate 3 (&gt;2 mm)</v>
      </c>
      <c r="C94" s="154">
        <f>+Input!B42</f>
        <v>0.35299999999999998</v>
      </c>
      <c r="D94" s="158">
        <f t="shared" si="3"/>
        <v>188.2</v>
      </c>
      <c r="E94" s="154" t="s">
        <v>346</v>
      </c>
      <c r="F94" s="154" t="s">
        <v>346</v>
      </c>
      <c r="G94" s="154">
        <f t="shared" ref="G94:Y94" si="7">G18+G43+G68</f>
        <v>1.5726531381199997E-2</v>
      </c>
      <c r="H94" s="154">
        <f t="shared" si="7"/>
        <v>10.546151209721398</v>
      </c>
      <c r="I94" s="154">
        <f t="shared" si="7"/>
        <v>4.9288029043799992E-3</v>
      </c>
      <c r="J94" s="154">
        <f t="shared" si="7"/>
        <v>10.540383557053199</v>
      </c>
      <c r="K94" s="154">
        <f t="shared" si="7"/>
        <v>8.3883647689999999E-4</v>
      </c>
      <c r="L94" s="154">
        <f t="shared" si="7"/>
        <v>9.0579557142353977</v>
      </c>
      <c r="M94" s="154">
        <f t="shared" si="7"/>
        <v>141.94023077429597</v>
      </c>
      <c r="N94" s="154">
        <f t="shared" si="7"/>
        <v>2.4598672907399997E-4</v>
      </c>
      <c r="O94" s="154">
        <f t="shared" si="7"/>
        <v>3.4278393431199992E-3</v>
      </c>
      <c r="P94" s="154">
        <f t="shared" si="7"/>
        <v>3.7103259057799994E-2</v>
      </c>
      <c r="Q94" s="154">
        <f t="shared" si="7"/>
        <v>9.3471489161999977E-10</v>
      </c>
      <c r="R94" s="154">
        <f t="shared" si="7"/>
        <v>7.6053001388000001E-8</v>
      </c>
      <c r="S94" s="154">
        <f t="shared" si="7"/>
        <v>6.4362239087599998E-2</v>
      </c>
      <c r="T94" s="154">
        <f t="shared" si="7"/>
        <v>8.9531594509843995</v>
      </c>
      <c r="U94" s="154">
        <f t="shared" si="7"/>
        <v>1.1635156540199998E-5</v>
      </c>
      <c r="V94" s="154">
        <f t="shared" si="7"/>
        <v>2.3450217977199999E-7</v>
      </c>
      <c r="W94" s="154">
        <f t="shared" si="7"/>
        <v>6.5368789712199987E-7</v>
      </c>
      <c r="X94" s="154">
        <f t="shared" si="7"/>
        <v>2.7418622373599995E-2</v>
      </c>
      <c r="Y94" s="154">
        <f t="shared" si="7"/>
        <v>0.32328331973939994</v>
      </c>
    </row>
    <row r="95" spans="1:25" ht="14" customHeight="1" x14ac:dyDescent="0.35">
      <c r="A95" s="396"/>
      <c r="B95" s="1" t="str">
        <f>Input!A43</f>
        <v>Virgin crushed fine aggregate 1 (≤2 mm)</v>
      </c>
      <c r="C95" s="154">
        <f>+Input!B43</f>
        <v>0</v>
      </c>
      <c r="D95" s="158">
        <f t="shared" si="3"/>
        <v>0</v>
      </c>
      <c r="E95" s="154" t="s">
        <v>346</v>
      </c>
      <c r="F95" s="154" t="s">
        <v>346</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346</v>
      </c>
      <c r="F96" s="154" t="s">
        <v>346</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346</v>
      </c>
      <c r="F97" s="154" t="s">
        <v>346</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0.153</v>
      </c>
      <c r="D98" s="158">
        <f t="shared" si="3"/>
        <v>44.35</v>
      </c>
      <c r="E98" s="154" t="s">
        <v>346</v>
      </c>
      <c r="F98" s="154" t="s">
        <v>346</v>
      </c>
      <c r="G98" s="154">
        <f t="shared" ref="G98:Y98" si="11">G22+G47+G72</f>
        <v>3.0024695538520062E-3</v>
      </c>
      <c r="H98" s="154">
        <f t="shared" si="11"/>
        <v>0.34223015669815277</v>
      </c>
      <c r="I98" s="154">
        <f t="shared" si="11"/>
        <v>9.4264964370373817E-5</v>
      </c>
      <c r="J98" s="154">
        <f t="shared" si="11"/>
        <v>0.34181848346185484</v>
      </c>
      <c r="K98" s="154">
        <f t="shared" si="11"/>
        <v>3.1740827192762536E-4</v>
      </c>
      <c r="L98" s="154">
        <f t="shared" si="11"/>
        <v>0.34648524510971707</v>
      </c>
      <c r="M98" s="154">
        <f t="shared" si="11"/>
        <v>4.1977482003785695</v>
      </c>
      <c r="N98" s="154">
        <f t="shared" si="11"/>
        <v>3.0859589550453768E-5</v>
      </c>
      <c r="O98" s="154">
        <f t="shared" si="11"/>
        <v>1.3612115346656208E-3</v>
      </c>
      <c r="P98" s="154">
        <f t="shared" si="11"/>
        <v>1.4883268390693464E-2</v>
      </c>
      <c r="Q98" s="154">
        <f t="shared" si="11"/>
        <v>4.6200081090102362E-11</v>
      </c>
      <c r="R98" s="154">
        <f t="shared" si="11"/>
        <v>1.020394237508656E-9</v>
      </c>
      <c r="S98" s="154">
        <f t="shared" si="11"/>
        <v>1.1482555116348237E-2</v>
      </c>
      <c r="T98" s="154">
        <f t="shared" si="11"/>
        <v>2.8018448209684768</v>
      </c>
      <c r="U98" s="154">
        <f t="shared" si="11"/>
        <v>4.7151228845530849E-7</v>
      </c>
      <c r="V98" s="154">
        <f t="shared" si="11"/>
        <v>6.3360872538768302E-9</v>
      </c>
      <c r="W98" s="154">
        <f t="shared" si="11"/>
        <v>7.2258204097671811E-9</v>
      </c>
      <c r="X98" s="154">
        <f t="shared" si="11"/>
        <v>4.1610886535275657E-3</v>
      </c>
      <c r="Y98" s="154">
        <f t="shared" si="11"/>
        <v>3.2454364357167066E-2</v>
      </c>
    </row>
    <row r="99" spans="1:25" ht="14" customHeight="1" x14ac:dyDescent="0.35">
      <c r="A99" s="396"/>
      <c r="B99" s="1" t="str">
        <f>Input!A47</f>
        <v>Virgin natural fine aggregate 2 (≤2 mm)</v>
      </c>
      <c r="C99" s="154">
        <f>+Input!B47</f>
        <v>0</v>
      </c>
      <c r="D99" s="158">
        <f t="shared" si="3"/>
        <v>0</v>
      </c>
      <c r="E99" s="154" t="s">
        <v>346</v>
      </c>
      <c r="F99" s="154" t="s">
        <v>346</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346</v>
      </c>
      <c r="F100" s="154" t="s">
        <v>346</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212</v>
      </c>
      <c r="B101" s="1" t="str">
        <f>Input!A49</f>
        <v>Filler 1</v>
      </c>
      <c r="C101" s="154">
        <f>+Input!B49</f>
        <v>5.4999999999999997E-3</v>
      </c>
      <c r="D101" s="158">
        <f t="shared" si="3"/>
        <v>190.35</v>
      </c>
      <c r="E101" s="154" t="s">
        <v>346</v>
      </c>
      <c r="F101" s="154" t="s">
        <v>346</v>
      </c>
      <c r="G101" s="154">
        <f t="shared" ref="G101:Y101" si="14">G25+G50+G75</f>
        <v>2.4783017985000001E-4</v>
      </c>
      <c r="H101" s="154">
        <f t="shared" si="14"/>
        <v>0.16619396150857496</v>
      </c>
      <c r="I101" s="154">
        <f t="shared" si="14"/>
        <v>7.7671679827499994E-5</v>
      </c>
      <c r="J101" s="154">
        <f t="shared" si="14"/>
        <v>0.16610307062085</v>
      </c>
      <c r="K101" s="154">
        <f t="shared" si="14"/>
        <v>1.3218998512499998E-5</v>
      </c>
      <c r="L101" s="154">
        <f t="shared" si="14"/>
        <v>0.14274188880682498</v>
      </c>
      <c r="M101" s="154">
        <f t="shared" si="14"/>
        <v>2.2367979351629996</v>
      </c>
      <c r="N101" s="154">
        <f t="shared" si="14"/>
        <v>3.8764387282499998E-6</v>
      </c>
      <c r="O101" s="154">
        <f t="shared" si="14"/>
        <v>5.4018398609999992E-5</v>
      </c>
      <c r="P101" s="154">
        <f t="shared" si="14"/>
        <v>5.8470028402499987E-4</v>
      </c>
      <c r="Q101" s="154">
        <f t="shared" si="14"/>
        <v>1.4729920672499999E-11</v>
      </c>
      <c r="R101" s="154">
        <f t="shared" si="14"/>
        <v>1.1984988015E-9</v>
      </c>
      <c r="S101" s="154">
        <f t="shared" si="14"/>
        <v>1.01426722155E-3</v>
      </c>
      <c r="T101" s="154">
        <f t="shared" si="14"/>
        <v>0.14109043266944998</v>
      </c>
      <c r="U101" s="154">
        <f t="shared" si="14"/>
        <v>1.8335530372499996E-7</v>
      </c>
      <c r="V101" s="154">
        <f t="shared" si="14"/>
        <v>3.6954568034999995E-9</v>
      </c>
      <c r="W101" s="154">
        <f t="shared" si="14"/>
        <v>1.0301291822249998E-8</v>
      </c>
      <c r="X101" s="154">
        <f t="shared" si="14"/>
        <v>4.3208269829999994E-4</v>
      </c>
      <c r="Y101" s="154">
        <f t="shared" si="14"/>
        <v>5.0945349188249991E-3</v>
      </c>
    </row>
    <row r="102" spans="1:25" ht="14" customHeight="1" x14ac:dyDescent="0.35">
      <c r="A102" s="399"/>
      <c r="B102" s="1" t="str">
        <f>Input!A50</f>
        <v>Filler 2</v>
      </c>
      <c r="C102" s="154">
        <f>+Input!B50</f>
        <v>0</v>
      </c>
      <c r="D102" s="158">
        <f t="shared" si="3"/>
        <v>0</v>
      </c>
      <c r="E102" s="154" t="s">
        <v>346</v>
      </c>
      <c r="F102" s="154" t="s">
        <v>346</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298</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299</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261</v>
      </c>
      <c r="B107" s="1" t="str">
        <f>Input!A55</f>
        <v>Additive 1</v>
      </c>
      <c r="C107" s="154">
        <f>+Input!B55</f>
        <v>3.3E-3</v>
      </c>
      <c r="D107" s="158">
        <f>D31+D56+D81</f>
        <v>1239.32</v>
      </c>
      <c r="E107" s="154" t="s">
        <v>346</v>
      </c>
      <c r="F107" s="154" t="s">
        <v>346</v>
      </c>
      <c r="G107" s="154">
        <f t="shared" ref="G107:Y107" si="16">G31+G56+G81</f>
        <v>9.68135219832E-4</v>
      </c>
      <c r="H107" s="154">
        <f t="shared" si="16"/>
        <v>0.64922773956440383</v>
      </c>
      <c r="I107" s="154">
        <f t="shared" si="16"/>
        <v>3.0342022456679999E-4</v>
      </c>
      <c r="J107" s="154">
        <f t="shared" si="16"/>
        <v>0.64887267921775194</v>
      </c>
      <c r="K107" s="154">
        <f t="shared" si="16"/>
        <v>5.1639304133999999E-5</v>
      </c>
      <c r="L107" s="154">
        <f t="shared" si="16"/>
        <v>0.55761348348644391</v>
      </c>
      <c r="M107" s="154">
        <f t="shared" si="16"/>
        <v>8.7379303924545599</v>
      </c>
      <c r="N107" s="154">
        <f t="shared" si="16"/>
        <v>1.5143098643639998E-5</v>
      </c>
      <c r="O107" s="154">
        <f t="shared" si="16"/>
        <v>2.110199582832E-4</v>
      </c>
      <c r="P107" s="154">
        <f t="shared" si="16"/>
        <v>2.284100097708E-3</v>
      </c>
      <c r="Q107" s="154">
        <f t="shared" si="16"/>
        <v>5.7541639993199993E-11</v>
      </c>
      <c r="R107" s="154">
        <f t="shared" si="16"/>
        <v>4.6818708736799992E-9</v>
      </c>
      <c r="S107" s="154">
        <f t="shared" si="16"/>
        <v>3.9621801513360002E-3</v>
      </c>
      <c r="T107" s="154">
        <f t="shared" si="16"/>
        <v>0.55116215923058398</v>
      </c>
      <c r="U107" s="154">
        <f t="shared" si="16"/>
        <v>7.1626759657199998E-7</v>
      </c>
      <c r="V107" s="154">
        <f t="shared" si="16"/>
        <v>1.4436102523919999E-8</v>
      </c>
      <c r="W107" s="154">
        <f t="shared" si="16"/>
        <v>4.0241440444919994E-8</v>
      </c>
      <c r="X107" s="154">
        <f t="shared" si="16"/>
        <v>1.6879077372959999E-3</v>
      </c>
      <c r="Y107" s="154">
        <f t="shared" si="16"/>
        <v>1.9901525659883998E-2</v>
      </c>
    </row>
    <row r="108" spans="1:25" ht="14" customHeight="1" x14ac:dyDescent="0.35">
      <c r="A108" s="401"/>
      <c r="B108" s="1" t="str">
        <f>Input!A56</f>
        <v>Additive 2</v>
      </c>
      <c r="C108" s="154">
        <f>+Input!B56</f>
        <v>0</v>
      </c>
      <c r="D108" s="158">
        <f>D32+D57+D82</f>
        <v>0</v>
      </c>
      <c r="E108" s="154" t="s">
        <v>346</v>
      </c>
      <c r="F108" s="154" t="s">
        <v>346</v>
      </c>
      <c r="G108" s="154">
        <f t="shared" ref="G108:Y108" si="17">G32+G57+G82</f>
        <v>0</v>
      </c>
      <c r="H108" s="154">
        <f t="shared" si="17"/>
        <v>0</v>
      </c>
      <c r="I108" s="154">
        <f t="shared" si="17"/>
        <v>0</v>
      </c>
      <c r="J108" s="154">
        <f t="shared" si="17"/>
        <v>0</v>
      </c>
      <c r="K108" s="154">
        <f t="shared" si="17"/>
        <v>0</v>
      </c>
      <c r="L108" s="154">
        <f t="shared" si="17"/>
        <v>0</v>
      </c>
      <c r="M108" s="154">
        <f t="shared" si="17"/>
        <v>0</v>
      </c>
      <c r="N108" s="154">
        <f t="shared" si="17"/>
        <v>0</v>
      </c>
      <c r="O108" s="154">
        <f t="shared" si="17"/>
        <v>0</v>
      </c>
      <c r="P108" s="154">
        <f t="shared" si="17"/>
        <v>0</v>
      </c>
      <c r="Q108" s="154">
        <f t="shared" si="17"/>
        <v>0</v>
      </c>
      <c r="R108" s="154">
        <f t="shared" si="17"/>
        <v>0</v>
      </c>
      <c r="S108" s="154">
        <f t="shared" si="17"/>
        <v>0</v>
      </c>
      <c r="T108" s="154">
        <f t="shared" si="17"/>
        <v>0</v>
      </c>
      <c r="U108" s="154">
        <f t="shared" si="17"/>
        <v>0</v>
      </c>
      <c r="V108" s="154">
        <f t="shared" si="17"/>
        <v>0</v>
      </c>
      <c r="W108" s="154">
        <f t="shared" si="17"/>
        <v>0</v>
      </c>
      <c r="X108" s="154">
        <f t="shared" si="17"/>
        <v>0</v>
      </c>
      <c r="Y108" s="154">
        <f t="shared" si="17"/>
        <v>0</v>
      </c>
    </row>
    <row r="109" spans="1:25" ht="14" customHeight="1" x14ac:dyDescent="0.35">
      <c r="A109" s="401"/>
      <c r="B109" s="1" t="str">
        <f>Input!A57</f>
        <v>Additive 3</v>
      </c>
      <c r="C109" s="154">
        <f>+Input!B57</f>
        <v>0</v>
      </c>
      <c r="D109" s="158">
        <f>D33+D58+D83</f>
        <v>0</v>
      </c>
      <c r="E109" s="154" t="s">
        <v>346</v>
      </c>
      <c r="F109" s="154" t="s">
        <v>346</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347</v>
      </c>
      <c r="B110" s="406"/>
      <c r="C110" s="407"/>
      <c r="D110" s="407"/>
      <c r="E110" s="407"/>
      <c r="F110" s="407"/>
      <c r="G110" s="139">
        <f t="shared" ref="G110:Y110" si="19">SUM(G91:G109)</f>
        <v>2.5269042877704657E-2</v>
      </c>
      <c r="H110" s="139">
        <f t="shared" si="19"/>
        <v>13.995167663623754</v>
      </c>
      <c r="I110" s="139">
        <f t="shared" si="19"/>
        <v>6.4247798875774311E-3</v>
      </c>
      <c r="J110" s="139">
        <f t="shared" si="19"/>
        <v>13.987117436092017</v>
      </c>
      <c r="K110" s="139">
        <f t="shared" si="19"/>
        <v>1.6254307730154192E-3</v>
      </c>
      <c r="L110" s="139">
        <f t="shared" si="19"/>
        <v>12.113034173791052</v>
      </c>
      <c r="M110" s="139">
        <f t="shared" si="19"/>
        <v>187.63961958834116</v>
      </c>
      <c r="N110" s="139">
        <f t="shared" si="19"/>
        <v>3.6681878097130698E-4</v>
      </c>
      <c r="O110" s="139">
        <f t="shared" si="19"/>
        <v>6.7554333078811502E-3</v>
      </c>
      <c r="P110" s="139">
        <f t="shared" si="19"/>
        <v>7.3385158887823015E-2</v>
      </c>
      <c r="Q110" s="139">
        <f t="shared" si="19"/>
        <v>1.2684155806364766E-9</v>
      </c>
      <c r="R110" s="139">
        <f t="shared" si="19"/>
        <v>9.8370019044841292E-8</v>
      </c>
      <c r="S110" s="139">
        <f t="shared" si="19"/>
        <v>0.10199420926338004</v>
      </c>
      <c r="T110" s="139">
        <f t="shared" si="19"/>
        <v>16.314356359345446</v>
      </c>
      <c r="U110" s="139">
        <f t="shared" si="19"/>
        <v>1.5606157195119845E-5</v>
      </c>
      <c r="V110" s="139">
        <f t="shared" si="19"/>
        <v>3.0894545238247486E-7</v>
      </c>
      <c r="W110" s="139">
        <f t="shared" si="19"/>
        <v>8.4277958268950149E-7</v>
      </c>
      <c r="X110" s="139">
        <f t="shared" si="19"/>
        <v>4.2160426233952102E-2</v>
      </c>
      <c r="Y110" s="139">
        <f t="shared" si="19"/>
        <v>0.46778179509799556</v>
      </c>
    </row>
    <row r="112" spans="1:25" x14ac:dyDescent="0.35">
      <c r="A112" t="s">
        <v>348</v>
      </c>
    </row>
    <row r="114" spans="1:28" x14ac:dyDescent="0.35">
      <c r="A114" s="32"/>
    </row>
    <row r="115" spans="1:28" ht="23.5" x14ac:dyDescent="0.55000000000000004">
      <c r="A115" s="100" t="s">
        <v>349</v>
      </c>
    </row>
    <row r="117" spans="1:28" ht="50" customHeight="1" x14ac:dyDescent="0.35">
      <c r="A117" s="104" t="s">
        <v>203</v>
      </c>
      <c r="B117" s="104" t="s">
        <v>266</v>
      </c>
      <c r="C117" s="103" t="s">
        <v>62</v>
      </c>
      <c r="D117" s="103" t="s">
        <v>65</v>
      </c>
      <c r="E117" s="103" t="s">
        <v>66</v>
      </c>
      <c r="F117" s="103" t="s">
        <v>67</v>
      </c>
      <c r="G117" s="103" t="s">
        <v>71</v>
      </c>
      <c r="H117" s="103" t="s">
        <v>72</v>
      </c>
      <c r="I117" s="103" t="s">
        <v>73</v>
      </c>
      <c r="J117" s="103" t="s">
        <v>75</v>
      </c>
      <c r="K117" s="103" t="s">
        <v>76</v>
      </c>
      <c r="L117" s="103" t="s">
        <v>310</v>
      </c>
      <c r="M117" s="108" t="s">
        <v>311</v>
      </c>
      <c r="N117" s="108" t="s">
        <v>312</v>
      </c>
      <c r="O117" s="103" t="s">
        <v>350</v>
      </c>
      <c r="P117" s="103" t="s">
        <v>81</v>
      </c>
      <c r="Q117" s="108" t="s">
        <v>83</v>
      </c>
      <c r="R117" s="103" t="s">
        <v>314</v>
      </c>
      <c r="S117" s="103" t="s">
        <v>315</v>
      </c>
      <c r="T117" s="103" t="s">
        <v>316</v>
      </c>
      <c r="U117" s="103" t="s">
        <v>323</v>
      </c>
      <c r="V117" s="103" t="s">
        <v>90</v>
      </c>
      <c r="W117" s="103" t="s">
        <v>93</v>
      </c>
      <c r="X117" s="103" t="s">
        <v>95</v>
      </c>
      <c r="Y117" s="103" t="s">
        <v>317</v>
      </c>
      <c r="Z117" s="103" t="s">
        <v>351</v>
      </c>
    </row>
    <row r="118" spans="1:28" x14ac:dyDescent="0.35">
      <c r="A118" s="1" t="s">
        <v>318</v>
      </c>
      <c r="B118" s="154">
        <f>'A2 - Transport'!G91</f>
        <v>1.3723956056223999E-3</v>
      </c>
      <c r="C118" s="154">
        <f>G16+G41+G66</f>
        <v>1.6539624106800001E-3</v>
      </c>
      <c r="D118" s="154">
        <f>G17+G42+G67</f>
        <v>2.297718526668254E-3</v>
      </c>
      <c r="E118" s="154">
        <f>G18+G43+G68</f>
        <v>1.5726531381199997E-2</v>
      </c>
      <c r="F118" s="154">
        <f>G19+G44+G69</f>
        <v>0</v>
      </c>
      <c r="G118" s="154">
        <f>G20+G45+G70</f>
        <v>0</v>
      </c>
      <c r="H118" s="154">
        <f>G21+G46+G71</f>
        <v>0</v>
      </c>
      <c r="I118" s="154">
        <f>G22+G47+G72</f>
        <v>3.0024695538520062E-3</v>
      </c>
      <c r="J118" s="154">
        <f>G23+G48+G73</f>
        <v>0</v>
      </c>
      <c r="K118" s="154">
        <f>G24+G49+G74</f>
        <v>0</v>
      </c>
      <c r="L118" s="154">
        <f>SUM(C118:K118)</f>
        <v>2.2680681872400257E-2</v>
      </c>
      <c r="M118" s="154">
        <f>'A2 - Transport'!G101</f>
        <v>2.4783017985000001E-4</v>
      </c>
      <c r="N118" s="154">
        <f>'A2 - Transport'!G102</f>
        <v>0</v>
      </c>
      <c r="O118" s="154">
        <f t="shared" ref="O118:O136" si="20">SUM(M118:N118)</f>
        <v>2.4783017985000001E-4</v>
      </c>
      <c r="P118" s="154">
        <f>'A2 - Transport'!G103</f>
        <v>0</v>
      </c>
      <c r="Q118" s="154">
        <f>'A2 - Transport'!G104</f>
        <v>0</v>
      </c>
      <c r="R118" s="154">
        <f>SUM(P118:Q118)</f>
        <v>0</v>
      </c>
      <c r="S118" s="154">
        <f>'A2 - Transport'!G105</f>
        <v>0</v>
      </c>
      <c r="T118" s="154">
        <f>'A2 - Transport'!G106</f>
        <v>0</v>
      </c>
      <c r="U118" s="154">
        <f>SUM(S118:T118)</f>
        <v>0</v>
      </c>
      <c r="V118" s="154">
        <f>'A2 - Transport'!G107</f>
        <v>9.68135219832E-4</v>
      </c>
      <c r="W118" s="154">
        <f>'A2 - Transport'!G108</f>
        <v>0</v>
      </c>
      <c r="X118" s="154">
        <f>'A2 - Transport'!G109</f>
        <v>0</v>
      </c>
      <c r="Y118" s="154">
        <f>SUM(V118:X118)</f>
        <v>9.68135219832E-4</v>
      </c>
      <c r="Z118" s="154">
        <f>+SUM(B118+L118+O118+Y118)</f>
        <v>2.5269042877704657E-2</v>
      </c>
      <c r="AB118" s="87"/>
    </row>
    <row r="119" spans="1:28" x14ac:dyDescent="0.35">
      <c r="A119" s="1" t="s">
        <v>280</v>
      </c>
      <c r="B119" s="154">
        <f>'A2 - Transport'!H91</f>
        <v>0.9203231930566127</v>
      </c>
      <c r="C119" s="154">
        <f>H16+H41+H66</f>
        <v>1.10914080514146</v>
      </c>
      <c r="D119" s="154">
        <f>H17+H42+H67</f>
        <v>0.26190059793315229</v>
      </c>
      <c r="E119" s="154">
        <f>H18+H43+H68</f>
        <v>10.546151209721398</v>
      </c>
      <c r="F119" s="154">
        <f>H19+H44+H69</f>
        <v>0</v>
      </c>
      <c r="G119" s="154">
        <f>H20+H45+H70</f>
        <v>0</v>
      </c>
      <c r="H119" s="154">
        <f>H21+H46+H71</f>
        <v>0</v>
      </c>
      <c r="I119" s="154">
        <f>H22+H47+H72</f>
        <v>0.34223015669815277</v>
      </c>
      <c r="J119" s="154">
        <f>H23+H48+H73</f>
        <v>0</v>
      </c>
      <c r="K119" s="154">
        <f>H24+H49+H74</f>
        <v>0</v>
      </c>
      <c r="L119" s="154">
        <f t="shared" ref="L119:L136" si="21">SUM(C119:K119)</f>
        <v>12.259422769494162</v>
      </c>
      <c r="M119" s="154">
        <f>'A2 - Transport'!H101</f>
        <v>0.16619396150857496</v>
      </c>
      <c r="N119" s="154">
        <f>'A2 - Transport'!H102</f>
        <v>0</v>
      </c>
      <c r="O119" s="154">
        <f t="shared" si="20"/>
        <v>0.16619396150857496</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0.64922773956440383</v>
      </c>
      <c r="W119" s="154">
        <f>'A2 - Transport'!H108</f>
        <v>0</v>
      </c>
      <c r="X119" s="154">
        <f>'A2 - Transport'!H109</f>
        <v>0</v>
      </c>
      <c r="Y119" s="154">
        <f t="shared" ref="Y119:Y136" si="24">SUM(V119:X119)</f>
        <v>0.64922773956440383</v>
      </c>
      <c r="Z119" s="154">
        <f t="shared" ref="Z119:Z136" si="25">+SUM(B119+L119+O119+Y119)</f>
        <v>13.995167663623754</v>
      </c>
      <c r="AB119" s="87"/>
    </row>
    <row r="120" spans="1:28" x14ac:dyDescent="0.35">
      <c r="A120" s="1" t="s">
        <v>281</v>
      </c>
      <c r="B120" s="154">
        <f>'A2 - Transport'!I91</f>
        <v>4.3011820489776E-4</v>
      </c>
      <c r="C120" s="154">
        <f>I16+I41+I66</f>
        <v>5.1836317468199997E-4</v>
      </c>
      <c r="D120" s="154">
        <f>I17+I42+I67</f>
        <v>7.2138734852998581E-5</v>
      </c>
      <c r="E120" s="154">
        <f>I18+I43+I68</f>
        <v>4.9288029043799992E-3</v>
      </c>
      <c r="F120" s="154">
        <f>I19+I44+I69</f>
        <v>0</v>
      </c>
      <c r="G120" s="154">
        <f>I20+I45+I70</f>
        <v>0</v>
      </c>
      <c r="H120" s="154">
        <f>I21+I46+I71</f>
        <v>0</v>
      </c>
      <c r="I120" s="154">
        <f>I22+I47+I72</f>
        <v>9.4264964370373817E-5</v>
      </c>
      <c r="J120" s="154">
        <f>I23+I48+I73</f>
        <v>0</v>
      </c>
      <c r="K120" s="154">
        <f>I24+I49+I74</f>
        <v>0</v>
      </c>
      <c r="L120" s="154">
        <f t="shared" si="21"/>
        <v>5.6135697782853716E-3</v>
      </c>
      <c r="M120" s="154">
        <f>'A2 - Transport'!I101</f>
        <v>7.7671679827499994E-5</v>
      </c>
      <c r="N120" s="154">
        <f>'A2 - Transport'!I102</f>
        <v>0</v>
      </c>
      <c r="O120" s="154">
        <f t="shared" si="20"/>
        <v>7.7671679827499994E-5</v>
      </c>
      <c r="P120" s="154">
        <f>'A2 - Transport'!I103</f>
        <v>0</v>
      </c>
      <c r="Q120" s="154">
        <f>'A2 - Transport'!I104</f>
        <v>0</v>
      </c>
      <c r="R120" s="154">
        <f t="shared" si="22"/>
        <v>0</v>
      </c>
      <c r="S120" s="154">
        <f>'A2 - Transport'!I105</f>
        <v>0</v>
      </c>
      <c r="T120" s="154">
        <f>'A2 - Transport'!I106</f>
        <v>0</v>
      </c>
      <c r="U120" s="154">
        <f t="shared" si="23"/>
        <v>0</v>
      </c>
      <c r="V120" s="154">
        <f>'A2 - Transport'!I107</f>
        <v>3.0342022456679999E-4</v>
      </c>
      <c r="W120" s="154">
        <f>'A2 - Transport'!I108</f>
        <v>0</v>
      </c>
      <c r="X120" s="154">
        <f>'A2 - Transport'!I109</f>
        <v>0</v>
      </c>
      <c r="Y120" s="154">
        <f t="shared" si="24"/>
        <v>3.0342022456679999E-4</v>
      </c>
      <c r="Z120" s="154">
        <f t="shared" si="25"/>
        <v>6.4247798875774319E-3</v>
      </c>
      <c r="AB120" s="87"/>
    </row>
    <row r="121" spans="1:28" x14ac:dyDescent="0.35">
      <c r="A121" s="1" t="s">
        <v>282</v>
      </c>
      <c r="B121" s="154">
        <f>'A2 - Transport'!J91</f>
        <v>0.91981987156856637</v>
      </c>
      <c r="C121" s="154">
        <f>J16+J41+J66</f>
        <v>1.1085342199714801</v>
      </c>
      <c r="D121" s="154">
        <f>J17+J42+J67</f>
        <v>0.26158555419831681</v>
      </c>
      <c r="E121" s="154">
        <f>J18+J43+J68</f>
        <v>10.540383557053199</v>
      </c>
      <c r="F121" s="154">
        <f>J19+J44+J69</f>
        <v>0</v>
      </c>
      <c r="G121" s="154">
        <f>J20+J45+J70</f>
        <v>0</v>
      </c>
      <c r="H121" s="154">
        <f>J21+J46+J71</f>
        <v>0</v>
      </c>
      <c r="I121" s="154">
        <f>J22+J47+J72</f>
        <v>0.34181848346185484</v>
      </c>
      <c r="J121" s="154">
        <f>J23+J48+J73</f>
        <v>0</v>
      </c>
      <c r="K121" s="154">
        <f>J24+J49+J74</f>
        <v>0</v>
      </c>
      <c r="L121" s="154">
        <f t="shared" si="21"/>
        <v>12.252321814684851</v>
      </c>
      <c r="M121" s="154">
        <f>'A2 - Transport'!J101</f>
        <v>0.16610307062085</v>
      </c>
      <c r="N121" s="154">
        <f>'A2 - Transport'!J102</f>
        <v>0</v>
      </c>
      <c r="O121" s="154">
        <f t="shared" si="20"/>
        <v>0.16610307062085</v>
      </c>
      <c r="P121" s="154">
        <f>'A2 - Transport'!J103</f>
        <v>0</v>
      </c>
      <c r="Q121" s="154">
        <f>'A2 - Transport'!J104</f>
        <v>0</v>
      </c>
      <c r="R121" s="154">
        <f t="shared" si="22"/>
        <v>0</v>
      </c>
      <c r="S121" s="154">
        <f>'A2 - Transport'!J105</f>
        <v>0</v>
      </c>
      <c r="T121" s="154">
        <f>'A2 - Transport'!J106</f>
        <v>0</v>
      </c>
      <c r="U121" s="154">
        <f t="shared" si="23"/>
        <v>0</v>
      </c>
      <c r="V121" s="154">
        <f>'A2 - Transport'!J107</f>
        <v>0.64887267921775194</v>
      </c>
      <c r="W121" s="154">
        <f>'A2 - Transport'!J108</f>
        <v>0</v>
      </c>
      <c r="X121" s="154">
        <f>'A2 - Transport'!J109</f>
        <v>0</v>
      </c>
      <c r="Y121" s="154">
        <f t="shared" si="24"/>
        <v>0.64887267921775194</v>
      </c>
      <c r="Z121" s="154">
        <f t="shared" si="25"/>
        <v>13.987117436092019</v>
      </c>
      <c r="AB121" s="87"/>
    </row>
    <row r="122" spans="1:28" x14ac:dyDescent="0.35">
      <c r="A122" s="1" t="s">
        <v>283</v>
      </c>
      <c r="B122" s="154">
        <f>'A2 - Transport'!K91</f>
        <v>7.3202123648800002E-5</v>
      </c>
      <c r="C122" s="154">
        <f>K16+K41+K66</f>
        <v>8.822059791E-5</v>
      </c>
      <c r="D122" s="154">
        <f>K17+K42+K67</f>
        <v>2.4290499998249384E-4</v>
      </c>
      <c r="E122" s="154">
        <f>K18+K43+K68</f>
        <v>8.3883647689999999E-4</v>
      </c>
      <c r="F122" s="154">
        <f>K19+K44+K69</f>
        <v>0</v>
      </c>
      <c r="G122" s="154">
        <f>K20+K45+K70</f>
        <v>0</v>
      </c>
      <c r="H122" s="154">
        <f>K21+K46+K71</f>
        <v>0</v>
      </c>
      <c r="I122" s="154">
        <f>K22+K47+K72</f>
        <v>3.1740827192762536E-4</v>
      </c>
      <c r="J122" s="154">
        <f>K23+K48+K73</f>
        <v>0</v>
      </c>
      <c r="K122" s="154">
        <f>K24+K49+K74</f>
        <v>0</v>
      </c>
      <c r="L122" s="154">
        <f t="shared" si="21"/>
        <v>1.4873703467201192E-3</v>
      </c>
      <c r="M122" s="154">
        <f>'A2 - Transport'!K101</f>
        <v>1.3218998512499998E-5</v>
      </c>
      <c r="N122" s="154">
        <f>'A2 - Transport'!K102</f>
        <v>0</v>
      </c>
      <c r="O122" s="154">
        <f t="shared" si="20"/>
        <v>1.3218998512499998E-5</v>
      </c>
      <c r="P122" s="154">
        <f>'A2 - Transport'!K103</f>
        <v>0</v>
      </c>
      <c r="Q122" s="154">
        <f>'A2 - Transport'!K104</f>
        <v>0</v>
      </c>
      <c r="R122" s="154">
        <f t="shared" si="22"/>
        <v>0</v>
      </c>
      <c r="S122" s="154">
        <f>'A2 - Transport'!K105</f>
        <v>0</v>
      </c>
      <c r="T122" s="154">
        <f>'A2 - Transport'!K106</f>
        <v>0</v>
      </c>
      <c r="U122" s="154">
        <f t="shared" si="23"/>
        <v>0</v>
      </c>
      <c r="V122" s="154">
        <f>'A2 - Transport'!K107</f>
        <v>5.1639304133999999E-5</v>
      </c>
      <c r="W122" s="154">
        <f>'A2 - Transport'!K108</f>
        <v>0</v>
      </c>
      <c r="X122" s="154">
        <f>'A2 - Transport'!K109</f>
        <v>0</v>
      </c>
      <c r="Y122" s="154">
        <f t="shared" si="24"/>
        <v>5.1639304133999999E-5</v>
      </c>
      <c r="Z122" s="154">
        <f t="shared" si="25"/>
        <v>1.6254307730154192E-3</v>
      </c>
      <c r="AB122" s="87"/>
    </row>
    <row r="123" spans="1:28" x14ac:dyDescent="0.35">
      <c r="A123" s="1" t="s">
        <v>284</v>
      </c>
      <c r="B123" s="154">
        <f>'A2 - Transport'!L91</f>
        <v>0.79045393525234076</v>
      </c>
      <c r="C123" s="154">
        <f>L16+L41+L66</f>
        <v>0.95262699102605986</v>
      </c>
      <c r="D123" s="154">
        <f>L17+L42+L67</f>
        <v>0.26515691587426826</v>
      </c>
      <c r="E123" s="154">
        <f>L18+L43+L68</f>
        <v>9.0579557142353977</v>
      </c>
      <c r="F123" s="154">
        <f>L19+L44+L69</f>
        <v>0</v>
      </c>
      <c r="G123" s="154">
        <f>L20+L45+L70</f>
        <v>0</v>
      </c>
      <c r="H123" s="154">
        <f>L21+L46+L71</f>
        <v>0</v>
      </c>
      <c r="I123" s="154">
        <f>L22+L47+L72</f>
        <v>0.34648524510971707</v>
      </c>
      <c r="J123" s="154">
        <f>L23+L48+L73</f>
        <v>0</v>
      </c>
      <c r="K123" s="154">
        <f>L24+L49+L74</f>
        <v>0</v>
      </c>
      <c r="L123" s="154">
        <f t="shared" si="21"/>
        <v>10.622224866245443</v>
      </c>
      <c r="M123" s="154">
        <f>'A2 - Transport'!L101</f>
        <v>0.14274188880682498</v>
      </c>
      <c r="N123" s="154">
        <f>'A2 - Transport'!L102</f>
        <v>0</v>
      </c>
      <c r="O123" s="154">
        <f t="shared" si="20"/>
        <v>0.14274188880682498</v>
      </c>
      <c r="P123" s="154">
        <f>'A2 - Transport'!L103</f>
        <v>0</v>
      </c>
      <c r="Q123" s="154">
        <f>'A2 - Transport'!L104</f>
        <v>0</v>
      </c>
      <c r="R123" s="154">
        <f t="shared" si="22"/>
        <v>0</v>
      </c>
      <c r="S123" s="154">
        <f>'A2 - Transport'!L105</f>
        <v>0</v>
      </c>
      <c r="T123" s="154">
        <f>'A2 - Transport'!L106</f>
        <v>0</v>
      </c>
      <c r="U123" s="154">
        <f t="shared" si="23"/>
        <v>0</v>
      </c>
      <c r="V123" s="154">
        <f>'A2 - Transport'!L107</f>
        <v>0.55761348348644391</v>
      </c>
      <c r="W123" s="154">
        <f>'A2 - Transport'!L108</f>
        <v>0</v>
      </c>
      <c r="X123" s="154">
        <f>'A2 - Transport'!L109</f>
        <v>0</v>
      </c>
      <c r="Y123" s="154">
        <f t="shared" si="24"/>
        <v>0.55761348348644391</v>
      </c>
      <c r="Z123" s="154">
        <f t="shared" si="25"/>
        <v>12.113034173791052</v>
      </c>
      <c r="AB123" s="87"/>
    </row>
    <row r="124" spans="1:28" x14ac:dyDescent="0.35">
      <c r="A124" s="1" t="s">
        <v>285</v>
      </c>
      <c r="B124" s="154">
        <f>'A2 - Transport'!M91</f>
        <v>12.386593346867391</v>
      </c>
      <c r="C124" s="154">
        <f>M16+M41+M66</f>
        <v>14.927882097674399</v>
      </c>
      <c r="D124" s="154">
        <f>M17+M42+M67</f>
        <v>3.212436841507297</v>
      </c>
      <c r="E124" s="154">
        <f>M18+M43+M68</f>
        <v>141.94023077429597</v>
      </c>
      <c r="F124" s="154">
        <f>M19+M44+M69</f>
        <v>0</v>
      </c>
      <c r="G124" s="154">
        <f>M20+M45+M70</f>
        <v>0</v>
      </c>
      <c r="H124" s="154">
        <f>M21+M46+M71</f>
        <v>0</v>
      </c>
      <c r="I124" s="154">
        <f>M22+M47+M72</f>
        <v>4.1977482003785695</v>
      </c>
      <c r="J124" s="154">
        <f>M23+M48+M73</f>
        <v>0</v>
      </c>
      <c r="K124" s="154">
        <f>M24+M49+M74</f>
        <v>0</v>
      </c>
      <c r="L124" s="154">
        <f t="shared" si="21"/>
        <v>164.27829791385625</v>
      </c>
      <c r="M124" s="154">
        <f>'A2 - Transport'!M101</f>
        <v>2.2367979351629996</v>
      </c>
      <c r="N124" s="154">
        <f>'A2 - Transport'!M102</f>
        <v>0</v>
      </c>
      <c r="O124" s="154">
        <f t="shared" si="20"/>
        <v>2.2367979351629996</v>
      </c>
      <c r="P124" s="154">
        <f>'A2 - Transport'!M103</f>
        <v>0</v>
      </c>
      <c r="Q124" s="154">
        <f>'A2 - Transport'!M104</f>
        <v>0</v>
      </c>
      <c r="R124" s="154">
        <f t="shared" si="22"/>
        <v>0</v>
      </c>
      <c r="S124" s="154">
        <f>'A2 - Transport'!M105</f>
        <v>0</v>
      </c>
      <c r="T124" s="154">
        <f>'A2 - Transport'!M106</f>
        <v>0</v>
      </c>
      <c r="U124" s="154">
        <f t="shared" si="23"/>
        <v>0</v>
      </c>
      <c r="V124" s="154">
        <f>'A2 - Transport'!M107</f>
        <v>8.7379303924545599</v>
      </c>
      <c r="W124" s="154">
        <f>'A2 - Transport'!M108</f>
        <v>0</v>
      </c>
      <c r="X124" s="154">
        <f>'A2 - Transport'!M109</f>
        <v>0</v>
      </c>
      <c r="Y124" s="154">
        <f t="shared" si="24"/>
        <v>8.7379303924545599</v>
      </c>
      <c r="Z124" s="154">
        <f t="shared" si="25"/>
        <v>187.63961958834119</v>
      </c>
      <c r="AB124" s="87"/>
    </row>
    <row r="125" spans="1:28" x14ac:dyDescent="0.35">
      <c r="A125" s="1" t="s">
        <v>286</v>
      </c>
      <c r="B125" s="154">
        <f>'A2 - Transport'!N91</f>
        <v>2.1466342312848E-5</v>
      </c>
      <c r="C125" s="154">
        <f>N16+N41+N66</f>
        <v>2.5870472868600001E-5</v>
      </c>
      <c r="D125" s="154">
        <f>N17+N42+N67</f>
        <v>2.3616109793515238E-5</v>
      </c>
      <c r="E125" s="154">
        <f>N18+N43+N68</f>
        <v>2.4598672907399997E-4</v>
      </c>
      <c r="F125" s="154">
        <f>N19+N44+N69</f>
        <v>0</v>
      </c>
      <c r="G125" s="154">
        <f>N20+N45+N70</f>
        <v>0</v>
      </c>
      <c r="H125" s="154">
        <f>N21+N46+N71</f>
        <v>0</v>
      </c>
      <c r="I125" s="154">
        <f>N22+N47+N72</f>
        <v>3.0859589550453768E-5</v>
      </c>
      <c r="J125" s="154">
        <f>N23+N48+N73</f>
        <v>0</v>
      </c>
      <c r="K125" s="154">
        <f>N24+N49+N74</f>
        <v>0</v>
      </c>
      <c r="L125" s="154">
        <f t="shared" si="21"/>
        <v>3.2633290128656896E-4</v>
      </c>
      <c r="M125" s="154">
        <f>'A2 - Transport'!N101</f>
        <v>3.8764387282499998E-6</v>
      </c>
      <c r="N125" s="154">
        <f>'A2 - Transport'!N102</f>
        <v>0</v>
      </c>
      <c r="O125" s="154">
        <f t="shared" si="20"/>
        <v>3.8764387282499998E-6</v>
      </c>
      <c r="P125" s="154">
        <f>'A2 - Transport'!N103</f>
        <v>0</v>
      </c>
      <c r="Q125" s="154">
        <f>'A2 - Transport'!N104</f>
        <v>0</v>
      </c>
      <c r="R125" s="154">
        <f t="shared" si="22"/>
        <v>0</v>
      </c>
      <c r="S125" s="154">
        <f>'A2 - Transport'!N105</f>
        <v>0</v>
      </c>
      <c r="T125" s="154">
        <f>'A2 - Transport'!N106</f>
        <v>0</v>
      </c>
      <c r="U125" s="154">
        <f t="shared" si="23"/>
        <v>0</v>
      </c>
      <c r="V125" s="154">
        <f>'A2 - Transport'!N107</f>
        <v>1.5143098643639998E-5</v>
      </c>
      <c r="W125" s="154">
        <f>'A2 - Transport'!N108</f>
        <v>0</v>
      </c>
      <c r="X125" s="154">
        <f>'A2 - Transport'!N109</f>
        <v>0</v>
      </c>
      <c r="Y125" s="154">
        <f t="shared" si="24"/>
        <v>1.5143098643639998E-5</v>
      </c>
      <c r="Z125" s="154">
        <f t="shared" si="25"/>
        <v>3.6681878097130692E-4</v>
      </c>
      <c r="AB125" s="87"/>
    </row>
    <row r="126" spans="1:28" x14ac:dyDescent="0.35">
      <c r="A126" s="1" t="s">
        <v>287</v>
      </c>
      <c r="B126" s="154">
        <f>'A2 - Transport'!O91</f>
        <v>2.9913472572224001E-4</v>
      </c>
      <c r="C126" s="154">
        <f>O16+O41+O66</f>
        <v>3.6050654056800005E-4</v>
      </c>
      <c r="D126" s="154">
        <f>O17+O42+O67</f>
        <v>1.0417028069120895E-3</v>
      </c>
      <c r="E126" s="154">
        <f>O18+O43+O68</f>
        <v>3.4278393431199992E-3</v>
      </c>
      <c r="F126" s="154">
        <f>O19+O44+O69</f>
        <v>0</v>
      </c>
      <c r="G126" s="154">
        <f>O20+O45+O70</f>
        <v>0</v>
      </c>
      <c r="H126" s="154">
        <f>O21+O46+O71</f>
        <v>0</v>
      </c>
      <c r="I126" s="154">
        <f>O22+O47+O72</f>
        <v>1.3612115346656208E-3</v>
      </c>
      <c r="J126" s="154">
        <f>O23+O48+O73</f>
        <v>0</v>
      </c>
      <c r="K126" s="154">
        <f>O24+O49+O74</f>
        <v>0</v>
      </c>
      <c r="L126" s="154">
        <f t="shared" si="21"/>
        <v>6.1912602252657102E-3</v>
      </c>
      <c r="M126" s="154">
        <f>'A2 - Transport'!O101</f>
        <v>5.4018398609999992E-5</v>
      </c>
      <c r="N126" s="154">
        <f>'A2 - Transport'!O102</f>
        <v>0</v>
      </c>
      <c r="O126" s="154">
        <f t="shared" si="20"/>
        <v>5.4018398609999992E-5</v>
      </c>
      <c r="P126" s="154">
        <f>'A2 - Transport'!O103</f>
        <v>0</v>
      </c>
      <c r="Q126" s="154">
        <f>'A2 - Transport'!O104</f>
        <v>0</v>
      </c>
      <c r="R126" s="154">
        <f t="shared" si="22"/>
        <v>0</v>
      </c>
      <c r="S126" s="154">
        <f>'A2 - Transport'!O105</f>
        <v>0</v>
      </c>
      <c r="T126" s="154">
        <f>'A2 - Transport'!O106</f>
        <v>0</v>
      </c>
      <c r="U126" s="154">
        <f t="shared" si="23"/>
        <v>0</v>
      </c>
      <c r="V126" s="154">
        <f>'A2 - Transport'!O107</f>
        <v>2.110199582832E-4</v>
      </c>
      <c r="W126" s="154">
        <f>'A2 - Transport'!O108</f>
        <v>0</v>
      </c>
      <c r="X126" s="154">
        <f>'A2 - Transport'!O109</f>
        <v>0</v>
      </c>
      <c r="Y126" s="154">
        <f t="shared" si="24"/>
        <v>2.110199582832E-4</v>
      </c>
      <c r="Z126" s="154">
        <f t="shared" si="25"/>
        <v>6.7554333078811502E-3</v>
      </c>
      <c r="AB126" s="87"/>
    </row>
    <row r="127" spans="1:28" x14ac:dyDescent="0.35">
      <c r="A127" s="1" t="s">
        <v>288</v>
      </c>
      <c r="B127" s="154">
        <f>'A2 - Transport'!P91</f>
        <v>3.2378627207056E-3</v>
      </c>
      <c r="C127" s="154">
        <f>P16+P41+P66</f>
        <v>3.9021570814200004E-3</v>
      </c>
      <c r="D127" s="154">
        <f>P17+P42+P67</f>
        <v>1.1389811255470939E-2</v>
      </c>
      <c r="E127" s="154">
        <f>P18+P43+P68</f>
        <v>3.7103259057799994E-2</v>
      </c>
      <c r="F127" s="154">
        <f>P19+P44+P69</f>
        <v>0</v>
      </c>
      <c r="G127" s="154">
        <f>P20+P45+P70</f>
        <v>0</v>
      </c>
      <c r="H127" s="154">
        <f>P21+P46+P71</f>
        <v>0</v>
      </c>
      <c r="I127" s="154">
        <f>P22+P47+P72</f>
        <v>1.4883268390693464E-2</v>
      </c>
      <c r="J127" s="154">
        <f>P23+P48+P73</f>
        <v>0</v>
      </c>
      <c r="K127" s="154">
        <f>P24+P49+P74</f>
        <v>0</v>
      </c>
      <c r="L127" s="154">
        <f t="shared" si="21"/>
        <v>6.7278495785384404E-2</v>
      </c>
      <c r="M127" s="154">
        <f>'A2 - Transport'!P101</f>
        <v>5.8470028402499987E-4</v>
      </c>
      <c r="N127" s="154">
        <f>'A2 - Transport'!P102</f>
        <v>0</v>
      </c>
      <c r="O127" s="154">
        <f t="shared" si="20"/>
        <v>5.8470028402499987E-4</v>
      </c>
      <c r="P127" s="154">
        <f>'A2 - Transport'!P103</f>
        <v>0</v>
      </c>
      <c r="Q127" s="154">
        <f>'A2 - Transport'!P104</f>
        <v>0</v>
      </c>
      <c r="R127" s="154">
        <f t="shared" si="22"/>
        <v>0</v>
      </c>
      <c r="S127" s="154">
        <f>'A2 - Transport'!P105</f>
        <v>0</v>
      </c>
      <c r="T127" s="154">
        <f>'A2 - Transport'!P106</f>
        <v>0</v>
      </c>
      <c r="U127" s="154">
        <f t="shared" si="23"/>
        <v>0</v>
      </c>
      <c r="V127" s="154">
        <f>'A2 - Transport'!P107</f>
        <v>2.284100097708E-3</v>
      </c>
      <c r="W127" s="154">
        <f>'A2 - Transport'!P108</f>
        <v>0</v>
      </c>
      <c r="X127" s="154">
        <f>'A2 - Transport'!P109</f>
        <v>0</v>
      </c>
      <c r="Y127" s="154">
        <f t="shared" si="24"/>
        <v>2.284100097708E-3</v>
      </c>
      <c r="Z127" s="154">
        <f t="shared" si="25"/>
        <v>7.3385158887823015E-2</v>
      </c>
      <c r="AB127" s="87"/>
    </row>
    <row r="128" spans="1:28" x14ac:dyDescent="0.35">
      <c r="A128" s="1" t="s">
        <v>289</v>
      </c>
      <c r="B128" s="154">
        <f>'A2 - Transport'!Q91</f>
        <v>8.1569074494239994E-11</v>
      </c>
      <c r="C128" s="154">
        <f>Q16+Q41+Q66</f>
        <v>9.8304149718000006E-11</v>
      </c>
      <c r="D128" s="154">
        <f>Q17+Q42+Q67</f>
        <v>3.5355823048434585E-11</v>
      </c>
      <c r="E128" s="154">
        <f>Q18+Q43+Q68</f>
        <v>9.3471489161999977E-10</v>
      </c>
      <c r="F128" s="154">
        <f>Q19+Q44+Q69</f>
        <v>0</v>
      </c>
      <c r="G128" s="154">
        <f>Q20+Q45+Q70</f>
        <v>0</v>
      </c>
      <c r="H128" s="154">
        <f>Q21+Q46+Q71</f>
        <v>0</v>
      </c>
      <c r="I128" s="154">
        <f>Q22+Q47+Q72</f>
        <v>4.6200081090102362E-11</v>
      </c>
      <c r="J128" s="154">
        <f>Q23+Q48+Q73</f>
        <v>0</v>
      </c>
      <c r="K128" s="154">
        <f>Q24+Q49+Q74</f>
        <v>0</v>
      </c>
      <c r="L128" s="154">
        <f t="shared" si="21"/>
        <v>1.1145749454765367E-9</v>
      </c>
      <c r="M128" s="154">
        <f>'A2 - Transport'!Q101</f>
        <v>1.4729920672499999E-11</v>
      </c>
      <c r="N128" s="154">
        <f>'A2 - Transport'!Q102</f>
        <v>0</v>
      </c>
      <c r="O128" s="154">
        <f t="shared" si="20"/>
        <v>1.4729920672499999E-11</v>
      </c>
      <c r="P128" s="154">
        <f>'A2 - Transport'!Q103</f>
        <v>0</v>
      </c>
      <c r="Q128" s="154">
        <f>'A2 - Transport'!Q104</f>
        <v>0</v>
      </c>
      <c r="R128" s="154">
        <f t="shared" si="22"/>
        <v>0</v>
      </c>
      <c r="S128" s="154">
        <f>'A2 - Transport'!Q105</f>
        <v>0</v>
      </c>
      <c r="T128" s="154">
        <f>'A2 - Transport'!Q106</f>
        <v>0</v>
      </c>
      <c r="U128" s="154">
        <f t="shared" si="23"/>
        <v>0</v>
      </c>
      <c r="V128" s="154">
        <f>'A2 - Transport'!Q107</f>
        <v>5.7541639993199993E-11</v>
      </c>
      <c r="W128" s="154">
        <f>'A2 - Transport'!Q108</f>
        <v>0</v>
      </c>
      <c r="X128" s="154">
        <f>'A2 - Transport'!Q109</f>
        <v>0</v>
      </c>
      <c r="Y128" s="154">
        <f t="shared" si="24"/>
        <v>5.7541639993199993E-11</v>
      </c>
      <c r="Z128" s="154">
        <f t="shared" si="25"/>
        <v>1.2684155806364766E-9</v>
      </c>
      <c r="AB128" s="87"/>
    </row>
    <row r="129" spans="1:28" x14ac:dyDescent="0.35">
      <c r="A129" s="1" t="s">
        <v>319</v>
      </c>
      <c r="B129" s="154">
        <f>'A2 - Transport'!R91</f>
        <v>6.6368611341760007E-9</v>
      </c>
      <c r="C129" s="154">
        <f>R16+R41+R66</f>
        <v>7.9985091732E-9</v>
      </c>
      <c r="D129" s="154">
        <f>R17+R42+R67</f>
        <v>7.8088343677663526E-10</v>
      </c>
      <c r="E129" s="154">
        <f>R18+R43+R68</f>
        <v>7.6053001388000001E-8</v>
      </c>
      <c r="F129" s="154">
        <f>R19+R44+R69</f>
        <v>0</v>
      </c>
      <c r="G129" s="154">
        <f>R20+R45+R70</f>
        <v>0</v>
      </c>
      <c r="H129" s="154">
        <f>R21+R46+R71</f>
        <v>0</v>
      </c>
      <c r="I129" s="154">
        <f>R22+R47+R72</f>
        <v>1.020394237508656E-9</v>
      </c>
      <c r="J129" s="154">
        <f>R23+R48+R73</f>
        <v>0</v>
      </c>
      <c r="K129" s="154">
        <f>R24+R49+R74</f>
        <v>0</v>
      </c>
      <c r="L129" s="154">
        <f t="shared" si="21"/>
        <v>8.585278823548529E-8</v>
      </c>
      <c r="M129" s="154">
        <f>'A2 - Transport'!R101</f>
        <v>1.1984988015E-9</v>
      </c>
      <c r="N129" s="154">
        <f>'A2 - Transport'!R102</f>
        <v>0</v>
      </c>
      <c r="O129" s="154">
        <f t="shared" si="20"/>
        <v>1.1984988015E-9</v>
      </c>
      <c r="P129" s="154">
        <f>'A2 - Transport'!R103</f>
        <v>0</v>
      </c>
      <c r="Q129" s="154">
        <f>'A2 - Transport'!R104</f>
        <v>0</v>
      </c>
      <c r="R129" s="154">
        <f t="shared" si="22"/>
        <v>0</v>
      </c>
      <c r="S129" s="154">
        <f>'A2 - Transport'!R105</f>
        <v>0</v>
      </c>
      <c r="T129" s="154">
        <f>'A2 - Transport'!R106</f>
        <v>0</v>
      </c>
      <c r="U129" s="154">
        <f t="shared" si="23"/>
        <v>0</v>
      </c>
      <c r="V129" s="154">
        <f>'A2 - Transport'!R107</f>
        <v>4.6818708736799992E-9</v>
      </c>
      <c r="W129" s="154">
        <f>'A2 - Transport'!R108</f>
        <v>0</v>
      </c>
      <c r="X129" s="154">
        <f>'A2 - Transport'!R109</f>
        <v>0</v>
      </c>
      <c r="Y129" s="154">
        <f t="shared" si="24"/>
        <v>4.6818708736799992E-9</v>
      </c>
      <c r="Z129" s="154">
        <f t="shared" si="25"/>
        <v>9.8370019044841292E-8</v>
      </c>
      <c r="AB129" s="87"/>
    </row>
    <row r="130" spans="1:28" x14ac:dyDescent="0.35">
      <c r="A130" s="1" t="s">
        <v>291</v>
      </c>
      <c r="B130" s="154">
        <f>'A2 - Transport'!S91</f>
        <v>5.6166520099551996E-3</v>
      </c>
      <c r="C130" s="154">
        <f>S16+S41+S66</f>
        <v>6.7689893936400004E-3</v>
      </c>
      <c r="D130" s="154">
        <f>S17+S42+S67</f>
        <v>8.7873262829506003E-3</v>
      </c>
      <c r="E130" s="154">
        <f>S18+S43+S68</f>
        <v>6.4362239087599998E-2</v>
      </c>
      <c r="F130" s="154">
        <f>S19+S44+S69</f>
        <v>0</v>
      </c>
      <c r="G130" s="154">
        <f>S20+S45+S70</f>
        <v>0</v>
      </c>
      <c r="H130" s="154">
        <f>S21+S46+S71</f>
        <v>0</v>
      </c>
      <c r="I130" s="154">
        <f>S22+S47+S72</f>
        <v>1.1482555116348237E-2</v>
      </c>
      <c r="J130" s="154">
        <f>S23+S48+S73</f>
        <v>0</v>
      </c>
      <c r="K130" s="154">
        <f>S24+S49+S74</f>
        <v>0</v>
      </c>
      <c r="L130" s="154">
        <f t="shared" si="21"/>
        <v>9.1401109880538844E-2</v>
      </c>
      <c r="M130" s="154">
        <f>'A2 - Transport'!S101</f>
        <v>1.01426722155E-3</v>
      </c>
      <c r="N130" s="154">
        <f>'A2 - Transport'!S102</f>
        <v>0</v>
      </c>
      <c r="O130" s="154">
        <f t="shared" si="20"/>
        <v>1.01426722155E-3</v>
      </c>
      <c r="P130" s="154">
        <f>'A2 - Transport'!S103</f>
        <v>0</v>
      </c>
      <c r="Q130" s="154">
        <f>'A2 - Transport'!S104</f>
        <v>0</v>
      </c>
      <c r="R130" s="154">
        <f t="shared" si="22"/>
        <v>0</v>
      </c>
      <c r="S130" s="154">
        <f>'A2 - Transport'!S105</f>
        <v>0</v>
      </c>
      <c r="T130" s="154">
        <f>'A2 - Transport'!S106</f>
        <v>0</v>
      </c>
      <c r="U130" s="154">
        <f t="shared" si="23"/>
        <v>0</v>
      </c>
      <c r="V130" s="154">
        <f>'A2 - Transport'!S107</f>
        <v>3.9621801513360002E-3</v>
      </c>
      <c r="W130" s="154">
        <f>'A2 - Transport'!S108</f>
        <v>0</v>
      </c>
      <c r="X130" s="154">
        <f>'A2 - Transport'!S109</f>
        <v>0</v>
      </c>
      <c r="Y130" s="154">
        <f t="shared" si="24"/>
        <v>3.9621801513360002E-3</v>
      </c>
      <c r="Z130" s="154">
        <f t="shared" si="25"/>
        <v>0.10199420926338004</v>
      </c>
      <c r="AB130" s="87"/>
    </row>
    <row r="131" spans="1:28" x14ac:dyDescent="0.35">
      <c r="A131" s="1" t="s">
        <v>292</v>
      </c>
      <c r="B131" s="154">
        <f>'A2 - Transport'!T91</f>
        <v>0.78130875710178882</v>
      </c>
      <c r="C131" s="154">
        <f>T16+T41+T66</f>
        <v>0.94160554732716006</v>
      </c>
      <c r="D131" s="154">
        <f>T17+T42+T67</f>
        <v>2.1441851910635874</v>
      </c>
      <c r="E131" s="154">
        <f>T18+T43+T68</f>
        <v>8.9531594509843995</v>
      </c>
      <c r="F131" s="154">
        <f>T19+T44+T69</f>
        <v>0</v>
      </c>
      <c r="G131" s="154">
        <f>T20+T45+T70</f>
        <v>0</v>
      </c>
      <c r="H131" s="154">
        <f>T21+T46+T71</f>
        <v>0</v>
      </c>
      <c r="I131" s="154">
        <f>T22+T47+T72</f>
        <v>2.8018448209684768</v>
      </c>
      <c r="J131" s="154">
        <f>T23+T48+T73</f>
        <v>0</v>
      </c>
      <c r="K131" s="154">
        <f>T24+T49+T74</f>
        <v>0</v>
      </c>
      <c r="L131" s="154">
        <f t="shared" si="21"/>
        <v>14.840795010343623</v>
      </c>
      <c r="M131" s="154">
        <f>'A2 - Transport'!T101</f>
        <v>0.14109043266944998</v>
      </c>
      <c r="N131" s="154">
        <f>'A2 - Transport'!T102</f>
        <v>0</v>
      </c>
      <c r="O131" s="154">
        <f t="shared" si="20"/>
        <v>0.14109043266944998</v>
      </c>
      <c r="P131" s="154">
        <f>'A2 - Transport'!T103</f>
        <v>0</v>
      </c>
      <c r="Q131" s="154">
        <f>'A2 - Transport'!T104</f>
        <v>0</v>
      </c>
      <c r="R131" s="154">
        <f t="shared" si="22"/>
        <v>0</v>
      </c>
      <c r="S131" s="154">
        <f>'A2 - Transport'!T105</f>
        <v>0</v>
      </c>
      <c r="T131" s="154">
        <f>'A2 - Transport'!T106</f>
        <v>0</v>
      </c>
      <c r="U131" s="154">
        <f t="shared" si="23"/>
        <v>0</v>
      </c>
      <c r="V131" s="154">
        <f>'A2 - Transport'!T107</f>
        <v>0.55116215923058398</v>
      </c>
      <c r="W131" s="154">
        <f>'A2 - Transport'!T108</f>
        <v>0</v>
      </c>
      <c r="X131" s="154">
        <f>'A2 - Transport'!T109</f>
        <v>0</v>
      </c>
      <c r="Y131" s="154">
        <f t="shared" si="24"/>
        <v>0.55116215923058398</v>
      </c>
      <c r="Z131" s="154">
        <f t="shared" si="25"/>
        <v>16.314356359345446</v>
      </c>
      <c r="AB131" s="87"/>
    </row>
    <row r="132" spans="1:28" x14ac:dyDescent="0.35">
      <c r="A132" s="1" t="s">
        <v>293</v>
      </c>
      <c r="B132" s="154">
        <f>'A2 - Transport'!U91</f>
        <v>1.0153566173903999E-6</v>
      </c>
      <c r="C132" s="154">
        <f>U16+U41+U66</f>
        <v>1.2236717107799999E-6</v>
      </c>
      <c r="D132" s="154">
        <f>U17+U42+U67</f>
        <v>3.6083713799714019E-7</v>
      </c>
      <c r="E132" s="154">
        <f>U18+U43+U68</f>
        <v>1.1635156540199998E-5</v>
      </c>
      <c r="F132" s="154">
        <f>U19+U44+U69</f>
        <v>0</v>
      </c>
      <c r="G132" s="154">
        <f>U20+U45+U70</f>
        <v>0</v>
      </c>
      <c r="H132" s="154">
        <f>U21+U46+U71</f>
        <v>0</v>
      </c>
      <c r="I132" s="154">
        <f>U22+U47+U72</f>
        <v>4.7151228845530849E-7</v>
      </c>
      <c r="J132" s="154">
        <f>U23+U48+U73</f>
        <v>0</v>
      </c>
      <c r="K132" s="154">
        <f>U24+U49+U74</f>
        <v>0</v>
      </c>
      <c r="L132" s="154">
        <f t="shared" si="21"/>
        <v>1.3691177677432447E-5</v>
      </c>
      <c r="M132" s="154">
        <f>'A2 - Transport'!U101</f>
        <v>1.8335530372499996E-7</v>
      </c>
      <c r="N132" s="154">
        <f>'A2 - Transport'!U102</f>
        <v>0</v>
      </c>
      <c r="O132" s="154">
        <f t="shared" si="20"/>
        <v>1.8335530372499996E-7</v>
      </c>
      <c r="P132" s="154">
        <f>'A2 - Transport'!U103</f>
        <v>0</v>
      </c>
      <c r="Q132" s="154">
        <f>'A2 - Transport'!U104</f>
        <v>0</v>
      </c>
      <c r="R132" s="154">
        <f t="shared" si="22"/>
        <v>0</v>
      </c>
      <c r="S132" s="154">
        <f>'A2 - Transport'!U105</f>
        <v>0</v>
      </c>
      <c r="T132" s="154">
        <f>'A2 - Transport'!U106</f>
        <v>0</v>
      </c>
      <c r="U132" s="154">
        <f t="shared" si="23"/>
        <v>0</v>
      </c>
      <c r="V132" s="154">
        <f>'A2 - Transport'!U107</f>
        <v>7.1626759657199998E-7</v>
      </c>
      <c r="W132" s="154">
        <f>'A2 - Transport'!U108</f>
        <v>0</v>
      </c>
      <c r="X132" s="154">
        <f>'A2 - Transport'!U109</f>
        <v>0</v>
      </c>
      <c r="Y132" s="154">
        <f t="shared" si="24"/>
        <v>7.1626759657199998E-7</v>
      </c>
      <c r="Z132" s="154">
        <f t="shared" si="25"/>
        <v>1.5606157195119845E-5</v>
      </c>
      <c r="AB132" s="87"/>
    </row>
    <row r="133" spans="1:28" x14ac:dyDescent="0.35">
      <c r="A133" s="1" t="s">
        <v>294</v>
      </c>
      <c r="B133" s="154">
        <f>'A2 - Transport'!V91</f>
        <v>2.0464128626144001E-8</v>
      </c>
      <c r="C133" s="154">
        <f>V16+V41+V66</f>
        <v>2.4662640550800004E-8</v>
      </c>
      <c r="D133" s="154">
        <f>V17+V42+V67</f>
        <v>4.8488568522340386E-9</v>
      </c>
      <c r="E133" s="154">
        <f>V18+V43+V68</f>
        <v>2.3450217977199999E-7</v>
      </c>
      <c r="F133" s="154">
        <f>V19+V44+V69</f>
        <v>0</v>
      </c>
      <c r="G133" s="154">
        <f>V20+V45+V70</f>
        <v>0</v>
      </c>
      <c r="H133" s="154">
        <f>V21+V46+V71</f>
        <v>0</v>
      </c>
      <c r="I133" s="154">
        <f>V22+V47+V72</f>
        <v>6.3360872538768302E-9</v>
      </c>
      <c r="J133" s="154">
        <f>V23+V48+V73</f>
        <v>0</v>
      </c>
      <c r="K133" s="154">
        <f>V24+V49+V74</f>
        <v>0</v>
      </c>
      <c r="L133" s="154">
        <f t="shared" si="21"/>
        <v>2.7034976442891088E-7</v>
      </c>
      <c r="M133" s="154">
        <f>'A2 - Transport'!V101</f>
        <v>3.6954568034999995E-9</v>
      </c>
      <c r="N133" s="154">
        <f>'A2 - Transport'!V102</f>
        <v>0</v>
      </c>
      <c r="O133" s="154">
        <f t="shared" si="20"/>
        <v>3.6954568034999995E-9</v>
      </c>
      <c r="P133" s="154">
        <f>'A2 - Transport'!V103</f>
        <v>0</v>
      </c>
      <c r="Q133" s="154">
        <f>'A2 - Transport'!V104</f>
        <v>0</v>
      </c>
      <c r="R133" s="154">
        <f t="shared" si="22"/>
        <v>0</v>
      </c>
      <c r="S133" s="154">
        <f>'A2 - Transport'!V105</f>
        <v>0</v>
      </c>
      <c r="T133" s="154">
        <f>'A2 - Transport'!V106</f>
        <v>0</v>
      </c>
      <c r="U133" s="154">
        <f t="shared" si="23"/>
        <v>0</v>
      </c>
      <c r="V133" s="154">
        <f>'A2 - Transport'!V107</f>
        <v>1.4436102523919999E-8</v>
      </c>
      <c r="W133" s="154">
        <f>'A2 - Transport'!V108</f>
        <v>0</v>
      </c>
      <c r="X133" s="154">
        <f>'A2 - Transport'!V109</f>
        <v>0</v>
      </c>
      <c r="Y133" s="154">
        <f t="shared" si="24"/>
        <v>1.4436102523919999E-8</v>
      </c>
      <c r="Z133" s="154">
        <f t="shared" si="25"/>
        <v>3.0894545238247491E-7</v>
      </c>
      <c r="AB133" s="87"/>
    </row>
    <row r="134" spans="1:28" x14ac:dyDescent="0.35">
      <c r="A134" s="1" t="s">
        <v>295</v>
      </c>
      <c r="B134" s="154">
        <f>'A2 - Transport'!W91</f>
        <v>5.7044899203343993E-8</v>
      </c>
      <c r="C134" s="154">
        <f>W16+W41+W66</f>
        <v>6.87484852158E-8</v>
      </c>
      <c r="D134" s="154">
        <f>W17+W42+W67</f>
        <v>5.5297484714204754E-9</v>
      </c>
      <c r="E134" s="154">
        <f>W18+W43+W68</f>
        <v>6.5368789712199987E-7</v>
      </c>
      <c r="F134" s="154">
        <f>W19+W44+W69</f>
        <v>0</v>
      </c>
      <c r="G134" s="154">
        <f>W20+W45+W70</f>
        <v>0</v>
      </c>
      <c r="H134" s="154">
        <f>W21+W46+W71</f>
        <v>0</v>
      </c>
      <c r="I134" s="154">
        <f>W22+W47+W72</f>
        <v>7.2258204097671811E-9</v>
      </c>
      <c r="J134" s="154">
        <f>W23+W48+W73</f>
        <v>0</v>
      </c>
      <c r="K134" s="154">
        <f>W24+W49+W74</f>
        <v>0</v>
      </c>
      <c r="L134" s="154">
        <f t="shared" si="21"/>
        <v>7.3519195121898755E-7</v>
      </c>
      <c r="M134" s="154">
        <f>'A2 - Transport'!W101</f>
        <v>1.0301291822249998E-8</v>
      </c>
      <c r="N134" s="154">
        <f>'A2 - Transport'!W102</f>
        <v>0</v>
      </c>
      <c r="O134" s="154">
        <f t="shared" si="20"/>
        <v>1.0301291822249998E-8</v>
      </c>
      <c r="P134" s="154">
        <f>'A2 - Transport'!W103</f>
        <v>0</v>
      </c>
      <c r="Q134" s="154">
        <f>'A2 - Transport'!W104</f>
        <v>0</v>
      </c>
      <c r="R134" s="154">
        <f t="shared" si="22"/>
        <v>0</v>
      </c>
      <c r="S134" s="154">
        <f>'A2 - Transport'!W105</f>
        <v>0</v>
      </c>
      <c r="T134" s="154">
        <f>'A2 - Transport'!W106</f>
        <v>0</v>
      </c>
      <c r="U134" s="154">
        <f t="shared" si="23"/>
        <v>0</v>
      </c>
      <c r="V134" s="154">
        <f>'A2 - Transport'!W107</f>
        <v>4.0241440444919994E-8</v>
      </c>
      <c r="W134" s="154">
        <f>'A2 - Transport'!W108</f>
        <v>0</v>
      </c>
      <c r="X134" s="154">
        <f>'A2 - Transport'!W109</f>
        <v>0</v>
      </c>
      <c r="Y134" s="154">
        <f t="shared" si="24"/>
        <v>4.0241440444919994E-8</v>
      </c>
      <c r="Z134" s="154">
        <f t="shared" si="25"/>
        <v>8.4277958268950149E-7</v>
      </c>
      <c r="AB134" s="87"/>
    </row>
    <row r="135" spans="1:28" x14ac:dyDescent="0.35">
      <c r="A135" s="1" t="s">
        <v>296</v>
      </c>
      <c r="B135" s="154">
        <f>'A2 - Transport'!X91</f>
        <v>2.3927206798272003E-3</v>
      </c>
      <c r="C135" s="154">
        <f>X16+X41+X66</f>
        <v>2.8836219290399997E-3</v>
      </c>
      <c r="D135" s="154">
        <f>X17+X42+X67</f>
        <v>3.184382162361343E-3</v>
      </c>
      <c r="E135" s="154">
        <f>X18+X43+X68</f>
        <v>2.7418622373599995E-2</v>
      </c>
      <c r="F135" s="154">
        <f>X19+X44+X69</f>
        <v>0</v>
      </c>
      <c r="G135" s="154">
        <f>X20+X45+X70</f>
        <v>0</v>
      </c>
      <c r="H135" s="154">
        <f>X21+X46+X71</f>
        <v>0</v>
      </c>
      <c r="I135" s="154">
        <f>X22+X47+X72</f>
        <v>4.1610886535275657E-3</v>
      </c>
      <c r="J135" s="154">
        <f>X23+X48+X73</f>
        <v>0</v>
      </c>
      <c r="K135" s="154">
        <f>X24+X49+X74</f>
        <v>0</v>
      </c>
      <c r="L135" s="154">
        <f t="shared" si="21"/>
        <v>3.76477151185289E-2</v>
      </c>
      <c r="M135" s="154">
        <f>'A2 - Transport'!X101</f>
        <v>4.3208269829999994E-4</v>
      </c>
      <c r="N135" s="154">
        <f>'A2 - Transport'!X102</f>
        <v>0</v>
      </c>
      <c r="O135" s="154">
        <f t="shared" si="20"/>
        <v>4.3208269829999994E-4</v>
      </c>
      <c r="P135" s="154">
        <f>'A2 - Transport'!X103</f>
        <v>0</v>
      </c>
      <c r="Q135" s="154">
        <f>'A2 - Transport'!X104</f>
        <v>0</v>
      </c>
      <c r="R135" s="154">
        <f t="shared" si="22"/>
        <v>0</v>
      </c>
      <c r="S135" s="154">
        <f>'A2 - Transport'!X105</f>
        <v>0</v>
      </c>
      <c r="T135" s="154">
        <f>'A2 - Transport'!X106</f>
        <v>0</v>
      </c>
      <c r="U135" s="154">
        <f t="shared" si="23"/>
        <v>0</v>
      </c>
      <c r="V135" s="154">
        <f>'A2 - Transport'!X107</f>
        <v>1.6879077372959999E-3</v>
      </c>
      <c r="W135" s="154">
        <f>'A2 - Transport'!X108</f>
        <v>0</v>
      </c>
      <c r="X135" s="154">
        <f>'A2 - Transport'!X109</f>
        <v>0</v>
      </c>
      <c r="Y135" s="154">
        <f t="shared" si="24"/>
        <v>1.6879077372959999E-3</v>
      </c>
      <c r="Z135" s="154">
        <f t="shared" si="25"/>
        <v>4.2160426233952102E-2</v>
      </c>
      <c r="AB135" s="87"/>
    </row>
    <row r="136" spans="1:28" x14ac:dyDescent="0.35">
      <c r="A136" s="1" t="s">
        <v>297</v>
      </c>
      <c r="B136" s="154">
        <f>'A2 - Transport'!Y91</f>
        <v>2.8211726834548801E-2</v>
      </c>
      <c r="C136" s="154">
        <f>Y16+Y41+Y66</f>
        <v>3.3999770571660003E-2</v>
      </c>
      <c r="D136" s="154">
        <f>Y17+Y42+Y67</f>
        <v>2.4836553016510714E-2</v>
      </c>
      <c r="E136" s="154">
        <f>Y18+Y43+Y68</f>
        <v>0.32328331973939994</v>
      </c>
      <c r="F136" s="154">
        <f>Y19+Y44+Y69</f>
        <v>0</v>
      </c>
      <c r="G136" s="154">
        <f>Y20+Y45+Y70</f>
        <v>0</v>
      </c>
      <c r="H136" s="154">
        <f>Y21+Y46+Y71</f>
        <v>0</v>
      </c>
      <c r="I136" s="154">
        <f>Y22+Y47+Y72</f>
        <v>3.2454364357167066E-2</v>
      </c>
      <c r="J136" s="154">
        <f>Y23+Y48+Y73</f>
        <v>0</v>
      </c>
      <c r="K136" s="154">
        <f>Y24+Y49+Y74</f>
        <v>0</v>
      </c>
      <c r="L136" s="154">
        <f t="shared" si="21"/>
        <v>0.41457400768473773</v>
      </c>
      <c r="M136" s="154">
        <f>'A2 - Transport'!Y101</f>
        <v>5.0945349188249991E-3</v>
      </c>
      <c r="N136" s="154">
        <f>'A2 - Transport'!Y102</f>
        <v>0</v>
      </c>
      <c r="O136" s="154">
        <f t="shared" si="20"/>
        <v>5.0945349188249991E-3</v>
      </c>
      <c r="P136" s="154">
        <f>'A2 - Transport'!Y103</f>
        <v>0</v>
      </c>
      <c r="Q136" s="154">
        <f>'A2 - Transport'!Y104</f>
        <v>0</v>
      </c>
      <c r="R136" s="154">
        <f t="shared" si="22"/>
        <v>0</v>
      </c>
      <c r="S136" s="154">
        <f>'A2 - Transport'!Y105</f>
        <v>0</v>
      </c>
      <c r="T136" s="154">
        <f>'A2 - Transport'!Y106</f>
        <v>0</v>
      </c>
      <c r="U136" s="154">
        <f t="shared" si="23"/>
        <v>0</v>
      </c>
      <c r="V136" s="154">
        <f>'A2 - Transport'!Y107</f>
        <v>1.9901525659883998E-2</v>
      </c>
      <c r="W136" s="154">
        <f>'A2 - Transport'!Y108</f>
        <v>0</v>
      </c>
      <c r="X136" s="154">
        <f>'A2 - Transport'!Y109</f>
        <v>0</v>
      </c>
      <c r="Y136" s="154">
        <f t="shared" si="24"/>
        <v>1.9901525659883998E-2</v>
      </c>
      <c r="Z136" s="154">
        <f t="shared" si="25"/>
        <v>0.46778179509799556</v>
      </c>
      <c r="AB136" s="87"/>
    </row>
    <row r="140" spans="1:28" x14ac:dyDescent="0.35">
      <c r="B140" t="s">
        <v>352</v>
      </c>
    </row>
    <row r="141" spans="1:28" x14ac:dyDescent="0.35">
      <c r="A141" s="95" t="s">
        <v>326</v>
      </c>
      <c r="B141" s="1">
        <f>SUM(G110:Y110)</f>
        <v>244.7750751738244</v>
      </c>
    </row>
    <row r="142" spans="1:28" x14ac:dyDescent="0.35">
      <c r="A142" s="95" t="s">
        <v>327</v>
      </c>
      <c r="B142" s="1">
        <f>SUM(B118:K136)+SUM(M118:N136)+SUM(P118:Q136)+SUM(S118:T136)+SUM(V118:X136)</f>
        <v>244.77507517382452</v>
      </c>
    </row>
    <row r="143" spans="1:28" x14ac:dyDescent="0.35">
      <c r="A143" s="95" t="s">
        <v>58</v>
      </c>
      <c r="B143" s="204">
        <f>+B141-B142</f>
        <v>0</v>
      </c>
    </row>
    <row r="147" spans="1:1" ht="29" x14ac:dyDescent="0.35">
      <c r="A147" s="28" t="s">
        <v>353</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400" t="s">
        <v>298</v>
      </c>
      <c r="B15" s="158" t="str">
        <f>Input!A51</f>
        <v>RAP 1</v>
      </c>
      <c r="C15" s="158">
        <f>+Input!B51</f>
        <v>0.3</v>
      </c>
      <c r="D15" s="158">
        <f>Input!$L51</f>
        <v>27</v>
      </c>
      <c r="E15" s="158" t="str">
        <f>Input!$J51</f>
        <v>Truck</v>
      </c>
      <c r="F15" s="158" t="str">
        <f>Input!$K51</f>
        <v>Diesel_Euro6</v>
      </c>
      <c r="G15" s="158" cm="1">
        <f t="array" ref="G15">INDEX(LCI!H$2:H$73, MATCH($E15&amp;$F15, LCI!$B$2:$B$73&amp;LCI!$D$2:$D$73, 0))* IF(AND($E15="Truck", OR($F15="Electric", $F15="Electric_green")), $B$6, 1)* $C15* $D15</f>
        <v>1.9174482000000001E-3</v>
      </c>
      <c r="H15" s="158" cm="1">
        <f t="array" ref="H15">INDEX(LCI!I$2:I$73, MATCH($E15&amp;$F15, LCI!$B$2:$B$73&amp;LCI!$D$2:$D$73, 0))* IF(AND($E15="Truck", OR($F15="Electric", $F15="Electric_green")), $B$6, 1)* $C15* $D15</f>
        <v>1.2858333578999999</v>
      </c>
      <c r="I15" s="158" cm="1">
        <f t="array" ref="I15">INDEX(LCI!J$2:J$73, MATCH($E15&amp;$F15, LCI!$B$2:$B$73&amp;LCI!$D$2:$D$73, 0))* IF(AND($E15="Truck", OR($F15="Electric", $F15="Electric_green")), $B$6, 1)* $C15* $D15</f>
        <v>6.0094143000000004E-4</v>
      </c>
      <c r="J15" s="158" cm="1">
        <f t="array" ref="J15">INDEX(LCI!K$2:K$73, MATCH($E15&amp;$F15, LCI!$B$2:$B$73&amp;LCI!$D$2:$D$73, 0))* IF(AND($E15="Truck", OR($F15="Electric", $F15="Electric_green")), $B$6, 1)* $C15* $D15</f>
        <v>1.2851301401999999</v>
      </c>
      <c r="K15" s="158" cm="1">
        <f t="array" ref="K15">INDEX(LCI!L$2:L$73, MATCH($E15&amp;$F15, LCI!$B$2:$B$73&amp;LCI!$D$2:$D$73, 0))* IF(AND($E15="Truck", OR($F15="Electric", $F15="Electric_green")), $B$6, 1)* $C15* $D15</f>
        <v>1.0227464999999999E-4</v>
      </c>
      <c r="L15" s="158" cm="1">
        <f t="array" ref="L15">INDEX(LCI!M$2:M$73, MATCH($E15&amp;$F15, LCI!$B$2:$B$73&amp;LCI!$D$2:$D$73, 0))* IF(AND($E15="Truck", OR($F15="Electric", $F15="Electric_green")), $B$6, 1)* $C15* $D15</f>
        <v>1.1043859868999999</v>
      </c>
      <c r="M15" s="158" cm="1">
        <f t="array" ref="M15">INDEX(LCI!N$2:N$73, MATCH($E15&amp;$F15, LCI!$B$2:$B$73&amp;LCI!$D$2:$D$73, 0))* IF(AND($E15="Truck", OR($F15="Electric", $F15="Electric_green")), $B$6, 1)* $C15* $D15</f>
        <v>17.305980155999997</v>
      </c>
      <c r="N15" s="158" cm="1">
        <f t="array" ref="N15">INDEX(LCI!O$2:O$73, MATCH($E15&amp;$F15, LCI!$B$2:$B$73&amp;LCI!$D$2:$D$73, 0))* IF(AND($E15="Truck", OR($F15="Electric", $F15="Electric_green")), $B$6, 1)* $C15* $D15</f>
        <v>2.9991789E-5</v>
      </c>
      <c r="O15" s="158" cm="1">
        <f t="array" ref="O15">INDEX(LCI!P$2:P$73, MATCH($E15&amp;$F15, LCI!$B$2:$B$73&amp;LCI!$D$2:$D$73, 0))* IF(AND($E15="Truck", OR($F15="Electric", $F15="Electric_green")), $B$6, 1)* $C15* $D15</f>
        <v>4.1793731999999998E-4</v>
      </c>
      <c r="P15" s="158" cm="1">
        <f t="array" ref="P15">INDEX(LCI!Q$2:Q$73, MATCH($E15&amp;$F15, LCI!$B$2:$B$73&amp;LCI!$D$2:$D$73, 0))* IF(AND($E15="Truck", OR($F15="Electric", $F15="Electric_green")), $B$6, 1)* $C15* $D15</f>
        <v>4.5237932999999996E-3</v>
      </c>
      <c r="Q15" s="158" cm="1">
        <f t="array" ref="Q15">INDEX(LCI!R$2:R$73, MATCH($E15&amp;$F15, LCI!$B$2:$B$73&amp;LCI!$D$2:$D$73, 0))* IF(AND($E15="Truck", OR($F15="Electric", $F15="Electric_green")), $B$6, 1)* $C15* $D15</f>
        <v>1.1396456999999999E-10</v>
      </c>
      <c r="R15" s="158" cm="1">
        <f t="array" ref="R15">INDEX(LCI!S$2:S$73, MATCH($E15&amp;$F15, LCI!$B$2:$B$73&amp;LCI!$D$2:$D$73, 0))* IF(AND($E15="Truck", OR($F15="Electric", $F15="Electric_green")), $B$6, 1)* $C15* $D15</f>
        <v>9.2727180000000008E-9</v>
      </c>
      <c r="S15" s="158" cm="1">
        <f t="array" ref="S15">INDEX(LCI!T$2:T$73, MATCH($E15&amp;$F15, LCI!$B$2:$B$73&amp;LCI!$D$2:$D$73, 0))* IF(AND($E15="Truck", OR($F15="Electric", $F15="Electric_green")), $B$6, 1)* $C15* $D15</f>
        <v>7.8473286E-3</v>
      </c>
      <c r="T15" s="158" cm="1">
        <f t="array" ref="T15">INDEX(LCI!U$2:U$73, MATCH($E15&amp;$F15, LCI!$B$2:$B$73&amp;LCI!$D$2:$D$73, 0))* IF(AND($E15="Truck", OR($F15="Electric", $F15="Electric_green")), $B$6, 1)* $C15* $D15</f>
        <v>1.0916087634</v>
      </c>
      <c r="U15" s="158" cm="1">
        <f t="array" ref="U15">INDEX(LCI!V$2:V$73, MATCH($E15&amp;$F15, LCI!$B$2:$B$73&amp;LCI!$D$2:$D$73, 0))* IF(AND($E15="Truck", OR($F15="Electric", $F15="Electric_green")), $B$6, 1)* $C15* $D15</f>
        <v>1.4186096999999999E-6</v>
      </c>
      <c r="V15" s="158" cm="1">
        <f t="array" ref="V15">INDEX(LCI!W$2:W$73, MATCH($E15&amp;$F15, LCI!$B$2:$B$73&amp;LCI!$D$2:$D$73, 0))* IF(AND($E15="Truck", OR($F15="Electric", $F15="Electric_green")), $B$6, 1)* $C15* $D15</f>
        <v>2.8591541999999998E-8</v>
      </c>
      <c r="W15" s="158" cm="1">
        <f t="array" ref="W15">INDEX(LCI!X$2:X$73, MATCH($E15&amp;$F15, LCI!$B$2:$B$73&amp;LCI!$D$2:$D$73, 0))* IF(AND($E15="Truck", OR($F15="Electric", $F15="Electric_green")), $B$6, 1)* $C15* $D15</f>
        <v>7.9700516999999988E-8</v>
      </c>
      <c r="X15" s="158" cm="1">
        <f t="array" ref="X15">INDEX(LCI!Y$2:Y$73, MATCH($E15&amp;$F15, LCI!$B$2:$B$73&amp;LCI!$D$2:$D$73, 0))* IF(AND($E15="Truck", OR($F15="Electric", $F15="Electric_green")), $B$6, 1)* $C15* $D15</f>
        <v>3.3429995999999995E-3</v>
      </c>
      <c r="Y15" s="158" cm="1">
        <f t="array" ref="Y15">INDEX(LCI!Z$2:Z$73, MATCH($E15&amp;$F15, LCI!$B$2:$B$73&amp;LCI!$D$2:$D$73, 0))* IF(AND($E15="Truck", OR($F15="Electric", $F15="Electric_green")), $B$6, 1)* $C15* $D15</f>
        <v>3.9416130899999999E-2</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299</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341</v>
      </c>
      <c r="B19" s="406"/>
      <c r="C19" s="406"/>
      <c r="D19" s="406"/>
      <c r="E19" s="406"/>
      <c r="F19" s="406"/>
      <c r="G19" s="139">
        <f t="shared" ref="G19:Y19" si="0">SUM(G15:G18)</f>
        <v>1.9174482000000001E-3</v>
      </c>
      <c r="H19" s="139">
        <f t="shared" si="0"/>
        <v>1.2858333578999999</v>
      </c>
      <c r="I19" s="139">
        <f t="shared" si="0"/>
        <v>6.0094143000000004E-4</v>
      </c>
      <c r="J19" s="139">
        <f t="shared" si="0"/>
        <v>1.2851301401999999</v>
      </c>
      <c r="K19" s="139">
        <f t="shared" si="0"/>
        <v>1.0227464999999999E-4</v>
      </c>
      <c r="L19" s="139">
        <f t="shared" si="0"/>
        <v>1.1043859868999999</v>
      </c>
      <c r="M19" s="139">
        <f t="shared" si="0"/>
        <v>17.305980155999997</v>
      </c>
      <c r="N19" s="139">
        <f t="shared" si="0"/>
        <v>2.9991789E-5</v>
      </c>
      <c r="O19" s="139">
        <f t="shared" si="0"/>
        <v>4.1793731999999998E-4</v>
      </c>
      <c r="P19" s="139">
        <f t="shared" si="0"/>
        <v>4.5237932999999996E-3</v>
      </c>
      <c r="Q19" s="139">
        <f t="shared" si="0"/>
        <v>1.1396456999999999E-10</v>
      </c>
      <c r="R19" s="139">
        <f t="shared" si="0"/>
        <v>9.2727180000000008E-9</v>
      </c>
      <c r="S19" s="139">
        <f t="shared" si="0"/>
        <v>7.8473286E-3</v>
      </c>
      <c r="T19" s="139">
        <f t="shared" si="0"/>
        <v>1.0916087634</v>
      </c>
      <c r="U19" s="139">
        <f t="shared" si="0"/>
        <v>1.4186096999999999E-6</v>
      </c>
      <c r="V19" s="139">
        <f t="shared" si="0"/>
        <v>2.8591541999999998E-8</v>
      </c>
      <c r="W19" s="139">
        <f t="shared" si="0"/>
        <v>7.9700516999999988E-8</v>
      </c>
      <c r="X19" s="139">
        <f t="shared" si="0"/>
        <v>3.3429995999999995E-3</v>
      </c>
      <c r="Y19" s="139">
        <f t="shared" si="0"/>
        <v>3.9416130899999999E-2</v>
      </c>
    </row>
    <row r="20" spans="1:25" ht="14" customHeight="1" x14ac:dyDescent="0.35"/>
    <row r="21" spans="1:25" ht="14" customHeight="1" x14ac:dyDescent="0.35"/>
    <row r="22" spans="1:25" ht="23.5" x14ac:dyDescent="0.55000000000000004">
      <c r="A22" s="100" t="s">
        <v>342</v>
      </c>
    </row>
    <row r="23" spans="1:25" ht="14" customHeight="1" x14ac:dyDescent="0.35"/>
    <row r="24" spans="1:25" ht="14" customHeight="1" x14ac:dyDescent="0.35">
      <c r="A24" s="104" t="s">
        <v>276</v>
      </c>
      <c r="B24" s="104" t="s">
        <v>277</v>
      </c>
      <c r="C24" s="103" t="s">
        <v>278</v>
      </c>
      <c r="D24" s="103" t="s">
        <v>56</v>
      </c>
      <c r="E24" s="103" t="s">
        <v>339</v>
      </c>
      <c r="F24" s="103" t="s">
        <v>340</v>
      </c>
      <c r="G24" s="103" t="s">
        <v>279</v>
      </c>
      <c r="H24" s="103" t="s">
        <v>280</v>
      </c>
      <c r="I24" s="103" t="s">
        <v>281</v>
      </c>
      <c r="J24" s="103" t="s">
        <v>282</v>
      </c>
      <c r="K24" s="103" t="s">
        <v>283</v>
      </c>
      <c r="L24" s="103" t="s">
        <v>284</v>
      </c>
      <c r="M24" s="103" t="s">
        <v>285</v>
      </c>
      <c r="N24" s="103" t="s">
        <v>286</v>
      </c>
      <c r="O24" s="103" t="s">
        <v>287</v>
      </c>
      <c r="P24" s="103" t="s">
        <v>288</v>
      </c>
      <c r="Q24" s="103" t="s">
        <v>289</v>
      </c>
      <c r="R24" s="103" t="s">
        <v>290</v>
      </c>
      <c r="S24" s="103" t="s">
        <v>291</v>
      </c>
      <c r="T24" s="103" t="s">
        <v>292</v>
      </c>
      <c r="U24" s="103" t="s">
        <v>293</v>
      </c>
      <c r="V24" s="103" t="s">
        <v>294</v>
      </c>
      <c r="W24" s="103" t="s">
        <v>295</v>
      </c>
      <c r="X24" s="103" t="s">
        <v>296</v>
      </c>
      <c r="Y24" s="103" t="s">
        <v>297</v>
      </c>
    </row>
    <row r="25" spans="1:25" x14ac:dyDescent="0.35">
      <c r="A25" s="400" t="s">
        <v>298</v>
      </c>
      <c r="B25" s="154" t="str">
        <f>Input!A51</f>
        <v>RAP 1</v>
      </c>
      <c r="C25" s="158">
        <f>+Input!B51</f>
        <v>0.3</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299</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343</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344</v>
      </c>
    </row>
    <row r="33" spans="1:25" ht="14" customHeight="1" x14ac:dyDescent="0.35"/>
    <row r="34" spans="1:25" ht="101.5" x14ac:dyDescent="0.35">
      <c r="A34" s="104" t="s">
        <v>276</v>
      </c>
      <c r="B34" s="104" t="s">
        <v>277</v>
      </c>
      <c r="C34" s="103" t="s">
        <v>278</v>
      </c>
      <c r="D34" s="103" t="s">
        <v>56</v>
      </c>
      <c r="E34" s="103" t="s">
        <v>339</v>
      </c>
      <c r="F34" s="103" t="s">
        <v>340</v>
      </c>
      <c r="G34" s="103" t="s">
        <v>279</v>
      </c>
      <c r="H34" s="103" t="s">
        <v>280</v>
      </c>
      <c r="I34" s="103" t="s">
        <v>281</v>
      </c>
      <c r="J34" s="103" t="s">
        <v>282</v>
      </c>
      <c r="K34" s="103" t="s">
        <v>283</v>
      </c>
      <c r="L34" s="103" t="s">
        <v>284</v>
      </c>
      <c r="M34" s="103" t="s">
        <v>285</v>
      </c>
      <c r="N34" s="103" t="s">
        <v>286</v>
      </c>
      <c r="O34" s="103" t="s">
        <v>287</v>
      </c>
      <c r="P34" s="103" t="s">
        <v>288</v>
      </c>
      <c r="Q34" s="103" t="s">
        <v>289</v>
      </c>
      <c r="R34" s="103" t="s">
        <v>290</v>
      </c>
      <c r="S34" s="103" t="s">
        <v>291</v>
      </c>
      <c r="T34" s="103" t="s">
        <v>292</v>
      </c>
      <c r="U34" s="103" t="s">
        <v>293</v>
      </c>
      <c r="V34" s="103" t="s">
        <v>294</v>
      </c>
      <c r="W34" s="103" t="s">
        <v>295</v>
      </c>
      <c r="X34" s="103" t="s">
        <v>296</v>
      </c>
      <c r="Y34" s="103" t="s">
        <v>297</v>
      </c>
    </row>
    <row r="35" spans="1:25" x14ac:dyDescent="0.35">
      <c r="A35" s="400" t="s">
        <v>298</v>
      </c>
      <c r="B35" s="154" t="str">
        <f>Input!A51</f>
        <v>RAP 1</v>
      </c>
      <c r="C35" s="154">
        <f>+Input!B51</f>
        <v>0.3</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299</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200</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345</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276</v>
      </c>
      <c r="B45" s="104" t="s">
        <v>277</v>
      </c>
      <c r="C45" s="103" t="s">
        <v>278</v>
      </c>
      <c r="D45" s="103" t="s">
        <v>56</v>
      </c>
      <c r="E45" s="103" t="s">
        <v>339</v>
      </c>
      <c r="F45" s="103" t="s">
        <v>340</v>
      </c>
      <c r="G45" s="103" t="s">
        <v>279</v>
      </c>
      <c r="H45" s="103" t="s">
        <v>280</v>
      </c>
      <c r="I45" s="103" t="s">
        <v>281</v>
      </c>
      <c r="J45" s="103" t="s">
        <v>282</v>
      </c>
      <c r="K45" s="103" t="s">
        <v>283</v>
      </c>
      <c r="L45" s="103" t="s">
        <v>284</v>
      </c>
      <c r="M45" s="103" t="s">
        <v>285</v>
      </c>
      <c r="N45" s="103" t="s">
        <v>286</v>
      </c>
      <c r="O45" s="103" t="s">
        <v>287</v>
      </c>
      <c r="P45" s="103" t="s">
        <v>288</v>
      </c>
      <c r="Q45" s="103" t="s">
        <v>289</v>
      </c>
      <c r="R45" s="103" t="s">
        <v>290</v>
      </c>
      <c r="S45" s="103" t="s">
        <v>291</v>
      </c>
      <c r="T45" s="103" t="s">
        <v>292</v>
      </c>
      <c r="U45" s="103" t="s">
        <v>293</v>
      </c>
      <c r="V45" s="103" t="s">
        <v>294</v>
      </c>
      <c r="W45" s="103" t="s">
        <v>295</v>
      </c>
      <c r="X45" s="103" t="s">
        <v>296</v>
      </c>
      <c r="Y45" s="103" t="s">
        <v>297</v>
      </c>
    </row>
    <row r="46" spans="1:25" ht="14" customHeight="1" x14ac:dyDescent="0.35">
      <c r="A46" s="400" t="s">
        <v>298</v>
      </c>
      <c r="B46" s="1" t="str">
        <f>Input!A51</f>
        <v>RAP 1</v>
      </c>
      <c r="C46" s="154">
        <f>+Input!B51</f>
        <v>0.3</v>
      </c>
      <c r="D46" s="158">
        <f>D15+D25+D35</f>
        <v>27</v>
      </c>
      <c r="E46" s="154" t="s">
        <v>346</v>
      </c>
      <c r="F46" s="154" t="s">
        <v>346</v>
      </c>
      <c r="G46" s="154">
        <f t="shared" ref="G46:Y46" si="3">G15+G25+G35</f>
        <v>1.9174482000000001E-3</v>
      </c>
      <c r="H46" s="154">
        <f t="shared" si="3"/>
        <v>1.2858333578999999</v>
      </c>
      <c r="I46" s="154">
        <f t="shared" si="3"/>
        <v>6.0094143000000004E-4</v>
      </c>
      <c r="J46" s="154">
        <f t="shared" si="3"/>
        <v>1.2851301401999999</v>
      </c>
      <c r="K46" s="154">
        <f t="shared" si="3"/>
        <v>1.0227464999999999E-4</v>
      </c>
      <c r="L46" s="154">
        <f t="shared" si="3"/>
        <v>1.1043859868999999</v>
      </c>
      <c r="M46" s="154">
        <f t="shared" si="3"/>
        <v>17.305980155999997</v>
      </c>
      <c r="N46" s="154">
        <f t="shared" si="3"/>
        <v>2.9991789E-5</v>
      </c>
      <c r="O46" s="154">
        <f t="shared" si="3"/>
        <v>4.1793731999999998E-4</v>
      </c>
      <c r="P46" s="154">
        <f t="shared" si="3"/>
        <v>4.5237932999999996E-3</v>
      </c>
      <c r="Q46" s="154">
        <f t="shared" si="3"/>
        <v>1.1396456999999999E-10</v>
      </c>
      <c r="R46" s="154">
        <f t="shared" si="3"/>
        <v>9.2727180000000008E-9</v>
      </c>
      <c r="S46" s="154">
        <f t="shared" si="3"/>
        <v>7.8473286E-3</v>
      </c>
      <c r="T46" s="154">
        <f t="shared" si="3"/>
        <v>1.0916087634</v>
      </c>
      <c r="U46" s="154">
        <f t="shared" si="3"/>
        <v>1.4186096999999999E-6</v>
      </c>
      <c r="V46" s="154">
        <f t="shared" si="3"/>
        <v>2.8591541999999998E-8</v>
      </c>
      <c r="W46" s="154">
        <f t="shared" si="3"/>
        <v>7.9700516999999988E-8</v>
      </c>
      <c r="X46" s="154">
        <f t="shared" si="3"/>
        <v>3.3429995999999995E-3</v>
      </c>
      <c r="Y46" s="154">
        <f t="shared" si="3"/>
        <v>3.9416130899999999E-2</v>
      </c>
    </row>
    <row r="47" spans="1:25" ht="14" customHeight="1" x14ac:dyDescent="0.35">
      <c r="A47" s="400"/>
      <c r="B47" s="1" t="str">
        <f>Input!A52</f>
        <v>RAP 2</v>
      </c>
      <c r="C47" s="154">
        <f>+Input!B52</f>
        <v>0</v>
      </c>
      <c r="D47" s="158">
        <f>D16+D26+D36</f>
        <v>0</v>
      </c>
      <c r="E47" s="154" t="s">
        <v>346</v>
      </c>
      <c r="F47" s="154" t="s">
        <v>346</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299</v>
      </c>
      <c r="B48" s="1" t="str">
        <f>Input!A53</f>
        <v>Other_waste 1</v>
      </c>
      <c r="C48" s="154">
        <f>+Input!B53</f>
        <v>0</v>
      </c>
      <c r="D48" s="158">
        <f>D17+D27+D37</f>
        <v>0</v>
      </c>
      <c r="E48" s="154" t="s">
        <v>346</v>
      </c>
      <c r="F48" s="154" t="s">
        <v>346</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346</v>
      </c>
      <c r="F49" s="154" t="s">
        <v>346</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347</v>
      </c>
      <c r="B50" s="406"/>
      <c r="C50" s="407"/>
      <c r="D50" s="407"/>
      <c r="E50" s="407"/>
      <c r="F50" s="407"/>
      <c r="G50" s="139">
        <f t="shared" ref="G50:Y50" si="7">SUM(G46:G49)</f>
        <v>1.9174482000000001E-3</v>
      </c>
      <c r="H50" s="139">
        <f t="shared" si="7"/>
        <v>1.2858333578999999</v>
      </c>
      <c r="I50" s="139">
        <f t="shared" si="7"/>
        <v>6.0094143000000004E-4</v>
      </c>
      <c r="J50" s="139">
        <f t="shared" si="7"/>
        <v>1.2851301401999999</v>
      </c>
      <c r="K50" s="139">
        <f t="shared" si="7"/>
        <v>1.0227464999999999E-4</v>
      </c>
      <c r="L50" s="139">
        <f t="shared" si="7"/>
        <v>1.1043859868999999</v>
      </c>
      <c r="M50" s="139">
        <f t="shared" si="7"/>
        <v>17.305980155999997</v>
      </c>
      <c r="N50" s="139">
        <f t="shared" si="7"/>
        <v>2.9991789E-5</v>
      </c>
      <c r="O50" s="139">
        <f t="shared" si="7"/>
        <v>4.1793731999999998E-4</v>
      </c>
      <c r="P50" s="139">
        <f t="shared" si="7"/>
        <v>4.5237932999999996E-3</v>
      </c>
      <c r="Q50" s="139">
        <f t="shared" si="7"/>
        <v>1.1396456999999999E-10</v>
      </c>
      <c r="R50" s="139">
        <f t="shared" si="7"/>
        <v>9.2727180000000008E-9</v>
      </c>
      <c r="S50" s="139">
        <f t="shared" si="7"/>
        <v>7.8473286E-3</v>
      </c>
      <c r="T50" s="139">
        <f t="shared" si="7"/>
        <v>1.0916087634</v>
      </c>
      <c r="U50" s="139">
        <f t="shared" si="7"/>
        <v>1.4186096999999999E-6</v>
      </c>
      <c r="V50" s="139">
        <f t="shared" si="7"/>
        <v>2.8591541999999998E-8</v>
      </c>
      <c r="W50" s="139">
        <f t="shared" si="7"/>
        <v>7.9700516999999988E-8</v>
      </c>
      <c r="X50" s="139">
        <f t="shared" si="7"/>
        <v>3.3429995999999995E-3</v>
      </c>
      <c r="Y50" s="139">
        <f t="shared" si="7"/>
        <v>3.9416130899999999E-2</v>
      </c>
    </row>
    <row r="51" spans="1:25" ht="14" customHeight="1" x14ac:dyDescent="0.35"/>
    <row r="52" spans="1:25" x14ac:dyDescent="0.35">
      <c r="A52" t="s">
        <v>348</v>
      </c>
    </row>
    <row r="53" spans="1:25" ht="14" customHeight="1" x14ac:dyDescent="0.35"/>
    <row r="54" spans="1:25" x14ac:dyDescent="0.35">
      <c r="A54" s="32"/>
    </row>
    <row r="55" spans="1:25" ht="23.5" x14ac:dyDescent="0.55000000000000004">
      <c r="A55" s="100" t="s">
        <v>349</v>
      </c>
    </row>
    <row r="56" spans="1:25" ht="14" customHeight="1" x14ac:dyDescent="0.35"/>
    <row r="57" spans="1:25" x14ac:dyDescent="0.35">
      <c r="A57" s="104" t="s">
        <v>203</v>
      </c>
      <c r="B57" s="103" t="s">
        <v>81</v>
      </c>
      <c r="C57" s="108" t="s">
        <v>83</v>
      </c>
      <c r="D57" s="103" t="s">
        <v>314</v>
      </c>
      <c r="E57" s="103" t="s">
        <v>315</v>
      </c>
      <c r="F57" s="103" t="s">
        <v>316</v>
      </c>
      <c r="G57" s="103" t="s">
        <v>323</v>
      </c>
      <c r="H57" s="103" t="s">
        <v>351</v>
      </c>
    </row>
    <row r="58" spans="1:25" x14ac:dyDescent="0.35">
      <c r="A58" s="1" t="s">
        <v>318</v>
      </c>
      <c r="B58" s="154">
        <f>'C2''- Transport Secondary'!G46</f>
        <v>1.9174482000000001E-3</v>
      </c>
      <c r="C58" s="154">
        <f>'C2''- Transport Secondary'!G47</f>
        <v>0</v>
      </c>
      <c r="D58" s="154">
        <f>SUM(B58:C58)</f>
        <v>1.9174482000000001E-3</v>
      </c>
      <c r="E58" s="154">
        <f>'C2''- Transport Secondary'!G48</f>
        <v>0</v>
      </c>
      <c r="F58" s="154">
        <f>'C2''- Transport Secondary'!G49</f>
        <v>0</v>
      </c>
      <c r="G58" s="154">
        <f>SUM(E58:F58)</f>
        <v>0</v>
      </c>
      <c r="H58" s="154">
        <f>+D58+G58</f>
        <v>1.9174482000000001E-3</v>
      </c>
    </row>
    <row r="59" spans="1:25" x14ac:dyDescent="0.35">
      <c r="A59" s="1" t="s">
        <v>280</v>
      </c>
      <c r="B59" s="154">
        <f>'C2''- Transport Secondary'!H46</f>
        <v>1.2858333578999999</v>
      </c>
      <c r="C59" s="154">
        <f>'C2''- Transport Secondary'!H47</f>
        <v>0</v>
      </c>
      <c r="D59" s="154">
        <f t="shared" ref="D59:D76" si="8">SUM(B59:C59)</f>
        <v>1.2858333578999999</v>
      </c>
      <c r="E59" s="154">
        <f>'C2''- Transport Secondary'!H48</f>
        <v>0</v>
      </c>
      <c r="F59" s="154">
        <f>'C2''- Transport Secondary'!H49</f>
        <v>0</v>
      </c>
      <c r="G59" s="154">
        <f>SUM(E59:F59)</f>
        <v>0</v>
      </c>
      <c r="H59" s="154">
        <f t="shared" ref="H59:H76" si="9">+D59+G59</f>
        <v>1.2858333578999999</v>
      </c>
    </row>
    <row r="60" spans="1:25" x14ac:dyDescent="0.35">
      <c r="A60" s="1" t="s">
        <v>281</v>
      </c>
      <c r="B60" s="154">
        <f>'C2''- Transport Secondary'!I46</f>
        <v>6.0094143000000004E-4</v>
      </c>
      <c r="C60" s="154">
        <f>'C2''- Transport Secondary'!I47</f>
        <v>0</v>
      </c>
      <c r="D60" s="154">
        <f t="shared" si="8"/>
        <v>6.0094143000000004E-4</v>
      </c>
      <c r="E60" s="154">
        <f>'C2''- Transport Secondary'!I48</f>
        <v>0</v>
      </c>
      <c r="F60" s="154">
        <f>'C2''- Transport Secondary'!I49</f>
        <v>0</v>
      </c>
      <c r="G60" s="154">
        <f t="shared" ref="G60:G76" si="10">SUM(E60:F60)</f>
        <v>0</v>
      </c>
      <c r="H60" s="154">
        <f t="shared" si="9"/>
        <v>6.0094143000000004E-4</v>
      </c>
    </row>
    <row r="61" spans="1:25" x14ac:dyDescent="0.35">
      <c r="A61" s="1" t="s">
        <v>282</v>
      </c>
      <c r="B61" s="154">
        <f>'C2''- Transport Secondary'!J46</f>
        <v>1.2851301401999999</v>
      </c>
      <c r="C61" s="154">
        <f>'C2''- Transport Secondary'!J47</f>
        <v>0</v>
      </c>
      <c r="D61" s="154">
        <f t="shared" si="8"/>
        <v>1.2851301401999999</v>
      </c>
      <c r="E61" s="154">
        <f>'C2''- Transport Secondary'!J48</f>
        <v>0</v>
      </c>
      <c r="F61" s="154">
        <f>'C2''- Transport Secondary'!J49</f>
        <v>0</v>
      </c>
      <c r="G61" s="154">
        <f t="shared" si="10"/>
        <v>0</v>
      </c>
      <c r="H61" s="154">
        <f t="shared" si="9"/>
        <v>1.2851301401999999</v>
      </c>
    </row>
    <row r="62" spans="1:25" x14ac:dyDescent="0.35">
      <c r="A62" s="1" t="s">
        <v>283</v>
      </c>
      <c r="B62" s="154">
        <f>'C2''- Transport Secondary'!K46</f>
        <v>1.0227464999999999E-4</v>
      </c>
      <c r="C62" s="154">
        <f>'C2''- Transport Secondary'!K47</f>
        <v>0</v>
      </c>
      <c r="D62" s="154">
        <f t="shared" si="8"/>
        <v>1.0227464999999999E-4</v>
      </c>
      <c r="E62" s="154">
        <f>'C2''- Transport Secondary'!K48</f>
        <v>0</v>
      </c>
      <c r="F62" s="154">
        <f>'C2''- Transport Secondary'!K49</f>
        <v>0</v>
      </c>
      <c r="G62" s="154">
        <f t="shared" si="10"/>
        <v>0</v>
      </c>
      <c r="H62" s="154">
        <f t="shared" si="9"/>
        <v>1.0227464999999999E-4</v>
      </c>
    </row>
    <row r="63" spans="1:25" x14ac:dyDescent="0.35">
      <c r="A63" s="1" t="s">
        <v>284</v>
      </c>
      <c r="B63" s="154">
        <f>'C2''- Transport Secondary'!L46</f>
        <v>1.1043859868999999</v>
      </c>
      <c r="C63" s="154">
        <f>'C2''- Transport Secondary'!L47</f>
        <v>0</v>
      </c>
      <c r="D63" s="154">
        <f t="shared" si="8"/>
        <v>1.1043859868999999</v>
      </c>
      <c r="E63" s="154">
        <f>'C2''- Transport Secondary'!L48</f>
        <v>0</v>
      </c>
      <c r="F63" s="154">
        <f>'C2''- Transport Secondary'!L49</f>
        <v>0</v>
      </c>
      <c r="G63" s="154">
        <f t="shared" si="10"/>
        <v>0</v>
      </c>
      <c r="H63" s="154">
        <f t="shared" si="9"/>
        <v>1.1043859868999999</v>
      </c>
    </row>
    <row r="64" spans="1:25" x14ac:dyDescent="0.35">
      <c r="A64" s="1" t="s">
        <v>285</v>
      </c>
      <c r="B64" s="154">
        <f>'C2''- Transport Secondary'!M46</f>
        <v>17.305980155999997</v>
      </c>
      <c r="C64" s="154">
        <f>'C2''- Transport Secondary'!M47</f>
        <v>0</v>
      </c>
      <c r="D64" s="154">
        <f t="shared" si="8"/>
        <v>17.305980155999997</v>
      </c>
      <c r="E64" s="154">
        <f>'C2''- Transport Secondary'!M48</f>
        <v>0</v>
      </c>
      <c r="F64" s="154">
        <f>'C2''- Transport Secondary'!M49</f>
        <v>0</v>
      </c>
      <c r="G64" s="154">
        <f t="shared" si="10"/>
        <v>0</v>
      </c>
      <c r="H64" s="154">
        <f t="shared" si="9"/>
        <v>17.305980155999997</v>
      </c>
    </row>
    <row r="65" spans="1:8" x14ac:dyDescent="0.35">
      <c r="A65" s="1" t="s">
        <v>286</v>
      </c>
      <c r="B65" s="154">
        <f>'C2''- Transport Secondary'!N46</f>
        <v>2.9991789E-5</v>
      </c>
      <c r="C65" s="154">
        <f>'C2''- Transport Secondary'!N47</f>
        <v>0</v>
      </c>
      <c r="D65" s="154">
        <f t="shared" si="8"/>
        <v>2.9991789E-5</v>
      </c>
      <c r="E65" s="154">
        <f>'C2''- Transport Secondary'!N48</f>
        <v>0</v>
      </c>
      <c r="F65" s="154">
        <f>'C2''- Transport Secondary'!N49</f>
        <v>0</v>
      </c>
      <c r="G65" s="154">
        <f t="shared" si="10"/>
        <v>0</v>
      </c>
      <c r="H65" s="154">
        <f t="shared" si="9"/>
        <v>2.9991789E-5</v>
      </c>
    </row>
    <row r="66" spans="1:8" x14ac:dyDescent="0.35">
      <c r="A66" s="1" t="s">
        <v>287</v>
      </c>
      <c r="B66" s="154">
        <f>'C2''- Transport Secondary'!O46</f>
        <v>4.1793731999999998E-4</v>
      </c>
      <c r="C66" s="154">
        <f>'C2''- Transport Secondary'!O47</f>
        <v>0</v>
      </c>
      <c r="D66" s="154">
        <f t="shared" si="8"/>
        <v>4.1793731999999998E-4</v>
      </c>
      <c r="E66" s="154">
        <f>'C2''- Transport Secondary'!O48</f>
        <v>0</v>
      </c>
      <c r="F66" s="154">
        <f>'C2''- Transport Secondary'!O49</f>
        <v>0</v>
      </c>
      <c r="G66" s="154">
        <f t="shared" si="10"/>
        <v>0</v>
      </c>
      <c r="H66" s="154">
        <f t="shared" si="9"/>
        <v>4.1793731999999998E-4</v>
      </c>
    </row>
    <row r="67" spans="1:8" x14ac:dyDescent="0.35">
      <c r="A67" s="1" t="s">
        <v>288</v>
      </c>
      <c r="B67" s="154">
        <f>'C2''- Transport Secondary'!P46</f>
        <v>4.5237932999999996E-3</v>
      </c>
      <c r="C67" s="154">
        <f>'C2''- Transport Secondary'!P47</f>
        <v>0</v>
      </c>
      <c r="D67" s="154">
        <f t="shared" si="8"/>
        <v>4.5237932999999996E-3</v>
      </c>
      <c r="E67" s="154">
        <f>'C2''- Transport Secondary'!P48</f>
        <v>0</v>
      </c>
      <c r="F67" s="154">
        <f>'C2''- Transport Secondary'!P49</f>
        <v>0</v>
      </c>
      <c r="G67" s="154">
        <f t="shared" si="10"/>
        <v>0</v>
      </c>
      <c r="H67" s="154">
        <f t="shared" si="9"/>
        <v>4.5237932999999996E-3</v>
      </c>
    </row>
    <row r="68" spans="1:8" x14ac:dyDescent="0.35">
      <c r="A68" s="1" t="s">
        <v>289</v>
      </c>
      <c r="B68" s="154">
        <f>'C2''- Transport Secondary'!Q46</f>
        <v>1.1396456999999999E-10</v>
      </c>
      <c r="C68" s="154">
        <f>'C2''- Transport Secondary'!Q47</f>
        <v>0</v>
      </c>
      <c r="D68" s="154">
        <f t="shared" si="8"/>
        <v>1.1396456999999999E-10</v>
      </c>
      <c r="E68" s="154">
        <f>'C2''- Transport Secondary'!Q48</f>
        <v>0</v>
      </c>
      <c r="F68" s="154">
        <f>'C2''- Transport Secondary'!Q49</f>
        <v>0</v>
      </c>
      <c r="G68" s="154">
        <f t="shared" si="10"/>
        <v>0</v>
      </c>
      <c r="H68" s="154">
        <f t="shared" si="9"/>
        <v>1.1396456999999999E-10</v>
      </c>
    </row>
    <row r="69" spans="1:8" x14ac:dyDescent="0.35">
      <c r="A69" s="1" t="s">
        <v>319</v>
      </c>
      <c r="B69" s="154">
        <f>'C2''- Transport Secondary'!R46</f>
        <v>9.2727180000000008E-9</v>
      </c>
      <c r="C69" s="154">
        <f>'C2''- Transport Secondary'!R47</f>
        <v>0</v>
      </c>
      <c r="D69" s="154">
        <f t="shared" si="8"/>
        <v>9.2727180000000008E-9</v>
      </c>
      <c r="E69" s="154">
        <f>'C2''- Transport Secondary'!R48</f>
        <v>0</v>
      </c>
      <c r="F69" s="154">
        <f>'C2''- Transport Secondary'!R49</f>
        <v>0</v>
      </c>
      <c r="G69" s="154">
        <f t="shared" si="10"/>
        <v>0</v>
      </c>
      <c r="H69" s="154">
        <f t="shared" si="9"/>
        <v>9.2727180000000008E-9</v>
      </c>
    </row>
    <row r="70" spans="1:8" x14ac:dyDescent="0.35">
      <c r="A70" s="1" t="s">
        <v>291</v>
      </c>
      <c r="B70" s="154">
        <f>'C2''- Transport Secondary'!S46</f>
        <v>7.8473286E-3</v>
      </c>
      <c r="C70" s="154">
        <f>'C2''- Transport Secondary'!S47</f>
        <v>0</v>
      </c>
      <c r="D70" s="154">
        <f t="shared" si="8"/>
        <v>7.8473286E-3</v>
      </c>
      <c r="E70" s="154">
        <f>'C2''- Transport Secondary'!S48</f>
        <v>0</v>
      </c>
      <c r="F70" s="154">
        <f>'C2''- Transport Secondary'!S49</f>
        <v>0</v>
      </c>
      <c r="G70" s="154">
        <f t="shared" si="10"/>
        <v>0</v>
      </c>
      <c r="H70" s="154">
        <f t="shared" si="9"/>
        <v>7.8473286E-3</v>
      </c>
    </row>
    <row r="71" spans="1:8" x14ac:dyDescent="0.35">
      <c r="A71" s="1" t="s">
        <v>292</v>
      </c>
      <c r="B71" s="154">
        <f>'C2''- Transport Secondary'!T46</f>
        <v>1.0916087634</v>
      </c>
      <c r="C71" s="154">
        <f>'C2''- Transport Secondary'!T47</f>
        <v>0</v>
      </c>
      <c r="D71" s="154">
        <f t="shared" si="8"/>
        <v>1.0916087634</v>
      </c>
      <c r="E71" s="154">
        <f>'C2''- Transport Secondary'!T48</f>
        <v>0</v>
      </c>
      <c r="F71" s="154">
        <f>'C2''- Transport Secondary'!T49</f>
        <v>0</v>
      </c>
      <c r="G71" s="154">
        <f t="shared" si="10"/>
        <v>0</v>
      </c>
      <c r="H71" s="154">
        <f t="shared" si="9"/>
        <v>1.0916087634</v>
      </c>
    </row>
    <row r="72" spans="1:8" x14ac:dyDescent="0.35">
      <c r="A72" s="1" t="s">
        <v>293</v>
      </c>
      <c r="B72" s="154">
        <f>'C2''- Transport Secondary'!U46</f>
        <v>1.4186096999999999E-6</v>
      </c>
      <c r="C72" s="154">
        <f>'C2''- Transport Secondary'!U47</f>
        <v>0</v>
      </c>
      <c r="D72" s="154">
        <f t="shared" si="8"/>
        <v>1.4186096999999999E-6</v>
      </c>
      <c r="E72" s="154">
        <f>'C2''- Transport Secondary'!U48</f>
        <v>0</v>
      </c>
      <c r="F72" s="154">
        <f>'C2''- Transport Secondary'!U49</f>
        <v>0</v>
      </c>
      <c r="G72" s="154">
        <f t="shared" si="10"/>
        <v>0</v>
      </c>
      <c r="H72" s="154">
        <f t="shared" si="9"/>
        <v>1.4186096999999999E-6</v>
      </c>
    </row>
    <row r="73" spans="1:8" x14ac:dyDescent="0.35">
      <c r="A73" s="1" t="s">
        <v>294</v>
      </c>
      <c r="B73" s="154">
        <f>'C2''- Transport Secondary'!V46</f>
        <v>2.8591541999999998E-8</v>
      </c>
      <c r="C73" s="154">
        <f>'C2''- Transport Secondary'!V47</f>
        <v>0</v>
      </c>
      <c r="D73" s="154">
        <f t="shared" si="8"/>
        <v>2.8591541999999998E-8</v>
      </c>
      <c r="E73" s="154">
        <f>'C2''- Transport Secondary'!V48</f>
        <v>0</v>
      </c>
      <c r="F73" s="154">
        <f>'C2''- Transport Secondary'!V49</f>
        <v>0</v>
      </c>
      <c r="G73" s="154">
        <f t="shared" si="10"/>
        <v>0</v>
      </c>
      <c r="H73" s="154">
        <f t="shared" si="9"/>
        <v>2.8591541999999998E-8</v>
      </c>
    </row>
    <row r="74" spans="1:8" ht="14" customHeight="1" x14ac:dyDescent="0.35">
      <c r="A74" s="1" t="s">
        <v>295</v>
      </c>
      <c r="B74" s="154">
        <f>'C2''- Transport Secondary'!W46</f>
        <v>7.9700516999999988E-8</v>
      </c>
      <c r="C74" s="154">
        <f>'C2''- Transport Secondary'!W47</f>
        <v>0</v>
      </c>
      <c r="D74" s="154">
        <f t="shared" si="8"/>
        <v>7.9700516999999988E-8</v>
      </c>
      <c r="E74" s="154">
        <f>'C2''- Transport Secondary'!W48</f>
        <v>0</v>
      </c>
      <c r="F74" s="154">
        <f>'C2''- Transport Secondary'!W49</f>
        <v>0</v>
      </c>
      <c r="G74" s="154">
        <f t="shared" si="10"/>
        <v>0</v>
      </c>
      <c r="H74" s="154">
        <f t="shared" si="9"/>
        <v>7.9700516999999988E-8</v>
      </c>
    </row>
    <row r="75" spans="1:8" x14ac:dyDescent="0.35">
      <c r="A75" s="1" t="s">
        <v>296</v>
      </c>
      <c r="B75" s="154">
        <f>'C2''- Transport Secondary'!X46</f>
        <v>3.3429995999999995E-3</v>
      </c>
      <c r="C75" s="154">
        <f>'C2''- Transport Secondary'!X47</f>
        <v>0</v>
      </c>
      <c r="D75" s="154">
        <f t="shared" si="8"/>
        <v>3.3429995999999995E-3</v>
      </c>
      <c r="E75" s="154">
        <f>'C2''- Transport Secondary'!X48</f>
        <v>0</v>
      </c>
      <c r="F75" s="154">
        <f>'C2''- Transport Secondary'!X49</f>
        <v>0</v>
      </c>
      <c r="G75" s="154">
        <f t="shared" si="10"/>
        <v>0</v>
      </c>
      <c r="H75" s="154">
        <f t="shared" si="9"/>
        <v>3.3429995999999995E-3</v>
      </c>
    </row>
    <row r="76" spans="1:8" x14ac:dyDescent="0.35">
      <c r="A76" s="1" t="s">
        <v>297</v>
      </c>
      <c r="B76" s="154">
        <f>'C2''- Transport Secondary'!Y46</f>
        <v>3.9416130899999999E-2</v>
      </c>
      <c r="C76" s="154">
        <f>'C2''- Transport Secondary'!Y47</f>
        <v>0</v>
      </c>
      <c r="D76" s="154">
        <f t="shared" si="8"/>
        <v>3.9416130899999999E-2</v>
      </c>
      <c r="E76" s="154">
        <f>'C2''- Transport Secondary'!Y48</f>
        <v>0</v>
      </c>
      <c r="F76" s="154">
        <f>'C2''- Transport Secondary'!Y49</f>
        <v>0</v>
      </c>
      <c r="G76" s="154">
        <f t="shared" si="10"/>
        <v>0</v>
      </c>
      <c r="H76" s="154">
        <f t="shared" si="9"/>
        <v>3.9416130899999999E-2</v>
      </c>
    </row>
    <row r="79" spans="1:8" x14ac:dyDescent="0.35">
      <c r="B79" t="s">
        <v>354</v>
      </c>
    </row>
    <row r="80" spans="1:8" x14ac:dyDescent="0.35">
      <c r="A80" s="95" t="s">
        <v>326</v>
      </c>
      <c r="B80" s="1">
        <f>SUM(G50:Y50)</f>
        <v>22.13113878647744</v>
      </c>
    </row>
    <row r="81" spans="1:2" x14ac:dyDescent="0.35">
      <c r="A81" s="95" t="s">
        <v>327</v>
      </c>
      <c r="B81" s="1">
        <f>SUM(B58:C76)+SUM(E58:F76)</f>
        <v>22.13113878647744</v>
      </c>
    </row>
    <row r="82" spans="1:2" x14ac:dyDescent="0.35">
      <c r="A82" s="95" t="s">
        <v>58</v>
      </c>
      <c r="B82" s="204">
        <f>+B80-B81</f>
        <v>0</v>
      </c>
    </row>
    <row r="83" spans="1:2" ht="14" customHeight="1" x14ac:dyDescent="0.35"/>
    <row r="84" spans="1:2" ht="14" customHeight="1" x14ac:dyDescent="0.35"/>
    <row r="85" spans="1:2" ht="14" customHeight="1" x14ac:dyDescent="0.35"/>
    <row r="86" spans="1:2" ht="14" customHeight="1" x14ac:dyDescent="0.35">
      <c r="A86" s="28" t="s">
        <v>353</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1.9174482000000001E-3</v>
      </c>
      <c r="AB109" s="87" t="e">
        <f>+AA109-Z109</f>
        <v>#REF!</v>
      </c>
    </row>
    <row r="110" spans="26:28" x14ac:dyDescent="0.35">
      <c r="Z110" t="e">
        <f>+SUM(#REF!+#REF!+#REF!+D59+G59+#REF!)</f>
        <v>#REF!</v>
      </c>
      <c r="AA110">
        <f>+$H$50</f>
        <v>1.2858333578999999</v>
      </c>
      <c r="AB110" s="87" t="e">
        <f t="shared" ref="AB110:AB127" si="11">+AA110-Z110</f>
        <v>#REF!</v>
      </c>
    </row>
    <row r="111" spans="26:28" x14ac:dyDescent="0.35">
      <c r="Z111" t="e">
        <f>+SUM(#REF!+#REF!+#REF!+D60+G60+#REF!)</f>
        <v>#REF!</v>
      </c>
      <c r="AA111">
        <f>+$I$50</f>
        <v>6.0094143000000004E-4</v>
      </c>
      <c r="AB111" s="87" t="e">
        <f t="shared" si="11"/>
        <v>#REF!</v>
      </c>
    </row>
    <row r="112" spans="26:28" x14ac:dyDescent="0.35">
      <c r="Z112" t="e">
        <f>+SUM(#REF!+#REF!+#REF!+D61+G61+#REF!)</f>
        <v>#REF!</v>
      </c>
      <c r="AA112">
        <f>+$J$50</f>
        <v>1.2851301401999999</v>
      </c>
      <c r="AB112" s="87" t="e">
        <f t="shared" si="11"/>
        <v>#REF!</v>
      </c>
    </row>
    <row r="113" spans="26:28" x14ac:dyDescent="0.35">
      <c r="Z113" t="e">
        <f>+SUM(#REF!+#REF!+#REF!+D62+G62+#REF!)</f>
        <v>#REF!</v>
      </c>
      <c r="AA113">
        <f>+$K$50</f>
        <v>1.0227464999999999E-4</v>
      </c>
      <c r="AB113" s="87" t="e">
        <f t="shared" si="11"/>
        <v>#REF!</v>
      </c>
    </row>
    <row r="114" spans="26:28" x14ac:dyDescent="0.35">
      <c r="Z114" t="e">
        <f>+SUM(#REF!+#REF!+#REF!+D63+G63+#REF!)</f>
        <v>#REF!</v>
      </c>
      <c r="AA114">
        <f>+$L$50</f>
        <v>1.1043859868999999</v>
      </c>
      <c r="AB114" s="87" t="e">
        <f t="shared" si="11"/>
        <v>#REF!</v>
      </c>
    </row>
    <row r="115" spans="26:28" x14ac:dyDescent="0.35">
      <c r="Z115" t="e">
        <f>+SUM(#REF!+#REF!+#REF!+D64+G64+#REF!)</f>
        <v>#REF!</v>
      </c>
      <c r="AA115">
        <f>+$M$50</f>
        <v>17.305980155999997</v>
      </c>
      <c r="AB115" s="87" t="e">
        <f t="shared" si="11"/>
        <v>#REF!</v>
      </c>
    </row>
    <row r="116" spans="26:28" x14ac:dyDescent="0.35">
      <c r="Z116" t="e">
        <f>+SUM(#REF!+#REF!+#REF!+D65+G65+#REF!)</f>
        <v>#REF!</v>
      </c>
      <c r="AA116">
        <f>+N$50</f>
        <v>2.9991789E-5</v>
      </c>
      <c r="AB116" s="87" t="e">
        <f t="shared" si="11"/>
        <v>#REF!</v>
      </c>
    </row>
    <row r="117" spans="26:28" x14ac:dyDescent="0.35">
      <c r="Z117" t="e">
        <f>+SUM(#REF!+#REF!+#REF!+D66+G66+#REF!)</f>
        <v>#REF!</v>
      </c>
      <c r="AA117">
        <f>+$O$50</f>
        <v>4.1793731999999998E-4</v>
      </c>
      <c r="AB117" s="87" t="e">
        <f t="shared" si="11"/>
        <v>#REF!</v>
      </c>
    </row>
    <row r="118" spans="26:28" x14ac:dyDescent="0.35">
      <c r="Z118" t="e">
        <f>+SUM(#REF!+#REF!+#REF!+D67+G67+#REF!)</f>
        <v>#REF!</v>
      </c>
      <c r="AA118">
        <f>+$P$50</f>
        <v>4.5237932999999996E-3</v>
      </c>
      <c r="AB118" s="87" t="e">
        <f t="shared" si="11"/>
        <v>#REF!</v>
      </c>
    </row>
    <row r="119" spans="26:28" x14ac:dyDescent="0.35">
      <c r="Z119" t="e">
        <f>+SUM(#REF!+#REF!+#REF!+D68+G68+#REF!)</f>
        <v>#REF!</v>
      </c>
      <c r="AA119">
        <f>+$Q$50</f>
        <v>1.1396456999999999E-10</v>
      </c>
      <c r="AB119" s="87" t="e">
        <f t="shared" si="11"/>
        <v>#REF!</v>
      </c>
    </row>
    <row r="120" spans="26:28" x14ac:dyDescent="0.35">
      <c r="Z120" t="e">
        <f>+SUM(#REF!+#REF!+#REF!+D69+G69+#REF!)</f>
        <v>#REF!</v>
      </c>
      <c r="AA120">
        <f>+$R$50</f>
        <v>9.2727180000000008E-9</v>
      </c>
      <c r="AB120" s="87" t="e">
        <f t="shared" si="11"/>
        <v>#REF!</v>
      </c>
    </row>
    <row r="121" spans="26:28" x14ac:dyDescent="0.35">
      <c r="Z121" t="e">
        <f>+SUM(#REF!+#REF!+#REF!+D70+G70+#REF!)</f>
        <v>#REF!</v>
      </c>
      <c r="AA121">
        <f>+$S$50</f>
        <v>7.8473286E-3</v>
      </c>
      <c r="AB121" s="87" t="e">
        <f t="shared" si="11"/>
        <v>#REF!</v>
      </c>
    </row>
    <row r="122" spans="26:28" x14ac:dyDescent="0.35">
      <c r="Z122" t="e">
        <f>+SUM(#REF!+#REF!+#REF!+D71+G71+#REF!)</f>
        <v>#REF!</v>
      </c>
      <c r="AA122">
        <f>+$T$50</f>
        <v>1.0916087634</v>
      </c>
      <c r="AB122" s="87" t="e">
        <f t="shared" si="11"/>
        <v>#REF!</v>
      </c>
    </row>
    <row r="123" spans="26:28" x14ac:dyDescent="0.35">
      <c r="Z123" t="e">
        <f>+SUM(#REF!+#REF!+#REF!+D72+G72+#REF!)</f>
        <v>#REF!</v>
      </c>
      <c r="AA123">
        <f>+$U$50</f>
        <v>1.4186096999999999E-6</v>
      </c>
      <c r="AB123" s="87" t="e">
        <f t="shared" si="11"/>
        <v>#REF!</v>
      </c>
    </row>
    <row r="124" spans="26:28" x14ac:dyDescent="0.35">
      <c r="Z124" t="e">
        <f>+SUM(#REF!+#REF!+#REF!+D73+G73+#REF!)</f>
        <v>#REF!</v>
      </c>
      <c r="AA124">
        <f>+$V$50</f>
        <v>2.8591541999999998E-8</v>
      </c>
      <c r="AB124" s="87" t="e">
        <f t="shared" si="11"/>
        <v>#REF!</v>
      </c>
    </row>
    <row r="125" spans="26:28" x14ac:dyDescent="0.35">
      <c r="Z125" t="e">
        <f>+SUM(#REF!+#REF!+#REF!+D74+G74+#REF!)</f>
        <v>#REF!</v>
      </c>
      <c r="AA125">
        <f>+$W$50</f>
        <v>7.9700516999999988E-8</v>
      </c>
      <c r="AB125" s="87" t="e">
        <f t="shared" si="11"/>
        <v>#REF!</v>
      </c>
    </row>
    <row r="126" spans="26:28" x14ac:dyDescent="0.35">
      <c r="Z126" t="e">
        <f>+SUM(#REF!+#REF!+#REF!+D75+G75+#REF!)</f>
        <v>#REF!</v>
      </c>
      <c r="AA126">
        <f>+$X$50</f>
        <v>3.3429995999999995E-3</v>
      </c>
      <c r="AB126" s="87" t="e">
        <f t="shared" si="11"/>
        <v>#REF!</v>
      </c>
    </row>
    <row r="127" spans="26:28" x14ac:dyDescent="0.35">
      <c r="Z127" t="e">
        <f>+SUM(#REF!+#REF!+#REF!+D76+G76+#REF!)</f>
        <v>#REF!</v>
      </c>
      <c r="AA127">
        <f>+$Y$50</f>
        <v>3.9416130899999999E-2</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373</v>
      </c>
      <c r="B2" s="27"/>
    </row>
    <row r="3" spans="1:4" ht="23.5" x14ac:dyDescent="0.55000000000000004">
      <c r="A3" s="110"/>
      <c r="B3" s="27"/>
    </row>
    <row r="4" spans="1:4" ht="18.5" x14ac:dyDescent="0.45">
      <c r="A4" s="74" t="s">
        <v>984</v>
      </c>
      <c r="B4" s="27"/>
    </row>
    <row r="5" spans="1:4" ht="18.5" x14ac:dyDescent="0.45">
      <c r="A5" s="78"/>
      <c r="B5" s="27"/>
    </row>
    <row r="6" spans="1:4" s="43" customFormat="1" x14ac:dyDescent="0.35">
      <c r="A6" s="62" t="s">
        <v>374</v>
      </c>
      <c r="B6" s="295" t="s">
        <v>375</v>
      </c>
      <c r="C6" s="296" t="s">
        <v>330</v>
      </c>
      <c r="D6" s="297" t="s">
        <v>532</v>
      </c>
    </row>
    <row r="7" spans="1:4" x14ac:dyDescent="0.35">
      <c r="A7" s="2" t="s">
        <v>376</v>
      </c>
      <c r="B7" s="90" t="s">
        <v>533</v>
      </c>
      <c r="C7" s="202" t="s">
        <v>378</v>
      </c>
      <c r="D7" s="30" t="s">
        <v>379</v>
      </c>
    </row>
    <row r="8" spans="1:4" x14ac:dyDescent="0.35">
      <c r="A8" s="2" t="s">
        <v>380</v>
      </c>
      <c r="B8" s="90">
        <v>1</v>
      </c>
      <c r="C8" s="198"/>
      <c r="D8" s="1"/>
    </row>
    <row r="9" spans="1:4" x14ac:dyDescent="0.35">
      <c r="A9" s="2" t="s">
        <v>411</v>
      </c>
      <c r="B9" s="90">
        <v>263.2</v>
      </c>
      <c r="C9" s="141" t="s">
        <v>378</v>
      </c>
      <c r="D9" s="30" t="s">
        <v>379</v>
      </c>
    </row>
    <row r="10" spans="1:4" x14ac:dyDescent="0.35">
      <c r="A10" s="2" t="s">
        <v>381</v>
      </c>
      <c r="B10" s="90">
        <v>0.51</v>
      </c>
      <c r="C10" s="141" t="s">
        <v>382</v>
      </c>
      <c r="D10" s="1"/>
    </row>
    <row r="11" spans="1:4" x14ac:dyDescent="0.35">
      <c r="A11" s="2" t="s">
        <v>534</v>
      </c>
      <c r="B11" s="152">
        <f>Input!$B$22/1000</f>
        <v>2.4</v>
      </c>
      <c r="C11" s="141" t="s">
        <v>535</v>
      </c>
      <c r="D11" s="1"/>
    </row>
    <row r="12" spans="1:4" x14ac:dyDescent="0.35">
      <c r="A12" s="1" t="s">
        <v>383</v>
      </c>
      <c r="B12" s="90">
        <v>0.25</v>
      </c>
      <c r="C12" s="199" t="s">
        <v>384</v>
      </c>
      <c r="D12" s="30" t="s">
        <v>536</v>
      </c>
    </row>
    <row r="13" spans="1:4" x14ac:dyDescent="0.35">
      <c r="A13" s="2" t="s">
        <v>389</v>
      </c>
      <c r="B13" s="90">
        <v>0.45</v>
      </c>
      <c r="C13" s="141" t="s">
        <v>390</v>
      </c>
      <c r="D13" s="1"/>
    </row>
    <row r="14" spans="1:4" x14ac:dyDescent="0.35">
      <c r="A14" s="2" t="s">
        <v>391</v>
      </c>
      <c r="B14" s="152">
        <f>60/$B$13</f>
        <v>133.33333333333334</v>
      </c>
      <c r="C14" s="141"/>
      <c r="D14" s="1"/>
    </row>
    <row r="15" spans="1:4" s="11" customFormat="1" x14ac:dyDescent="0.35">
      <c r="A15" s="2" t="s">
        <v>392</v>
      </c>
      <c r="B15" s="90">
        <v>5.4</v>
      </c>
      <c r="C15" s="202" t="s">
        <v>378</v>
      </c>
      <c r="D15" s="30" t="s">
        <v>379</v>
      </c>
    </row>
    <row r="16" spans="1:4" s="11" customFormat="1" x14ac:dyDescent="0.35">
      <c r="A16" s="61" t="s">
        <v>537</v>
      </c>
      <c r="B16" s="160">
        <f>$B$11*$B$14*$B$15</f>
        <v>1728</v>
      </c>
      <c r="C16" s="200" t="s">
        <v>538</v>
      </c>
      <c r="D16" s="8"/>
    </row>
    <row r="17" spans="1:26" s="11" customFormat="1" ht="14" customHeight="1" x14ac:dyDescent="0.35">
      <c r="A17" s="61" t="s">
        <v>396</v>
      </c>
      <c r="B17" s="160">
        <f>$B$9*$B$10*$B$12</f>
        <v>33.558</v>
      </c>
      <c r="C17" s="200" t="s">
        <v>397</v>
      </c>
      <c r="D17" s="13" t="s">
        <v>398</v>
      </c>
    </row>
    <row r="18" spans="1:26" s="11" customFormat="1" x14ac:dyDescent="0.35">
      <c r="A18" s="65"/>
      <c r="B18" s="65"/>
      <c r="C18" s="24"/>
      <c r="D18" s="8"/>
    </row>
    <row r="19" spans="1:26" s="11" customFormat="1" x14ac:dyDescent="0.35">
      <c r="A19" s="1" t="s">
        <v>371</v>
      </c>
      <c r="B19" s="90">
        <v>0.51</v>
      </c>
      <c r="C19" s="49" t="s">
        <v>382</v>
      </c>
      <c r="D19" s="8"/>
    </row>
    <row r="20" spans="1:26" s="11" customFormat="1" x14ac:dyDescent="0.35">
      <c r="A20" s="29"/>
      <c r="B20" s="41"/>
    </row>
    <row r="21" spans="1:26" s="11" customFormat="1" x14ac:dyDescent="0.35">
      <c r="A21" s="62" t="s">
        <v>441</v>
      </c>
      <c r="B21" s="62" t="s">
        <v>537</v>
      </c>
      <c r="C21" s="298" t="s">
        <v>396</v>
      </c>
      <c r="D21" s="299" t="s">
        <v>539</v>
      </c>
      <c r="E21" s="299" t="s">
        <v>411</v>
      </c>
    </row>
    <row r="22" spans="1:26" s="11" customFormat="1" x14ac:dyDescent="0.35">
      <c r="A22" s="1" t="s">
        <v>450</v>
      </c>
      <c r="B22" s="174">
        <v>0</v>
      </c>
      <c r="C22" s="174">
        <v>0</v>
      </c>
      <c r="D22" s="170">
        <v>0</v>
      </c>
      <c r="E22" s="170">
        <v>0</v>
      </c>
    </row>
    <row r="23" spans="1:26" s="11" customFormat="1" ht="14" customHeight="1" x14ac:dyDescent="0.35">
      <c r="A23" s="56" t="s">
        <v>35</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985</v>
      </c>
    </row>
    <row r="27" spans="1:26" s="3" customFormat="1" ht="93.65" customHeight="1" x14ac:dyDescent="0.35">
      <c r="A27" s="302" t="s">
        <v>451</v>
      </c>
      <c r="B27" s="302" t="s">
        <v>452</v>
      </c>
      <c r="C27" s="302" t="s">
        <v>453</v>
      </c>
      <c r="D27" s="302" t="s">
        <v>454</v>
      </c>
      <c r="E27" s="302" t="s">
        <v>618</v>
      </c>
      <c r="F27" s="302" t="s">
        <v>539</v>
      </c>
      <c r="G27" s="302" t="s">
        <v>411</v>
      </c>
      <c r="H27" s="302" t="s">
        <v>279</v>
      </c>
      <c r="I27" s="302" t="s">
        <v>280</v>
      </c>
      <c r="J27" s="302" t="s">
        <v>281</v>
      </c>
      <c r="K27" s="302" t="s">
        <v>282</v>
      </c>
      <c r="L27" s="302" t="s">
        <v>283</v>
      </c>
      <c r="M27" s="302" t="s">
        <v>284</v>
      </c>
      <c r="N27" s="302" t="s">
        <v>285</v>
      </c>
      <c r="O27" s="302" t="s">
        <v>286</v>
      </c>
      <c r="P27" s="302" t="s">
        <v>287</v>
      </c>
      <c r="Q27" s="302" t="s">
        <v>288</v>
      </c>
      <c r="R27" s="302" t="s">
        <v>289</v>
      </c>
      <c r="S27" s="302" t="s">
        <v>290</v>
      </c>
      <c r="T27" s="302" t="s">
        <v>291</v>
      </c>
      <c r="U27" s="302" t="s">
        <v>292</v>
      </c>
      <c r="V27" s="302" t="s">
        <v>293</v>
      </c>
      <c r="W27" s="302" t="s">
        <v>294</v>
      </c>
      <c r="X27" s="302" t="s">
        <v>295</v>
      </c>
      <c r="Y27" s="302" t="s">
        <v>296</v>
      </c>
      <c r="Z27" s="302" t="s">
        <v>297</v>
      </c>
    </row>
    <row r="28" spans="1:26" x14ac:dyDescent="0.35">
      <c r="A28" s="13" t="s">
        <v>619</v>
      </c>
      <c r="B28" s="158" t="str">
        <f>Input!$B$26</f>
        <v>Wheel_loader_338tph_Komatsu_WA500</v>
      </c>
      <c r="C28" s="158">
        <f>$B$8</f>
        <v>1</v>
      </c>
      <c r="D28" s="158" t="str">
        <f>Input!$C$26</f>
        <v>Diesel</v>
      </c>
      <c r="E28" s="158">
        <f>$B$23</f>
        <v>1728</v>
      </c>
      <c r="F28" s="158">
        <f>$D$23</f>
        <v>1.942013888888889E-2</v>
      </c>
      <c r="G28" s="158">
        <f>$E$23</f>
        <v>263.2</v>
      </c>
      <c r="H28" s="158" cm="1">
        <f t="array" ref="H28">INDEX(LCI!H$2:H$137,MATCH($A$28&amp;$D$28,LCI!$B$2:$B$137&amp;LCI!$D$2:$D$137,0))*IF(OR($D$28="Electric", $D$28="Electric_green"), ($G$28/$E$28)*$B$19, $F$28)*$C$28</f>
        <v>1.0299559961337281E-4</v>
      </c>
      <c r="I28" s="158" cm="1">
        <f t="array" ref="I28">INDEX(LCI!I$2:I$137,MATCH($A$28&amp;$D$28,LCI!$B$2:$B$137&amp;LCI!$D$2:$D$137,0))*IF(OR($D$28="Electric", $D$28="Electric_green"), ($G$28/$E$28)*$B$19, $F$28)*$C$28</f>
        <v>8.056052481282612E-2</v>
      </c>
      <c r="J28" s="158" cm="1">
        <f t="array" ref="J28">INDEX(LCI!J$2:J$137,MATCH($A$28&amp;$D$28,LCI!$B$2:$B$137&amp;LCI!$D$2:$D$137,0))*IF(OR($D$28="Electric", $D$28="Electric_green"), ($G$28/$E$28)*$B$19, $F$28)*$C$28</f>
        <v>1.66498170746065E-5</v>
      </c>
      <c r="K28" s="158" cm="1">
        <f t="array" ref="K28">INDEX(LCI!K$2:K$137,MATCH($A$28&amp;$D$28,LCI!$B$2:$B$137&amp;LCI!$D$2:$D$137,0))*IF(OR($D$28="Electric", $D$28="Electric_green"), ($G$28/$E$28)*$B$19, $F$28)*$C$28</f>
        <v>8.0540312398878863E-2</v>
      </c>
      <c r="L28" s="158" cm="1">
        <f t="array" ref="L28">INDEX(LCI!L$2:L$137,MATCH($A$28&amp;$D$28,LCI!$B$2:$B$137&amp;LCI!$D$2:$D$137,0))*IF(OR($D$28="Electric", $D$28="Electric_green"), ($G$28/$E$28)*$B$19, $F$28)*$C$28</f>
        <v>3.5625968726484402E-6</v>
      </c>
      <c r="M28" s="158" cm="1">
        <f t="array" ref="M28">INDEX(LCI!M$2:M$137,MATCH($A$28&amp;$D$28,LCI!$B$2:$B$137&amp;LCI!$D$2:$D$137,0))*IF(OR($D$28="Electric", $D$28="Electric_green"), ($G$28/$E$28)*$B$19, $F$28)*$C$28</f>
        <v>3.5594107095916434E-2</v>
      </c>
      <c r="N28" s="158" cm="1">
        <f t="array" ref="N28">INDEX(LCI!N$2:N$137,MATCH($A$28&amp;$D$28,LCI!$B$2:$B$137&amp;LCI!$D$2:$D$137,0))*IF(OR($D$28="Electric", $D$28="Electric_green"), ($G$28/$E$28)*$B$19, $F$28)*$C$28</f>
        <v>1.0700591183029562</v>
      </c>
      <c r="O28" s="158" cm="1">
        <f t="array" ref="O28">INDEX(LCI!O$2:O$137,MATCH($A$28&amp;$D$28,LCI!$B$2:$B$137&amp;LCI!$D$2:$D$137,0))*IF(OR($D$28="Electric", $D$28="Electric_green"), ($G$28/$E$28)*$B$19, $F$28)*$C$28</f>
        <v>8.5163363126034537E-7</v>
      </c>
      <c r="P28" s="158" cm="1">
        <f t="array" ref="P28">INDEX(LCI!P$2:P$137,MATCH($A$28&amp;$D$28,LCI!$B$2:$B$137&amp;LCI!$D$2:$D$137,0))*IF(OR($D$28="Electric", $D$28="Electric_green"), ($G$28/$E$28)*$B$19, $F$28)*$C$28</f>
        <v>2.3290660699942286E-5</v>
      </c>
      <c r="Q28" s="158" cm="1">
        <f t="array" ref="Q28">INDEX(LCI!Q$2:Q$137,MATCH($A$28&amp;$D$28,LCI!$B$2:$B$137&amp;LCI!$D$2:$D$137,0))*IF(OR($D$28="Electric", $D$28="Electric_green"), ($G$28/$E$28)*$B$19, $F$28)*$C$28</f>
        <v>2.5319818156265738E-4</v>
      </c>
      <c r="R28" s="158" cm="1">
        <f t="array" ref="R28">INDEX(LCI!R$2:R$137,MATCH($A$28&amp;$D$28,LCI!$B$2:$B$137&amp;LCI!$D$2:$D$137,0))*IF(OR($D$28="Electric", $D$28="Electric_green"), ($G$28/$E$28)*$B$19, $F$28)*$C$28</f>
        <v>4.9230968242214656E-12</v>
      </c>
      <c r="S28" s="158" cm="1">
        <f t="array" ref="S28">INDEX(LCI!S$2:S$137,MATCH($A$28&amp;$D$28,LCI!$B$2:$B$137&amp;LCI!$D$2:$D$137,0))*IF(OR($D$28="Electric", $D$28="Electric_green"), ($G$28/$E$28)*$B$19, $F$28)*$C$28</f>
        <v>1.3122062216178557E-10</v>
      </c>
      <c r="T28" s="158" cm="1">
        <f t="array" ref="T28">INDEX(LCI!T$2:T$137,MATCH($A$28&amp;$D$28,LCI!$B$2:$B$137&amp;LCI!$D$2:$D$137,0))*IF(OR($D$28="Electric", $D$28="Electric_green"), ($G$28/$E$28)*$B$19, $F$28)*$C$28</f>
        <v>3.212941207975714E-4</v>
      </c>
      <c r="U28" s="158" cm="1">
        <f t="array" ref="U28">INDEX(LCI!U$2:U$137,MATCH($A$28&amp;$D$28,LCI!$B$2:$B$137&amp;LCI!$D$2:$D$137,0))*IF(OR($D$28="Electric", $D$28="Electric_green"), ($G$28/$E$28)*$B$19, $F$28)*$C$28</f>
        <v>5.5016478121274907E-2</v>
      </c>
      <c r="V28" s="158" cm="1">
        <f t="array" ref="V28">INDEX(LCI!V$2:V$137,MATCH($A$28&amp;$D$28,LCI!$B$2:$B$137&amp;LCI!$D$2:$D$137,0))*IF(OR($D$28="Electric", $D$28="Electric_green"), ($G$28/$E$28)*$B$19, $F$28)*$C$28</f>
        <v>1.2561955879264319E-8</v>
      </c>
      <c r="W28" s="158" cm="1">
        <f t="array" ref="W28">INDEX(LCI!W$2:W$137,MATCH($A$28&amp;$D$28,LCI!$B$2:$B$137&amp;LCI!$D$2:$D$137,0))*IF(OR($D$28="Electric", $D$28="Electric_green"), ($G$28/$E$28)*$B$19, $F$28)*$C$28</f>
        <v>1.8154006185482207E-9</v>
      </c>
      <c r="X28" s="158" cm="1">
        <f t="array" ref="X28">INDEX(LCI!X$2:X$137,MATCH($A$28&amp;$D$28,LCI!$B$2:$B$137&amp;LCI!$D$2:$D$137,0))*IF(OR($D$28="Electric", $D$28="Electric_green"), ($G$28/$E$28)*$B$19, $F$28)*$C$28</f>
        <v>7.9346155235966147E-10</v>
      </c>
      <c r="Y28" s="158" cm="1">
        <f t="array" ref="Y28">INDEX(LCI!Y$2:Y$137,MATCH($A$28&amp;$D$28,LCI!$B$2:$B$137&amp;LCI!$D$2:$D$137,0))*IF(OR($D$28="Electric", $D$28="Electric_green"), ($G$28/$E$28)*$B$19, $F$28)*$C$28</f>
        <v>1.9843157737774877E-4</v>
      </c>
      <c r="Z28" s="158" cm="1">
        <f t="array" ref="Z28">INDEX(LCI!Z$2:Z$137,MATCH($A$28&amp;$D$28,LCI!$B$2:$B$137&amp;LCI!$D$2:$D$137,0))*IF(OR($D$28="Electric", $D$28="Electric_green"), ($G$28/$E$28)*$B$19, $F$28)*$C$28</f>
        <v>1.4482440080436057E-3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1032</v>
      </c>
      <c r="B31" s="24"/>
      <c r="C31" s="65"/>
    </row>
    <row r="32" spans="1:26" s="11" customFormat="1" ht="13.75" customHeight="1" x14ac:dyDescent="0.35">
      <c r="A32" s="352" t="s">
        <v>31</v>
      </c>
      <c r="B32" s="230">
        <v>11.2</v>
      </c>
      <c r="C32" s="65"/>
    </row>
    <row r="33" spans="1:7" s="11" customFormat="1" x14ac:dyDescent="0.35">
      <c r="A33" s="34"/>
      <c r="B33" s="3"/>
      <c r="C33" s="47"/>
    </row>
    <row r="34" spans="1:7" s="11" customFormat="1" ht="14" customHeight="1" x14ac:dyDescent="0.35">
      <c r="A34" s="298" t="s">
        <v>28</v>
      </c>
      <c r="B34" s="62" t="s">
        <v>540</v>
      </c>
      <c r="C34" s="299" t="s">
        <v>541</v>
      </c>
      <c r="D34" s="299" t="s">
        <v>542</v>
      </c>
    </row>
    <row r="35" spans="1:7" s="11" customFormat="1" x14ac:dyDescent="0.35">
      <c r="A35" s="2" t="s">
        <v>543</v>
      </c>
      <c r="B35" s="96">
        <v>175</v>
      </c>
      <c r="C35" s="30"/>
      <c r="D35" s="30" t="s">
        <v>544</v>
      </c>
    </row>
    <row r="36" spans="1:7" s="11" customFormat="1" x14ac:dyDescent="0.35">
      <c r="A36" s="2" t="s">
        <v>545</v>
      </c>
      <c r="B36" s="96">
        <v>135</v>
      </c>
      <c r="C36" s="30"/>
      <c r="D36" s="30" t="s">
        <v>544</v>
      </c>
    </row>
    <row r="37" spans="1:7" x14ac:dyDescent="0.35">
      <c r="A37" s="61" t="s">
        <v>546</v>
      </c>
      <c r="B37" s="96">
        <v>85</v>
      </c>
      <c r="C37" s="1"/>
      <c r="D37" s="1"/>
      <c r="G37" s="11"/>
    </row>
    <row r="38" spans="1:7" ht="18.5" x14ac:dyDescent="0.45">
      <c r="A38" s="78"/>
      <c r="G38" s="11"/>
    </row>
    <row r="39" spans="1:7" ht="23.5" x14ac:dyDescent="0.55000000000000004">
      <c r="A39" s="110" t="s">
        <v>983</v>
      </c>
      <c r="G39" s="11"/>
    </row>
    <row r="40" spans="1:7" ht="18.5" x14ac:dyDescent="0.45">
      <c r="A40" s="78"/>
      <c r="G40" s="11"/>
    </row>
    <row r="41" spans="1:7" ht="14" customHeight="1" x14ac:dyDescent="0.35">
      <c r="A41" s="298" t="s">
        <v>547</v>
      </c>
      <c r="B41" s="62" t="s">
        <v>540</v>
      </c>
    </row>
    <row r="42" spans="1:7" x14ac:dyDescent="0.35">
      <c r="A42" s="2" t="str">
        <f>Input!$B$21</f>
        <v>155⁰C - 185⁰C</v>
      </c>
      <c r="B42" s="174">
        <f>INDEX($B$35:$B$37,MATCH(Input!$B$21,'A3 - Production '!$A$35:$A$37,0))</f>
        <v>175</v>
      </c>
    </row>
    <row r="43" spans="1:7" x14ac:dyDescent="0.35">
      <c r="A43" s="29"/>
      <c r="B43" s="29"/>
    </row>
    <row r="44" spans="1:7" ht="23.5" x14ac:dyDescent="0.55000000000000004">
      <c r="A44" s="110" t="s">
        <v>548</v>
      </c>
      <c r="B44" s="27"/>
    </row>
    <row r="45" spans="1:7" ht="18.5" x14ac:dyDescent="0.45">
      <c r="A45" s="78"/>
      <c r="B45" s="27"/>
    </row>
    <row r="46" spans="1:7" x14ac:dyDescent="0.35">
      <c r="A46" s="299" t="s">
        <v>374</v>
      </c>
      <c r="B46" s="62" t="s">
        <v>57</v>
      </c>
      <c r="C46" s="62" t="s">
        <v>549</v>
      </c>
      <c r="D46" s="62" t="s">
        <v>550</v>
      </c>
      <c r="E46" s="62" t="s">
        <v>330</v>
      </c>
    </row>
    <row r="47" spans="1:7" ht="14" customHeight="1" x14ac:dyDescent="0.35">
      <c r="A47" s="1" t="s">
        <v>551</v>
      </c>
      <c r="B47" s="1" t="s">
        <v>25</v>
      </c>
      <c r="C47" s="1" t="s">
        <v>552</v>
      </c>
      <c r="D47" s="96">
        <v>6.1</v>
      </c>
      <c r="E47" s="30" t="s">
        <v>553</v>
      </c>
    </row>
    <row r="49" spans="1:4" ht="23.5" x14ac:dyDescent="0.55000000000000004">
      <c r="A49" s="100" t="s">
        <v>554</v>
      </c>
    </row>
    <row r="50" spans="1:4" ht="18.5" x14ac:dyDescent="0.45">
      <c r="A50" s="77"/>
    </row>
    <row r="51" spans="1:4" x14ac:dyDescent="0.35">
      <c r="A51" s="62" t="s">
        <v>374</v>
      </c>
      <c r="B51" s="62" t="s">
        <v>555</v>
      </c>
      <c r="C51" s="62" t="s">
        <v>154</v>
      </c>
      <c r="D51" s="62" t="s">
        <v>330</v>
      </c>
    </row>
    <row r="52" spans="1:4" x14ac:dyDescent="0.35">
      <c r="A52" s="1" t="s">
        <v>556</v>
      </c>
      <c r="B52" s="96">
        <v>0.27777800000000002</v>
      </c>
      <c r="C52" s="1" t="s">
        <v>557</v>
      </c>
      <c r="D52" s="30" t="s">
        <v>1021</v>
      </c>
    </row>
    <row r="53" spans="1:4" x14ac:dyDescent="0.35">
      <c r="A53" s="13" t="s">
        <v>1022</v>
      </c>
      <c r="B53" s="161">
        <v>8.3330000000000001E-3</v>
      </c>
      <c r="C53" s="1" t="s">
        <v>558</v>
      </c>
      <c r="D53" s="30" t="s">
        <v>1023</v>
      </c>
    </row>
    <row r="54" spans="1:4" x14ac:dyDescent="0.35">
      <c r="A54" s="24"/>
    </row>
    <row r="55" spans="1:4" ht="23.5" x14ac:dyDescent="0.55000000000000004">
      <c r="A55" s="115" t="s">
        <v>559</v>
      </c>
    </row>
    <row r="56" spans="1:4" ht="18" customHeight="1" x14ac:dyDescent="0.55000000000000004">
      <c r="A56" s="115"/>
    </row>
    <row r="57" spans="1:4" ht="18.5" x14ac:dyDescent="0.45">
      <c r="A57" s="74" t="s">
        <v>560</v>
      </c>
    </row>
    <row r="58" spans="1:4" ht="16" x14ac:dyDescent="0.4">
      <c r="A58" s="81"/>
    </row>
    <row r="59" spans="1:4" x14ac:dyDescent="0.35">
      <c r="A59" s="62" t="s">
        <v>561</v>
      </c>
      <c r="B59" s="62" t="s">
        <v>562</v>
      </c>
      <c r="C59" s="62" t="s">
        <v>563</v>
      </c>
      <c r="D59" s="62" t="s">
        <v>331</v>
      </c>
    </row>
    <row r="60" spans="1:4" ht="14" customHeight="1" x14ac:dyDescent="0.35">
      <c r="A60" s="1" t="s">
        <v>564</v>
      </c>
      <c r="B60" s="130">
        <v>0.3</v>
      </c>
      <c r="D60" s="123" t="s">
        <v>565</v>
      </c>
    </row>
    <row r="61" spans="1:4" x14ac:dyDescent="0.35">
      <c r="A61" s="1" t="s">
        <v>566</v>
      </c>
      <c r="B61" s="154">
        <f>'A3 - Production '!$B$32</f>
        <v>11.2</v>
      </c>
      <c r="C61" s="1"/>
    </row>
    <row r="62" spans="1:4" x14ac:dyDescent="0.35">
      <c r="A62" s="13" t="s">
        <v>567</v>
      </c>
      <c r="B62" s="96">
        <v>4.1900000000000004</v>
      </c>
      <c r="C62" s="1"/>
    </row>
    <row r="63" spans="1:4" x14ac:dyDescent="0.35">
      <c r="A63" s="13" t="s">
        <v>568</v>
      </c>
      <c r="B63" s="96">
        <v>2257</v>
      </c>
      <c r="C63" s="1"/>
    </row>
    <row r="64" spans="1:4" x14ac:dyDescent="0.35">
      <c r="A64" s="13" t="s">
        <v>569</v>
      </c>
      <c r="B64" s="96">
        <v>2.0950000000000002</v>
      </c>
      <c r="C64" s="1"/>
    </row>
    <row r="66" spans="1:4" ht="18.5" x14ac:dyDescent="0.45">
      <c r="A66" s="116" t="s">
        <v>570</v>
      </c>
    </row>
    <row r="68" spans="1:4" ht="19.25" customHeight="1" x14ac:dyDescent="0.35">
      <c r="A68" s="62" t="s">
        <v>277</v>
      </c>
      <c r="B68" s="62" t="s">
        <v>571</v>
      </c>
      <c r="C68" s="62" t="s">
        <v>572</v>
      </c>
      <c r="D68" s="107" t="s">
        <v>563</v>
      </c>
    </row>
    <row r="69" spans="1:4" ht="168.65" customHeight="1" x14ac:dyDescent="0.35">
      <c r="A69" s="13" t="s">
        <v>60</v>
      </c>
      <c r="B69" s="97">
        <v>2.093</v>
      </c>
      <c r="C69" s="342">
        <v>165</v>
      </c>
      <c r="D69" s="343" t="s">
        <v>1020</v>
      </c>
    </row>
    <row r="70" spans="1:4" x14ac:dyDescent="0.35">
      <c r="A70" s="13" t="s">
        <v>573</v>
      </c>
      <c r="B70" s="97">
        <v>2.2999999999999998</v>
      </c>
      <c r="C70" s="97">
        <v>185</v>
      </c>
      <c r="D70" s="344"/>
    </row>
    <row r="71" spans="1:4" x14ac:dyDescent="0.35">
      <c r="A71" s="1" t="s">
        <v>62</v>
      </c>
      <c r="B71" s="96">
        <v>0.91</v>
      </c>
      <c r="C71" s="96">
        <f>$B$42</f>
        <v>175</v>
      </c>
      <c r="D71" s="344"/>
    </row>
    <row r="72" spans="1:4" x14ac:dyDescent="0.35">
      <c r="A72" s="1" t="s">
        <v>65</v>
      </c>
      <c r="B72" s="96">
        <v>0.91</v>
      </c>
      <c r="C72" s="96">
        <f t="shared" ref="C72:C83" si="0">$B$42</f>
        <v>175</v>
      </c>
      <c r="D72" s="344"/>
    </row>
    <row r="73" spans="1:4" x14ac:dyDescent="0.35">
      <c r="A73" s="1" t="s">
        <v>66</v>
      </c>
      <c r="B73" s="96">
        <v>0.91</v>
      </c>
      <c r="C73" s="96">
        <f t="shared" si="0"/>
        <v>175</v>
      </c>
      <c r="D73" s="344"/>
    </row>
    <row r="74" spans="1:4" x14ac:dyDescent="0.35">
      <c r="A74" s="1" t="s">
        <v>67</v>
      </c>
      <c r="B74" s="96">
        <v>0.91</v>
      </c>
      <c r="C74" s="96">
        <f t="shared" si="0"/>
        <v>175</v>
      </c>
      <c r="D74" s="344"/>
    </row>
    <row r="75" spans="1:4" x14ac:dyDescent="0.35">
      <c r="A75" s="1" t="s">
        <v>71</v>
      </c>
      <c r="B75" s="96">
        <v>0.91</v>
      </c>
      <c r="C75" s="96">
        <f t="shared" si="0"/>
        <v>175</v>
      </c>
      <c r="D75" s="344"/>
    </row>
    <row r="76" spans="1:4" x14ac:dyDescent="0.35">
      <c r="A76" s="1" t="s">
        <v>72</v>
      </c>
      <c r="B76" s="96">
        <v>0.91</v>
      </c>
      <c r="C76" s="96">
        <f t="shared" si="0"/>
        <v>175</v>
      </c>
      <c r="D76" s="344"/>
    </row>
    <row r="77" spans="1:4" x14ac:dyDescent="0.35">
      <c r="A77" s="13" t="s">
        <v>73</v>
      </c>
      <c r="B77" s="96">
        <v>0.8</v>
      </c>
      <c r="C77" s="96">
        <f t="shared" si="0"/>
        <v>175</v>
      </c>
      <c r="D77" s="344"/>
    </row>
    <row r="78" spans="1:4" x14ac:dyDescent="0.35">
      <c r="A78" s="13" t="s">
        <v>75</v>
      </c>
      <c r="B78" s="96">
        <v>0.8</v>
      </c>
      <c r="C78" s="96">
        <f t="shared" si="0"/>
        <v>175</v>
      </c>
      <c r="D78" s="344"/>
    </row>
    <row r="79" spans="1:4" x14ac:dyDescent="0.35">
      <c r="A79" s="13" t="s">
        <v>76</v>
      </c>
      <c r="B79" s="96">
        <v>0.8</v>
      </c>
      <c r="C79" s="96">
        <f t="shared" si="0"/>
        <v>175</v>
      </c>
      <c r="D79" s="344"/>
    </row>
    <row r="80" spans="1:4" x14ac:dyDescent="0.35">
      <c r="A80" s="13" t="s">
        <v>78</v>
      </c>
      <c r="B80" s="96">
        <v>0.91</v>
      </c>
      <c r="C80" s="96">
        <f t="shared" si="0"/>
        <v>175</v>
      </c>
      <c r="D80" s="344"/>
    </row>
    <row r="81" spans="1:4" x14ac:dyDescent="0.35">
      <c r="A81" s="13" t="s">
        <v>574</v>
      </c>
      <c r="B81" s="96">
        <v>0.84</v>
      </c>
      <c r="C81" s="96">
        <f t="shared" si="0"/>
        <v>175</v>
      </c>
      <c r="D81" s="344"/>
    </row>
    <row r="82" spans="1:4" x14ac:dyDescent="0.35">
      <c r="A82" s="13" t="s">
        <v>575</v>
      </c>
      <c r="B82" s="96">
        <v>0.84</v>
      </c>
      <c r="C82" s="96">
        <f t="shared" si="0"/>
        <v>175</v>
      </c>
      <c r="D82" s="344"/>
    </row>
    <row r="83" spans="1:4" x14ac:dyDescent="0.35">
      <c r="A83" s="13" t="s">
        <v>576</v>
      </c>
      <c r="B83" s="96">
        <v>0</v>
      </c>
      <c r="C83" s="96">
        <f t="shared" si="0"/>
        <v>175</v>
      </c>
      <c r="D83" s="344"/>
    </row>
    <row r="84" spans="1:4" x14ac:dyDescent="0.35">
      <c r="A84" s="13" t="s">
        <v>81</v>
      </c>
      <c r="B84" s="96">
        <v>0.92</v>
      </c>
      <c r="C84" s="96">
        <v>130</v>
      </c>
      <c r="D84" s="344"/>
    </row>
    <row r="85" spans="1:4" x14ac:dyDescent="0.35">
      <c r="A85" s="1" t="s">
        <v>83</v>
      </c>
      <c r="B85" s="96">
        <v>0.92</v>
      </c>
      <c r="C85" s="96">
        <v>130</v>
      </c>
      <c r="D85" s="344"/>
    </row>
    <row r="86" spans="1:4" x14ac:dyDescent="0.35">
      <c r="A86" s="1" t="s">
        <v>577</v>
      </c>
      <c r="B86" s="96">
        <v>0.85</v>
      </c>
      <c r="C86" s="96">
        <f>$B$42</f>
        <v>175</v>
      </c>
      <c r="D86" s="344"/>
    </row>
    <row r="87" spans="1:4" x14ac:dyDescent="0.35">
      <c r="A87" s="1" t="s">
        <v>85</v>
      </c>
      <c r="B87" s="96">
        <v>0.75</v>
      </c>
      <c r="C87" s="96">
        <f>$B$42</f>
        <v>175</v>
      </c>
      <c r="D87" s="344"/>
    </row>
    <row r="88" spans="1:4" x14ac:dyDescent="0.35">
      <c r="A88" s="1" t="s">
        <v>578</v>
      </c>
      <c r="B88" s="96">
        <v>2.2999999999999998</v>
      </c>
      <c r="C88" s="96">
        <v>160</v>
      </c>
      <c r="D88" s="344"/>
    </row>
    <row r="89" spans="1:4" x14ac:dyDescent="0.35">
      <c r="A89" s="1" t="s">
        <v>579</v>
      </c>
      <c r="B89" s="96">
        <v>1</v>
      </c>
      <c r="C89" s="96">
        <v>0</v>
      </c>
      <c r="D89" s="344"/>
    </row>
    <row r="90" spans="1:4" x14ac:dyDescent="0.35">
      <c r="A90" s="1" t="s">
        <v>91</v>
      </c>
      <c r="B90" s="96">
        <v>1</v>
      </c>
      <c r="C90" s="96">
        <v>0</v>
      </c>
      <c r="D90" s="344"/>
    </row>
    <row r="91" spans="1:4" x14ac:dyDescent="0.35">
      <c r="A91" s="1" t="s">
        <v>580</v>
      </c>
      <c r="B91" s="96">
        <v>1</v>
      </c>
      <c r="C91" s="96">
        <v>160</v>
      </c>
      <c r="D91" s="344"/>
    </row>
    <row r="92" spans="1:4" x14ac:dyDescent="0.35">
      <c r="A92" s="1" t="s">
        <v>94</v>
      </c>
      <c r="B92" s="96">
        <v>1</v>
      </c>
      <c r="C92" s="96">
        <v>160</v>
      </c>
      <c r="D92" s="344"/>
    </row>
    <row r="93" spans="1:4" x14ac:dyDescent="0.35">
      <c r="A93" s="1" t="s">
        <v>581</v>
      </c>
      <c r="B93" s="96">
        <v>1.3</v>
      </c>
      <c r="C93" s="96">
        <v>160</v>
      </c>
      <c r="D93" s="344"/>
    </row>
    <row r="94" spans="1:4" x14ac:dyDescent="0.35">
      <c r="A94" s="1" t="s">
        <v>89</v>
      </c>
      <c r="B94" s="96">
        <v>0.45</v>
      </c>
      <c r="C94" s="96">
        <v>165</v>
      </c>
      <c r="D94" s="89"/>
    </row>
    <row r="97" spans="1:3" ht="18.5" x14ac:dyDescent="0.45">
      <c r="A97" s="74" t="s">
        <v>582</v>
      </c>
    </row>
    <row r="98" spans="1:3" ht="16" x14ac:dyDescent="0.4">
      <c r="A98" s="81"/>
    </row>
    <row r="99" spans="1:3" x14ac:dyDescent="0.35">
      <c r="A99" s="413" t="s">
        <v>583</v>
      </c>
      <c r="B99" s="413"/>
      <c r="C99" s="413"/>
    </row>
    <row r="100" spans="1:3" x14ac:dyDescent="0.35">
      <c r="A100" s="62" t="s">
        <v>277</v>
      </c>
      <c r="B100" s="62" t="s">
        <v>584</v>
      </c>
      <c r="C100" s="62" t="s">
        <v>585</v>
      </c>
    </row>
    <row r="101" spans="1:3" x14ac:dyDescent="0.35">
      <c r="A101" s="1" t="s">
        <v>62</v>
      </c>
      <c r="B101" s="1" t="s">
        <v>24</v>
      </c>
      <c r="C101" s="118">
        <v>0</v>
      </c>
    </row>
    <row r="102" spans="1:3" x14ac:dyDescent="0.35">
      <c r="A102" s="1" t="s">
        <v>62</v>
      </c>
      <c r="B102" s="1" t="s">
        <v>27</v>
      </c>
      <c r="C102" s="118">
        <v>0.02</v>
      </c>
    </row>
    <row r="103" spans="1:3" x14ac:dyDescent="0.35">
      <c r="A103" s="1" t="s">
        <v>65</v>
      </c>
      <c r="B103" s="1" t="s">
        <v>24</v>
      </c>
      <c r="C103" s="118">
        <v>0</v>
      </c>
    </row>
    <row r="104" spans="1:3" x14ac:dyDescent="0.35">
      <c r="A104" s="1" t="s">
        <v>65</v>
      </c>
      <c r="B104" s="1" t="s">
        <v>27</v>
      </c>
      <c r="C104" s="118">
        <v>0.02</v>
      </c>
    </row>
    <row r="105" spans="1:3" x14ac:dyDescent="0.35">
      <c r="A105" s="1" t="s">
        <v>66</v>
      </c>
      <c r="B105" s="1" t="s">
        <v>24</v>
      </c>
      <c r="C105" s="118">
        <v>0</v>
      </c>
    </row>
    <row r="106" spans="1:3" x14ac:dyDescent="0.35">
      <c r="A106" s="1" t="s">
        <v>66</v>
      </c>
      <c r="B106" s="1" t="s">
        <v>27</v>
      </c>
      <c r="C106" s="118">
        <v>0.02</v>
      </c>
    </row>
    <row r="107" spans="1:3" x14ac:dyDescent="0.35">
      <c r="A107" s="1" t="s">
        <v>67</v>
      </c>
      <c r="B107" s="1" t="s">
        <v>24</v>
      </c>
      <c r="C107" s="118">
        <v>0.03</v>
      </c>
    </row>
    <row r="108" spans="1:3" x14ac:dyDescent="0.35">
      <c r="A108" s="1" t="s">
        <v>67</v>
      </c>
      <c r="B108" s="1" t="s">
        <v>27</v>
      </c>
      <c r="C108" s="118">
        <v>0.05</v>
      </c>
    </row>
    <row r="109" spans="1:3" x14ac:dyDescent="0.35">
      <c r="A109" s="1" t="s">
        <v>71</v>
      </c>
      <c r="B109" s="1" t="s">
        <v>24</v>
      </c>
      <c r="C109" s="118">
        <v>0.03</v>
      </c>
    </row>
    <row r="110" spans="1:3" x14ac:dyDescent="0.35">
      <c r="A110" s="1" t="s">
        <v>71</v>
      </c>
      <c r="B110" s="1" t="s">
        <v>27</v>
      </c>
      <c r="C110" s="118">
        <v>0.05</v>
      </c>
    </row>
    <row r="111" spans="1:3" x14ac:dyDescent="0.35">
      <c r="A111" s="1" t="s">
        <v>72</v>
      </c>
      <c r="B111" s="1" t="s">
        <v>24</v>
      </c>
      <c r="C111" s="118">
        <v>0.03</v>
      </c>
    </row>
    <row r="112" spans="1:3" x14ac:dyDescent="0.35">
      <c r="A112" s="1" t="s">
        <v>72</v>
      </c>
      <c r="B112" s="1" t="s">
        <v>27</v>
      </c>
      <c r="C112" s="118">
        <v>0.05</v>
      </c>
    </row>
    <row r="113" spans="1:3" x14ac:dyDescent="0.35">
      <c r="A113" s="1" t="s">
        <v>73</v>
      </c>
      <c r="B113" s="1" t="s">
        <v>24</v>
      </c>
      <c r="C113" s="118">
        <v>0.03</v>
      </c>
    </row>
    <row r="114" spans="1:3" x14ac:dyDescent="0.35">
      <c r="A114" s="1" t="s">
        <v>73</v>
      </c>
      <c r="B114" s="1" t="s">
        <v>27</v>
      </c>
      <c r="C114" s="118">
        <v>0.05</v>
      </c>
    </row>
    <row r="115" spans="1:3" x14ac:dyDescent="0.35">
      <c r="A115" s="1" t="s">
        <v>75</v>
      </c>
      <c r="B115" s="1" t="s">
        <v>24</v>
      </c>
      <c r="C115" s="118">
        <v>0.03</v>
      </c>
    </row>
    <row r="116" spans="1:3" x14ac:dyDescent="0.35">
      <c r="A116" s="1" t="s">
        <v>75</v>
      </c>
      <c r="B116" s="1" t="s">
        <v>27</v>
      </c>
      <c r="C116" s="118">
        <v>0.05</v>
      </c>
    </row>
    <row r="117" spans="1:3" x14ac:dyDescent="0.35">
      <c r="A117" s="1" t="s">
        <v>76</v>
      </c>
      <c r="B117" s="1" t="s">
        <v>24</v>
      </c>
      <c r="C117" s="118">
        <v>0.03</v>
      </c>
    </row>
    <row r="118" spans="1:3" x14ac:dyDescent="0.35">
      <c r="A118" s="1" t="s">
        <v>76</v>
      </c>
      <c r="B118" s="1" t="s">
        <v>27</v>
      </c>
      <c r="C118" s="118">
        <v>0.05</v>
      </c>
    </row>
    <row r="119" spans="1:3" x14ac:dyDescent="0.35">
      <c r="A119" s="1" t="s">
        <v>78</v>
      </c>
      <c r="B119" s="1" t="s">
        <v>24</v>
      </c>
      <c r="C119" s="153">
        <v>0</v>
      </c>
    </row>
    <row r="120" spans="1:3" x14ac:dyDescent="0.35">
      <c r="A120" s="1" t="s">
        <v>78</v>
      </c>
      <c r="B120" s="1" t="s">
        <v>27</v>
      </c>
      <c r="C120" s="153">
        <v>0.01</v>
      </c>
    </row>
    <row r="121" spans="1:3" x14ac:dyDescent="0.35">
      <c r="A121" s="1" t="s">
        <v>574</v>
      </c>
      <c r="B121" s="1" t="s">
        <v>24</v>
      </c>
      <c r="C121" s="153">
        <v>0</v>
      </c>
    </row>
    <row r="122" spans="1:3" x14ac:dyDescent="0.35">
      <c r="A122" s="1" t="s">
        <v>574</v>
      </c>
      <c r="B122" s="1" t="s">
        <v>27</v>
      </c>
      <c r="C122" s="153">
        <v>0</v>
      </c>
    </row>
    <row r="123" spans="1:3" x14ac:dyDescent="0.35">
      <c r="A123" s="1" t="s">
        <v>575</v>
      </c>
      <c r="B123" s="1" t="s">
        <v>24</v>
      </c>
      <c r="C123" s="153">
        <v>0</v>
      </c>
    </row>
    <row r="124" spans="1:3" x14ac:dyDescent="0.35">
      <c r="A124" s="1" t="s">
        <v>575</v>
      </c>
      <c r="B124" s="1" t="s">
        <v>27</v>
      </c>
      <c r="C124" s="153">
        <v>0</v>
      </c>
    </row>
    <row r="125" spans="1:3" x14ac:dyDescent="0.35">
      <c r="A125" s="1" t="s">
        <v>586</v>
      </c>
      <c r="B125" s="1" t="s">
        <v>24</v>
      </c>
      <c r="C125" s="153">
        <v>0</v>
      </c>
    </row>
    <row r="126" spans="1:3" x14ac:dyDescent="0.35">
      <c r="A126" s="1" t="s">
        <v>586</v>
      </c>
      <c r="B126" s="1" t="s">
        <v>27</v>
      </c>
      <c r="C126" s="153">
        <v>0</v>
      </c>
    </row>
    <row r="127" spans="1:3" x14ac:dyDescent="0.35">
      <c r="A127" s="1" t="s">
        <v>576</v>
      </c>
      <c r="B127" s="1" t="s">
        <v>24</v>
      </c>
      <c r="C127" s="153">
        <v>0</v>
      </c>
    </row>
    <row r="128" spans="1:3" x14ac:dyDescent="0.35">
      <c r="A128" s="1" t="s">
        <v>576</v>
      </c>
      <c r="B128" s="1" t="s">
        <v>27</v>
      </c>
      <c r="C128" s="153">
        <v>0</v>
      </c>
    </row>
    <row r="129" spans="1:5" x14ac:dyDescent="0.35">
      <c r="A129" s="1" t="s">
        <v>579</v>
      </c>
      <c r="B129" s="1" t="s">
        <v>24</v>
      </c>
      <c r="C129" s="118">
        <v>0</v>
      </c>
    </row>
    <row r="130" spans="1:5" x14ac:dyDescent="0.35">
      <c r="A130" s="1" t="s">
        <v>579</v>
      </c>
      <c r="B130" s="1" t="s">
        <v>27</v>
      </c>
      <c r="C130" s="153">
        <v>0</v>
      </c>
    </row>
    <row r="131" spans="1:5" x14ac:dyDescent="0.35">
      <c r="A131" s="1" t="s">
        <v>577</v>
      </c>
      <c r="B131" s="1" t="s">
        <v>24</v>
      </c>
      <c r="C131" s="153">
        <v>0.03</v>
      </c>
    </row>
    <row r="132" spans="1:5" x14ac:dyDescent="0.35">
      <c r="A132" s="1" t="s">
        <v>577</v>
      </c>
      <c r="B132" s="1" t="s">
        <v>27</v>
      </c>
      <c r="C132" s="153">
        <v>0.05</v>
      </c>
    </row>
    <row r="133" spans="1:5" x14ac:dyDescent="0.35">
      <c r="A133" s="13" t="s">
        <v>578</v>
      </c>
      <c r="B133" s="13" t="s">
        <v>24</v>
      </c>
      <c r="C133" s="153">
        <v>0</v>
      </c>
      <c r="E133" s="11"/>
    </row>
    <row r="134" spans="1:5" x14ac:dyDescent="0.35">
      <c r="A134" s="13" t="s">
        <v>578</v>
      </c>
      <c r="B134" s="13" t="s">
        <v>27</v>
      </c>
      <c r="C134" s="153">
        <v>0.03</v>
      </c>
    </row>
    <row r="135" spans="1:5" x14ac:dyDescent="0.35">
      <c r="A135" s="1" t="s">
        <v>85</v>
      </c>
      <c r="B135" s="13" t="s">
        <v>24</v>
      </c>
      <c r="C135" s="118">
        <v>0</v>
      </c>
    </row>
    <row r="136" spans="1:5" x14ac:dyDescent="0.35">
      <c r="A136" s="1" t="s">
        <v>85</v>
      </c>
      <c r="B136" s="1" t="s">
        <v>27</v>
      </c>
      <c r="C136" s="118">
        <v>0.03</v>
      </c>
    </row>
    <row r="137" spans="1:5" x14ac:dyDescent="0.35">
      <c r="A137" s="1" t="s">
        <v>91</v>
      </c>
      <c r="B137" s="1" t="s">
        <v>24</v>
      </c>
      <c r="C137" s="118">
        <v>0</v>
      </c>
    </row>
    <row r="138" spans="1:5" x14ac:dyDescent="0.35">
      <c r="A138" s="1" t="s">
        <v>91</v>
      </c>
      <c r="B138" s="1" t="s">
        <v>27</v>
      </c>
      <c r="C138" s="118">
        <v>0</v>
      </c>
    </row>
    <row r="139" spans="1:5" x14ac:dyDescent="0.35">
      <c r="A139" s="1" t="s">
        <v>81</v>
      </c>
      <c r="B139" s="1" t="s">
        <v>24</v>
      </c>
      <c r="C139" s="118">
        <v>0.02</v>
      </c>
    </row>
    <row r="140" spans="1:5" x14ac:dyDescent="0.35">
      <c r="A140" s="1" t="s">
        <v>81</v>
      </c>
      <c r="B140" s="1" t="s">
        <v>27</v>
      </c>
      <c r="C140" s="118">
        <v>0.05</v>
      </c>
    </row>
    <row r="141" spans="1:5" x14ac:dyDescent="0.35">
      <c r="A141" s="1" t="s">
        <v>83</v>
      </c>
      <c r="B141" s="1" t="s">
        <v>24</v>
      </c>
      <c r="C141" s="118">
        <v>0.02</v>
      </c>
    </row>
    <row r="142" spans="1:5" x14ac:dyDescent="0.35">
      <c r="A142" s="1" t="s">
        <v>83</v>
      </c>
      <c r="B142" s="1" t="s">
        <v>27</v>
      </c>
      <c r="C142" s="118">
        <v>0.05</v>
      </c>
    </row>
    <row r="143" spans="1:5" x14ac:dyDescent="0.35">
      <c r="A143" s="1" t="s">
        <v>580</v>
      </c>
      <c r="B143" s="1" t="s">
        <v>24</v>
      </c>
      <c r="C143" s="162">
        <v>0</v>
      </c>
    </row>
    <row r="144" spans="1:5" x14ac:dyDescent="0.35">
      <c r="A144" s="1" t="s">
        <v>580</v>
      </c>
      <c r="B144" s="1" t="s">
        <v>27</v>
      </c>
      <c r="C144" s="118">
        <v>5.0000000000000001E-3</v>
      </c>
    </row>
    <row r="145" spans="1:7" x14ac:dyDescent="0.35">
      <c r="A145" s="1" t="s">
        <v>94</v>
      </c>
      <c r="B145" s="1" t="s">
        <v>24</v>
      </c>
      <c r="C145" s="118">
        <v>0</v>
      </c>
    </row>
    <row r="146" spans="1:7" x14ac:dyDescent="0.35">
      <c r="A146" s="1" t="s">
        <v>94</v>
      </c>
      <c r="B146" s="1" t="s">
        <v>27</v>
      </c>
      <c r="C146" s="118">
        <v>5.0000000000000001E-3</v>
      </c>
    </row>
    <row r="147" spans="1:7" x14ac:dyDescent="0.35">
      <c r="A147" s="1" t="s">
        <v>581</v>
      </c>
      <c r="B147" s="1" t="s">
        <v>24</v>
      </c>
      <c r="C147" s="118">
        <v>0</v>
      </c>
    </row>
    <row r="148" spans="1:7" x14ac:dyDescent="0.35">
      <c r="A148" s="1" t="s">
        <v>581</v>
      </c>
      <c r="B148" s="1" t="s">
        <v>27</v>
      </c>
      <c r="C148" s="118">
        <v>0.02</v>
      </c>
    </row>
    <row r="149" spans="1:7" x14ac:dyDescent="0.35">
      <c r="A149" s="1" t="s">
        <v>89</v>
      </c>
      <c r="B149" s="1" t="s">
        <v>24</v>
      </c>
      <c r="C149" s="118">
        <v>0</v>
      </c>
    </row>
    <row r="150" spans="1:7" x14ac:dyDescent="0.35">
      <c r="A150" s="1" t="s">
        <v>89</v>
      </c>
      <c r="B150" s="1" t="s">
        <v>27</v>
      </c>
      <c r="C150" s="118">
        <v>0.02</v>
      </c>
    </row>
    <row r="151" spans="1:7" ht="16" x14ac:dyDescent="0.4">
      <c r="A151" s="134"/>
    </row>
    <row r="153" spans="1:7" x14ac:dyDescent="0.35">
      <c r="A153" s="104" t="s">
        <v>276</v>
      </c>
      <c r="B153" s="104" t="s">
        <v>277</v>
      </c>
      <c r="C153" s="104" t="s">
        <v>587</v>
      </c>
      <c r="D153" s="104" t="s">
        <v>588</v>
      </c>
      <c r="E153" s="103" t="s">
        <v>589</v>
      </c>
      <c r="F153" s="62" t="s">
        <v>590</v>
      </c>
      <c r="G153" s="37"/>
    </row>
    <row r="154" spans="1:7" x14ac:dyDescent="0.35">
      <c r="A154" s="6" t="s">
        <v>266</v>
      </c>
      <c r="B154" s="1" t="s">
        <v>266</v>
      </c>
      <c r="C154" s="154" t="s">
        <v>591</v>
      </c>
      <c r="D154" s="163">
        <f>Input!$G39</f>
        <v>0</v>
      </c>
      <c r="E154" s="154">
        <f>+Input!B39</f>
        <v>2.2159999999999999E-2</v>
      </c>
      <c r="F154" s="164">
        <v>0</v>
      </c>
    </row>
    <row r="155" spans="1:7" x14ac:dyDescent="0.35">
      <c r="A155" s="395" t="s">
        <v>211</v>
      </c>
      <c r="B155" s="1" t="s">
        <v>62</v>
      </c>
      <c r="C155" s="154" t="s">
        <v>591</v>
      </c>
      <c r="D155" s="163" t="str">
        <f>Input!$G40</f>
        <v>No</v>
      </c>
      <c r="E155" s="154">
        <f>+Input!B40</f>
        <v>6.0999999999999999E-2</v>
      </c>
      <c r="F155" s="165" cm="1">
        <f t="array" ref="F155">INDEX($C$101:$C$150,MATCH($B155&amp;$D155,$A$101:$A$150&amp;$B$101:$B$150,0))</f>
        <v>0.02</v>
      </c>
    </row>
    <row r="156" spans="1:7" x14ac:dyDescent="0.35">
      <c r="A156" s="396"/>
      <c r="B156" s="1" t="s">
        <v>65</v>
      </c>
      <c r="C156" s="154" t="s">
        <v>591</v>
      </c>
      <c r="D156" s="163" t="str">
        <f>Input!$G41</f>
        <v>No</v>
      </c>
      <c r="E156" s="154">
        <f>+Input!B41</f>
        <v>0.10199999999999999</v>
      </c>
      <c r="F156" s="165" cm="1">
        <f t="array" ref="F156">INDEX($C$101:$C$150,MATCH($B156&amp;$D156,$A$101:$A$150&amp;$B$101:$B$150,0))</f>
        <v>0.02</v>
      </c>
    </row>
    <row r="157" spans="1:7" x14ac:dyDescent="0.35">
      <c r="A157" s="396"/>
      <c r="B157" s="1" t="s">
        <v>66</v>
      </c>
      <c r="C157" s="154" t="s">
        <v>591</v>
      </c>
      <c r="D157" s="163" t="str">
        <f>Input!$G42</f>
        <v>Yes</v>
      </c>
      <c r="E157" s="154">
        <f>+Input!B42</f>
        <v>0.35299999999999998</v>
      </c>
      <c r="F157" s="165" cm="1">
        <f t="array" ref="F157">INDEX($C$101:$C$150,MATCH($B157&amp;$D157,$A$101:$A$150&amp;$B$101:$B$150,0))</f>
        <v>0</v>
      </c>
    </row>
    <row r="158" spans="1:7" x14ac:dyDescent="0.35">
      <c r="A158" s="396"/>
      <c r="B158" s="1" t="s">
        <v>67</v>
      </c>
      <c r="C158" s="154" t="s">
        <v>591</v>
      </c>
      <c r="D158" s="163" t="str">
        <f>Input!$G43</f>
        <v>No</v>
      </c>
      <c r="E158" s="154">
        <f>+Input!B43</f>
        <v>0</v>
      </c>
      <c r="F158" s="165" cm="1">
        <f t="array" ref="F158">INDEX($C$101:$C$150,MATCH($B158&amp;$D158,$A$101:$A$150&amp;$B$101:$B$150,0))</f>
        <v>0.05</v>
      </c>
    </row>
    <row r="159" spans="1:7" x14ac:dyDescent="0.35">
      <c r="A159" s="396"/>
      <c r="B159" s="1" t="s">
        <v>71</v>
      </c>
      <c r="C159" s="154" t="s">
        <v>591</v>
      </c>
      <c r="D159" s="163" t="str">
        <f>Input!$G44</f>
        <v>No</v>
      </c>
      <c r="E159" s="154">
        <f>+Input!B44</f>
        <v>0</v>
      </c>
      <c r="F159" s="165" cm="1">
        <f t="array" ref="F159">INDEX($C$101:$C$150,MATCH($B159&amp;$D159,$A$101:$A$150&amp;$B$101:$B$150,0))</f>
        <v>0.05</v>
      </c>
    </row>
    <row r="160" spans="1:7" x14ac:dyDescent="0.35">
      <c r="A160" s="396"/>
      <c r="B160" s="1" t="s">
        <v>72</v>
      </c>
      <c r="C160" s="154" t="s">
        <v>591</v>
      </c>
      <c r="D160" s="163" t="str">
        <f>Input!$G45</f>
        <v>No</v>
      </c>
      <c r="E160" s="154">
        <f>+Input!B45</f>
        <v>0</v>
      </c>
      <c r="F160" s="165" cm="1">
        <f t="array" ref="F160">INDEX($C$101:$C$150,MATCH($B160&amp;$D160,$A$101:$A$150&amp;$B$101:$B$150,0))</f>
        <v>0.05</v>
      </c>
    </row>
    <row r="161" spans="1:9" x14ac:dyDescent="0.35">
      <c r="A161" s="396"/>
      <c r="B161" s="1" t="s">
        <v>73</v>
      </c>
      <c r="C161" s="154" t="s">
        <v>591</v>
      </c>
      <c r="D161" s="163" t="str">
        <f>Input!$G46</f>
        <v>No</v>
      </c>
      <c r="E161" s="154">
        <f>+Input!B46</f>
        <v>0.153</v>
      </c>
      <c r="F161" s="165" cm="1">
        <f t="array" ref="F161">INDEX($C$101:$C$150,MATCH($B161&amp;$D161,$A$101:$A$150&amp;$B$101:$B$150,0))</f>
        <v>0.05</v>
      </c>
    </row>
    <row r="162" spans="1:9" x14ac:dyDescent="0.35">
      <c r="A162" s="396"/>
      <c r="B162" s="1" t="s">
        <v>75</v>
      </c>
      <c r="C162" s="154" t="s">
        <v>591</v>
      </c>
      <c r="D162" s="163" t="str">
        <f>Input!$G47</f>
        <v>No</v>
      </c>
      <c r="E162" s="154">
        <f>+Input!B47</f>
        <v>0</v>
      </c>
      <c r="F162" s="165" cm="1">
        <f t="array" ref="F162">INDEX($C$101:$C$150,MATCH($B162&amp;$D162,$A$101:$A$150&amp;$B$101:$B$150,0))</f>
        <v>0.05</v>
      </c>
    </row>
    <row r="163" spans="1:9" x14ac:dyDescent="0.35">
      <c r="A163" s="397"/>
      <c r="B163" s="1" t="s">
        <v>76</v>
      </c>
      <c r="C163" s="154" t="s">
        <v>591</v>
      </c>
      <c r="D163" s="163" t="str">
        <f>Input!$G48</f>
        <v>No</v>
      </c>
      <c r="E163" s="154">
        <f>+Input!B48</f>
        <v>0</v>
      </c>
      <c r="F163" s="165" cm="1">
        <f t="array" ref="F163">INDEX($C$101:$C$150,MATCH($B163&amp;$D163,$A$101:$A$150&amp;$B$101:$B$150,0))</f>
        <v>0.05</v>
      </c>
    </row>
    <row r="164" spans="1:9" ht="14" customHeight="1" x14ac:dyDescent="0.35">
      <c r="A164" s="398" t="s">
        <v>212</v>
      </c>
      <c r="B164" s="13" t="s">
        <v>311</v>
      </c>
      <c r="C164" s="158" t="str">
        <f>Input!$C$49</f>
        <v>Limestone_residue</v>
      </c>
      <c r="D164" s="163" t="str">
        <f>Input!$G49</f>
        <v>No</v>
      </c>
      <c r="E164" s="154">
        <f>+Input!B49</f>
        <v>5.4999999999999997E-3</v>
      </c>
      <c r="F164" s="165" cm="1">
        <f t="array" ref="F164">INDEX($C$101:$C$150,MATCH($C164&amp;$D164,$A$101:$A$150&amp;$B$101:$B$150,0))</f>
        <v>0.01</v>
      </c>
    </row>
    <row r="165" spans="1:9" ht="14" customHeight="1" x14ac:dyDescent="0.35">
      <c r="A165" s="399"/>
      <c r="B165" s="13" t="s">
        <v>312</v>
      </c>
      <c r="C165" s="158" t="str">
        <f>Input!$C$50</f>
        <v>No_filler</v>
      </c>
      <c r="D165" s="163" t="str">
        <f>Input!$G50</f>
        <v>No</v>
      </c>
      <c r="E165" s="154">
        <f>+Input!B50</f>
        <v>0</v>
      </c>
      <c r="F165" s="165" cm="1">
        <f t="array" ref="F165">INDEX($C$101:$C$150,MATCH($C165&amp;$D165,$A$101:$A$150&amp;$B$101:$B$150,0))</f>
        <v>0</v>
      </c>
    </row>
    <row r="166" spans="1:9" ht="14" customHeight="1" x14ac:dyDescent="0.35">
      <c r="A166" s="400" t="s">
        <v>298</v>
      </c>
      <c r="B166" s="1" t="s">
        <v>81</v>
      </c>
      <c r="C166" s="154" t="s">
        <v>591</v>
      </c>
      <c r="D166" s="163" t="str">
        <f>Input!$G51</f>
        <v>No</v>
      </c>
      <c r="E166" s="154">
        <f>+Input!B51</f>
        <v>0.3</v>
      </c>
      <c r="F166" s="165" cm="1">
        <f t="array" ref="F166">INDEX($C$101:$C$150,MATCH($B166&amp;$D166,$A$101:$A$150&amp;$B$101:$B$150,0))</f>
        <v>0.05</v>
      </c>
      <c r="H166" s="24"/>
    </row>
    <row r="167" spans="1:9" x14ac:dyDescent="0.35">
      <c r="A167" s="400"/>
      <c r="B167" s="1" t="s">
        <v>83</v>
      </c>
      <c r="C167" s="154" t="s">
        <v>591</v>
      </c>
      <c r="D167" s="163" t="str">
        <f>Input!$G52</f>
        <v>No</v>
      </c>
      <c r="E167" s="154">
        <f>+Input!B52</f>
        <v>0</v>
      </c>
      <c r="F167" s="165" cm="1">
        <f t="array" ref="F167">INDEX($C$101:$C$150,MATCH($B167&amp;$D167,$A$101:$A$150&amp;$B$101:$B$150,0))</f>
        <v>0.05</v>
      </c>
      <c r="H167" s="3"/>
      <c r="I167" s="3"/>
    </row>
    <row r="168" spans="1:9" x14ac:dyDescent="0.35">
      <c r="A168" s="401" t="s">
        <v>299</v>
      </c>
      <c r="B168" s="1" t="s">
        <v>592</v>
      </c>
      <c r="C168" s="154" t="str">
        <f>Input!$C$53</f>
        <v>No_other_waste</v>
      </c>
      <c r="D168" s="163" t="str">
        <f>Input!$G53</f>
        <v>No</v>
      </c>
      <c r="E168" s="154">
        <f>+Input!B53</f>
        <v>0</v>
      </c>
      <c r="F168" s="165">
        <v>0</v>
      </c>
      <c r="I168" s="23"/>
    </row>
    <row r="169" spans="1:9" x14ac:dyDescent="0.35">
      <c r="A169" s="401"/>
      <c r="B169" s="1" t="s">
        <v>593</v>
      </c>
      <c r="C169" s="154" t="str">
        <f>Input!$C$54</f>
        <v>No_other_waste</v>
      </c>
      <c r="D169" s="163" t="str">
        <f>Input!$G54</f>
        <v>No</v>
      </c>
      <c r="E169" s="154">
        <f>+Input!B54</f>
        <v>0</v>
      </c>
      <c r="F169" s="165">
        <v>0</v>
      </c>
      <c r="I169" s="23"/>
    </row>
    <row r="170" spans="1:9" x14ac:dyDescent="0.35">
      <c r="A170" s="401" t="s">
        <v>261</v>
      </c>
      <c r="B170" s="1" t="s">
        <v>90</v>
      </c>
      <c r="C170" s="154" t="str">
        <f>Input!$C$55</f>
        <v>Cellulose_fibres</v>
      </c>
      <c r="D170" s="163" t="str">
        <f>Input!$G55</f>
        <v>No</v>
      </c>
      <c r="E170" s="154">
        <f>+Input!B55</f>
        <v>3.3E-3</v>
      </c>
      <c r="F170" s="165" cm="1">
        <f t="array" ref="F170">INDEX($C$101:$C$150,MATCH($C170&amp;$D170,$A$101:$A$150&amp;$B$101:$B$150,0))</f>
        <v>0.02</v>
      </c>
      <c r="I170" s="23"/>
    </row>
    <row r="171" spans="1:9" x14ac:dyDescent="0.35">
      <c r="A171" s="401"/>
      <c r="B171" s="1" t="s">
        <v>93</v>
      </c>
      <c r="C171" s="154" t="str">
        <f>Input!$C$56</f>
        <v>No_additives</v>
      </c>
      <c r="D171" s="163" t="str">
        <f>Input!$G56</f>
        <v>No</v>
      </c>
      <c r="E171" s="154">
        <f>+Input!B56</f>
        <v>0</v>
      </c>
      <c r="F171" s="165" cm="1">
        <f t="array" ref="F171">INDEX($C$101:$C$150,MATCH($C171&amp;$D171,$A$101:$A$150&amp;$B$101:$B$150,0))</f>
        <v>0</v>
      </c>
      <c r="I171" s="23"/>
    </row>
    <row r="172" spans="1:9" x14ac:dyDescent="0.35">
      <c r="A172" s="401"/>
      <c r="B172" s="1" t="s">
        <v>95</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594</v>
      </c>
      <c r="E173" s="326">
        <f>+SUM(E154:E172)</f>
        <v>0.99995999999999985</v>
      </c>
      <c r="F173" s="71"/>
      <c r="I173" s="23"/>
    </row>
    <row r="175" spans="1:9" s="81" customFormat="1" ht="16" x14ac:dyDescent="0.4">
      <c r="A175" s="117" t="s">
        <v>595</v>
      </c>
    </row>
    <row r="176" spans="1:9" x14ac:dyDescent="0.35">
      <c r="B176" s="23"/>
      <c r="C176" s="23"/>
    </row>
    <row r="177" spans="1:21" s="3" customFormat="1" ht="90.5" customHeight="1" x14ac:dyDescent="0.35">
      <c r="A177" s="104" t="s">
        <v>561</v>
      </c>
      <c r="B177" s="104" t="s">
        <v>596</v>
      </c>
      <c r="C177" s="108" t="str">
        <f>Input!$C$39</f>
        <v>Conventional_Bitumen</v>
      </c>
      <c r="D177" s="103" t="s">
        <v>62</v>
      </c>
      <c r="E177" s="103" t="s">
        <v>65</v>
      </c>
      <c r="F177" s="103" t="s">
        <v>66</v>
      </c>
      <c r="G177" s="103" t="s">
        <v>67</v>
      </c>
      <c r="H177" s="103" t="s">
        <v>71</v>
      </c>
      <c r="I177" s="300" t="s">
        <v>72</v>
      </c>
      <c r="J177" s="103" t="s">
        <v>73</v>
      </c>
      <c r="K177" s="103" t="s">
        <v>75</v>
      </c>
      <c r="L177" s="103" t="s">
        <v>76</v>
      </c>
      <c r="M177" s="301" t="str">
        <f>Input!$C$49</f>
        <v>Limestone_residue</v>
      </c>
      <c r="N177" s="301" t="str">
        <f>Input!$C$50</f>
        <v>No_filler</v>
      </c>
      <c r="O177" s="103" t="s">
        <v>81</v>
      </c>
      <c r="P177" s="103" t="s">
        <v>83</v>
      </c>
      <c r="Q177" s="103" t="str">
        <f>Input!$C$53</f>
        <v>No_other_waste</v>
      </c>
      <c r="R177" s="103" t="str">
        <f>Input!$C$54</f>
        <v>No_other_waste</v>
      </c>
      <c r="S177" s="103" t="str">
        <f>Input!$C$55</f>
        <v>Cellulose_fibres</v>
      </c>
      <c r="T177" s="103" t="str">
        <f>Input!$C$56</f>
        <v>No_additives</v>
      </c>
      <c r="U177" s="316" t="str">
        <f>Input!$C$57</f>
        <v>No_additives</v>
      </c>
    </row>
    <row r="178" spans="1:21" x14ac:dyDescent="0.35">
      <c r="A178" s="13" t="s">
        <v>597</v>
      </c>
      <c r="B178" s="13" t="s">
        <v>598</v>
      </c>
      <c r="C178" s="166">
        <f>Input!$B$39*(1-$F$154)</f>
        <v>2.2159999999999999E-2</v>
      </c>
      <c r="D178" s="166">
        <f>Input!$B$40*(1-$F$155)</f>
        <v>5.978E-2</v>
      </c>
      <c r="E178" s="166">
        <f>Input!$B$41*(1-$F$156)</f>
        <v>9.9959999999999993E-2</v>
      </c>
      <c r="F178" s="166">
        <f>Input!$B$42*(1-$F$157)</f>
        <v>0.35299999999999998</v>
      </c>
      <c r="G178" s="167">
        <f>Input!$B$43*(1-$F$158)</f>
        <v>0</v>
      </c>
      <c r="H178" s="167">
        <f>Input!$B$44*(1-$F$159)</f>
        <v>0</v>
      </c>
      <c r="I178" s="167">
        <f>Input!$B$45*(1-$F$160)</f>
        <v>0</v>
      </c>
      <c r="J178" s="167">
        <f>Input!$B$46*(1-$F$161)</f>
        <v>0.14534999999999998</v>
      </c>
      <c r="K178" s="167">
        <f>Input!$B$47*(1-$F$162)</f>
        <v>0</v>
      </c>
      <c r="L178" s="167">
        <f>Input!$B$48*(1-$F$163)</f>
        <v>0</v>
      </c>
      <c r="M178" s="167">
        <f>Input!$B$49*(1-$F$164)</f>
        <v>5.4449999999999993E-3</v>
      </c>
      <c r="N178" s="167">
        <f>Input!$B$50*(1-$F$165)</f>
        <v>0</v>
      </c>
      <c r="O178" s="168">
        <f>Input!$B$51*(1-$F$166)</f>
        <v>0.28499999999999998</v>
      </c>
      <c r="P178" s="165">
        <f>Input!$B$52*(1-$F$167)</f>
        <v>0</v>
      </c>
      <c r="Q178" s="165">
        <f>Input!$B$53*(1-$F$168)</f>
        <v>0</v>
      </c>
      <c r="R178" s="165">
        <f>Input!$B$54*(1-$F$169)</f>
        <v>0</v>
      </c>
      <c r="S178" s="165">
        <f>Input!$B$55*(1-$F$170)</f>
        <v>3.2339999999999999E-3</v>
      </c>
      <c r="T178" s="169">
        <f>Input!$B$56*(1-$F$171)</f>
        <v>0</v>
      </c>
      <c r="U178" s="165">
        <f>Input!$B$57*(1-$F$172)</f>
        <v>0</v>
      </c>
    </row>
    <row r="179" spans="1:21" x14ac:dyDescent="0.35">
      <c r="A179" s="13" t="s">
        <v>599</v>
      </c>
      <c r="B179" s="13" t="s">
        <v>600</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v>
      </c>
      <c r="O179" s="172">
        <f>$B$84</f>
        <v>0.92</v>
      </c>
      <c r="P179" s="154">
        <f>$B$85</f>
        <v>0.92</v>
      </c>
      <c r="Q179" s="154">
        <f>INDEX($B$69:$B$94,MATCH($Q$177,$A$69:$A$94,0))</f>
        <v>1</v>
      </c>
      <c r="R179" s="154">
        <f>INDEX($B$69:$B$94,MATCH($R$177,$A$69:$A$94,0))</f>
        <v>1</v>
      </c>
      <c r="S179" s="154">
        <f>INDEX($B$69:$B$94,MATCH($S$177,$A$69:$A$94,0))</f>
        <v>1.3</v>
      </c>
      <c r="T179" s="154">
        <f>INDEX($B$69:$B$94,MATCH($T$177,$A$69:$A$94,0))</f>
        <v>1</v>
      </c>
      <c r="U179" s="154">
        <f>INDEX($B$69:$B$94,MATCH($U$177,$A$69:$A$94,0))</f>
        <v>1</v>
      </c>
    </row>
    <row r="180" spans="1:21" x14ac:dyDescent="0.35">
      <c r="A180" s="13" t="s">
        <v>601</v>
      </c>
      <c r="B180" s="13" t="s">
        <v>602</v>
      </c>
      <c r="C180" s="170">
        <f>INDEX($C$69:$C$89,MATCH($C$177,$A$69:$A$89,0))</f>
        <v>165</v>
      </c>
      <c r="D180" s="170">
        <f>$C$71</f>
        <v>175</v>
      </c>
      <c r="E180" s="171">
        <f>$C$72</f>
        <v>175</v>
      </c>
      <c r="F180" s="171">
        <f>$C$73</f>
        <v>175</v>
      </c>
      <c r="G180" s="171">
        <f>$C$74</f>
        <v>175</v>
      </c>
      <c r="H180" s="171">
        <f>$C$75</f>
        <v>175</v>
      </c>
      <c r="I180" s="171">
        <f>$C$76</f>
        <v>175</v>
      </c>
      <c r="J180" s="171">
        <f>$C$77</f>
        <v>175</v>
      </c>
      <c r="K180" s="171">
        <f>$C$78</f>
        <v>175</v>
      </c>
      <c r="L180" s="171">
        <f>$C$79</f>
        <v>175</v>
      </c>
      <c r="M180" s="171">
        <f>INDEX($C$69:$C$89,MATCH($M$177,A69:A89,0))</f>
        <v>175</v>
      </c>
      <c r="N180" s="171">
        <f>INDEX($C$69:$C$89,MATCH($N$177,$A$69:$A$89,0))</f>
        <v>175</v>
      </c>
      <c r="O180" s="173">
        <f>$C$84</f>
        <v>130</v>
      </c>
      <c r="P180" s="154">
        <f>$C$85</f>
        <v>130</v>
      </c>
      <c r="Q180" s="154">
        <f>INDEX($C$69:$C$94,MATCH($Q$177,$A$69:$A$94,0))</f>
        <v>0</v>
      </c>
      <c r="R180" s="154">
        <f>INDEX($C$69:$C$94,MATCH($R$177,$A$69:$A$94,0))</f>
        <v>0</v>
      </c>
      <c r="S180" s="154">
        <f>INDEX($C$69:$C$94,MATCH($S$177,$A$69:$A$94,0))</f>
        <v>160</v>
      </c>
      <c r="T180" s="154">
        <f>INDEX($C$69:$C$94,MATCH($T$177,$A$69:$A$94,0))</f>
        <v>0</v>
      </c>
      <c r="U180" s="154">
        <f>INDEX($C$69:$C$94,MATCH($U$177,$A$69:$A$94,0))</f>
        <v>0</v>
      </c>
    </row>
    <row r="181" spans="1:21" x14ac:dyDescent="0.35">
      <c r="A181" s="13" t="s">
        <v>566</v>
      </c>
      <c r="B181" s="13" t="s">
        <v>602</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603</v>
      </c>
      <c r="B182" s="13" t="s">
        <v>598</v>
      </c>
      <c r="C182" s="166">
        <f>Input!$B$39*$F$154</f>
        <v>0</v>
      </c>
      <c r="D182" s="166">
        <f>Input!$B$40*$F$155</f>
        <v>1.2199999999999999E-3</v>
      </c>
      <c r="E182" s="166">
        <f>Input!$B$41*$F$156</f>
        <v>2.0399999999999997E-3</v>
      </c>
      <c r="F182" s="166">
        <f>Input!$B$42*$F$157</f>
        <v>0</v>
      </c>
      <c r="G182" s="166">
        <f>Input!$B$43*$F$158</f>
        <v>0</v>
      </c>
      <c r="H182" s="166">
        <f>Input!$B$44*$F$159</f>
        <v>0</v>
      </c>
      <c r="I182" s="166">
        <f>Input!$B$45*$F$160</f>
        <v>0</v>
      </c>
      <c r="J182" s="166">
        <f>Input!$B$46*$F$161</f>
        <v>7.6500000000000005E-3</v>
      </c>
      <c r="K182" s="166">
        <f>Input!$B$47*$F$162</f>
        <v>0</v>
      </c>
      <c r="L182" s="166">
        <f>Input!$B$48*$F$163</f>
        <v>0</v>
      </c>
      <c r="M182" s="166">
        <f>Input!$B$49*$F$164</f>
        <v>5.4999999999999995E-5</v>
      </c>
      <c r="N182" s="166">
        <f>Input!$B$50*$F$165</f>
        <v>0</v>
      </c>
      <c r="O182" s="166">
        <f>Input!$B$51*$F$166</f>
        <v>1.4999999999999999E-2</v>
      </c>
      <c r="P182" s="166">
        <f>Input!$B$52*$F$167</f>
        <v>0</v>
      </c>
      <c r="Q182" s="166">
        <f>Input!$B$53*$F$168</f>
        <v>0</v>
      </c>
      <c r="R182" s="166">
        <f>Input!$B$54*$F$169</f>
        <v>0</v>
      </c>
      <c r="S182" s="166">
        <f>Input!$B$55*$F$170</f>
        <v>6.6000000000000005E-5</v>
      </c>
      <c r="T182" s="166">
        <f>Input!$B$55*$F$171</f>
        <v>0</v>
      </c>
      <c r="U182" s="166">
        <f>Input!$B$56*$F$172</f>
        <v>0</v>
      </c>
    </row>
    <row r="183" spans="1:21" x14ac:dyDescent="0.35">
      <c r="A183" s="13" t="s">
        <v>604</v>
      </c>
      <c r="B183" s="1"/>
      <c r="C183" s="174">
        <f t="shared" ref="C183:U183" si="2">(C178*C179*(C180-C181))</f>
        <v>7.1333793440000006</v>
      </c>
      <c r="D183" s="174">
        <f t="shared" si="2"/>
        <v>8.9106872400000015</v>
      </c>
      <c r="E183" s="174">
        <f t="shared" si="2"/>
        <v>14.899837679999999</v>
      </c>
      <c r="F183" s="174">
        <f t="shared" si="2"/>
        <v>52.617474000000009</v>
      </c>
      <c r="G183" s="174">
        <f t="shared" si="2"/>
        <v>0</v>
      </c>
      <c r="H183" s="174">
        <f t="shared" si="2"/>
        <v>0</v>
      </c>
      <c r="I183" s="174">
        <f t="shared" si="2"/>
        <v>0</v>
      </c>
      <c r="J183" s="174">
        <f t="shared" si="2"/>
        <v>19.046664</v>
      </c>
      <c r="K183" s="174">
        <f t="shared" si="2"/>
        <v>0</v>
      </c>
      <c r="L183" s="174">
        <f t="shared" si="2"/>
        <v>0</v>
      </c>
      <c r="M183" s="174">
        <f t="shared" si="2"/>
        <v>0.81162080999999997</v>
      </c>
      <c r="N183" s="174">
        <f t="shared" si="2"/>
        <v>0</v>
      </c>
      <c r="O183" s="174">
        <f t="shared" si="2"/>
        <v>31.149359999999998</v>
      </c>
      <c r="P183" s="174">
        <f t="shared" si="2"/>
        <v>0</v>
      </c>
      <c r="Q183" s="174">
        <f t="shared" si="2"/>
        <v>0</v>
      </c>
      <c r="R183" s="174">
        <f t="shared" si="2"/>
        <v>0</v>
      </c>
      <c r="S183" s="174">
        <f t="shared" si="2"/>
        <v>0.62558496000000008</v>
      </c>
      <c r="T183" s="174">
        <f t="shared" si="2"/>
        <v>0</v>
      </c>
      <c r="U183" s="174">
        <f t="shared" si="2"/>
        <v>0</v>
      </c>
    </row>
    <row r="184" spans="1:21" x14ac:dyDescent="0.35">
      <c r="A184" s="13" t="s">
        <v>605</v>
      </c>
      <c r="B184" s="1"/>
      <c r="C184" s="174">
        <f t="shared" ref="C184:U184" si="3">IF($B$42&gt;100,C182*$B$62*(100-C181),C182*$B$62*($B$42-C181))</f>
        <v>0</v>
      </c>
      <c r="D184" s="174">
        <f>IF($B$42&gt;100,D182*$B$62*(100-D181),D182*$B$62*($B$42-D181))</f>
        <v>0.45392784000000003</v>
      </c>
      <c r="E184" s="174">
        <f t="shared" si="3"/>
        <v>0.75902687999999985</v>
      </c>
      <c r="F184" s="174">
        <f t="shared" si="3"/>
        <v>0</v>
      </c>
      <c r="G184" s="174">
        <f t="shared" si="3"/>
        <v>0</v>
      </c>
      <c r="H184" s="174">
        <f t="shared" si="3"/>
        <v>0</v>
      </c>
      <c r="I184" s="174">
        <f t="shared" si="3"/>
        <v>0</v>
      </c>
      <c r="J184" s="174">
        <f t="shared" si="3"/>
        <v>2.8463508000000006</v>
      </c>
      <c r="K184" s="174">
        <f t="shared" si="3"/>
        <v>0</v>
      </c>
      <c r="L184" s="174">
        <f t="shared" si="3"/>
        <v>0</v>
      </c>
      <c r="M184" s="174">
        <f t="shared" si="3"/>
        <v>2.046396E-2</v>
      </c>
      <c r="N184" s="174">
        <f t="shared" si="3"/>
        <v>0</v>
      </c>
      <c r="O184" s="174">
        <f t="shared" si="3"/>
        <v>5.58108</v>
      </c>
      <c r="P184" s="174">
        <f t="shared" si="3"/>
        <v>0</v>
      </c>
      <c r="Q184" s="174">
        <f t="shared" si="3"/>
        <v>0</v>
      </c>
      <c r="R184" s="174">
        <f t="shared" si="3"/>
        <v>0</v>
      </c>
      <c r="S184" s="174">
        <f t="shared" si="3"/>
        <v>2.4556752000000001E-2</v>
      </c>
      <c r="T184" s="174">
        <f t="shared" si="3"/>
        <v>0</v>
      </c>
      <c r="U184" s="174">
        <f t="shared" si="3"/>
        <v>0</v>
      </c>
    </row>
    <row r="185" spans="1:21" s="24" customFormat="1" x14ac:dyDescent="0.35">
      <c r="A185" s="13" t="s">
        <v>606</v>
      </c>
      <c r="B185" s="13"/>
      <c r="C185" s="170">
        <f t="shared" ref="C185:U185" si="4">IF(C180&lt;100,0,$B$63*C182)</f>
        <v>0</v>
      </c>
      <c r="D185" s="170">
        <f>IF(D180&lt;100,0,$B$63*D182)</f>
        <v>2.7535400000000001</v>
      </c>
      <c r="E185" s="170">
        <f t="shared" si="4"/>
        <v>4.6042799999999993</v>
      </c>
      <c r="F185" s="170">
        <f t="shared" si="4"/>
        <v>0</v>
      </c>
      <c r="G185" s="170">
        <f t="shared" si="4"/>
        <v>0</v>
      </c>
      <c r="H185" s="170">
        <f t="shared" si="4"/>
        <v>0</v>
      </c>
      <c r="I185" s="170">
        <f t="shared" si="4"/>
        <v>0</v>
      </c>
      <c r="J185" s="170">
        <f t="shared" si="4"/>
        <v>17.26605</v>
      </c>
      <c r="K185" s="170">
        <f t="shared" si="4"/>
        <v>0</v>
      </c>
      <c r="L185" s="170">
        <f t="shared" si="4"/>
        <v>0</v>
      </c>
      <c r="M185" s="170">
        <f t="shared" si="4"/>
        <v>0.124135</v>
      </c>
      <c r="N185" s="170">
        <f t="shared" si="4"/>
        <v>0</v>
      </c>
      <c r="O185" s="170">
        <f t="shared" si="4"/>
        <v>33.854999999999997</v>
      </c>
      <c r="P185" s="170">
        <f t="shared" si="4"/>
        <v>0</v>
      </c>
      <c r="Q185" s="170">
        <f t="shared" si="4"/>
        <v>0</v>
      </c>
      <c r="R185" s="170">
        <f t="shared" si="4"/>
        <v>0</v>
      </c>
      <c r="S185" s="170">
        <f t="shared" si="4"/>
        <v>0.14896200000000001</v>
      </c>
      <c r="T185" s="170">
        <f t="shared" si="4"/>
        <v>0</v>
      </c>
      <c r="U185" s="170">
        <f t="shared" si="4"/>
        <v>0</v>
      </c>
    </row>
    <row r="186" spans="1:21" s="24" customFormat="1" x14ac:dyDescent="0.35">
      <c r="A186" s="13" t="s">
        <v>607</v>
      </c>
      <c r="B186" s="13"/>
      <c r="C186" s="170">
        <f t="shared" ref="C186:U186" si="5">IF($B$42&gt;100,C182*$B$64*($B$42-100),0)</f>
        <v>0</v>
      </c>
      <c r="D186" s="170">
        <f t="shared" si="5"/>
        <v>0.19169250000000002</v>
      </c>
      <c r="E186" s="170">
        <f t="shared" si="5"/>
        <v>0.32053499999999996</v>
      </c>
      <c r="F186" s="170">
        <f t="shared" si="5"/>
        <v>0</v>
      </c>
      <c r="G186" s="170">
        <f t="shared" si="5"/>
        <v>0</v>
      </c>
      <c r="H186" s="170">
        <f t="shared" si="5"/>
        <v>0</v>
      </c>
      <c r="I186" s="170">
        <f t="shared" si="5"/>
        <v>0</v>
      </c>
      <c r="J186" s="170">
        <f t="shared" si="5"/>
        <v>1.2020062500000002</v>
      </c>
      <c r="K186" s="170">
        <f t="shared" si="5"/>
        <v>0</v>
      </c>
      <c r="L186" s="170">
        <f t="shared" si="5"/>
        <v>0</v>
      </c>
      <c r="M186" s="170">
        <f t="shared" si="5"/>
        <v>8.6418750000000003E-3</v>
      </c>
      <c r="N186" s="170">
        <f t="shared" si="5"/>
        <v>0</v>
      </c>
      <c r="O186" s="170">
        <f t="shared" si="5"/>
        <v>2.3568750000000001</v>
      </c>
      <c r="P186" s="170">
        <f t="shared" si="5"/>
        <v>0</v>
      </c>
      <c r="Q186" s="170">
        <f t="shared" si="5"/>
        <v>0</v>
      </c>
      <c r="R186" s="170">
        <f t="shared" si="5"/>
        <v>0</v>
      </c>
      <c r="S186" s="170">
        <f t="shared" si="5"/>
        <v>1.0370250000000001E-2</v>
      </c>
      <c r="T186" s="170">
        <f t="shared" si="5"/>
        <v>0</v>
      </c>
      <c r="U186" s="170">
        <f t="shared" si="5"/>
        <v>0</v>
      </c>
    </row>
    <row r="187" spans="1:21" x14ac:dyDescent="0.35">
      <c r="A187" s="13" t="s">
        <v>608</v>
      </c>
      <c r="B187" s="1" t="s">
        <v>609</v>
      </c>
      <c r="C187" s="174">
        <f t="shared" ref="C187:U187" si="6">SUM(C183:C186)</f>
        <v>7.1333793440000006</v>
      </c>
      <c r="D187" s="174">
        <f t="shared" si="6"/>
        <v>12.309847580000001</v>
      </c>
      <c r="E187" s="174">
        <f t="shared" si="6"/>
        <v>20.58367956</v>
      </c>
      <c r="F187" s="174">
        <f t="shared" si="6"/>
        <v>52.617474000000009</v>
      </c>
      <c r="G187" s="174">
        <f t="shared" si="6"/>
        <v>0</v>
      </c>
      <c r="H187" s="174">
        <f t="shared" si="6"/>
        <v>0</v>
      </c>
      <c r="I187" s="174">
        <f t="shared" si="6"/>
        <v>0</v>
      </c>
      <c r="J187" s="174">
        <f t="shared" si="6"/>
        <v>40.361071049999993</v>
      </c>
      <c r="K187" s="174">
        <f t="shared" si="6"/>
        <v>0</v>
      </c>
      <c r="L187" s="174">
        <f t="shared" si="6"/>
        <v>0</v>
      </c>
      <c r="M187" s="174">
        <f t="shared" si="6"/>
        <v>0.96486164499999993</v>
      </c>
      <c r="N187" s="174">
        <f t="shared" si="6"/>
        <v>0</v>
      </c>
      <c r="O187" s="174">
        <f t="shared" si="6"/>
        <v>72.942315000000008</v>
      </c>
      <c r="P187" s="174">
        <f t="shared" si="6"/>
        <v>0</v>
      </c>
      <c r="Q187" s="174">
        <f t="shared" si="6"/>
        <v>0</v>
      </c>
      <c r="R187" s="174">
        <f t="shared" si="6"/>
        <v>0</v>
      </c>
      <c r="S187" s="174">
        <f t="shared" si="6"/>
        <v>0.8094739620000001</v>
      </c>
      <c r="T187" s="174">
        <f t="shared" si="6"/>
        <v>0</v>
      </c>
      <c r="U187" s="174">
        <f t="shared" si="6"/>
        <v>0</v>
      </c>
    </row>
    <row r="188" spans="1:21" x14ac:dyDescent="0.35">
      <c r="A188" s="327" t="s">
        <v>610</v>
      </c>
      <c r="B188" s="10" t="s">
        <v>611</v>
      </c>
      <c r="C188" s="197">
        <f>(1+$B$60)*(SUM(C187:U187))</f>
        <v>270.03873278330002</v>
      </c>
      <c r="D188" s="21"/>
      <c r="E188" s="21"/>
      <c r="F188" s="21"/>
      <c r="G188" s="21"/>
      <c r="H188" s="21"/>
      <c r="I188" s="21"/>
      <c r="J188" s="21"/>
      <c r="K188" s="21"/>
      <c r="L188" s="21"/>
      <c r="M188" s="21"/>
      <c r="N188" s="21"/>
      <c r="O188" s="21"/>
      <c r="P188" s="21"/>
      <c r="Q188" s="1"/>
      <c r="R188" s="1"/>
      <c r="S188" s="1"/>
      <c r="T188" s="1"/>
      <c r="U188" s="1"/>
    </row>
    <row r="189" spans="1:21" x14ac:dyDescent="0.35">
      <c r="A189" s="327" t="s">
        <v>612</v>
      </c>
      <c r="B189" s="10" t="s">
        <v>598</v>
      </c>
      <c r="C189" s="255">
        <f>+SUM(C184:U186)/SUM(C187:U187)</f>
        <v>0.34915636496769581</v>
      </c>
      <c r="D189" s="15"/>
      <c r="E189" s="15"/>
      <c r="F189" s="15"/>
      <c r="G189" s="15"/>
      <c r="H189" s="15"/>
      <c r="I189" s="15"/>
      <c r="J189" s="15"/>
      <c r="K189" s="15"/>
      <c r="L189" s="15"/>
      <c r="M189" s="15"/>
      <c r="N189" s="15"/>
      <c r="O189" s="15"/>
      <c r="P189" s="15"/>
    </row>
    <row r="190" spans="1:21" x14ac:dyDescent="0.35">
      <c r="C190" s="71">
        <f t="shared" ref="C190:E190" si="7">+C178+C182</f>
        <v>2.2159999999999999E-2</v>
      </c>
      <c r="D190" s="71">
        <f t="shared" si="7"/>
        <v>6.0999999999999999E-2</v>
      </c>
      <c r="E190" s="71">
        <f t="shared" si="7"/>
        <v>0.10199999999999999</v>
      </c>
      <c r="F190" s="71">
        <f>+F178+F182</f>
        <v>0.35299999999999998</v>
      </c>
      <c r="G190" s="71">
        <f t="shared" ref="G190:U190" si="8">+G178+G182</f>
        <v>0</v>
      </c>
      <c r="H190" s="71">
        <f t="shared" si="8"/>
        <v>0</v>
      </c>
      <c r="I190" s="71">
        <f t="shared" si="8"/>
        <v>0</v>
      </c>
      <c r="J190" s="71">
        <f t="shared" si="8"/>
        <v>0.15299999999999997</v>
      </c>
      <c r="K190" s="71">
        <f t="shared" si="8"/>
        <v>0</v>
      </c>
      <c r="L190" s="71">
        <f t="shared" si="8"/>
        <v>0</v>
      </c>
      <c r="M190" s="71">
        <f t="shared" si="8"/>
        <v>5.4999999999999997E-3</v>
      </c>
      <c r="N190" s="71">
        <f t="shared" si="8"/>
        <v>0</v>
      </c>
      <c r="O190" s="71">
        <f t="shared" si="8"/>
        <v>0.3</v>
      </c>
      <c r="P190" s="71">
        <f t="shared" si="8"/>
        <v>0</v>
      </c>
      <c r="Q190" s="71">
        <f t="shared" si="8"/>
        <v>0</v>
      </c>
      <c r="R190" s="71">
        <f t="shared" si="8"/>
        <v>0</v>
      </c>
      <c r="S190" s="71">
        <f t="shared" si="8"/>
        <v>3.3E-3</v>
      </c>
      <c r="T190" s="71">
        <f t="shared" si="8"/>
        <v>0</v>
      </c>
      <c r="U190" s="71">
        <f t="shared" si="8"/>
        <v>0</v>
      </c>
    </row>
    <row r="191" spans="1:21" x14ac:dyDescent="0.35">
      <c r="A191" s="24"/>
      <c r="B191" t="s">
        <v>613</v>
      </c>
      <c r="C191" s="256">
        <f>SUM(C178:U178)+SUM(C182:U182)</f>
        <v>0.99995999999999985</v>
      </c>
    </row>
    <row r="193" spans="1:24" ht="16" x14ac:dyDescent="0.4">
      <c r="A193" s="117" t="s">
        <v>614</v>
      </c>
    </row>
    <row r="195" spans="1:24" ht="94.5" customHeight="1" x14ac:dyDescent="0.35">
      <c r="A195" s="104" t="s">
        <v>451</v>
      </c>
      <c r="B195" s="104" t="s">
        <v>277</v>
      </c>
      <c r="C195" s="103" t="s">
        <v>1005</v>
      </c>
      <c r="D195" s="103" t="s">
        <v>615</v>
      </c>
      <c r="E195" s="103" t="s">
        <v>616</v>
      </c>
      <c r="F195" s="103" t="s">
        <v>279</v>
      </c>
      <c r="G195" s="103" t="s">
        <v>280</v>
      </c>
      <c r="H195" s="103" t="s">
        <v>281</v>
      </c>
      <c r="I195" s="103" t="s">
        <v>282</v>
      </c>
      <c r="J195" s="103" t="s">
        <v>283</v>
      </c>
      <c r="K195" s="103" t="s">
        <v>284</v>
      </c>
      <c r="L195" s="103" t="s">
        <v>285</v>
      </c>
      <c r="M195" s="103" t="s">
        <v>286</v>
      </c>
      <c r="N195" s="103" t="s">
        <v>287</v>
      </c>
      <c r="O195" s="103" t="s">
        <v>288</v>
      </c>
      <c r="P195" s="103" t="s">
        <v>289</v>
      </c>
      <c r="Q195" s="103" t="s">
        <v>290</v>
      </c>
      <c r="R195" s="103" t="s">
        <v>291</v>
      </c>
      <c r="S195" s="103" t="s">
        <v>292</v>
      </c>
      <c r="T195" s="103" t="s">
        <v>293</v>
      </c>
      <c r="U195" s="103" t="s">
        <v>294</v>
      </c>
      <c r="V195" s="103" t="s">
        <v>295</v>
      </c>
      <c r="W195" s="103" t="s">
        <v>296</v>
      </c>
      <c r="X195" s="103" t="s">
        <v>297</v>
      </c>
    </row>
    <row r="196" spans="1:24" x14ac:dyDescent="0.35">
      <c r="A196" s="53" t="str">
        <f>Input!$A$17</f>
        <v>Asphalt plant: primary energy source type for heating and drying</v>
      </c>
      <c r="B196" s="1" t="s">
        <v>617</v>
      </c>
      <c r="C196" s="154" t="str">
        <f>IF($D$196="Electricity",$B$52,"None")</f>
        <v>None</v>
      </c>
      <c r="D196" s="154" t="str">
        <f>Input!B17</f>
        <v>Natural_gas</v>
      </c>
      <c r="E196" s="175">
        <f>Input!$C$17</f>
        <v>1</v>
      </c>
      <c r="F196" s="154" cm="1">
        <f t="array" ref="F196">INDEX(LCI!H$2:H$137,MATCH('A3 - Production '!$A$196&amp;'A3 - Production '!$D$196,LCI!$B$2:$B$137&amp;LCI!$D$2:$D$137,0))*$C$188*IF(OR($D$196="Electricity", $D$196="Electricity_green"),$B$52, 1)*IF($D$196="Hydrogen (grey)",$B$53,1)*$E$196</f>
        <v>1.5972079121447783E-2</v>
      </c>
      <c r="G196" s="154" cm="1">
        <f t="array" ref="G196">INDEX(LCI!I$2:I$137,MATCH('A3 - Production '!$A$196&amp;'A3 - Production '!$D$196,LCI!$B$2:$B$137&amp;LCI!$D$2:$D$137,0))*$C$188*IF(OR($D$196="Electricity", $D$196="Electricity_green"),$B$52, 1)*IF($D$196="Hydrogen (grey)",$B$53,1)*$E$196</f>
        <v>18.909509052199425</v>
      </c>
      <c r="H196" s="154" cm="1">
        <f t="array" ref="H196">INDEX(LCI!J$2:J$137,MATCH('A3 - Production '!$A$196&amp;'A3 - Production '!$D$196,LCI!$B$2:$B$137&amp;LCI!$D$2:$D$137,0))*$C$188*IF(OR($D$196="Electricity", $D$196="Electricity_green"),$B$52, 1)*IF($D$196="Hydrogen (grey)",$B$53,1)*$E$196</f>
        <v>4.9438198856404294E-3</v>
      </c>
      <c r="I196" s="154" cm="1">
        <f t="array" ref="I196">INDEX(LCI!K$2:K$137,MATCH('A3 - Production '!$A$196&amp;'A3 - Production '!$D$196,LCI!$B$2:$B$137&amp;LCI!$D$2:$D$137,0))*$C$188*IF(OR($D$196="Electricity", $D$196="Electricity_green"),$B$52, 1)*IF($D$196="Hydrogen (grey)",$B$53,1)*$E$196</f>
        <v>18.903794570673863</v>
      </c>
      <c r="J196" s="154" cm="1">
        <f t="array" ref="J196">INDEX(LCI!L$2:L$137,MATCH('A3 - Production '!$A$196&amp;'A3 - Production '!$D$196,LCI!$B$2:$B$137&amp;LCI!$D$2:$D$137,0))*$C$188*IF(OR($D$196="Electricity", $D$196="Electricity_green"),$B$52, 1)*IF($D$196="Hydrogen (grey)",$B$53,1)*$E$196</f>
        <v>7.7066163992208349E-4</v>
      </c>
      <c r="K196" s="154" cm="1">
        <f t="array" ref="K196">INDEX(LCI!M$2:M$137,MATCH('A3 - Production '!$A$196&amp;'A3 - Production '!$D$196,LCI!$B$2:$B$137&amp;LCI!$D$2:$D$137,0))*$C$188*IF(OR($D$196="Electricity", $D$196="Electricity_green"),$B$52, 1)*IF($D$196="Hydrogen (grey)",$B$53,1)*$E$196</f>
        <v>7.151438626231915</v>
      </c>
      <c r="L196" s="154" cm="1">
        <f t="array" ref="L196">INDEX(LCI!N$2:N$137,MATCH('A3 - Production '!$A$196&amp;'A3 - Production '!$D$196,LCI!$B$2:$B$137&amp;LCI!$D$2:$D$137,0))*$C$188*IF(OR($D$196="Electricity", $D$196="Electricity_green"),$B$52, 1)*IF($D$196="Hydrogen (grey)",$B$53,1)*$E$196</f>
        <v>319.77773300240824</v>
      </c>
      <c r="M196" s="154" cm="1">
        <f t="array" ref="M196">INDEX(LCI!O$2:O$137,MATCH('A3 - Production '!$A$196&amp;'A3 - Production '!$D$196,LCI!$B$2:$B$137&amp;LCI!$D$2:$D$137,0))*$C$188*IF(OR($D$196="Electricity", $D$196="Electricity_green"),$B$52, 1)*IF($D$196="Hydrogen (grey)",$B$53,1)*$E$196</f>
        <v>2.834753238061871E-4</v>
      </c>
      <c r="N196" s="154" cm="1">
        <f t="array" ref="N196">INDEX(LCI!P$2:P$137,MATCH('A3 - Production '!$A$196&amp;'A3 - Production '!$D$196,LCI!$B$2:$B$137&amp;LCI!$D$2:$D$137,0))*$C$188*IF(OR($D$196="Electricity", $D$196="Electricity_green"),$B$52, 1)*IF($D$196="Hydrogen (grey)",$B$53,1)*$E$196</f>
        <v>4.3930747547359979E-3</v>
      </c>
      <c r="O196" s="154" cm="1">
        <f t="array" ref="O196">INDEX(LCI!Q$2:Q$137,MATCH('A3 - Production '!$A$196&amp;'A3 - Production '!$D$196,LCI!$B$2:$B$137&amp;LCI!$D$2:$D$137,0))*$C$188*IF(OR($D$196="Electricity", $D$196="Electricity_green"),$B$52, 1)*IF($D$196="Hydrogen (grey)",$B$53,1)*$E$196</f>
        <v>4.8438049066140972E-2</v>
      </c>
      <c r="P196" s="154" cm="1">
        <f t="array" ref="P196">INDEX(LCI!R$2:R$137,MATCH('A3 - Production '!$A$196&amp;'A3 - Production '!$D$196,LCI!$B$2:$B$137&amp;LCI!$D$2:$D$137,0))*$C$188*IF(OR($D$196="Electricity", $D$196="Electricity_green"),$B$52, 1)*IF($D$196="Hydrogen (grey)",$B$53,1)*$E$196</f>
        <v>1.5270686738490549E-9</v>
      </c>
      <c r="Q196" s="154" cm="1">
        <f t="array" ref="Q196">INDEX(LCI!S$2:S$137,MATCH('A3 - Production '!$A$196&amp;'A3 - Production '!$D$196,LCI!$B$2:$B$137&amp;LCI!$D$2:$D$137,0))*$C$188*IF(OR($D$196="Electricity", $D$196="Electricity_green"),$B$52, 1)*IF($D$196="Hydrogen (grey)",$B$53,1)*$E$196</f>
        <v>1.3057335488371821E-8</v>
      </c>
      <c r="R196" s="154" cm="1">
        <f t="array" ref="R196">INDEX(LCI!T$2:T$137,MATCH('A3 - Production '!$A$196&amp;'A3 - Production '!$D$196,LCI!$B$2:$B$137&amp;LCI!$D$2:$D$137,0))*$C$188*IF(OR($D$196="Electricity", $D$196="Electricity_green"),$B$52, 1)*IF($D$196="Hydrogen (grey)",$B$53,1)*$E$196</f>
        <v>0.20127489812266347</v>
      </c>
      <c r="S196" s="154" cm="1">
        <f t="array" ref="S196">INDEX(LCI!U$2:U$137,MATCH('A3 - Production '!$A$196&amp;'A3 - Production '!$D$196,LCI!$B$2:$B$137&amp;LCI!$D$2:$D$137,0))*$C$188*IF(OR($D$196="Electricity", $D$196="Electricity_green"),$B$52, 1)*IF($D$196="Hydrogen (grey)",$B$53,1)*$E$196</f>
        <v>4.2969866187080861</v>
      </c>
      <c r="T196" s="154" cm="1">
        <f t="array" ref="T196">INDEX(LCI!V$2:V$137,MATCH('A3 - Production '!$A$196&amp;'A3 - Production '!$D$196,LCI!$B$2:$B$137&amp;LCI!$D$2:$D$137,0))*$C$188*IF(OR($D$196="Electricity", $D$196="Electricity_green"),$B$52, 1)*IF($D$196="Hydrogen (grey)",$B$53,1)*$E$196</f>
        <v>1.0295194617085511E-6</v>
      </c>
      <c r="U196" s="154" cm="1">
        <f t="array" ref="U196">INDEX(LCI!W$2:W$137,MATCH('A3 - Production '!$A$196&amp;'A3 - Production '!$D$196,LCI!$B$2:$B$137&amp;LCI!$D$2:$D$137,0))*$C$188*IF(OR($D$196="Electricity", $D$196="Electricity_green"),$B$52, 1)*IF($D$196="Hydrogen (grey)",$B$53,1)*$E$196</f>
        <v>2.6632297361230375E-6</v>
      </c>
      <c r="V196" s="154" cm="1">
        <f t="array" ref="V196">INDEX(LCI!X$2:X$137,MATCH('A3 - Production '!$A$196&amp;'A3 - Production '!$D$196,LCI!$B$2:$B$137&amp;LCI!$D$2:$D$137,0))*$C$188*IF(OR($D$196="Electricity", $D$196="Electricity_green"),$B$52, 1)*IF($D$196="Hydrogen (grey)",$B$53,1)*$E$196</f>
        <v>5.867220541829613E-8</v>
      </c>
      <c r="W196" s="154" cm="1">
        <f t="array" ref="W196">INDEX(LCI!Y$2:Y$137,MATCH('A3 - Production '!$A$196&amp;'A3 - Production '!$D$196,LCI!$B$2:$B$137&amp;LCI!$D$2:$D$137,0))*$C$188*IF(OR($D$196="Electricity", $D$196="Electricity_green"),$B$52, 1)*IF($D$196="Hydrogen (grey)",$B$53,1)*$E$196</f>
        <v>1.6390682981251323E-2</v>
      </c>
      <c r="X196" s="154" cm="1">
        <f t="array" ref="X196">INDEX(LCI!Z$2:Z$137,MATCH('A3 - Production '!$A$196&amp;'A3 - Production '!$D$196,LCI!$B$2:$B$137&amp;LCI!$D$2:$D$137,0))*$C$188*IF(OR($D$196="Electricity", $D$196="Electricity_green"),$B$52, 1)*IF($D$196="Hydrogen (grey)",$B$53,1)*$E$196</f>
        <v>0.18874320082350321</v>
      </c>
    </row>
    <row r="197" spans="1:24" x14ac:dyDescent="0.35">
      <c r="A197" s="53" t="s">
        <v>22</v>
      </c>
      <c r="B197" s="1" t="s">
        <v>617</v>
      </c>
      <c r="C197" s="154" t="str">
        <f>IF($D$197="Electricity",$B$52,"None")</f>
        <v>None</v>
      </c>
      <c r="D197" s="154" t="str">
        <f>Input!$B$18</f>
        <v>No</v>
      </c>
      <c r="E197" s="175">
        <f>Input!$C$18</f>
        <v>0</v>
      </c>
      <c r="F197" s="154" cm="1">
        <f t="array" ref="F197">INDEX(LCI!H$2:H$137,MATCH('A3 - Production '!$A$197&amp;'A3 - Production '!$D$197,LCI!$B$2:$B$137&amp;LCI!$D$2:$D$137,0))*$C$188*IF(OR($D$197="Electricity", $D$197="Electricity_green"),$B$52, 1)*IF($D$197="Hydrogen (grey)",$B$53,1)*$E$197</f>
        <v>0</v>
      </c>
      <c r="G197" s="154" cm="1">
        <f t="array" ref="G197">INDEX(LCI!I$2:I$137,MATCH('A3 - Production '!$A$197&amp;'A3 - Production '!$D$197,LCI!$B$2:$B$137&amp;LCI!$D$2:$D$137,0))*$C$188*IF(OR($D$197="Electricity", $D$197="Electricity_green"),$B$52, 1)*IF($D$197="Hydrogen (grey)",$B$53,1)*$E$197</f>
        <v>0</v>
      </c>
      <c r="H197" s="154" cm="1">
        <f t="array" ref="H197">INDEX(LCI!J$2:J$137,MATCH('A3 - Production '!$A$197&amp;'A3 - Production '!$D$197,LCI!$B$2:$B$137&amp;LCI!$D$2:$D$137,0))*$C$188*IF(OR($D$197="Electricity", $D$197="Electricity_green"),$B$52, 1)*IF($D$197="Hydrogen (grey)",$B$53,1)*$E$197</f>
        <v>0</v>
      </c>
      <c r="I197" s="154" cm="1">
        <f t="array" ref="I197">INDEX(LCI!K$2:K$137,MATCH('A3 - Production '!$A$197&amp;'A3 - Production '!$D$197,LCI!$B$2:$B$137&amp;LCI!$D$2:$D$137,0))*$C$188*IF(OR($D$197="Electricity", $D$197="Electricity_green"),$B$52, 1)*IF($D$197="Hydrogen (grey)",$B$53,1)*$E$197</f>
        <v>0</v>
      </c>
      <c r="J197" s="154" cm="1">
        <f t="array" ref="J197">INDEX(LCI!L$2:L$137,MATCH('A3 - Production '!$A$197&amp;'A3 - Production '!$D$197,LCI!$B$2:$B$137&amp;LCI!$D$2:$D$137,0))*$C$188*IF(OR($D$197="Electricity", $D$197="Electricity_green"),$B$52, 1)*IF($D$197="Hydrogen (grey)",$B$53,1)*$E$197</f>
        <v>0</v>
      </c>
      <c r="K197" s="154" cm="1">
        <f t="array" ref="K197">INDEX(LCI!M$2:M$137,MATCH('A3 - Production '!$A$197&amp;'A3 - Production '!$D$197,LCI!$B$2:$B$137&amp;LCI!$D$2:$D$137,0))*$C$188*IF(OR($D$197="Electricity", $D$197="Electricity_green"),$B$52, 1)*IF($D$197="Hydrogen (grey)",$B$53,1)*$E$197</f>
        <v>0</v>
      </c>
      <c r="L197" s="154" cm="1">
        <f t="array" ref="L197">INDEX(LCI!N$2:N$137,MATCH('A3 - Production '!$A$197&amp;'A3 - Production '!$D$197,LCI!$B$2:$B$137&amp;LCI!$D$2:$D$137,0))*$C$188*IF(OR($D$197="Electricity", $D$197="Electricity_green"),$B$52, 1)*IF($D$197="Hydrogen (grey)",$B$53,1)*$E$197</f>
        <v>0</v>
      </c>
      <c r="M197" s="154" cm="1">
        <f t="array" ref="M197">INDEX(LCI!O$2:O$137,MATCH('A3 - Production '!$A$197&amp;'A3 - Production '!$D$197,LCI!$B$2:$B$137&amp;LCI!$D$2:$D$137,0))*$C$188*IF(OR($D$197="Electricity", $D$197="Electricity_green"),$B$52, 1)*IF($D$197="Hydrogen (grey)",$B$53,1)*$E$197</f>
        <v>0</v>
      </c>
      <c r="N197" s="154" cm="1">
        <f t="array" ref="N197">INDEX(LCI!P$2:P$137,MATCH('A3 - Production '!$A$197&amp;'A3 - Production '!$D$197,LCI!$B$2:$B$137&amp;LCI!$D$2:$D$137,0))*$C$188*IF(OR($D$197="Electricity", $D$197="Electricity_green"),$B$52, 1)*IF($D$197="Hydrogen (grey)",$B$53,1)*$E$197</f>
        <v>0</v>
      </c>
      <c r="O197" s="154" cm="1">
        <f t="array" ref="O197">INDEX(LCI!Q$2:Q$137,MATCH('A3 - Production '!$A$197&amp;'A3 - Production '!$D$197,LCI!$B$2:$B$137&amp;LCI!$D$2:$D$137,0))*$C$188*IF(OR($D$197="Electricity", $D$197="Electricity_green"),$B$52, 1)*IF($D$197="Hydrogen (grey)",$B$53,1)*$E$197</f>
        <v>0</v>
      </c>
      <c r="P197" s="154" cm="1">
        <f t="array" ref="P197">INDEX(LCI!R$2:R$137,MATCH('A3 - Production '!$A$197&amp;'A3 - Production '!$D$197,LCI!$B$2:$B$137&amp;LCI!$D$2:$D$137,0))*$C$188*IF(OR($D$197="Electricity", $D$197="Electricity_green"),$B$52, 1)*IF($D$197="Hydrogen (grey)",$B$53,1)*$E$197</f>
        <v>0</v>
      </c>
      <c r="Q197" s="154" cm="1">
        <f t="array" ref="Q197">INDEX(LCI!S$2:S$137,MATCH('A3 - Production '!$A$197&amp;'A3 - Production '!$D$197,LCI!$B$2:$B$137&amp;LCI!$D$2:$D$137,0))*$C$188*IF(OR($D$197="Electricity", $D$197="Electricity_green"),$B$52, 1)*IF($D$197="Hydrogen (grey)",$B$53,1)*$E$197</f>
        <v>0</v>
      </c>
      <c r="R197" s="154" cm="1">
        <f t="array" ref="R197">INDEX(LCI!T$2:T$137,MATCH('A3 - Production '!$A$197&amp;'A3 - Production '!$D$197,LCI!$B$2:$B$137&amp;LCI!$D$2:$D$137,0))*$C$188*IF(OR($D$197="Electricity", $D$197="Electricity_green"),$B$52, 1)*IF($D$197="Hydrogen (grey)",$B$53,1)*$E$197</f>
        <v>0</v>
      </c>
      <c r="S197" s="154" cm="1">
        <f t="array" ref="S197">INDEX(LCI!U$2:U$137,MATCH('A3 - Production '!$A$197&amp;'A3 - Production '!$D$197,LCI!$B$2:$B$137&amp;LCI!$D$2:$D$137,0))*$C$188*IF(OR($D$197="Electricity", $D$197="Electricity_green"),$B$52, 1)*IF($D$197="Hydrogen (grey)",$B$53,1)*$E$197</f>
        <v>0</v>
      </c>
      <c r="T197" s="154" cm="1">
        <f t="array" ref="T197">INDEX(LCI!V$2:V$137,MATCH('A3 - Production '!$A$197&amp;'A3 - Production '!$D$197,LCI!$B$2:$B$137&amp;LCI!$D$2:$D$137,0))*$C$188*IF(OR($D$197="Electricity", $D$197="Electricity_green"),$B$52, 1)*IF($D$197="Hydrogen (grey)",$B$53,1)*$E$197</f>
        <v>0</v>
      </c>
      <c r="U197" s="154" cm="1">
        <f t="array" ref="U197">INDEX(LCI!W$2:W$137,MATCH('A3 - Production '!$A$197&amp;'A3 - Production '!$D$197,LCI!$B$2:$B$137&amp;LCI!$D$2:$D$137,0))*$C$188*IF(OR($D$197="Electricity", $D$197="Electricity_green"),$B$52, 1)*IF($D$197="Hydrogen (grey)",$B$53,1)*$E$197</f>
        <v>0</v>
      </c>
      <c r="V197" s="154" cm="1">
        <f t="array" ref="V197">INDEX(LCI!X$2:X$137,MATCH('A3 - Production '!$A$197&amp;'A3 - Production '!$D$197,LCI!$B$2:$B$137&amp;LCI!$D$2:$D$137,0))*$C$188*IF(OR($D$197="Electricity", $D$197="Electricity_green"),$B$52, 1)*IF($D$197="Hydrogen (grey)",$B$53,1)*$E$197</f>
        <v>0</v>
      </c>
      <c r="W197" s="154" cm="1">
        <f t="array" ref="W197">INDEX(LCI!Y$2:Y$137,MATCH('A3 - Production '!$A$197&amp;'A3 - Production '!$D$197,LCI!$B$2:$B$137&amp;LCI!$D$2:$D$137,0))*$C$188*IF(OR($D$197="Electricity", $D$197="Electricity_green"),$B$52, 1)*IF($D$197="Hydrogen (grey)",$B$53,1)*$E$197</f>
        <v>0</v>
      </c>
      <c r="X197" s="154" cm="1">
        <f t="array" ref="X197">INDEX(LCI!Z$2:Z$137,MATCH('A3 - Production '!$A$197&amp;'A3 - Production '!$D$197,LCI!$B$2:$B$137&amp;LCI!$D$2:$D$137,0))*$C$188*IF(OR($D$197="Electricity", $D$197="Electricity_green"),$B$52, 1)*IF($D$197="Hydrogen (grey)",$B$53,1)*$E$197</f>
        <v>0</v>
      </c>
    </row>
    <row r="198" spans="1:24" x14ac:dyDescent="0.35">
      <c r="A198" s="53" t="str">
        <f>Input!A19</f>
        <v>Asphalt plant: electric components</v>
      </c>
      <c r="B198" s="1" t="s">
        <v>617</v>
      </c>
      <c r="C198" s="154">
        <f>$D$47</f>
        <v>6.1</v>
      </c>
      <c r="D198" s="154" t="str">
        <f>IF(Input!B19="No","No",Input!$C$19)</f>
        <v>Electricity</v>
      </c>
      <c r="E198" s="176"/>
      <c r="F198" s="154" cm="1">
        <f t="array" ref="F198">INDEX(LCI!H$2:H$130,MATCH('A3 - Production '!$A$198&amp;'A3 - Production '!$D$198,LCI!$B$2:$B$130&amp;LCI!$D$2:$D$130,0))*$C$198</f>
        <v>3.9599662683110761E-3</v>
      </c>
      <c r="G198" s="154" cm="1">
        <f t="array" ref="G198">INDEX(LCI!I$2:I$130,MATCH('A3 - Production '!$A$198&amp;'A3 - Production '!$D$198,LCI!$B$2:$B$130&amp;LCI!$D$2:$D$130,0))*$C$198</f>
        <v>1.0907685374591527</v>
      </c>
      <c r="H198" s="154" cm="1">
        <f t="array" ref="H198">INDEX(LCI!J$2:J$130,MATCH('A3 - Production '!$A$198&amp;'A3 - Production '!$D$198,LCI!$B$2:$B$130&amp;LCI!$D$2:$D$130,0))*$C$198</f>
        <v>1.8096391800758614E-3</v>
      </c>
      <c r="I198" s="154" cm="1">
        <f t="array" ref="I198">INDEX(LCI!K$2:K$130,MATCH('A3 - Production '!$A$198&amp;'A3 - Production '!$D$198,LCI!$B$2:$B$130&amp;LCI!$D$2:$D$130,0))*$C$198</f>
        <v>1.0862258336180726</v>
      </c>
      <c r="J198" s="154" cm="1">
        <f t="array" ref="J198">INDEX(LCI!L$2:L$130,MATCH('A3 - Production '!$A$198&amp;'A3 - Production '!$D$198,LCI!$B$2:$B$130&amp;LCI!$D$2:$D$130,0))*$C$198</f>
        <v>2.7330646610019558E-3</v>
      </c>
      <c r="K198" s="154" cm="1">
        <f t="array" ref="K198">INDEX(LCI!M$2:M$130,MATCH('A3 - Production '!$A$198&amp;'A3 - Production '!$D$198,LCI!$B$2:$B$130&amp;LCI!$D$2:$D$130,0))*$C$198</f>
        <v>3.8148964677706494</v>
      </c>
      <c r="L198" s="154" cm="1">
        <f t="array" ref="L198">INDEX(LCI!N$2:N$130,MATCH('A3 - Production '!$A$198&amp;'A3 - Production '!$D$198,LCI!$B$2:$B$130&amp;LCI!$D$2:$D$130,0))*$C$198</f>
        <v>53.439827458249873</v>
      </c>
      <c r="M198" s="154" cm="1">
        <f t="array" ref="M198">INDEX(LCI!O$2:O$130,MATCH('A3 - Production '!$A$198&amp;'A3 - Production '!$D$198,LCI!$B$2:$B$130&amp;LCI!$D$2:$D$130,0))*$C$198</f>
        <v>4.0770688307309856E-4</v>
      </c>
      <c r="N198" s="154" cm="1">
        <f t="array" ref="N198">INDEX(LCI!P$2:P$130,MATCH('A3 - Production '!$A$198&amp;'A3 - Production '!$D$198,LCI!$B$2:$B$130&amp;LCI!$D$2:$D$130,0))*$C$198</f>
        <v>8.1436187345735581E-4</v>
      </c>
      <c r="O198" s="154" cm="1">
        <f t="array" ref="O198">INDEX(LCI!Q$2:Q$130,MATCH('A3 - Production '!$A$198&amp;'A3 - Production '!$D$198,LCI!$B$2:$B$130&amp;LCI!$D$2:$D$130,0))*$C$198</f>
        <v>7.7305315377659582E-3</v>
      </c>
      <c r="P198" s="154" cm="1">
        <f t="array" ref="P198">INDEX(LCI!R$2:R$130,MATCH('A3 - Production '!$A$198&amp;'A3 - Production '!$D$198,LCI!$B$2:$B$130&amp;LCI!$D$2:$D$130,0))*$C$198</f>
        <v>4.5438077598413268E-10</v>
      </c>
      <c r="Q198" s="154" cm="1">
        <f t="array" ref="Q198">INDEX(LCI!S$2:S$130,MATCH('A3 - Production '!$A$198&amp;'A3 - Production '!$D$198,LCI!$B$2:$B$130&amp;LCI!$D$2:$D$130,0))*$C$198</f>
        <v>2.5124424900177211E-8</v>
      </c>
      <c r="R198" s="154" cm="1">
        <f t="array" ref="R198">INDEX(LCI!T$2:T$130,MATCH('A3 - Production '!$A$198&amp;'A3 - Production '!$D$198,LCI!$B$2:$B$130&amp;LCI!$D$2:$D$130,0))*$C$198</f>
        <v>2.244832557031947</v>
      </c>
      <c r="S198" s="154" cm="1">
        <f t="array" ref="S198">INDEX(LCI!U$2:U$130,MATCH('A3 - Production '!$A$198&amp;'A3 - Production '!$D$198,LCI!$B$2:$B$130&amp;LCI!$D$2:$D$130,0))*$C$198</f>
        <v>8.4330503348293409</v>
      </c>
      <c r="T198" s="154" cm="1">
        <f t="array" ref="T198">INDEX(LCI!V$2:V$130,MATCH('A3 - Production '!$A$198&amp;'A3 - Production '!$D$198,LCI!$B$2:$B$130&amp;LCI!$D$2:$D$130,0))*$C$198</f>
        <v>2.8939273247312308E-5</v>
      </c>
      <c r="U198" s="154" cm="1">
        <f t="array" ref="U198">INDEX(LCI!W$2:W$130,MATCH('A3 - Production '!$A$198&amp;'A3 - Production '!$D$198,LCI!$B$2:$B$130&amp;LCI!$D$2:$D$130,0))*$C$198</f>
        <v>3.4702254340730223E-8</v>
      </c>
      <c r="V198" s="154" cm="1">
        <f t="array" ref="V198">INDEX(LCI!X$2:X$130,MATCH('A3 - Production '!$A$198&amp;'A3 - Production '!$D$198,LCI!$B$2:$B$130&amp;LCI!$D$2:$D$130,0))*$C$198</f>
        <v>2.9099611538335278E-8</v>
      </c>
      <c r="W198" s="154" cm="1">
        <f t="array" ref="W198">INDEX(LCI!Y$2:Y$130,MATCH('A3 - Production '!$A$198&amp;'A3 - Production '!$D$198,LCI!$B$2:$B$130&amp;LCI!$D$2:$D$130,0))*$C$198</f>
        <v>2.4703695630220704E-3</v>
      </c>
      <c r="X198" s="154" cm="1">
        <f t="array" ref="X198">INDEX(LCI!Z$2:Z$130,MATCH('A3 - Production '!$A$198&amp;'A3 - Production '!$D$198,LCI!$B$2:$B$130&amp;LCI!$D$2:$D$130,0))*$C$198</f>
        <v>0.64198097160180434</v>
      </c>
    </row>
    <row r="199" spans="1:24" x14ac:dyDescent="0.35">
      <c r="A199" s="410" t="s">
        <v>200</v>
      </c>
      <c r="B199" s="411"/>
      <c r="C199" s="411"/>
      <c r="D199" s="411"/>
      <c r="E199" s="412"/>
      <c r="F199" s="139">
        <f t="shared" ref="F199:X199" si="9">SUM(F196:F198)</f>
        <v>1.993204538975886E-2</v>
      </c>
      <c r="G199" s="139">
        <f t="shared" si="9"/>
        <v>20.000277589658577</v>
      </c>
      <c r="H199" s="139">
        <f t="shared" si="9"/>
        <v>6.7534590657162908E-3</v>
      </c>
      <c r="I199" s="139">
        <f t="shared" si="9"/>
        <v>19.990020404291936</v>
      </c>
      <c r="J199" s="139">
        <f t="shared" si="9"/>
        <v>3.5037263009240391E-3</v>
      </c>
      <c r="K199" s="139">
        <f t="shared" si="9"/>
        <v>10.966335094002565</v>
      </c>
      <c r="L199" s="139">
        <f t="shared" si="9"/>
        <v>373.21756046065809</v>
      </c>
      <c r="M199" s="139">
        <f t="shared" si="9"/>
        <v>6.9118220687928566E-4</v>
      </c>
      <c r="N199" s="139">
        <f t="shared" si="9"/>
        <v>5.2074366281933534E-3</v>
      </c>
      <c r="O199" s="139">
        <f t="shared" si="9"/>
        <v>5.6168580603906927E-2</v>
      </c>
      <c r="P199" s="139">
        <f t="shared" si="9"/>
        <v>1.9814494498331877E-9</v>
      </c>
      <c r="Q199" s="139">
        <f t="shared" si="9"/>
        <v>3.8181760388549028E-8</v>
      </c>
      <c r="R199" s="139">
        <f t="shared" si="9"/>
        <v>2.4461074551546105</v>
      </c>
      <c r="S199" s="139">
        <f t="shared" si="9"/>
        <v>12.730036953537427</v>
      </c>
      <c r="T199" s="139">
        <f t="shared" si="9"/>
        <v>2.996879270902086E-5</v>
      </c>
      <c r="U199" s="139">
        <f t="shared" si="9"/>
        <v>2.6979319904637677E-6</v>
      </c>
      <c r="V199" s="139">
        <f t="shared" si="9"/>
        <v>8.7771816956631408E-8</v>
      </c>
      <c r="W199" s="139">
        <f t="shared" si="9"/>
        <v>1.8861052544273393E-2</v>
      </c>
      <c r="X199" s="139">
        <f t="shared" si="9"/>
        <v>0.83072417242530761</v>
      </c>
    </row>
    <row r="200" spans="1:24" x14ac:dyDescent="0.35">
      <c r="A200" s="38"/>
      <c r="B200" s="38"/>
      <c r="C200" s="38"/>
      <c r="D200" s="38"/>
    </row>
    <row r="201" spans="1:24" x14ac:dyDescent="0.35">
      <c r="A201" s="38"/>
      <c r="B201" s="38"/>
      <c r="C201" s="38"/>
      <c r="D201" s="38"/>
    </row>
    <row r="203" spans="1:24" ht="23.5" x14ac:dyDescent="0.55000000000000004">
      <c r="A203" s="100" t="s">
        <v>620</v>
      </c>
    </row>
    <row r="205" spans="1:24" x14ac:dyDescent="0.35">
      <c r="A205" s="126" t="s">
        <v>209</v>
      </c>
      <c r="B205" s="126" t="s">
        <v>621</v>
      </c>
      <c r="C205" s="126" t="s">
        <v>622</v>
      </c>
      <c r="D205" s="126" t="s">
        <v>527</v>
      </c>
    </row>
    <row r="206" spans="1:24" x14ac:dyDescent="0.35">
      <c r="A206" s="1" t="s">
        <v>318</v>
      </c>
      <c r="B206" s="154">
        <f>SUM(F196:F198)</f>
        <v>1.993204538975886E-2</v>
      </c>
      <c r="C206" s="154">
        <f>'A3 - Production '!H28</f>
        <v>1.0299559961337281E-4</v>
      </c>
      <c r="D206" s="154">
        <f>SUM(B206:C206)</f>
        <v>2.0035040989372234E-2</v>
      </c>
    </row>
    <row r="207" spans="1:24" x14ac:dyDescent="0.35">
      <c r="A207" s="1" t="s">
        <v>280</v>
      </c>
      <c r="B207" s="154">
        <f>SUM(G196:G198)</f>
        <v>20.000277589658577</v>
      </c>
      <c r="C207" s="154">
        <f>'A3 - Production '!I28</f>
        <v>8.056052481282612E-2</v>
      </c>
      <c r="D207" s="154">
        <f t="shared" ref="D207:D224" si="10">SUM(B207:C207)</f>
        <v>20.080838114471401</v>
      </c>
    </row>
    <row r="208" spans="1:24" x14ac:dyDescent="0.35">
      <c r="A208" s="1" t="s">
        <v>281</v>
      </c>
      <c r="B208" s="154">
        <f>SUM(H196:H198)</f>
        <v>6.7534590657162908E-3</v>
      </c>
      <c r="C208" s="154">
        <f>'A3 - Production '!J28</f>
        <v>1.66498170746065E-5</v>
      </c>
      <c r="D208" s="154">
        <f t="shared" si="10"/>
        <v>6.7701088827908972E-3</v>
      </c>
    </row>
    <row r="209" spans="1:4" x14ac:dyDescent="0.35">
      <c r="A209" s="1" t="s">
        <v>282</v>
      </c>
      <c r="B209" s="154">
        <f>SUM(I196:I198)</f>
        <v>19.990020404291936</v>
      </c>
      <c r="C209" s="154">
        <f>'A3 - Production '!K28</f>
        <v>8.0540312398878863E-2</v>
      </c>
      <c r="D209" s="154">
        <f t="shared" si="10"/>
        <v>20.070560716690814</v>
      </c>
    </row>
    <row r="210" spans="1:4" x14ac:dyDescent="0.35">
      <c r="A210" s="1" t="s">
        <v>283</v>
      </c>
      <c r="B210" s="154">
        <f>SUM(J196:J198)</f>
        <v>3.5037263009240391E-3</v>
      </c>
      <c r="C210" s="154">
        <f>'A3 - Production '!L28</f>
        <v>3.5625968726484402E-6</v>
      </c>
      <c r="D210" s="154">
        <f t="shared" si="10"/>
        <v>3.5072888977966876E-3</v>
      </c>
    </row>
    <row r="211" spans="1:4" x14ac:dyDescent="0.35">
      <c r="A211" s="1" t="s">
        <v>284</v>
      </c>
      <c r="B211" s="154">
        <f>SUM(K196:K198)</f>
        <v>10.966335094002565</v>
      </c>
      <c r="C211" s="154">
        <f>'A3 - Production '!M28</f>
        <v>3.5594107095916434E-2</v>
      </c>
      <c r="D211" s="154">
        <f t="shared" si="10"/>
        <v>11.001929201098481</v>
      </c>
    </row>
    <row r="212" spans="1:4" x14ac:dyDescent="0.35">
      <c r="A212" s="1" t="s">
        <v>285</v>
      </c>
      <c r="B212" s="154">
        <f>SUM(L196:L198)</f>
        <v>373.21756046065809</v>
      </c>
      <c r="C212" s="154">
        <f>'A3 - Production '!N28</f>
        <v>1.0700591183029562</v>
      </c>
      <c r="D212" s="154">
        <f t="shared" si="10"/>
        <v>374.28761957896103</v>
      </c>
    </row>
    <row r="213" spans="1:4" x14ac:dyDescent="0.35">
      <c r="A213" s="1" t="s">
        <v>286</v>
      </c>
      <c r="B213" s="154">
        <f>SUM(M196:M198)</f>
        <v>6.9118220687928566E-4</v>
      </c>
      <c r="C213" s="154">
        <f>'A3 - Production '!O28</f>
        <v>8.5163363126034537E-7</v>
      </c>
      <c r="D213" s="154">
        <f t="shared" si="10"/>
        <v>6.9203384051054603E-4</v>
      </c>
    </row>
    <row r="214" spans="1:4" x14ac:dyDescent="0.35">
      <c r="A214" s="1" t="s">
        <v>287</v>
      </c>
      <c r="B214" s="154">
        <f>SUM(N196:N198)</f>
        <v>5.2074366281933534E-3</v>
      </c>
      <c r="C214" s="154">
        <f>'A3 - Production '!P28</f>
        <v>2.3290660699942286E-5</v>
      </c>
      <c r="D214" s="154">
        <f t="shared" si="10"/>
        <v>5.2307272888932957E-3</v>
      </c>
    </row>
    <row r="215" spans="1:4" x14ac:dyDescent="0.35">
      <c r="A215" s="1" t="s">
        <v>288</v>
      </c>
      <c r="B215" s="154">
        <f>SUM(O196:O198)</f>
        <v>5.6168580603906927E-2</v>
      </c>
      <c r="C215" s="154">
        <f>'A3 - Production '!Q28</f>
        <v>2.5319818156265738E-4</v>
      </c>
      <c r="D215" s="154">
        <f t="shared" si="10"/>
        <v>5.6421778785469584E-2</v>
      </c>
    </row>
    <row r="216" spans="1:4" x14ac:dyDescent="0.35">
      <c r="A216" s="1" t="s">
        <v>289</v>
      </c>
      <c r="B216" s="154">
        <f>SUM(P196:P198)</f>
        <v>1.9814494498331877E-9</v>
      </c>
      <c r="C216" s="154">
        <f>'A3 - Production '!R28</f>
        <v>4.9230968242214656E-12</v>
      </c>
      <c r="D216" s="154">
        <f t="shared" si="10"/>
        <v>1.9863725466574091E-9</v>
      </c>
    </row>
    <row r="217" spans="1:4" x14ac:dyDescent="0.35">
      <c r="A217" s="1" t="s">
        <v>319</v>
      </c>
      <c r="B217" s="154">
        <f>SUM(Q196:Q198)</f>
        <v>3.8181760388549028E-8</v>
      </c>
      <c r="C217" s="154">
        <f>'A3 - Production '!S28</f>
        <v>1.3122062216178557E-10</v>
      </c>
      <c r="D217" s="154">
        <f t="shared" si="10"/>
        <v>3.8312981010710815E-8</v>
      </c>
    </row>
    <row r="218" spans="1:4" x14ac:dyDescent="0.35">
      <c r="A218" s="1" t="s">
        <v>291</v>
      </c>
      <c r="B218" s="154">
        <f>SUM(R196:R198)</f>
        <v>2.4461074551546105</v>
      </c>
      <c r="C218" s="154">
        <f>'A3 - Production '!T28</f>
        <v>3.212941207975714E-4</v>
      </c>
      <c r="D218" s="154">
        <f t="shared" si="10"/>
        <v>2.446428749275408</v>
      </c>
    </row>
    <row r="219" spans="1:4" x14ac:dyDescent="0.35">
      <c r="A219" s="1" t="s">
        <v>292</v>
      </c>
      <c r="B219" s="154">
        <f>SUM(S196:S198)</f>
        <v>12.730036953537427</v>
      </c>
      <c r="C219" s="154">
        <f>'A3 - Production '!U28</f>
        <v>5.5016478121274907E-2</v>
      </c>
      <c r="D219" s="154">
        <f t="shared" si="10"/>
        <v>12.785053431658701</v>
      </c>
    </row>
    <row r="220" spans="1:4" x14ac:dyDescent="0.35">
      <c r="A220" s="1" t="s">
        <v>293</v>
      </c>
      <c r="B220" s="154">
        <f>SUM(T196:T198)</f>
        <v>2.996879270902086E-5</v>
      </c>
      <c r="C220" s="154">
        <f>'A3 - Production '!V28</f>
        <v>1.2561955879264319E-8</v>
      </c>
      <c r="D220" s="154">
        <f t="shared" si="10"/>
        <v>2.9981354664900123E-5</v>
      </c>
    </row>
    <row r="221" spans="1:4" x14ac:dyDescent="0.35">
      <c r="A221" s="1" t="s">
        <v>294</v>
      </c>
      <c r="B221" s="154">
        <f>SUM(U196:U198)</f>
        <v>2.6979319904637677E-6</v>
      </c>
      <c r="C221" s="154">
        <f>'A3 - Production '!W28</f>
        <v>1.8154006185482207E-9</v>
      </c>
      <c r="D221" s="154">
        <f t="shared" si="10"/>
        <v>2.6997473910823158E-6</v>
      </c>
    </row>
    <row r="222" spans="1:4" x14ac:dyDescent="0.35">
      <c r="A222" s="1" t="s">
        <v>295</v>
      </c>
      <c r="B222" s="154">
        <f>SUM(V196:V198)</f>
        <v>8.7771816956631408E-8</v>
      </c>
      <c r="C222" s="154">
        <f>'A3 - Production '!X28</f>
        <v>7.9346155235966147E-10</v>
      </c>
      <c r="D222" s="154">
        <f t="shared" si="10"/>
        <v>8.8565278508991073E-8</v>
      </c>
    </row>
    <row r="223" spans="1:4" x14ac:dyDescent="0.35">
      <c r="A223" s="1" t="s">
        <v>296</v>
      </c>
      <c r="B223" s="154">
        <f>SUM(W196:W198)</f>
        <v>1.8861052544273393E-2</v>
      </c>
      <c r="C223" s="154">
        <f>'A3 - Production '!Y28</f>
        <v>1.9843157737774877E-4</v>
      </c>
      <c r="D223" s="154">
        <f t="shared" si="10"/>
        <v>1.9059484121651142E-2</v>
      </c>
    </row>
    <row r="224" spans="1:4" x14ac:dyDescent="0.35">
      <c r="A224" s="1" t="s">
        <v>297</v>
      </c>
      <c r="B224" s="154">
        <f>SUM(X196:X198)</f>
        <v>0.83072417242530761</v>
      </c>
      <c r="C224" s="154">
        <f>'A3 - Production '!Z28</f>
        <v>1.4482440080436057E-3</v>
      </c>
      <c r="D224" s="154">
        <f t="shared" si="10"/>
        <v>0.83217241643335116</v>
      </c>
    </row>
    <row r="227" spans="1:3" x14ac:dyDescent="0.35">
      <c r="B227" t="s">
        <v>352</v>
      </c>
    </row>
    <row r="228" spans="1:3" x14ac:dyDescent="0.35">
      <c r="B228" s="205" t="s">
        <v>623</v>
      </c>
      <c r="C228" s="205" t="s">
        <v>622</v>
      </c>
    </row>
    <row r="229" spans="1:3" x14ac:dyDescent="0.35">
      <c r="A229" s="95" t="s">
        <v>624</v>
      </c>
      <c r="B229" s="1">
        <f>SUM($F$199:$X$199)+SUM($H$28:$Z$28)</f>
        <v>441.61635148136247</v>
      </c>
      <c r="C229" s="1">
        <f>+SUM(H28:Z28)</f>
        <v>1.3241390742344876</v>
      </c>
    </row>
    <row r="230" spans="1:3" x14ac:dyDescent="0.35">
      <c r="A230" s="95" t="s">
        <v>625</v>
      </c>
      <c r="B230" s="1">
        <f>SUM($D$206:$D$224)</f>
        <v>441.61635148136236</v>
      </c>
      <c r="C230" s="1">
        <f>+SUM(C206:C224)</f>
        <v>1.3241390742344876</v>
      </c>
    </row>
    <row r="231" spans="1:3" x14ac:dyDescent="0.35">
      <c r="A231" s="148" t="s">
        <v>58</v>
      </c>
      <c r="B231" s="204">
        <f>B229-B230</f>
        <v>0</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328</v>
      </c>
    </row>
    <row r="3" spans="1:24" x14ac:dyDescent="0.35">
      <c r="A3" s="414" t="s">
        <v>329</v>
      </c>
      <c r="B3" s="414"/>
      <c r="C3" s="62" t="s">
        <v>330</v>
      </c>
    </row>
    <row r="4" spans="1:24" x14ac:dyDescent="0.35">
      <c r="A4" s="1" t="s">
        <v>626</v>
      </c>
      <c r="B4" s="106">
        <v>1.24</v>
      </c>
      <c r="C4" s="30" t="s">
        <v>334</v>
      </c>
    </row>
    <row r="5" spans="1:24" x14ac:dyDescent="0.35">
      <c r="A5" s="1" t="s">
        <v>335</v>
      </c>
      <c r="B5" s="106">
        <v>36.286999999999999</v>
      </c>
    </row>
    <row r="6" spans="1:24" x14ac:dyDescent="0.35">
      <c r="A6" s="1" t="s">
        <v>627</v>
      </c>
      <c r="B6" s="163">
        <f>B4/B5</f>
        <v>3.417201752693802E-2</v>
      </c>
    </row>
    <row r="7" spans="1:24" x14ac:dyDescent="0.35">
      <c r="A7" s="3"/>
      <c r="B7" s="15"/>
    </row>
    <row r="8" spans="1:24" ht="23.5" x14ac:dyDescent="0.55000000000000004">
      <c r="A8" s="100" t="s">
        <v>628</v>
      </c>
      <c r="B8" s="15"/>
    </row>
    <row r="10" spans="1:24" ht="72.5" x14ac:dyDescent="0.35">
      <c r="A10" s="104" t="s">
        <v>452</v>
      </c>
      <c r="B10" s="103" t="s">
        <v>589</v>
      </c>
      <c r="C10" s="103" t="s">
        <v>56</v>
      </c>
      <c r="D10" s="103" t="s">
        <v>339</v>
      </c>
      <c r="E10" s="103" t="s">
        <v>340</v>
      </c>
      <c r="F10" s="103" t="s">
        <v>279</v>
      </c>
      <c r="G10" s="103" t="s">
        <v>280</v>
      </c>
      <c r="H10" s="103" t="s">
        <v>281</v>
      </c>
      <c r="I10" s="103" t="s">
        <v>282</v>
      </c>
      <c r="J10" s="103" t="s">
        <v>283</v>
      </c>
      <c r="K10" s="103" t="s">
        <v>284</v>
      </c>
      <c r="L10" s="103" t="s">
        <v>285</v>
      </c>
      <c r="M10" s="103" t="s">
        <v>286</v>
      </c>
      <c r="N10" s="103" t="s">
        <v>287</v>
      </c>
      <c r="O10" s="103" t="s">
        <v>288</v>
      </c>
      <c r="P10" s="103" t="s">
        <v>289</v>
      </c>
      <c r="Q10" s="103" t="s">
        <v>290</v>
      </c>
      <c r="R10" s="103" t="s">
        <v>291</v>
      </c>
      <c r="S10" s="103" t="s">
        <v>292</v>
      </c>
      <c r="T10" s="103" t="s">
        <v>293</v>
      </c>
      <c r="U10" s="103" t="s">
        <v>294</v>
      </c>
      <c r="V10" s="103" t="s">
        <v>295</v>
      </c>
      <c r="W10" s="103" t="s">
        <v>296</v>
      </c>
      <c r="X10" s="103" t="s">
        <v>297</v>
      </c>
    </row>
    <row r="11" spans="1:24" x14ac:dyDescent="0.35">
      <c r="A11" s="1" t="s">
        <v>617</v>
      </c>
      <c r="B11" s="177">
        <f>+Input!B58</f>
        <v>0.99995999999999985</v>
      </c>
      <c r="C11" s="154">
        <f>Input!$D$63</f>
        <v>20</v>
      </c>
      <c r="D11" s="154" t="str">
        <f>Input!B63</f>
        <v>Truck</v>
      </c>
      <c r="E11" s="154" t="str">
        <f>Input!$C$63</f>
        <v>Diesel_Euro6</v>
      </c>
      <c r="F11" s="154" cm="1">
        <f t="array" ref="F11">INDEX(LCI!H$2:H$73,MATCH($D11&amp;$E11,LCI!$B$2:$B$73&amp;LCI!$D$2:$D$73,0))* IF(AND($D11="Truck", OR($E11="Electric", $E11="Electric_green")), $B$6, 1)*$C$11*$B$11</f>
        <v>4.7342506223999993E-3</v>
      </c>
      <c r="G11" s="154" cm="1">
        <f t="array" ref="G11">INDEX(LCI!I$2:I$73,MATCH($D11&amp;$E11,LCI!$B$2:$B$73&amp;LCI!$D$2:$D$73,0))* IF(AND($D11="Truck", OR($E11="Electric", $E11="Electric_green")), $B$6, 1)*$C$11*$B$11</f>
        <v>3.1747701841127993</v>
      </c>
      <c r="H11" s="154" cm="1">
        <f t="array" ref="H11">INDEX(LCI!J$2:J$73,MATCH($D11&amp;$E11,LCI!$B$2:$B$73&amp;LCI!$D$2:$D$73,0))* IF(AND($D11="Truck", OR($E11="Electric", $E11="Electric_green")), $B$6, 1)*$C$11*$B$11</f>
        <v>1.4837466477599999E-3</v>
      </c>
      <c r="I11" s="154" cm="1">
        <f t="array" ref="I11">INDEX(LCI!K$2:K$73,MATCH($D11&amp;$E11,LCI!$B$2:$B$73&amp;LCI!$D$2:$D$73,0))* IF(AND($D11="Truck", OR($E11="Electric", $E11="Electric_green")), $B$6, 1)*$C$11*$B$11</f>
        <v>3.1730339135663996</v>
      </c>
      <c r="J11" s="154" cm="1">
        <f t="array" ref="J11">INDEX(LCI!L$2:L$73,MATCH($D11&amp;$E11,LCI!$B$2:$B$73&amp;LCI!$D$2:$D$73,0))* IF(AND($D11="Truck", OR($E11="Electric", $E11="Electric_green")), $B$6, 1)*$C$11*$B$11</f>
        <v>2.5251989879999996E-4</v>
      </c>
      <c r="K11" s="154" cm="1">
        <f t="array" ref="K11">INDEX(LCI!M$2:M$73,MATCH($D11&amp;$E11,LCI!$B$2:$B$73&amp;LCI!$D$2:$D$73,0))* IF(AND($D11="Truck", OR($E11="Electric", $E11="Electric_green")), $B$6, 1)*$C$11*$B$11</f>
        <v>2.7267699048407996</v>
      </c>
      <c r="L11" s="154" cm="1">
        <f t="array" ref="L11">INDEX(LCI!N$2:N$73,MATCH($D11&amp;$E11,LCI!$B$2:$B$73&amp;LCI!$D$2:$D$73,0))* IF(AND($D11="Truck", OR($E11="Electric", $E11="Electric_green")), $B$6, 1)*$C$11*$B$11</f>
        <v>42.729105967391988</v>
      </c>
      <c r="M11" s="154" cm="1">
        <f t="array" ref="M11">INDEX(LCI!O$2:O$73,MATCH($D11&amp;$E11,LCI!$B$2:$B$73&amp;LCI!$D$2:$D$73,0))* IF(AND($D11="Truck", OR($E11="Electric", $E11="Electric_green")), $B$6, 1)*$C$11*$B$11</f>
        <v>7.4050837847999975E-5</v>
      </c>
      <c r="N11" s="154" cm="1">
        <f t="array" ref="N11">INDEX(LCI!P$2:P$73,MATCH($D11&amp;$E11,LCI!$B$2:$B$73&amp;LCI!$D$2:$D$73,0))* IF(AND($D11="Truck", OR($E11="Electric", $E11="Electric_green")), $B$6, 1)*$C$11*$B$11</f>
        <v>1.0319027222399997E-3</v>
      </c>
      <c r="O11" s="154" cm="1">
        <f t="array" ref="O11">INDEX(LCI!Q$2:Q$73,MATCH($D11&amp;$E11,LCI!$B$2:$B$73&amp;LCI!$D$2:$D$73,0))* IF(AND($D11="Truck", OR($E11="Electric", $E11="Electric_green")), $B$6, 1)*$C$11*$B$11</f>
        <v>1.1169413205599998E-2</v>
      </c>
      <c r="P11" s="154" cm="1">
        <f t="array" ref="P11">INDEX(LCI!R$2:R$73,MATCH($D11&amp;$E11,LCI!$B$2:$B$73&amp;LCI!$D$2:$D$73,0))* IF(AND($D11="Truck", OR($E11="Electric", $E11="Electric_green")), $B$6, 1)*$C$11*$B$11</f>
        <v>2.8138274423999994E-10</v>
      </c>
      <c r="Q11" s="154" cm="1">
        <f t="array" ref="Q11">INDEX(LCI!S$2:S$73,MATCH($D11&amp;$E11,LCI!$B$2:$B$73&amp;LCI!$D$2:$D$73,0))* IF(AND($D11="Truck", OR($E11="Electric", $E11="Electric_green")), $B$6, 1)*$C$11*$B$11</f>
        <v>2.2894684175999996E-8</v>
      </c>
      <c r="R11" s="154" cm="1">
        <f t="array" ref="R11">INDEX(LCI!T$2:T$73,MATCH($D11&amp;$E11,LCI!$B$2:$B$73&amp;LCI!$D$2:$D$73,0))* IF(AND($D11="Truck", OR($E11="Electric", $E11="Electric_green")), $B$6, 1)*$C$11*$B$11</f>
        <v>1.9375344955199998E-2</v>
      </c>
      <c r="S11" s="154" cm="1">
        <f t="array" ref="S11">INDEX(LCI!U$2:U$73,MATCH($D11&amp;$E11,LCI!$B$2:$B$73&amp;LCI!$D$2:$D$73,0))* IF(AND($D11="Truck", OR($E11="Electric", $E11="Electric_green")), $B$6, 1)*$C$11*$B$11</f>
        <v>2.6952224667887998</v>
      </c>
      <c r="T11" s="154" cm="1">
        <f t="array" ref="T11">INDEX(LCI!V$2:V$73,MATCH($D11&amp;$E11,LCI!$B$2:$B$73&amp;LCI!$D$2:$D$73,0))* IF(AND($D11="Truck", OR($E11="Electric", $E11="Electric_green")), $B$6, 1)*$C$11*$B$11</f>
        <v>3.5025998903999994E-6</v>
      </c>
      <c r="U11" s="154" cm="1">
        <f t="array" ref="U11">INDEX(LCI!W$2:W$73,MATCH($D11&amp;$E11,LCI!$B$2:$B$73&amp;LCI!$D$2:$D$73,0))* IF(AND($D11="Truck", OR($E11="Electric", $E11="Electric_green")), $B$6, 1)*$C$11*$B$11</f>
        <v>7.0593576143999996E-8</v>
      </c>
      <c r="V11" s="154" cm="1">
        <f t="array" ref="V11">INDEX(LCI!X$2:X$73,MATCH($D11&amp;$E11,LCI!$B$2:$B$73&amp;LCI!$D$2:$D$73,0))* IF(AND($D11="Truck", OR($E11="Electric", $E11="Electric_green")), $B$6, 1)*$C$11*$B$11</f>
        <v>1.9678352834399996E-7</v>
      </c>
      <c r="W11" s="154" cm="1">
        <f t="array" ref="W11">INDEX(LCI!Y$2:Y$73,MATCH($D11&amp;$E11,LCI!$B$2:$B$73&amp;LCI!$D$2:$D$73,0))* IF(AND($D11="Truck", OR($E11="Electric", $E11="Electric_green")), $B$6, 1)*$C$11*$B$11</f>
        <v>8.2539898271999975E-3</v>
      </c>
      <c r="X11" s="154" cm="1">
        <f t="array" ref="X11">INDEX(LCI!Z$2:Z$73,MATCH($D11&amp;$E11,LCI!$B$2:$B$73&amp;LCI!$D$2:$D$73,0))* IF(AND($D11="Truck", OR($E11="Electric", $E11="Electric_green")), $B$6, 1)*$C$11*$B$11</f>
        <v>9.7319887048799986E-2</v>
      </c>
    </row>
    <row r="14" spans="1:24" ht="23.5" x14ac:dyDescent="0.55000000000000004">
      <c r="A14" s="100" t="s">
        <v>990</v>
      </c>
    </row>
    <row r="16" spans="1:24" x14ac:dyDescent="0.35">
      <c r="A16" s="62" t="s">
        <v>153</v>
      </c>
      <c r="B16" s="62" t="s">
        <v>629</v>
      </c>
    </row>
    <row r="17" spans="1:2" x14ac:dyDescent="0.35">
      <c r="A17" s="1" t="s">
        <v>318</v>
      </c>
      <c r="B17" s="154">
        <f>'A4 - Transport'!F11</f>
        <v>4.7342506223999993E-3</v>
      </c>
    </row>
    <row r="18" spans="1:2" x14ac:dyDescent="0.35">
      <c r="A18" s="1" t="s">
        <v>280</v>
      </c>
      <c r="B18" s="154">
        <f>'A4 - Transport'!G11</f>
        <v>3.1747701841127993</v>
      </c>
    </row>
    <row r="19" spans="1:2" x14ac:dyDescent="0.35">
      <c r="A19" s="1" t="s">
        <v>281</v>
      </c>
      <c r="B19" s="154">
        <f>'A4 - Transport'!H11</f>
        <v>1.4837466477599999E-3</v>
      </c>
    </row>
    <row r="20" spans="1:2" x14ac:dyDescent="0.35">
      <c r="A20" s="1" t="s">
        <v>282</v>
      </c>
      <c r="B20" s="154">
        <f>'A4 - Transport'!I11</f>
        <v>3.1730339135663996</v>
      </c>
    </row>
    <row r="21" spans="1:2" x14ac:dyDescent="0.35">
      <c r="A21" s="1" t="s">
        <v>283</v>
      </c>
      <c r="B21" s="154">
        <f>'A4 - Transport'!J11</f>
        <v>2.5251989879999996E-4</v>
      </c>
    </row>
    <row r="22" spans="1:2" x14ac:dyDescent="0.35">
      <c r="A22" s="1" t="s">
        <v>284</v>
      </c>
      <c r="B22" s="154">
        <f>'A4 - Transport'!K11</f>
        <v>2.7267699048407996</v>
      </c>
    </row>
    <row r="23" spans="1:2" x14ac:dyDescent="0.35">
      <c r="A23" s="1" t="s">
        <v>285</v>
      </c>
      <c r="B23" s="154">
        <f>'A4 - Transport'!L11</f>
        <v>42.729105967391988</v>
      </c>
    </row>
    <row r="24" spans="1:2" x14ac:dyDescent="0.35">
      <c r="A24" s="1" t="s">
        <v>286</v>
      </c>
      <c r="B24" s="154">
        <f>'A4 - Transport'!M11</f>
        <v>7.4050837847999975E-5</v>
      </c>
    </row>
    <row r="25" spans="1:2" x14ac:dyDescent="0.35">
      <c r="A25" s="1" t="s">
        <v>287</v>
      </c>
      <c r="B25" s="154">
        <f>'A4 - Transport'!N11</f>
        <v>1.0319027222399997E-3</v>
      </c>
    </row>
    <row r="26" spans="1:2" x14ac:dyDescent="0.35">
      <c r="A26" s="1" t="s">
        <v>288</v>
      </c>
      <c r="B26" s="154">
        <f>'A4 - Transport'!O11</f>
        <v>1.1169413205599998E-2</v>
      </c>
    </row>
    <row r="27" spans="1:2" x14ac:dyDescent="0.35">
      <c r="A27" s="1" t="s">
        <v>289</v>
      </c>
      <c r="B27" s="154">
        <f>'A4 - Transport'!P11</f>
        <v>2.8138274423999994E-10</v>
      </c>
    </row>
    <row r="28" spans="1:2" x14ac:dyDescent="0.35">
      <c r="A28" s="1" t="s">
        <v>319</v>
      </c>
      <c r="B28" s="154">
        <f>'A4 - Transport'!Q11</f>
        <v>2.2894684175999996E-8</v>
      </c>
    </row>
    <row r="29" spans="1:2" x14ac:dyDescent="0.35">
      <c r="A29" s="1" t="s">
        <v>291</v>
      </c>
      <c r="B29" s="154">
        <f>'A4 - Transport'!R11</f>
        <v>1.9375344955199998E-2</v>
      </c>
    </row>
    <row r="30" spans="1:2" x14ac:dyDescent="0.35">
      <c r="A30" s="1" t="s">
        <v>292</v>
      </c>
      <c r="B30" s="154">
        <f>'A4 - Transport'!S11</f>
        <v>2.6952224667887998</v>
      </c>
    </row>
    <row r="31" spans="1:2" x14ac:dyDescent="0.35">
      <c r="A31" s="1" t="s">
        <v>293</v>
      </c>
      <c r="B31" s="154">
        <f>'A4 - Transport'!T11</f>
        <v>3.5025998903999994E-6</v>
      </c>
    </row>
    <row r="32" spans="1:2" x14ac:dyDescent="0.35">
      <c r="A32" s="1" t="s">
        <v>294</v>
      </c>
      <c r="B32" s="154">
        <f>'A4 - Transport'!U11</f>
        <v>7.0593576143999996E-8</v>
      </c>
    </row>
    <row r="33" spans="1:2" x14ac:dyDescent="0.35">
      <c r="A33" s="1" t="s">
        <v>295</v>
      </c>
      <c r="B33" s="154">
        <f>'A4 - Transport'!V11</f>
        <v>1.9678352834399996E-7</v>
      </c>
    </row>
    <row r="34" spans="1:2" x14ac:dyDescent="0.35">
      <c r="A34" s="1" t="s">
        <v>296</v>
      </c>
      <c r="B34" s="154">
        <f>'A4 - Transport'!W11</f>
        <v>8.2539898271999975E-3</v>
      </c>
    </row>
    <row r="35" spans="1:2" x14ac:dyDescent="0.35">
      <c r="A35" s="1" t="s">
        <v>297</v>
      </c>
      <c r="B35" s="154">
        <f>'A4 - Transport'!X11</f>
        <v>9.7319887048799986E-2</v>
      </c>
    </row>
    <row r="39" spans="1:2" x14ac:dyDescent="0.35">
      <c r="B39" t="s">
        <v>630</v>
      </c>
    </row>
    <row r="40" spans="1:2" x14ac:dyDescent="0.35">
      <c r="A40" s="95" t="s">
        <v>530</v>
      </c>
      <c r="B40" s="1">
        <f>SUM($F$11:$X$11)</f>
        <v>54.642601335619695</v>
      </c>
    </row>
    <row r="41" spans="1:2" x14ac:dyDescent="0.35">
      <c r="A41" s="95" t="s">
        <v>531</v>
      </c>
      <c r="B41" s="1">
        <f>SUM($B$17:$B$35)</f>
        <v>54.642601335619695</v>
      </c>
    </row>
    <row r="42" spans="1:2" x14ac:dyDescent="0.35">
      <c r="A42" s="95" t="s">
        <v>58</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631</v>
      </c>
    </row>
    <row r="4" spans="1:7" ht="18.5" x14ac:dyDescent="0.45">
      <c r="A4" s="227" t="s">
        <v>632</v>
      </c>
      <c r="B4" s="295" t="s">
        <v>375</v>
      </c>
      <c r="C4" s="303" t="s">
        <v>330</v>
      </c>
      <c r="D4" s="303" t="s">
        <v>331</v>
      </c>
    </row>
    <row r="5" spans="1:7" x14ac:dyDescent="0.35">
      <c r="A5" s="1" t="s">
        <v>633</v>
      </c>
      <c r="B5" s="183" t="s">
        <v>634</v>
      </c>
      <c r="C5" s="212" t="s">
        <v>635</v>
      </c>
      <c r="D5" s="1"/>
      <c r="G5" s="11"/>
    </row>
    <row r="6" spans="1:7" x14ac:dyDescent="0.35">
      <c r="A6" s="1" t="s">
        <v>636</v>
      </c>
      <c r="B6" s="90" t="s">
        <v>637</v>
      </c>
      <c r="C6" s="114" t="s">
        <v>638</v>
      </c>
      <c r="D6" s="30" t="s">
        <v>639</v>
      </c>
    </row>
    <row r="7" spans="1:7" x14ac:dyDescent="0.35">
      <c r="A7" s="1" t="s">
        <v>534</v>
      </c>
      <c r="B7" s="152">
        <f>Input!$B$22/1000</f>
        <v>2.4</v>
      </c>
      <c r="C7" s="121"/>
      <c r="D7" s="1"/>
    </row>
    <row r="8" spans="1:7" ht="29" x14ac:dyDescent="0.35">
      <c r="A8" s="1" t="s">
        <v>464</v>
      </c>
      <c r="B8" s="90">
        <v>0.51</v>
      </c>
      <c r="C8" s="53" t="s">
        <v>382</v>
      </c>
      <c r="D8" s="1"/>
    </row>
    <row r="9" spans="1:7" x14ac:dyDescent="0.35">
      <c r="A9" s="1" t="s">
        <v>411</v>
      </c>
      <c r="B9" s="90">
        <v>25</v>
      </c>
      <c r="C9" s="39"/>
      <c r="D9" s="1"/>
      <c r="F9" s="20"/>
    </row>
    <row r="10" spans="1:7" ht="43.5" x14ac:dyDescent="0.35">
      <c r="A10" s="1" t="s">
        <v>383</v>
      </c>
      <c r="B10" s="90">
        <v>0.25</v>
      </c>
      <c r="C10" s="39" t="s">
        <v>384</v>
      </c>
      <c r="D10" s="213" t="s">
        <v>640</v>
      </c>
      <c r="F10" s="20"/>
    </row>
    <row r="11" spans="1:7" x14ac:dyDescent="0.35">
      <c r="A11" s="1" t="s">
        <v>641</v>
      </c>
      <c r="B11" s="90">
        <v>5</v>
      </c>
      <c r="C11" s="39" t="s">
        <v>642</v>
      </c>
      <c r="D11" s="1"/>
    </row>
    <row r="12" spans="1:7" x14ac:dyDescent="0.35">
      <c r="A12" s="1" t="s">
        <v>643</v>
      </c>
      <c r="B12" s="90">
        <f>MIN(1.8,Input!$B$66)</f>
        <v>1.8</v>
      </c>
      <c r="C12" s="39"/>
      <c r="D12" s="1"/>
    </row>
    <row r="13" spans="1:7" x14ac:dyDescent="0.35">
      <c r="A13" s="1" t="s">
        <v>644</v>
      </c>
      <c r="B13" s="152">
        <f>Input!$B$31/1000</f>
        <v>0.08</v>
      </c>
      <c r="C13" s="39"/>
      <c r="D13" s="1"/>
    </row>
    <row r="14" spans="1:7" ht="29" x14ac:dyDescent="0.35">
      <c r="A14" s="1" t="s">
        <v>470</v>
      </c>
      <c r="B14" s="184">
        <v>0.83</v>
      </c>
      <c r="C14" s="39" t="s">
        <v>645</v>
      </c>
      <c r="D14" s="1" t="s">
        <v>646</v>
      </c>
    </row>
    <row r="15" spans="1:7" ht="29" x14ac:dyDescent="0.35">
      <c r="A15" s="1" t="s">
        <v>471</v>
      </c>
      <c r="B15" s="178">
        <f>$B$11*$B$12*$B$13*60*$B$7*$B$14</f>
        <v>86.054399999999987</v>
      </c>
      <c r="C15" s="39" t="s">
        <v>647</v>
      </c>
      <c r="D15" s="1"/>
    </row>
    <row r="16" spans="1:7" x14ac:dyDescent="0.35">
      <c r="A16" s="1" t="s">
        <v>396</v>
      </c>
      <c r="B16" s="179">
        <f>$B$9*$B$8*$B$10</f>
        <v>3.1875</v>
      </c>
      <c r="C16" s="39" t="s">
        <v>397</v>
      </c>
      <c r="D16" s="1" t="s">
        <v>398</v>
      </c>
    </row>
    <row r="17" spans="1:4" x14ac:dyDescent="0.35">
      <c r="B17" s="29"/>
      <c r="C17" s="85"/>
    </row>
    <row r="18" spans="1:4" ht="18.5" x14ac:dyDescent="0.45">
      <c r="A18" s="227" t="s">
        <v>648</v>
      </c>
      <c r="B18" s="295" t="s">
        <v>375</v>
      </c>
      <c r="C18" s="303" t="s">
        <v>330</v>
      </c>
      <c r="D18" s="303" t="s">
        <v>331</v>
      </c>
    </row>
    <row r="19" spans="1:4" x14ac:dyDescent="0.35">
      <c r="A19" s="1" t="s">
        <v>633</v>
      </c>
      <c r="B19" s="96" t="s">
        <v>649</v>
      </c>
      <c r="C19" s="85"/>
    </row>
    <row r="20" spans="1:4" ht="29" x14ac:dyDescent="0.35">
      <c r="A20" s="1" t="s">
        <v>636</v>
      </c>
      <c r="B20" s="90" t="s">
        <v>650</v>
      </c>
      <c r="C20" s="114" t="s">
        <v>650</v>
      </c>
      <c r="D20" s="114" t="s">
        <v>651</v>
      </c>
    </row>
    <row r="21" spans="1:4" x14ac:dyDescent="0.35">
      <c r="A21" s="1" t="s">
        <v>534</v>
      </c>
      <c r="B21" s="152">
        <f>Input!$B$22/1000</f>
        <v>2.4</v>
      </c>
      <c r="C21" s="39"/>
      <c r="D21" s="1"/>
    </row>
    <row r="22" spans="1:4" ht="43.5" x14ac:dyDescent="0.35">
      <c r="A22" s="1" t="s">
        <v>383</v>
      </c>
      <c r="B22" s="90">
        <v>0.25</v>
      </c>
      <c r="C22" s="53" t="s">
        <v>384</v>
      </c>
      <c r="D22" s="213" t="s">
        <v>385</v>
      </c>
    </row>
    <row r="23" spans="1:4" x14ac:dyDescent="0.35">
      <c r="A23" s="1" t="s">
        <v>464</v>
      </c>
      <c r="B23" s="90">
        <v>0.51</v>
      </c>
      <c r="C23" s="53" t="s">
        <v>652</v>
      </c>
      <c r="D23" s="1"/>
    </row>
    <row r="24" spans="1:4" x14ac:dyDescent="0.35">
      <c r="A24" s="1" t="s">
        <v>411</v>
      </c>
      <c r="B24" s="90">
        <v>129</v>
      </c>
      <c r="C24" s="39"/>
      <c r="D24" s="1"/>
    </row>
    <row r="25" spans="1:4" x14ac:dyDescent="0.35">
      <c r="A25" s="1" t="s">
        <v>641</v>
      </c>
      <c r="B25" s="90">
        <v>5</v>
      </c>
      <c r="C25" s="39"/>
      <c r="D25" s="1"/>
    </row>
    <row r="26" spans="1:4" x14ac:dyDescent="0.35">
      <c r="A26" s="1" t="s">
        <v>643</v>
      </c>
      <c r="B26" s="90">
        <f>MIN(10,Input!$B$66)</f>
        <v>3.5</v>
      </c>
      <c r="C26" s="39"/>
      <c r="D26" s="1"/>
    </row>
    <row r="27" spans="1:4" x14ac:dyDescent="0.35">
      <c r="A27" s="1" t="s">
        <v>644</v>
      </c>
      <c r="B27" s="152">
        <f>Input!$B$31/1000</f>
        <v>0.08</v>
      </c>
      <c r="C27" s="39"/>
      <c r="D27" s="1"/>
    </row>
    <row r="28" spans="1:4" ht="29" x14ac:dyDescent="0.35">
      <c r="A28" s="1" t="s">
        <v>470</v>
      </c>
      <c r="B28" s="184">
        <v>0.83</v>
      </c>
      <c r="C28" s="39" t="s">
        <v>645</v>
      </c>
      <c r="D28" s="1" t="s">
        <v>646</v>
      </c>
    </row>
    <row r="29" spans="1:4" ht="29" x14ac:dyDescent="0.35">
      <c r="A29" s="1" t="s">
        <v>471</v>
      </c>
      <c r="B29" s="152">
        <f>$B$25*$B$26*$B$27*60*$B$21*$B$28</f>
        <v>167.328</v>
      </c>
      <c r="C29" s="39" t="s">
        <v>647</v>
      </c>
      <c r="D29" s="1"/>
    </row>
    <row r="30" spans="1:4" x14ac:dyDescent="0.35">
      <c r="A30" s="1" t="s">
        <v>396</v>
      </c>
      <c r="B30" s="179">
        <f>$B$24*$B$23*$B$22</f>
        <v>16.447500000000002</v>
      </c>
      <c r="C30" s="39" t="s">
        <v>397</v>
      </c>
      <c r="D30" s="1" t="s">
        <v>398</v>
      </c>
    </row>
    <row r="31" spans="1:4" x14ac:dyDescent="0.35">
      <c r="B31" s="29"/>
      <c r="C31" s="85"/>
    </row>
    <row r="32" spans="1:4" ht="18.5" x14ac:dyDescent="0.45">
      <c r="A32" s="227" t="s">
        <v>653</v>
      </c>
      <c r="B32" s="295" t="s">
        <v>375</v>
      </c>
      <c r="C32" s="303" t="s">
        <v>330</v>
      </c>
      <c r="D32" s="303" t="s">
        <v>331</v>
      </c>
    </row>
    <row r="33" spans="1:4" x14ac:dyDescent="0.35">
      <c r="A33" s="1" t="s">
        <v>633</v>
      </c>
      <c r="B33" s="90" t="s">
        <v>654</v>
      </c>
      <c r="C33" s="39"/>
      <c r="D33" s="1"/>
    </row>
    <row r="34" spans="1:4" x14ac:dyDescent="0.35">
      <c r="A34" s="1" t="s">
        <v>636</v>
      </c>
      <c r="B34" s="90" t="s">
        <v>655</v>
      </c>
      <c r="C34" s="39"/>
      <c r="D34" s="1"/>
    </row>
    <row r="35" spans="1:4" x14ac:dyDescent="0.35">
      <c r="A35" s="1" t="s">
        <v>534</v>
      </c>
      <c r="B35" s="152">
        <f>Input!$B$22/1000</f>
        <v>2.4</v>
      </c>
      <c r="C35" s="39"/>
      <c r="D35" s="1"/>
    </row>
    <row r="36" spans="1:4" ht="43.5" x14ac:dyDescent="0.35">
      <c r="A36" s="1" t="s">
        <v>383</v>
      </c>
      <c r="B36" s="90">
        <v>0.25</v>
      </c>
      <c r="C36" s="125" t="s">
        <v>384</v>
      </c>
      <c r="D36" s="73" t="s">
        <v>640</v>
      </c>
    </row>
    <row r="37" spans="1:4" ht="29" x14ac:dyDescent="0.35">
      <c r="A37" s="1" t="s">
        <v>464</v>
      </c>
      <c r="B37" s="90">
        <v>0.51</v>
      </c>
      <c r="C37" s="53" t="s">
        <v>382</v>
      </c>
      <c r="D37" s="1"/>
    </row>
    <row r="38" spans="1:4" x14ac:dyDescent="0.35">
      <c r="A38" s="1" t="s">
        <v>411</v>
      </c>
      <c r="B38" s="90">
        <v>354</v>
      </c>
      <c r="C38" s="39"/>
      <c r="D38" s="1"/>
    </row>
    <row r="39" spans="1:4" x14ac:dyDescent="0.35">
      <c r="A39" s="1" t="s">
        <v>641</v>
      </c>
      <c r="B39" s="90">
        <v>5</v>
      </c>
      <c r="C39" s="39"/>
      <c r="D39" s="1"/>
    </row>
    <row r="40" spans="1:4" x14ac:dyDescent="0.35">
      <c r="A40" s="1" t="s">
        <v>643</v>
      </c>
      <c r="B40" s="90">
        <f>MIN(18,Input!$B$66)</f>
        <v>3.5</v>
      </c>
      <c r="C40" s="39"/>
      <c r="D40" s="1"/>
    </row>
    <row r="41" spans="1:4" x14ac:dyDescent="0.35">
      <c r="A41" s="1" t="s">
        <v>644</v>
      </c>
      <c r="B41" s="152">
        <f>Input!$B$31/1000</f>
        <v>0.08</v>
      </c>
      <c r="C41" s="39"/>
      <c r="D41" s="1"/>
    </row>
    <row r="42" spans="1:4" ht="29" x14ac:dyDescent="0.35">
      <c r="A42" s="1" t="s">
        <v>470</v>
      </c>
      <c r="B42" s="184">
        <v>0.83</v>
      </c>
      <c r="C42" s="39" t="s">
        <v>645</v>
      </c>
      <c r="D42" s="1" t="s">
        <v>646</v>
      </c>
    </row>
    <row r="43" spans="1:4" x14ac:dyDescent="0.35">
      <c r="A43" s="1" t="s">
        <v>471</v>
      </c>
      <c r="B43" s="152">
        <f>$B$39*$B$40*$B$41*60*$B$35*$B$42</f>
        <v>167.328</v>
      </c>
      <c r="C43" s="39" t="s">
        <v>656</v>
      </c>
      <c r="D43" s="1"/>
    </row>
    <row r="44" spans="1:4" x14ac:dyDescent="0.35">
      <c r="A44" s="1" t="s">
        <v>396</v>
      </c>
      <c r="B44" s="180">
        <f>$B$38*$B$37*$B$36</f>
        <v>45.134999999999998</v>
      </c>
      <c r="C44" s="39" t="s">
        <v>397</v>
      </c>
      <c r="D44" s="1" t="s">
        <v>398</v>
      </c>
    </row>
    <row r="45" spans="1:4" x14ac:dyDescent="0.35">
      <c r="A45" s="3"/>
      <c r="B45" s="47"/>
      <c r="C45" s="85"/>
    </row>
    <row r="46" spans="1:4" ht="18.5" x14ac:dyDescent="0.45">
      <c r="A46" s="227" t="s">
        <v>107</v>
      </c>
      <c r="B46" s="295" t="s">
        <v>375</v>
      </c>
      <c r="C46" s="303" t="s">
        <v>330</v>
      </c>
      <c r="D46" s="303" t="s">
        <v>331</v>
      </c>
    </row>
    <row r="47" spans="1:4" x14ac:dyDescent="0.35">
      <c r="A47" s="1" t="s">
        <v>461</v>
      </c>
      <c r="B47" s="90" t="s">
        <v>657</v>
      </c>
      <c r="C47" s="39" t="s">
        <v>657</v>
      </c>
      <c r="D47" s="30" t="s">
        <v>658</v>
      </c>
    </row>
    <row r="48" spans="1:4" ht="43.5" x14ac:dyDescent="0.35">
      <c r="A48" s="1" t="s">
        <v>383</v>
      </c>
      <c r="B48" s="90">
        <v>0.25</v>
      </c>
      <c r="C48" s="39" t="s">
        <v>384</v>
      </c>
      <c r="D48" s="214" t="s">
        <v>385</v>
      </c>
    </row>
    <row r="49" spans="1:4" ht="29" x14ac:dyDescent="0.35">
      <c r="A49" s="1" t="s">
        <v>464</v>
      </c>
      <c r="B49" s="90">
        <v>0.51</v>
      </c>
      <c r="C49" s="39" t="s">
        <v>382</v>
      </c>
      <c r="D49" s="1"/>
    </row>
    <row r="50" spans="1:4" x14ac:dyDescent="0.35">
      <c r="A50" s="1" t="s">
        <v>411</v>
      </c>
      <c r="B50" s="90">
        <v>160</v>
      </c>
      <c r="C50" s="39"/>
      <c r="D50" s="1"/>
    </row>
    <row r="51" spans="1:4" x14ac:dyDescent="0.35">
      <c r="A51" s="1" t="s">
        <v>392</v>
      </c>
      <c r="B51" s="90">
        <v>0.66</v>
      </c>
      <c r="C51" s="39"/>
      <c r="D51" s="1"/>
    </row>
    <row r="52" spans="1:4" x14ac:dyDescent="0.35">
      <c r="A52" s="1" t="s">
        <v>659</v>
      </c>
      <c r="B52" s="152">
        <f>Input!$B$22/1000</f>
        <v>2.4</v>
      </c>
      <c r="C52" s="39"/>
      <c r="D52" s="1"/>
    </row>
    <row r="53" spans="1:4" x14ac:dyDescent="0.35">
      <c r="A53" s="69" t="s">
        <v>467</v>
      </c>
      <c r="B53" s="185">
        <v>0.75</v>
      </c>
      <c r="C53" s="39" t="s">
        <v>660</v>
      </c>
      <c r="D53" s="30" t="s">
        <v>661</v>
      </c>
    </row>
    <row r="54" spans="1:4" x14ac:dyDescent="0.35">
      <c r="A54" s="69" t="s">
        <v>468</v>
      </c>
      <c r="B54" s="120">
        <v>23</v>
      </c>
      <c r="C54" s="39"/>
      <c r="D54" s="1"/>
    </row>
    <row r="55" spans="1:4" x14ac:dyDescent="0.35">
      <c r="A55" s="69" t="s">
        <v>469</v>
      </c>
      <c r="B55" s="181">
        <f>3600/$B$54</f>
        <v>156.52173913043478</v>
      </c>
      <c r="C55" s="39"/>
      <c r="D55" s="1"/>
    </row>
    <row r="56" spans="1:4" ht="29" x14ac:dyDescent="0.35">
      <c r="A56" s="1" t="s">
        <v>470</v>
      </c>
      <c r="B56" s="184">
        <v>0.83</v>
      </c>
      <c r="C56" s="217" t="s">
        <v>645</v>
      </c>
      <c r="D56" s="6" t="s">
        <v>646</v>
      </c>
    </row>
    <row r="57" spans="1:4" ht="29" x14ac:dyDescent="0.35">
      <c r="A57" s="1" t="s">
        <v>471</v>
      </c>
      <c r="B57" s="179">
        <f>$B$52*$B$51*$B$53*$B$55*$B$56</f>
        <v>154.33669565217394</v>
      </c>
      <c r="C57" s="53" t="s">
        <v>472</v>
      </c>
      <c r="D57" s="1"/>
    </row>
    <row r="58" spans="1:4" x14ac:dyDescent="0.35">
      <c r="A58" s="1" t="s">
        <v>396</v>
      </c>
      <c r="B58" s="179">
        <f>$B$50*$B$49*$B$48</f>
        <v>20.399999999999999</v>
      </c>
      <c r="C58" s="39" t="s">
        <v>397</v>
      </c>
      <c r="D58" s="1" t="s">
        <v>398</v>
      </c>
    </row>
    <row r="59" spans="1:4" x14ac:dyDescent="0.35">
      <c r="B59" s="47"/>
      <c r="C59" s="85"/>
    </row>
    <row r="60" spans="1:4" x14ac:dyDescent="0.35">
      <c r="B60" s="47"/>
      <c r="C60" s="85"/>
    </row>
    <row r="61" spans="1:4" ht="21" x14ac:dyDescent="0.5">
      <c r="A61" s="74" t="s">
        <v>662</v>
      </c>
      <c r="B61" s="47"/>
      <c r="C61" s="85"/>
    </row>
    <row r="62" spans="1:4" ht="18.5" x14ac:dyDescent="0.45">
      <c r="A62" s="80"/>
      <c r="B62" s="47"/>
      <c r="C62" s="85"/>
    </row>
    <row r="63" spans="1:4" ht="18.5" x14ac:dyDescent="0.45">
      <c r="A63" s="74" t="s">
        <v>663</v>
      </c>
      <c r="B63" s="47"/>
      <c r="C63" s="85"/>
    </row>
    <row r="64" spans="1:4" x14ac:dyDescent="0.35">
      <c r="A64" s="1" t="s">
        <v>664</v>
      </c>
      <c r="B64" s="90">
        <v>1.75</v>
      </c>
      <c r="C64" s="39" t="s">
        <v>665</v>
      </c>
    </row>
    <row r="65" spans="1:4" x14ac:dyDescent="0.35">
      <c r="B65" s="209"/>
      <c r="C65" s="85"/>
    </row>
    <row r="66" spans="1:4" x14ac:dyDescent="0.35">
      <c r="A66" s="3"/>
    </row>
    <row r="67" spans="1:4" ht="18.5" x14ac:dyDescent="0.45">
      <c r="A67" s="227" t="s">
        <v>666</v>
      </c>
      <c r="B67" s="295" t="s">
        <v>375</v>
      </c>
      <c r="C67" s="303" t="s">
        <v>330</v>
      </c>
      <c r="D67" s="303" t="s">
        <v>331</v>
      </c>
    </row>
    <row r="68" spans="1:4" ht="43.5" x14ac:dyDescent="0.35">
      <c r="A68" s="1" t="s">
        <v>667</v>
      </c>
      <c r="B68" s="90" t="s">
        <v>668</v>
      </c>
      <c r="D68" s="122" t="s">
        <v>669</v>
      </c>
    </row>
    <row r="69" spans="1:4" x14ac:dyDescent="0.35">
      <c r="A69" s="1" t="s">
        <v>670</v>
      </c>
      <c r="B69" s="90">
        <v>1</v>
      </c>
      <c r="C69" s="39"/>
      <c r="D69" s="1"/>
    </row>
    <row r="70" spans="1:4" ht="43.5" x14ac:dyDescent="0.35">
      <c r="A70" s="1" t="s">
        <v>383</v>
      </c>
      <c r="B70" s="90">
        <v>0.25</v>
      </c>
      <c r="C70" s="125" t="s">
        <v>384</v>
      </c>
      <c r="D70" s="214" t="s">
        <v>385</v>
      </c>
    </row>
    <row r="71" spans="1:4" x14ac:dyDescent="0.35">
      <c r="A71" s="1" t="s">
        <v>411</v>
      </c>
      <c r="B71" s="90">
        <v>30</v>
      </c>
      <c r="C71" s="39"/>
      <c r="D71" s="1"/>
    </row>
    <row r="72" spans="1:4" x14ac:dyDescent="0.35">
      <c r="A72" s="1" t="s">
        <v>471</v>
      </c>
      <c r="B72" s="179">
        <f>$B$15*$B$64</f>
        <v>150.59519999999998</v>
      </c>
      <c r="C72" s="39"/>
      <c r="D72" s="1"/>
    </row>
    <row r="73" spans="1:4" ht="29" x14ac:dyDescent="0.35">
      <c r="A73" s="45" t="s">
        <v>464</v>
      </c>
      <c r="B73" s="186">
        <v>0.51</v>
      </c>
      <c r="C73" s="39" t="s">
        <v>382</v>
      </c>
      <c r="D73" s="1"/>
    </row>
    <row r="74" spans="1:4" x14ac:dyDescent="0.35">
      <c r="A74" s="1" t="s">
        <v>396</v>
      </c>
      <c r="B74" s="179">
        <f>$B$71*$B$70*$B$73</f>
        <v>3.8250000000000002</v>
      </c>
      <c r="C74" s="39" t="s">
        <v>397</v>
      </c>
      <c r="D74" s="13" t="s">
        <v>398</v>
      </c>
    </row>
    <row r="75" spans="1:4" x14ac:dyDescent="0.35">
      <c r="B75" s="29"/>
      <c r="C75" s="85"/>
    </row>
    <row r="76" spans="1:4" ht="18.5" x14ac:dyDescent="0.45">
      <c r="A76" s="227" t="s">
        <v>671</v>
      </c>
      <c r="B76" s="295" t="s">
        <v>375</v>
      </c>
      <c r="C76" s="303" t="s">
        <v>330</v>
      </c>
      <c r="D76" s="303" t="s">
        <v>331</v>
      </c>
    </row>
    <row r="77" spans="1:4" x14ac:dyDescent="0.35">
      <c r="A77" s="2" t="s">
        <v>667</v>
      </c>
      <c r="B77" s="90" t="s">
        <v>672</v>
      </c>
      <c r="C77" s="123" t="s">
        <v>669</v>
      </c>
      <c r="D77" s="1"/>
    </row>
    <row r="78" spans="1:4" x14ac:dyDescent="0.35">
      <c r="A78" s="2" t="s">
        <v>670</v>
      </c>
      <c r="B78" s="90">
        <v>1.5</v>
      </c>
      <c r="C78" s="39"/>
      <c r="D78" s="1"/>
    </row>
    <row r="79" spans="1:4" ht="43.5" x14ac:dyDescent="0.35">
      <c r="A79" s="1" t="s">
        <v>383</v>
      </c>
      <c r="B79" s="90">
        <v>0.25</v>
      </c>
      <c r="C79" s="125" t="s">
        <v>384</v>
      </c>
      <c r="D79" s="214" t="s">
        <v>673</v>
      </c>
    </row>
    <row r="80" spans="1:4" x14ac:dyDescent="0.35">
      <c r="A80" s="1" t="s">
        <v>411</v>
      </c>
      <c r="B80" s="90">
        <v>55.4</v>
      </c>
      <c r="C80" s="39"/>
      <c r="D80" s="1"/>
    </row>
    <row r="81" spans="1:4" x14ac:dyDescent="0.35">
      <c r="A81" s="1" t="s">
        <v>471</v>
      </c>
      <c r="B81" s="152">
        <f>$B$29*$B$64</f>
        <v>292.82400000000001</v>
      </c>
      <c r="C81" s="39"/>
      <c r="D81" s="1"/>
    </row>
    <row r="82" spans="1:4" ht="29" x14ac:dyDescent="0.35">
      <c r="A82" s="1" t="s">
        <v>464</v>
      </c>
      <c r="B82" s="90">
        <v>0.51</v>
      </c>
      <c r="C82" s="39" t="s">
        <v>382</v>
      </c>
      <c r="D82" s="1"/>
    </row>
    <row r="83" spans="1:4" x14ac:dyDescent="0.35">
      <c r="A83" s="1" t="s">
        <v>396</v>
      </c>
      <c r="B83" s="179">
        <f>$B$80*$B$79*$B$82</f>
        <v>7.0635000000000003</v>
      </c>
      <c r="C83" s="39" t="s">
        <v>397</v>
      </c>
      <c r="D83" s="13" t="s">
        <v>398</v>
      </c>
    </row>
    <row r="84" spans="1:4" x14ac:dyDescent="0.35">
      <c r="A84" s="45"/>
      <c r="B84" s="29"/>
      <c r="C84" s="85"/>
    </row>
    <row r="85" spans="1:4" ht="18.5" x14ac:dyDescent="0.45">
      <c r="A85" s="227" t="s">
        <v>674</v>
      </c>
      <c r="B85" s="295" t="s">
        <v>375</v>
      </c>
      <c r="C85" s="303" t="s">
        <v>330</v>
      </c>
      <c r="D85" s="303" t="s">
        <v>331</v>
      </c>
    </row>
    <row r="86" spans="1:4" x14ac:dyDescent="0.35">
      <c r="A86" s="2" t="s">
        <v>667</v>
      </c>
      <c r="B86" s="90" t="s">
        <v>675</v>
      </c>
      <c r="C86" s="123" t="s">
        <v>669</v>
      </c>
      <c r="D86" s="1"/>
    </row>
    <row r="87" spans="1:4" x14ac:dyDescent="0.35">
      <c r="A87" s="2" t="s">
        <v>670</v>
      </c>
      <c r="B87" s="90">
        <v>2.1349999999999998</v>
      </c>
      <c r="C87" s="39"/>
      <c r="D87" s="1"/>
    </row>
    <row r="88" spans="1:4" ht="43.5" x14ac:dyDescent="0.35">
      <c r="A88" s="1" t="s">
        <v>383</v>
      </c>
      <c r="B88" s="90">
        <v>0.25</v>
      </c>
      <c r="C88" s="125" t="s">
        <v>384</v>
      </c>
      <c r="D88" s="214" t="s">
        <v>385</v>
      </c>
    </row>
    <row r="89" spans="1:4" x14ac:dyDescent="0.35">
      <c r="A89" s="1" t="s">
        <v>411</v>
      </c>
      <c r="B89" s="90">
        <v>100</v>
      </c>
      <c r="C89" s="39"/>
      <c r="D89" s="1"/>
    </row>
    <row r="90" spans="1:4" x14ac:dyDescent="0.35">
      <c r="A90" s="1" t="s">
        <v>471</v>
      </c>
      <c r="B90" s="152">
        <f>$B$43*$B$64</f>
        <v>292.82400000000001</v>
      </c>
      <c r="C90" s="39"/>
      <c r="D90" s="1"/>
    </row>
    <row r="91" spans="1:4" ht="29" x14ac:dyDescent="0.35">
      <c r="A91" s="1" t="s">
        <v>464</v>
      </c>
      <c r="B91" s="90">
        <v>0.51</v>
      </c>
      <c r="C91" s="39" t="s">
        <v>382</v>
      </c>
      <c r="D91" s="1"/>
    </row>
    <row r="92" spans="1:4" ht="14" customHeight="1" x14ac:dyDescent="0.35">
      <c r="A92" s="1" t="s">
        <v>396</v>
      </c>
      <c r="B92" s="179">
        <f>$B$89*$B$88*$B$91</f>
        <v>12.75</v>
      </c>
      <c r="C92" s="39" t="s">
        <v>397</v>
      </c>
      <c r="D92" s="13" t="s">
        <v>398</v>
      </c>
    </row>
    <row r="93" spans="1:4" ht="14" customHeight="1" x14ac:dyDescent="0.35">
      <c r="B93" s="146"/>
      <c r="C93" s="85"/>
    </row>
    <row r="94" spans="1:4" ht="14" customHeight="1" x14ac:dyDescent="0.35">
      <c r="A94" s="1" t="s">
        <v>371</v>
      </c>
      <c r="B94" s="112">
        <v>0.51</v>
      </c>
      <c r="C94" s="2" t="s">
        <v>372</v>
      </c>
      <c r="D94" s="1"/>
    </row>
    <row r="95" spans="1:4" x14ac:dyDescent="0.35">
      <c r="B95" s="47"/>
      <c r="C95" s="85"/>
    </row>
    <row r="96" spans="1:4" x14ac:dyDescent="0.35">
      <c r="B96" s="47"/>
      <c r="C96" s="85"/>
    </row>
    <row r="97" spans="1:9" ht="18.5" x14ac:dyDescent="0.45">
      <c r="A97" s="74" t="s">
        <v>439</v>
      </c>
      <c r="B97" s="47"/>
      <c r="C97" s="85"/>
    </row>
    <row r="98" spans="1:9" ht="21" x14ac:dyDescent="0.5">
      <c r="A98" s="82"/>
      <c r="B98" s="47"/>
      <c r="C98" s="85"/>
    </row>
    <row r="99" spans="1:9" x14ac:dyDescent="0.35">
      <c r="A99" t="s">
        <v>676</v>
      </c>
      <c r="B99" s="47"/>
      <c r="C99" s="85"/>
    </row>
    <row r="100" spans="1:9" ht="18.5" x14ac:dyDescent="0.45">
      <c r="A100" s="74"/>
      <c r="B100" s="47"/>
      <c r="C100" s="85"/>
    </row>
    <row r="101" spans="1:9" x14ac:dyDescent="0.35">
      <c r="A101" s="62" t="s">
        <v>441</v>
      </c>
      <c r="B101" s="62" t="s">
        <v>471</v>
      </c>
      <c r="C101" s="303" t="s">
        <v>396</v>
      </c>
      <c r="D101" s="299" t="s">
        <v>539</v>
      </c>
      <c r="E101" s="62" t="s">
        <v>411</v>
      </c>
    </row>
    <row r="102" spans="1:9" x14ac:dyDescent="0.35">
      <c r="A102" s="2" t="s">
        <v>106</v>
      </c>
      <c r="B102" s="152">
        <v>0</v>
      </c>
      <c r="C102" s="292">
        <v>0</v>
      </c>
      <c r="D102" s="177">
        <v>0</v>
      </c>
      <c r="E102" s="154">
        <v>0</v>
      </c>
    </row>
    <row r="103" spans="1:9" x14ac:dyDescent="0.35">
      <c r="A103" s="1" t="s">
        <v>677</v>
      </c>
      <c r="B103" s="152">
        <f>$B$15</f>
        <v>86.054399999999987</v>
      </c>
      <c r="C103" s="293">
        <f>$B$16</f>
        <v>3.1875</v>
      </c>
      <c r="D103" s="177">
        <f>$C$103/$B$103</f>
        <v>3.7040523203926826E-2</v>
      </c>
      <c r="E103" s="154">
        <f>$B$9</f>
        <v>25</v>
      </c>
    </row>
    <row r="104" spans="1:9" x14ac:dyDescent="0.35">
      <c r="A104" s="1" t="s">
        <v>104</v>
      </c>
      <c r="B104" s="152">
        <f>$B$29</f>
        <v>167.328</v>
      </c>
      <c r="C104" s="293">
        <f>$B$30</f>
        <v>16.447500000000002</v>
      </c>
      <c r="D104" s="177">
        <f>$C$104/$B$104</f>
        <v>9.8294965576592092E-2</v>
      </c>
      <c r="E104" s="154">
        <f>$B$24</f>
        <v>129</v>
      </c>
    </row>
    <row r="105" spans="1:9" x14ac:dyDescent="0.35">
      <c r="A105" s="1" t="s">
        <v>678</v>
      </c>
      <c r="B105" s="152">
        <f>$B$43</f>
        <v>167.328</v>
      </c>
      <c r="C105" s="293">
        <f>$B$44</f>
        <v>45.134999999999998</v>
      </c>
      <c r="D105" s="177">
        <f>$C$105/$B$105</f>
        <v>0.26973967297762474</v>
      </c>
      <c r="E105" s="154">
        <f>$B$38</f>
        <v>354</v>
      </c>
    </row>
    <row r="106" spans="1:9" x14ac:dyDescent="0.35">
      <c r="A106" s="1" t="s">
        <v>679</v>
      </c>
      <c r="B106" s="179">
        <f>$B$72</f>
        <v>150.59519999999998</v>
      </c>
      <c r="C106" s="293">
        <f>$B$74</f>
        <v>3.8250000000000002</v>
      </c>
      <c r="D106" s="177">
        <f>$C$106/$B$106</f>
        <v>2.5399215911264109E-2</v>
      </c>
      <c r="E106" s="154">
        <f>$B$71</f>
        <v>30</v>
      </c>
    </row>
    <row r="107" spans="1:9" x14ac:dyDescent="0.35">
      <c r="A107" s="1" t="s">
        <v>111</v>
      </c>
      <c r="B107" s="152">
        <f>$B$81</f>
        <v>292.82400000000001</v>
      </c>
      <c r="C107" s="293">
        <f>$B$83</f>
        <v>7.0635000000000003</v>
      </c>
      <c r="D107" s="177">
        <f>$C$107/$B$107</f>
        <v>2.412199819686911E-2</v>
      </c>
      <c r="E107" s="154">
        <f>$B$80</f>
        <v>55.4</v>
      </c>
    </row>
    <row r="108" spans="1:9" x14ac:dyDescent="0.35">
      <c r="A108" s="1" t="s">
        <v>680</v>
      </c>
      <c r="B108" s="152">
        <f>$B$90</f>
        <v>292.82400000000001</v>
      </c>
      <c r="C108" s="293">
        <f>$B$92</f>
        <v>12.75</v>
      </c>
      <c r="D108" s="177">
        <f>$C$108/$B$108</f>
        <v>4.3541512990738461E-2</v>
      </c>
      <c r="E108" s="154">
        <f>$B$89</f>
        <v>100</v>
      </c>
    </row>
    <row r="109" spans="1:9" x14ac:dyDescent="0.35">
      <c r="A109" s="1" t="s">
        <v>681</v>
      </c>
      <c r="B109" s="152">
        <v>0</v>
      </c>
      <c r="C109" s="292">
        <v>0</v>
      </c>
      <c r="D109" s="177">
        <v>0</v>
      </c>
      <c r="E109" s="154">
        <v>0</v>
      </c>
    </row>
    <row r="110" spans="1:9" x14ac:dyDescent="0.35">
      <c r="A110" s="1" t="s">
        <v>108</v>
      </c>
      <c r="B110" s="179">
        <f>$B$57</f>
        <v>154.33669565217394</v>
      </c>
      <c r="C110" s="293">
        <f>$B$58</f>
        <v>20.399999999999999</v>
      </c>
      <c r="D110" s="177">
        <f>$C$110/$B$110</f>
        <v>0.13217854583316427</v>
      </c>
      <c r="E110" s="154">
        <f>$B$50</f>
        <v>160</v>
      </c>
      <c r="I110" s="12"/>
    </row>
    <row r="111" spans="1:9" x14ac:dyDescent="0.35">
      <c r="A111" s="1" t="s">
        <v>682</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683</v>
      </c>
      <c r="B116" s="29"/>
      <c r="C116" s="85"/>
    </row>
    <row r="117" spans="1:1384" s="28" customFormat="1" ht="20.5" customHeight="1" x14ac:dyDescent="0.35">
      <c r="A117"/>
      <c r="B117" s="29"/>
      <c r="C117" s="85"/>
    </row>
    <row r="118" spans="1:1384" ht="107" customHeight="1" x14ac:dyDescent="0.35">
      <c r="A118" s="302" t="s">
        <v>451</v>
      </c>
      <c r="B118" s="302" t="s">
        <v>452</v>
      </c>
      <c r="C118" s="302" t="s">
        <v>684</v>
      </c>
      <c r="D118" s="302" t="s">
        <v>454</v>
      </c>
      <c r="E118" s="302" t="s">
        <v>471</v>
      </c>
      <c r="F118" s="302" t="s">
        <v>539</v>
      </c>
      <c r="G118" s="302" t="s">
        <v>411</v>
      </c>
      <c r="H118" s="103" t="s">
        <v>279</v>
      </c>
      <c r="I118" s="103" t="s">
        <v>280</v>
      </c>
      <c r="J118" s="103" t="s">
        <v>281</v>
      </c>
      <c r="K118" s="103" t="s">
        <v>282</v>
      </c>
      <c r="L118" s="103" t="s">
        <v>283</v>
      </c>
      <c r="M118" s="103" t="s">
        <v>284</v>
      </c>
      <c r="N118" s="103" t="s">
        <v>285</v>
      </c>
      <c r="O118" s="103" t="s">
        <v>286</v>
      </c>
      <c r="P118" s="103" t="s">
        <v>287</v>
      </c>
      <c r="Q118" s="103" t="s">
        <v>288</v>
      </c>
      <c r="R118" s="103" t="s">
        <v>289</v>
      </c>
      <c r="S118" s="103" t="s">
        <v>290</v>
      </c>
      <c r="T118" s="103" t="s">
        <v>291</v>
      </c>
      <c r="U118" s="103" t="s">
        <v>292</v>
      </c>
      <c r="V118" s="103" t="s">
        <v>293</v>
      </c>
      <c r="W118" s="103" t="s">
        <v>294</v>
      </c>
      <c r="X118" s="103" t="s">
        <v>295</v>
      </c>
      <c r="Y118" s="103" t="s">
        <v>296</v>
      </c>
      <c r="Z118" s="103" t="s">
        <v>297</v>
      </c>
    </row>
    <row r="119" spans="1:1384" ht="20" customHeight="1" x14ac:dyDescent="0.35">
      <c r="A119" s="1" t="s">
        <v>685</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686</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103</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105</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107</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200</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687</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688</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689</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1028</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1029</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200</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988</v>
      </c>
      <c r="G136" s="350"/>
    </row>
    <row r="137" spans="1:26" x14ac:dyDescent="0.35">
      <c r="E137" s="3"/>
      <c r="F137" s="3"/>
      <c r="G137" s="350"/>
    </row>
    <row r="138" spans="1:26" x14ac:dyDescent="0.35">
      <c r="A138" s="62" t="s">
        <v>153</v>
      </c>
      <c r="B138" s="62" t="s">
        <v>690</v>
      </c>
      <c r="C138" s="294" t="s">
        <v>107</v>
      </c>
      <c r="D138" s="62" t="s">
        <v>691</v>
      </c>
      <c r="E138" s="62" t="s">
        <v>200</v>
      </c>
      <c r="G138" s="350"/>
    </row>
    <row r="139" spans="1:26" x14ac:dyDescent="0.35">
      <c r="A139" s="1" t="s">
        <v>318</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280</v>
      </c>
      <c r="B140" s="154">
        <f>I121+I122</f>
        <v>0.40775681670534125</v>
      </c>
      <c r="C140" s="182">
        <f>'A5 - Construction'!I123</f>
        <v>0.54831600753423571</v>
      </c>
      <c r="D140" s="154">
        <f>SUM(I128:I131)</f>
        <v>0.20013047747929927</v>
      </c>
      <c r="E140" s="154">
        <f t="shared" si="3"/>
        <v>1.1562033017188762</v>
      </c>
      <c r="G140" s="350"/>
    </row>
    <row r="141" spans="1:26" x14ac:dyDescent="0.35">
      <c r="A141" s="1" t="s">
        <v>281</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282</v>
      </c>
      <c r="B142" s="154">
        <f>K121+K122</f>
        <v>0.40765451164230682</v>
      </c>
      <c r="C142" s="182">
        <f>'A5 - Construction'!K123</f>
        <v>0.54817843655708609</v>
      </c>
      <c r="D142" s="154">
        <f>SUM(K128:K131)</f>
        <v>0.20008026529332268</v>
      </c>
      <c r="E142" s="154">
        <f t="shared" si="3"/>
        <v>1.1559132134927155</v>
      </c>
      <c r="G142" s="350"/>
    </row>
    <row r="143" spans="1:26" x14ac:dyDescent="0.35">
      <c r="A143" s="1" t="s">
        <v>283</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284</v>
      </c>
      <c r="B144" s="154">
        <f>M121+M122</f>
        <v>0.180159449514772</v>
      </c>
      <c r="C144" s="182">
        <f>'A5 - Construction'!M123</f>
        <v>0.24226280476603371</v>
      </c>
      <c r="D144" s="154">
        <f>SUM(M128:M131)</f>
        <v>8.8423774114005468E-2</v>
      </c>
      <c r="E144" s="154">
        <f t="shared" si="3"/>
        <v>0.51084602839481119</v>
      </c>
      <c r="G144" s="350"/>
    </row>
    <row r="145" spans="1:7" x14ac:dyDescent="0.35">
      <c r="A145" s="1" t="s">
        <v>285</v>
      </c>
      <c r="B145" s="154">
        <f>N121+N122</f>
        <v>5.4161005129930588</v>
      </c>
      <c r="C145" s="182">
        <f>'A5 - Construction'!N123</f>
        <v>7.283102300248018</v>
      </c>
      <c r="D145" s="154">
        <f>SUM(N128:N131)</f>
        <v>2.6582677157901702</v>
      </c>
      <c r="E145" s="154">
        <f t="shared" si="3"/>
        <v>15.357470529031247</v>
      </c>
      <c r="G145" s="350"/>
    </row>
    <row r="146" spans="1:7" x14ac:dyDescent="0.35">
      <c r="A146" s="1" t="s">
        <v>286</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287</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288</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289</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319</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291</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292</v>
      </c>
      <c r="B152" s="154">
        <f>U121+U122</f>
        <v>0.27846571304235684</v>
      </c>
      <c r="C152" s="182">
        <f>'A5 - Construction'!U123</f>
        <v>0.37445654310396526</v>
      </c>
      <c r="D152" s="154">
        <f>SUM(U128:U131)</f>
        <v>0.13667331563717891</v>
      </c>
      <c r="E152" s="154">
        <f t="shared" si="3"/>
        <v>0.78959557178350104</v>
      </c>
      <c r="G152" s="350"/>
    </row>
    <row r="153" spans="1:7" x14ac:dyDescent="0.35">
      <c r="A153" s="1" t="s">
        <v>293</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294</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295</v>
      </c>
      <c r="B155" s="154">
        <f>X121+X122</f>
        <v>4.016102893072799E-9</v>
      </c>
      <c r="C155" s="182">
        <f>'A5 - Construction'!X123</f>
        <v>5.4005069049959681E-9</v>
      </c>
      <c r="D155" s="154">
        <f>SUM(X128:X131)</f>
        <v>1.9711371010076017E-9</v>
      </c>
      <c r="E155" s="154">
        <f t="shared" si="3"/>
        <v>1.138774689907637E-8</v>
      </c>
      <c r="G155" s="350"/>
    </row>
    <row r="156" spans="1:7" x14ac:dyDescent="0.35">
      <c r="A156" s="1" t="s">
        <v>296</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297</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630</v>
      </c>
      <c r="G162" s="350"/>
    </row>
    <row r="163" spans="1:7" x14ac:dyDescent="0.35">
      <c r="A163" s="95" t="s">
        <v>530</v>
      </c>
      <c r="B163" s="1">
        <f>SUM($H$124:$Z$124)+SUM($H$132:$Z$132)</f>
        <v>19.004021797548457</v>
      </c>
      <c r="G163" s="350"/>
    </row>
    <row r="164" spans="1:7" x14ac:dyDescent="0.35">
      <c r="A164" s="95" t="s">
        <v>531</v>
      </c>
      <c r="B164" s="1">
        <f>SUM($B$139:$D$157)</f>
        <v>19.004021797548454</v>
      </c>
      <c r="G164" s="350"/>
    </row>
    <row r="165" spans="1:7" x14ac:dyDescent="0.35">
      <c r="A165" s="95" t="s">
        <v>58</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692</v>
      </c>
    </row>
    <row r="3" spans="1:10" s="28" customFormat="1" ht="20" customHeight="1" x14ac:dyDescent="0.45">
      <c r="A3" s="227" t="s">
        <v>693</v>
      </c>
      <c r="B3" s="295" t="s">
        <v>375</v>
      </c>
      <c r="C3" s="295" t="s">
        <v>330</v>
      </c>
      <c r="D3" s="62" t="s">
        <v>331</v>
      </c>
    </row>
    <row r="4" spans="1:10" s="28" customFormat="1" ht="20" customHeight="1" x14ac:dyDescent="0.35">
      <c r="A4" s="1" t="s">
        <v>633</v>
      </c>
      <c r="B4" s="183" t="s">
        <v>694</v>
      </c>
      <c r="C4" s="44"/>
      <c r="D4" s="53"/>
    </row>
    <row r="5" spans="1:10" x14ac:dyDescent="0.35">
      <c r="A5" s="1" t="s">
        <v>695</v>
      </c>
      <c r="B5" s="90" t="s">
        <v>696</v>
      </c>
      <c r="C5" s="201" t="s">
        <v>696</v>
      </c>
      <c r="D5" s="1" t="s">
        <v>697</v>
      </c>
    </row>
    <row r="6" spans="1:10" x14ac:dyDescent="0.35">
      <c r="A6" s="1" t="s">
        <v>534</v>
      </c>
      <c r="B6" s="152">
        <f>Input!$B$22/1000</f>
        <v>2.4</v>
      </c>
      <c r="C6" s="33"/>
      <c r="D6" s="1"/>
    </row>
    <row r="7" spans="1:10" ht="29" x14ac:dyDescent="0.35">
      <c r="A7" s="1" t="s">
        <v>381</v>
      </c>
      <c r="B7" s="90">
        <v>0.51</v>
      </c>
      <c r="C7" s="39" t="s">
        <v>382</v>
      </c>
      <c r="D7" s="1"/>
    </row>
    <row r="8" spans="1:10" x14ac:dyDescent="0.35">
      <c r="A8" s="1" t="s">
        <v>411</v>
      </c>
      <c r="B8" s="90">
        <v>45</v>
      </c>
      <c r="C8" s="2"/>
      <c r="D8" s="1"/>
    </row>
    <row r="9" spans="1:10" ht="29" x14ac:dyDescent="0.35">
      <c r="A9" s="1" t="s">
        <v>383</v>
      </c>
      <c r="B9" s="90">
        <v>0.25</v>
      </c>
      <c r="C9" s="39" t="s">
        <v>384</v>
      </c>
      <c r="D9" s="214" t="s">
        <v>385</v>
      </c>
    </row>
    <row r="10" spans="1:10" x14ac:dyDescent="0.35">
      <c r="A10" s="1" t="s">
        <v>698</v>
      </c>
      <c r="B10" s="90">
        <v>18</v>
      </c>
      <c r="C10" s="2"/>
      <c r="D10" s="1"/>
    </row>
    <row r="11" spans="1:10" s="3" customFormat="1" x14ac:dyDescent="0.35">
      <c r="A11" s="1" t="s">
        <v>699</v>
      </c>
      <c r="B11" s="90">
        <f>MIN(1.2,Input!$B$66)</f>
        <v>1.2</v>
      </c>
      <c r="C11" s="2"/>
      <c r="D11" s="18"/>
    </row>
    <row r="12" spans="1:10" s="3" customFormat="1" x14ac:dyDescent="0.35">
      <c r="A12" s="1" t="s">
        <v>114</v>
      </c>
      <c r="B12" s="90">
        <f>MIN(0.35,Input!$B$79)</f>
        <v>0.08</v>
      </c>
      <c r="C12" s="215"/>
      <c r="D12" s="18"/>
    </row>
    <row r="13" spans="1:10" ht="29" x14ac:dyDescent="0.35">
      <c r="A13" s="1" t="s">
        <v>470</v>
      </c>
      <c r="B13" s="90">
        <v>0.83</v>
      </c>
      <c r="C13" s="39" t="s">
        <v>645</v>
      </c>
      <c r="D13" s="214" t="s">
        <v>700</v>
      </c>
      <c r="H13" s="50"/>
    </row>
    <row r="14" spans="1:10" ht="14" customHeight="1" x14ac:dyDescent="0.35">
      <c r="A14" s="18" t="s">
        <v>471</v>
      </c>
      <c r="B14" s="152">
        <f>$B$10*$B$11*$B$12*60*$B$6*$B$13</f>
        <v>206.53055999999995</v>
      </c>
      <c r="C14" s="216" t="s">
        <v>701</v>
      </c>
      <c r="D14" s="1"/>
      <c r="G14" s="50"/>
      <c r="H14" s="50"/>
    </row>
    <row r="15" spans="1:10" x14ac:dyDescent="0.35">
      <c r="A15" s="1" t="s">
        <v>396</v>
      </c>
      <c r="B15" s="152">
        <f>$B$8*$B$7*$B$9</f>
        <v>5.7374999999999998</v>
      </c>
      <c r="C15" s="39" t="s">
        <v>397</v>
      </c>
      <c r="D15" s="1" t="s">
        <v>398</v>
      </c>
      <c r="G15" s="50"/>
      <c r="H15" s="50"/>
    </row>
    <row r="16" spans="1:10" x14ac:dyDescent="0.35">
      <c r="B16" s="29"/>
      <c r="C16" s="29"/>
      <c r="D16" s="415"/>
      <c r="E16" s="415"/>
      <c r="F16" s="415"/>
      <c r="G16" s="415"/>
      <c r="H16" s="415"/>
      <c r="I16" s="415"/>
      <c r="J16" s="38"/>
    </row>
    <row r="17" spans="1:12" ht="18.5" x14ac:dyDescent="0.45">
      <c r="A17" s="227" t="s">
        <v>702</v>
      </c>
      <c r="B17" s="295" t="s">
        <v>375</v>
      </c>
      <c r="C17" s="295" t="s">
        <v>330</v>
      </c>
      <c r="D17" s="62" t="s">
        <v>331</v>
      </c>
    </row>
    <row r="18" spans="1:12" x14ac:dyDescent="0.35">
      <c r="A18" s="1" t="s">
        <v>633</v>
      </c>
      <c r="B18" s="90" t="s">
        <v>703</v>
      </c>
      <c r="C18" s="2"/>
      <c r="D18" s="1"/>
    </row>
    <row r="19" spans="1:12" x14ac:dyDescent="0.35">
      <c r="A19" s="1" t="s">
        <v>695</v>
      </c>
      <c r="B19" s="90" t="s">
        <v>704</v>
      </c>
      <c r="C19" s="2" t="s">
        <v>704</v>
      </c>
      <c r="D19" s="30" t="s">
        <v>705</v>
      </c>
      <c r="I19" s="3" t="s">
        <v>706</v>
      </c>
      <c r="L19" s="50"/>
    </row>
    <row r="20" spans="1:12" x14ac:dyDescent="0.35">
      <c r="A20" s="1" t="s">
        <v>534</v>
      </c>
      <c r="B20" s="152">
        <f>Input!$B$22/1000</f>
        <v>2.4</v>
      </c>
      <c r="C20" s="2"/>
      <c r="D20" s="1"/>
      <c r="L20" s="50"/>
    </row>
    <row r="21" spans="1:12" ht="29" x14ac:dyDescent="0.35">
      <c r="A21" s="1" t="s">
        <v>381</v>
      </c>
      <c r="B21" s="90">
        <v>0.51</v>
      </c>
      <c r="C21" s="39" t="s">
        <v>382</v>
      </c>
      <c r="D21" s="1"/>
      <c r="I21" s="1" t="s">
        <v>707</v>
      </c>
      <c r="J21" s="1" t="s">
        <v>708</v>
      </c>
      <c r="K21" s="1" t="s">
        <v>709</v>
      </c>
      <c r="L21" s="50" t="s">
        <v>710</v>
      </c>
    </row>
    <row r="22" spans="1:12" x14ac:dyDescent="0.35">
      <c r="A22" s="1" t="s">
        <v>411</v>
      </c>
      <c r="B22" s="90">
        <v>571</v>
      </c>
      <c r="C22" s="2"/>
      <c r="D22" s="1"/>
      <c r="I22" s="1">
        <v>50</v>
      </c>
      <c r="J22" s="1">
        <v>2.86</v>
      </c>
      <c r="K22" s="1">
        <f>I22/J22</f>
        <v>17.482517482517483</v>
      </c>
      <c r="L22" s="50">
        <f>AVERAGE(K22:K26)</f>
        <v>18.032613080194253</v>
      </c>
    </row>
    <row r="23" spans="1:12" ht="29" x14ac:dyDescent="0.35">
      <c r="A23" s="1" t="s">
        <v>383</v>
      </c>
      <c r="B23" s="90">
        <v>0.25</v>
      </c>
      <c r="C23" s="39" t="s">
        <v>384</v>
      </c>
      <c r="D23" s="214" t="s">
        <v>385</v>
      </c>
      <c r="I23" s="1"/>
      <c r="J23" s="1"/>
      <c r="K23" s="1"/>
      <c r="L23" s="50"/>
    </row>
    <row r="24" spans="1:12" x14ac:dyDescent="0.35">
      <c r="A24" s="1" t="s">
        <v>698</v>
      </c>
      <c r="B24" s="90">
        <v>18</v>
      </c>
      <c r="C24" s="2"/>
      <c r="D24" s="1"/>
      <c r="I24" s="1">
        <v>50</v>
      </c>
      <c r="J24" s="1">
        <v>2.63</v>
      </c>
      <c r="K24" s="1">
        <f t="shared" ref="K24:K26" si="0">I24/J24</f>
        <v>19.011406844106464</v>
      </c>
      <c r="L24" s="50"/>
    </row>
    <row r="25" spans="1:12" ht="14" customHeight="1" x14ac:dyDescent="0.35">
      <c r="A25" s="1" t="s">
        <v>699</v>
      </c>
      <c r="B25" s="90">
        <f>MIN(2,Input!$B$66)</f>
        <v>2</v>
      </c>
      <c r="C25" s="2"/>
      <c r="D25" s="18"/>
      <c r="I25" s="1">
        <v>50</v>
      </c>
      <c r="J25" s="1">
        <v>2.65</v>
      </c>
      <c r="K25" s="1">
        <f t="shared" si="0"/>
        <v>18.867924528301888</v>
      </c>
      <c r="L25" s="3"/>
    </row>
    <row r="26" spans="1:12" x14ac:dyDescent="0.35">
      <c r="A26" s="1" t="s">
        <v>114</v>
      </c>
      <c r="B26" s="152">
        <f>MIN(0.35,Input!$B$79)</f>
        <v>0.08</v>
      </c>
      <c r="C26" s="2"/>
      <c r="D26" s="40"/>
      <c r="I26" s="22">
        <v>16.45</v>
      </c>
      <c r="J26" s="22">
        <v>0.98099999999999998</v>
      </c>
      <c r="K26" s="1">
        <f t="shared" si="0"/>
        <v>16.768603465851172</v>
      </c>
      <c r="L26" s="38"/>
    </row>
    <row r="27" spans="1:12" x14ac:dyDescent="0.35">
      <c r="A27" s="1" t="s">
        <v>644</v>
      </c>
      <c r="B27" s="152">
        <f>Input!$B$31/1000</f>
        <v>0.08</v>
      </c>
      <c r="C27" s="2"/>
      <c r="D27" s="1"/>
    </row>
    <row r="28" spans="1:12" x14ac:dyDescent="0.35">
      <c r="A28" s="1" t="s">
        <v>470</v>
      </c>
      <c r="B28" s="90">
        <v>0.83</v>
      </c>
      <c r="C28" s="49" t="s">
        <v>645</v>
      </c>
      <c r="D28" s="30" t="s">
        <v>700</v>
      </c>
    </row>
    <row r="29" spans="1:12" x14ac:dyDescent="0.35">
      <c r="A29" s="18" t="s">
        <v>471</v>
      </c>
      <c r="B29" s="152">
        <f>$B$24*$B$25*$B$26*60*$B$20*$B$28</f>
        <v>344.21759999999995</v>
      </c>
      <c r="C29" s="2" t="s">
        <v>701</v>
      </c>
      <c r="D29" s="1"/>
    </row>
    <row r="30" spans="1:12" ht="14" customHeight="1" x14ac:dyDescent="0.35">
      <c r="A30" s="1" t="s">
        <v>396</v>
      </c>
      <c r="B30" s="152">
        <f>$B$22*$B$21*$B$23</f>
        <v>72.802499999999995</v>
      </c>
      <c r="C30" s="39" t="s">
        <v>397</v>
      </c>
      <c r="D30" s="1" t="s">
        <v>398</v>
      </c>
    </row>
    <row r="31" spans="1:12" x14ac:dyDescent="0.35">
      <c r="B31" s="29"/>
      <c r="C31" s="29"/>
    </row>
    <row r="32" spans="1:12" ht="18.5" x14ac:dyDescent="0.45">
      <c r="A32" s="227" t="s">
        <v>711</v>
      </c>
      <c r="B32" s="295" t="s">
        <v>375</v>
      </c>
      <c r="C32" s="295" t="s">
        <v>330</v>
      </c>
      <c r="D32" s="62" t="s">
        <v>331</v>
      </c>
    </row>
    <row r="33" spans="1:10" x14ac:dyDescent="0.35">
      <c r="A33" s="1" t="s">
        <v>633</v>
      </c>
      <c r="B33" s="90" t="s">
        <v>712</v>
      </c>
      <c r="C33" s="2"/>
      <c r="D33" s="1"/>
    </row>
    <row r="34" spans="1:10" x14ac:dyDescent="0.35">
      <c r="A34" s="1" t="s">
        <v>695</v>
      </c>
      <c r="B34" s="90" t="s">
        <v>713</v>
      </c>
      <c r="C34" s="2"/>
      <c r="D34" s="18"/>
      <c r="E34" s="3"/>
      <c r="F34" s="3"/>
      <c r="G34" s="3"/>
      <c r="H34" s="3"/>
      <c r="I34" s="3"/>
      <c r="J34" s="3"/>
    </row>
    <row r="35" spans="1:10" x14ac:dyDescent="0.35">
      <c r="A35" s="1" t="s">
        <v>534</v>
      </c>
      <c r="B35" s="152">
        <f>Input!$B$22/1000</f>
        <v>2.4</v>
      </c>
      <c r="C35" s="2"/>
      <c r="D35" s="1"/>
    </row>
    <row r="36" spans="1:10" ht="29" x14ac:dyDescent="0.35">
      <c r="A36" s="1" t="s">
        <v>381</v>
      </c>
      <c r="B36" s="90">
        <v>0.51</v>
      </c>
      <c r="C36" s="39" t="s">
        <v>382</v>
      </c>
      <c r="D36" s="1"/>
    </row>
    <row r="37" spans="1:10" x14ac:dyDescent="0.35">
      <c r="A37" s="1" t="s">
        <v>411</v>
      </c>
      <c r="B37" s="90">
        <v>753</v>
      </c>
      <c r="C37" s="2"/>
      <c r="D37" s="1"/>
    </row>
    <row r="38" spans="1:10" ht="29" x14ac:dyDescent="0.35">
      <c r="A38" s="1" t="s">
        <v>383</v>
      </c>
      <c r="B38" s="90">
        <v>0.25</v>
      </c>
      <c r="C38" s="39" t="s">
        <v>384</v>
      </c>
      <c r="D38" s="214" t="s">
        <v>385</v>
      </c>
    </row>
    <row r="39" spans="1:10" x14ac:dyDescent="0.35">
      <c r="A39" s="1" t="s">
        <v>698</v>
      </c>
      <c r="B39" s="90">
        <v>18</v>
      </c>
      <c r="C39" s="2"/>
      <c r="D39" s="1"/>
    </row>
    <row r="40" spans="1:10" x14ac:dyDescent="0.35">
      <c r="A40" s="1" t="s">
        <v>699</v>
      </c>
      <c r="B40" s="90">
        <f>MIN(2.2,Input!$B$66)</f>
        <v>2.2000000000000002</v>
      </c>
      <c r="C40" s="2"/>
      <c r="D40" s="1"/>
    </row>
    <row r="41" spans="1:10" x14ac:dyDescent="0.35">
      <c r="A41" s="1" t="s">
        <v>114</v>
      </c>
      <c r="B41" s="90">
        <f>MIN(0.35,Input!$B$79)</f>
        <v>0.08</v>
      </c>
      <c r="C41" s="2"/>
      <c r="D41" s="1"/>
    </row>
    <row r="42" spans="1:10" x14ac:dyDescent="0.35">
      <c r="A42" s="1" t="s">
        <v>470</v>
      </c>
      <c r="B42" s="90">
        <v>0.83</v>
      </c>
      <c r="C42" s="2" t="s">
        <v>645</v>
      </c>
      <c r="D42" s="1" t="s">
        <v>700</v>
      </c>
    </row>
    <row r="43" spans="1:10" x14ac:dyDescent="0.35">
      <c r="A43" s="18" t="s">
        <v>471</v>
      </c>
      <c r="B43" s="152">
        <f>$B$39*$B$40*$B$41*60*$B$35*$B$42</f>
        <v>378.63936000000001</v>
      </c>
      <c r="C43" s="2" t="s">
        <v>701</v>
      </c>
      <c r="D43" s="1"/>
    </row>
    <row r="44" spans="1:10" ht="14" customHeight="1" x14ac:dyDescent="0.35">
      <c r="A44" s="1" t="s">
        <v>396</v>
      </c>
      <c r="B44" s="152">
        <f>$B$37*$B$36*$B$38</f>
        <v>96.007500000000007</v>
      </c>
      <c r="C44" s="39" t="s">
        <v>397</v>
      </c>
      <c r="D44" s="1" t="s">
        <v>398</v>
      </c>
    </row>
    <row r="45" spans="1:10" x14ac:dyDescent="0.35">
      <c r="B45" s="29"/>
      <c r="C45" s="29"/>
    </row>
    <row r="46" spans="1:10" x14ac:dyDescent="0.35">
      <c r="B46" s="29"/>
      <c r="C46" s="29"/>
    </row>
    <row r="47" spans="1:10" ht="18.5" x14ac:dyDescent="0.45">
      <c r="A47" s="227" t="s">
        <v>714</v>
      </c>
      <c r="B47" s="295" t="s">
        <v>375</v>
      </c>
      <c r="C47" s="295" t="s">
        <v>330</v>
      </c>
      <c r="D47" s="62" t="s">
        <v>331</v>
      </c>
    </row>
    <row r="48" spans="1:10" x14ac:dyDescent="0.35">
      <c r="A48" s="1" t="s">
        <v>715</v>
      </c>
      <c r="B48" s="90" t="s">
        <v>716</v>
      </c>
      <c r="C48" s="2" t="s">
        <v>330</v>
      </c>
      <c r="D48" s="1"/>
    </row>
    <row r="49" spans="1:5" x14ac:dyDescent="0.35">
      <c r="A49" s="1" t="s">
        <v>717</v>
      </c>
      <c r="B49" s="90" t="s">
        <v>718</v>
      </c>
      <c r="C49" s="2" t="s">
        <v>719</v>
      </c>
      <c r="D49" s="1" t="s">
        <v>720</v>
      </c>
    </row>
    <row r="50" spans="1:5" ht="29" x14ac:dyDescent="0.35">
      <c r="A50" s="1" t="s">
        <v>381</v>
      </c>
      <c r="B50" s="90">
        <v>0.51</v>
      </c>
      <c r="C50" s="39" t="s">
        <v>382</v>
      </c>
      <c r="D50" s="1"/>
    </row>
    <row r="51" spans="1:5" x14ac:dyDescent="0.35">
      <c r="A51" s="1" t="s">
        <v>411</v>
      </c>
      <c r="B51" s="90">
        <v>186</v>
      </c>
      <c r="C51" s="2"/>
      <c r="D51" s="1"/>
    </row>
    <row r="52" spans="1:5" ht="29" x14ac:dyDescent="0.35">
      <c r="A52" s="1" t="s">
        <v>383</v>
      </c>
      <c r="B52" s="90">
        <v>0.25</v>
      </c>
      <c r="C52" s="39" t="s">
        <v>384</v>
      </c>
      <c r="D52" s="214" t="s">
        <v>385</v>
      </c>
    </row>
    <row r="53" spans="1:5" x14ac:dyDescent="0.35">
      <c r="A53" s="1" t="s">
        <v>396</v>
      </c>
      <c r="B53" s="152">
        <f>$B$51*$B$50*$B$52</f>
        <v>23.715</v>
      </c>
      <c r="C53" s="39" t="s">
        <v>397</v>
      </c>
      <c r="D53" s="1" t="s">
        <v>436</v>
      </c>
    </row>
    <row r="54" spans="1:5" x14ac:dyDescent="0.35">
      <c r="B54" s="29"/>
      <c r="C54" s="29"/>
    </row>
    <row r="55" spans="1:5" x14ac:dyDescent="0.35">
      <c r="A55" s="1" t="s">
        <v>371</v>
      </c>
      <c r="B55" s="90">
        <v>0.51</v>
      </c>
      <c r="C55" s="90" t="s">
        <v>372</v>
      </c>
    </row>
    <row r="56" spans="1:5" x14ac:dyDescent="0.35">
      <c r="B56" s="29"/>
      <c r="C56" s="29"/>
    </row>
    <row r="57" spans="1:5" x14ac:dyDescent="0.35">
      <c r="B57" s="29"/>
      <c r="C57" s="29"/>
    </row>
    <row r="58" spans="1:5" x14ac:dyDescent="0.35">
      <c r="B58" s="29"/>
      <c r="C58" s="29"/>
    </row>
    <row r="59" spans="1:5" ht="21" x14ac:dyDescent="0.5">
      <c r="A59" s="99" t="s">
        <v>439</v>
      </c>
      <c r="B59" s="29"/>
      <c r="C59" s="29"/>
    </row>
    <row r="60" spans="1:5" ht="21" x14ac:dyDescent="0.5">
      <c r="A60" s="82"/>
      <c r="B60" s="29"/>
      <c r="C60" s="29"/>
    </row>
    <row r="61" spans="1:5" x14ac:dyDescent="0.35">
      <c r="A61" t="s">
        <v>676</v>
      </c>
      <c r="B61" s="29"/>
      <c r="C61" s="29"/>
    </row>
    <row r="63" spans="1:5" x14ac:dyDescent="0.35">
      <c r="A63" s="62" t="s">
        <v>441</v>
      </c>
      <c r="B63" s="62" t="s">
        <v>471</v>
      </c>
      <c r="C63" s="62" t="s">
        <v>396</v>
      </c>
      <c r="D63" s="62" t="s">
        <v>721</v>
      </c>
      <c r="E63" s="62" t="s">
        <v>411</v>
      </c>
    </row>
    <row r="64" spans="1:5" x14ac:dyDescent="0.35">
      <c r="A64" s="1" t="s">
        <v>119</v>
      </c>
      <c r="B64" s="154">
        <v>0</v>
      </c>
      <c r="C64" s="154">
        <v>0</v>
      </c>
      <c r="D64" s="154">
        <v>0</v>
      </c>
      <c r="E64" s="154">
        <v>0</v>
      </c>
    </row>
    <row r="65" spans="1:27" x14ac:dyDescent="0.35">
      <c r="A65" s="13" t="s">
        <v>722</v>
      </c>
      <c r="B65" s="154">
        <f>$B$14</f>
        <v>206.53055999999995</v>
      </c>
      <c r="C65" s="154">
        <f>$B$15</f>
        <v>5.7374999999999998</v>
      </c>
      <c r="D65" s="154">
        <f>$C$65/$B$65</f>
        <v>2.7780392402945119E-2</v>
      </c>
      <c r="E65" s="154">
        <f>$B$8</f>
        <v>45</v>
      </c>
    </row>
    <row r="66" spans="1:27" x14ac:dyDescent="0.35">
      <c r="A66" s="13" t="s">
        <v>117</v>
      </c>
      <c r="B66" s="154">
        <f>$B$29</f>
        <v>344.21759999999995</v>
      </c>
      <c r="C66" s="154">
        <f>$B$30</f>
        <v>72.802499999999995</v>
      </c>
      <c r="D66" s="154">
        <f>$C$66/$B$66</f>
        <v>0.21150138749442216</v>
      </c>
      <c r="E66" s="154">
        <f>$B$22</f>
        <v>571</v>
      </c>
    </row>
    <row r="67" spans="1:27" x14ac:dyDescent="0.35">
      <c r="A67" s="13" t="s">
        <v>723</v>
      </c>
      <c r="B67" s="154">
        <f>$B$43</f>
        <v>378.63936000000001</v>
      </c>
      <c r="C67" s="154">
        <f>$B$44</f>
        <v>96.007500000000007</v>
      </c>
      <c r="D67" s="154">
        <f>$C$67/$B$67</f>
        <v>0.25355921793233543</v>
      </c>
      <c r="E67" s="154">
        <f>$B$37</f>
        <v>753</v>
      </c>
    </row>
    <row r="68" spans="1:27" x14ac:dyDescent="0.35">
      <c r="A68" s="13" t="s">
        <v>121</v>
      </c>
      <c r="B68" s="154" t="s">
        <v>724</v>
      </c>
      <c r="C68" s="154">
        <f>$B$53</f>
        <v>23.715</v>
      </c>
      <c r="D68" s="174" t="s">
        <v>725</v>
      </c>
      <c r="E68" s="154">
        <f>$B$51</f>
        <v>186</v>
      </c>
    </row>
    <row r="71" spans="1:27" ht="23.5" x14ac:dyDescent="0.55000000000000004">
      <c r="A71" s="100" t="s">
        <v>726</v>
      </c>
    </row>
    <row r="73" spans="1:27" ht="43.5" x14ac:dyDescent="0.35">
      <c r="A73" s="127" t="s">
        <v>451</v>
      </c>
      <c r="B73" s="127" t="s">
        <v>452</v>
      </c>
      <c r="C73" s="127" t="s">
        <v>453</v>
      </c>
      <c r="D73" s="127" t="s">
        <v>454</v>
      </c>
      <c r="E73" s="127" t="s">
        <v>471</v>
      </c>
      <c r="F73" s="127" t="s">
        <v>721</v>
      </c>
      <c r="G73" s="127" t="s">
        <v>411</v>
      </c>
      <c r="H73" s="101" t="s">
        <v>279</v>
      </c>
      <c r="I73" s="101" t="s">
        <v>280</v>
      </c>
      <c r="J73" s="101" t="s">
        <v>281</v>
      </c>
      <c r="K73" s="101" t="s">
        <v>282</v>
      </c>
      <c r="L73" s="101" t="s">
        <v>283</v>
      </c>
      <c r="M73" s="101" t="s">
        <v>284</v>
      </c>
      <c r="N73" s="101" t="s">
        <v>285</v>
      </c>
      <c r="O73" s="101" t="s">
        <v>286</v>
      </c>
      <c r="P73" s="101" t="s">
        <v>287</v>
      </c>
      <c r="Q73" s="101" t="s">
        <v>288</v>
      </c>
      <c r="R73" s="101" t="s">
        <v>289</v>
      </c>
      <c r="S73" s="101" t="s">
        <v>290</v>
      </c>
      <c r="T73" s="101" t="s">
        <v>291</v>
      </c>
      <c r="U73" s="101" t="s">
        <v>292</v>
      </c>
      <c r="V73" s="101" t="s">
        <v>293</v>
      </c>
      <c r="W73" s="101" t="s">
        <v>294</v>
      </c>
      <c r="X73" s="101" t="s">
        <v>295</v>
      </c>
      <c r="Y73" s="101" t="s">
        <v>296</v>
      </c>
      <c r="Z73" s="101" t="s">
        <v>297</v>
      </c>
      <c r="AA73" s="25"/>
    </row>
    <row r="74" spans="1:27" x14ac:dyDescent="0.35">
      <c r="A74" s="83" t="s">
        <v>727</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116</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118</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1030</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120</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200</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989</v>
      </c>
    </row>
    <row r="85" spans="1:2" ht="18.5" x14ac:dyDescent="0.45">
      <c r="A85" s="74"/>
    </row>
    <row r="86" spans="1:2" x14ac:dyDescent="0.35">
      <c r="A86" s="62" t="s">
        <v>153</v>
      </c>
      <c r="B86" s="62" t="s">
        <v>728</v>
      </c>
    </row>
    <row r="87" spans="1:2" x14ac:dyDescent="0.35">
      <c r="A87" s="1" t="s">
        <v>318</v>
      </c>
      <c r="B87" s="174">
        <f>SUM(H75:H78)</f>
        <v>1.1217073342617407E-3</v>
      </c>
    </row>
    <row r="88" spans="1:2" x14ac:dyDescent="0.35">
      <c r="A88" s="1" t="s">
        <v>280</v>
      </c>
      <c r="B88" s="174">
        <f>SUM(I75:I78)</f>
        <v>0.87737079908012983</v>
      </c>
    </row>
    <row r="89" spans="1:2" x14ac:dyDescent="0.35">
      <c r="A89" s="1" t="s">
        <v>281</v>
      </c>
      <c r="B89" s="174">
        <f>SUM(J75:J78)</f>
        <v>1.8133028980664895E-4</v>
      </c>
    </row>
    <row r="90" spans="1:2" x14ac:dyDescent="0.35">
      <c r="A90" s="1" t="s">
        <v>282</v>
      </c>
      <c r="B90" s="174">
        <f>SUM(K75:K78)</f>
        <v>0.87715066916144513</v>
      </c>
    </row>
    <row r="91" spans="1:2" x14ac:dyDescent="0.35">
      <c r="A91" s="1" t="s">
        <v>283</v>
      </c>
      <c r="B91" s="174">
        <f>SUM(L75:L78)</f>
        <v>3.8799628878016996E-5</v>
      </c>
    </row>
    <row r="92" spans="1:2" x14ac:dyDescent="0.35">
      <c r="A92" s="1" t="s">
        <v>284</v>
      </c>
      <c r="B92" s="174">
        <f>SUM(M75:M78)</f>
        <v>0.38764928924986203</v>
      </c>
    </row>
    <row r="93" spans="1:2" x14ac:dyDescent="0.35">
      <c r="A93" s="1" t="s">
        <v>285</v>
      </c>
      <c r="B93" s="174">
        <f>SUM(N75:N78)</f>
        <v>11.65382953834693</v>
      </c>
    </row>
    <row r="94" spans="1:2" x14ac:dyDescent="0.35">
      <c r="A94" s="1" t="s">
        <v>286</v>
      </c>
      <c r="B94" s="174">
        <f>SUM(O75:O78)</f>
        <v>9.2749951830432911E-6</v>
      </c>
    </row>
    <row r="95" spans="1:2" x14ac:dyDescent="0.35">
      <c r="A95" s="1" t="s">
        <v>287</v>
      </c>
      <c r="B95" s="174">
        <f>SUM(P75:P78)</f>
        <v>2.5365457383613185E-4</v>
      </c>
    </row>
    <row r="96" spans="1:2" x14ac:dyDescent="0.35">
      <c r="A96" s="1" t="s">
        <v>288</v>
      </c>
      <c r="B96" s="174">
        <f>SUM(Q75:Q78)</f>
        <v>2.7575377816790978E-3</v>
      </c>
    </row>
    <row r="97" spans="1:2" x14ac:dyDescent="0.35">
      <c r="A97" s="1" t="s">
        <v>289</v>
      </c>
      <c r="B97" s="174">
        <f>SUM(R75:R78)</f>
        <v>5.3616599502692708E-11</v>
      </c>
    </row>
    <row r="98" spans="1:2" x14ac:dyDescent="0.35">
      <c r="A98" s="1" t="s">
        <v>319</v>
      </c>
      <c r="B98" s="174">
        <f>SUM(S75:S78)</f>
        <v>1.4291011930392459E-9</v>
      </c>
    </row>
    <row r="99" spans="1:2" x14ac:dyDescent="0.35">
      <c r="A99" s="1" t="s">
        <v>291</v>
      </c>
      <c r="B99" s="174">
        <f>SUM(T75:T78)</f>
        <v>3.4991589262714472E-3</v>
      </c>
    </row>
    <row r="100" spans="1:2" x14ac:dyDescent="0.35">
      <c r="A100" s="1" t="s">
        <v>292</v>
      </c>
      <c r="B100" s="174">
        <f>SUM(U75:U78)</f>
        <v>0.59917498655808599</v>
      </c>
    </row>
    <row r="101" spans="1:2" x14ac:dyDescent="0.35">
      <c r="A101" s="1" t="s">
        <v>293</v>
      </c>
      <c r="B101" s="174">
        <f>SUM(V75:V78)</f>
        <v>1.3681009766764487E-7</v>
      </c>
    </row>
    <row r="102" spans="1:2" x14ac:dyDescent="0.35">
      <c r="A102" s="1" t="s">
        <v>294</v>
      </c>
      <c r="B102" s="174">
        <f>SUM(W75:W78)</f>
        <v>1.9771215431464347E-8</v>
      </c>
    </row>
    <row r="103" spans="1:2" x14ac:dyDescent="0.35">
      <c r="A103" s="1" t="s">
        <v>295</v>
      </c>
      <c r="B103" s="174">
        <f>SUM(X75:X78)</f>
        <v>8.6414530919530463E-9</v>
      </c>
    </row>
    <row r="104" spans="1:2" x14ac:dyDescent="0.35">
      <c r="A104" s="1" t="s">
        <v>296</v>
      </c>
      <c r="B104" s="174">
        <f>SUM(Y75:Y78)</f>
        <v>2.1610841291208631E-3</v>
      </c>
    </row>
    <row r="105" spans="1:2" x14ac:dyDescent="0.35">
      <c r="A105" s="1" t="s">
        <v>297</v>
      </c>
      <c r="B105" s="174">
        <f>SUM(Z75:Z78)</f>
        <v>1.5772576029667661E-2</v>
      </c>
    </row>
    <row r="109" spans="1:2" x14ac:dyDescent="0.35">
      <c r="B109" t="s">
        <v>630</v>
      </c>
    </row>
    <row r="110" spans="1:2" x14ac:dyDescent="0.35">
      <c r="A110" s="95" t="s">
        <v>530</v>
      </c>
      <c r="B110" s="1">
        <f>SUM($H$79:$Z$79)</f>
        <v>14.42097057279064</v>
      </c>
    </row>
    <row r="111" spans="1:2" x14ac:dyDescent="0.35">
      <c r="A111" s="95" t="s">
        <v>531</v>
      </c>
      <c r="B111" s="1">
        <f>SUM($B$87:$B$105)</f>
        <v>14.42097057279064</v>
      </c>
    </row>
    <row r="112" spans="1:2" x14ac:dyDescent="0.35">
      <c r="A112" s="95" t="s">
        <v>58</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820</v>
      </c>
    </row>
    <row r="2" spans="1:6" ht="15" customHeight="1" x14ac:dyDescent="0.55000000000000004">
      <c r="A2" s="100"/>
    </row>
    <row r="3" spans="1:6" x14ac:dyDescent="0.35">
      <c r="A3" s="1" t="s">
        <v>371</v>
      </c>
      <c r="B3" s="90">
        <v>0.51</v>
      </c>
      <c r="C3" s="2" t="s">
        <v>372</v>
      </c>
    </row>
    <row r="5" spans="1:6" ht="23.5" x14ac:dyDescent="0.55000000000000004">
      <c r="A5" s="100" t="s">
        <v>821</v>
      </c>
      <c r="D5" s="24"/>
    </row>
    <row r="7" spans="1:6" x14ac:dyDescent="0.35">
      <c r="A7" s="62" t="s">
        <v>276</v>
      </c>
      <c r="B7" s="62" t="s">
        <v>822</v>
      </c>
      <c r="C7" s="62" t="s">
        <v>823</v>
      </c>
      <c r="D7" s="62" t="s">
        <v>824</v>
      </c>
      <c r="F7" s="3"/>
    </row>
    <row r="8" spans="1:6" x14ac:dyDescent="0.35">
      <c r="A8" s="1" t="s">
        <v>266</v>
      </c>
      <c r="B8" s="96" t="s">
        <v>69</v>
      </c>
      <c r="C8" s="96" t="s">
        <v>70</v>
      </c>
      <c r="D8" s="97">
        <f>Input!$L$39</f>
        <v>261.62</v>
      </c>
    </row>
    <row r="9" spans="1:6" x14ac:dyDescent="0.35">
      <c r="A9" s="73" t="s">
        <v>212</v>
      </c>
      <c r="B9" s="96" t="s">
        <v>69</v>
      </c>
      <c r="C9" s="96" t="s">
        <v>70</v>
      </c>
      <c r="D9" s="97">
        <f>Input!$L$49</f>
        <v>190.35</v>
      </c>
    </row>
    <row r="10" spans="1:6" x14ac:dyDescent="0.35">
      <c r="A10" s="73" t="s">
        <v>221</v>
      </c>
      <c r="B10" s="96" t="s">
        <v>69</v>
      </c>
      <c r="C10" s="96" t="s">
        <v>70</v>
      </c>
      <c r="D10" s="97">
        <v>128</v>
      </c>
    </row>
    <row r="11" spans="1:6" x14ac:dyDescent="0.35">
      <c r="A11" s="73" t="s">
        <v>267</v>
      </c>
      <c r="B11" s="96" t="s">
        <v>69</v>
      </c>
      <c r="C11" s="96" t="s">
        <v>70</v>
      </c>
      <c r="D11" s="97">
        <v>95</v>
      </c>
    </row>
    <row r="12" spans="1:6" x14ac:dyDescent="0.35">
      <c r="A12" s="73" t="s">
        <v>825</v>
      </c>
      <c r="B12" s="96" t="s">
        <v>69</v>
      </c>
      <c r="C12" s="96" t="s">
        <v>70</v>
      </c>
      <c r="D12" s="97">
        <f>Input!$L$51</f>
        <v>27</v>
      </c>
    </row>
    <row r="15" spans="1:6" ht="16" x14ac:dyDescent="0.4">
      <c r="A15" s="81" t="s">
        <v>826</v>
      </c>
      <c r="B15" s="3"/>
    </row>
    <row r="16" spans="1:6" x14ac:dyDescent="0.35">
      <c r="A16" s="1" t="s">
        <v>827</v>
      </c>
      <c r="B16" s="165">
        <f>Input!$B$51+Input!$B$52</f>
        <v>0.3</v>
      </c>
    </row>
    <row r="17" spans="1:25" x14ac:dyDescent="0.35">
      <c r="A17" s="1" t="s">
        <v>828</v>
      </c>
      <c r="B17" s="190">
        <f>100%-$B$16</f>
        <v>0.7</v>
      </c>
      <c r="C17" s="11"/>
    </row>
    <row r="20" spans="1:25" ht="23.5" x14ac:dyDescent="0.55000000000000004">
      <c r="A20" s="100" t="s">
        <v>829</v>
      </c>
    </row>
    <row r="21" spans="1:25" x14ac:dyDescent="0.35">
      <c r="A21" s="3"/>
    </row>
    <row r="22" spans="1:25" ht="16" x14ac:dyDescent="0.4">
      <c r="A22" s="81" t="s">
        <v>328</v>
      </c>
    </row>
    <row r="23" spans="1:25" x14ac:dyDescent="0.35">
      <c r="A23" s="62" t="s">
        <v>374</v>
      </c>
      <c r="B23" s="304" t="s">
        <v>375</v>
      </c>
      <c r="C23" s="295" t="s">
        <v>330</v>
      </c>
      <c r="D23" s="62" t="s">
        <v>331</v>
      </c>
    </row>
    <row r="24" spans="1:25" x14ac:dyDescent="0.35">
      <c r="A24" s="1" t="s">
        <v>626</v>
      </c>
      <c r="B24" s="106">
        <v>1.24</v>
      </c>
      <c r="C24" t="s">
        <v>333</v>
      </c>
      <c r="D24" s="20" t="s">
        <v>334</v>
      </c>
    </row>
    <row r="25" spans="1:25" x14ac:dyDescent="0.35">
      <c r="A25" s="1" t="s">
        <v>335</v>
      </c>
      <c r="B25" s="106">
        <v>36.286999999999999</v>
      </c>
    </row>
    <row r="26" spans="1:25" x14ac:dyDescent="0.35">
      <c r="A26" s="1" t="s">
        <v>627</v>
      </c>
      <c r="B26" s="163">
        <f>$B$24/$B$25</f>
        <v>3.417201752693802E-2</v>
      </c>
    </row>
    <row r="27" spans="1:25" x14ac:dyDescent="0.35">
      <c r="A27" s="3"/>
    </row>
    <row r="29" spans="1:25" ht="87" x14ac:dyDescent="0.35">
      <c r="A29" s="104" t="s">
        <v>452</v>
      </c>
      <c r="B29" s="104" t="s">
        <v>277</v>
      </c>
      <c r="C29" s="103" t="s">
        <v>589</v>
      </c>
      <c r="D29" s="103" t="s">
        <v>56</v>
      </c>
      <c r="E29" s="103" t="s">
        <v>339</v>
      </c>
      <c r="F29" s="103" t="s">
        <v>340</v>
      </c>
      <c r="G29" s="302" t="s">
        <v>279</v>
      </c>
      <c r="H29" s="302" t="s">
        <v>280</v>
      </c>
      <c r="I29" s="302" t="s">
        <v>281</v>
      </c>
      <c r="J29" s="302" t="s">
        <v>282</v>
      </c>
      <c r="K29" s="302" t="s">
        <v>283</v>
      </c>
      <c r="L29" s="302" t="s">
        <v>284</v>
      </c>
      <c r="M29" s="302" t="s">
        <v>285</v>
      </c>
      <c r="N29" s="302" t="s">
        <v>286</v>
      </c>
      <c r="O29" s="302" t="s">
        <v>287</v>
      </c>
      <c r="P29" s="302" t="s">
        <v>288</v>
      </c>
      <c r="Q29" s="302" t="s">
        <v>289</v>
      </c>
      <c r="R29" s="302" t="s">
        <v>290</v>
      </c>
      <c r="S29" s="302" t="s">
        <v>291</v>
      </c>
      <c r="T29" s="302" t="s">
        <v>292</v>
      </c>
      <c r="U29" s="302" t="s">
        <v>293</v>
      </c>
      <c r="V29" s="302" t="s">
        <v>294</v>
      </c>
      <c r="W29" s="302" t="s">
        <v>295</v>
      </c>
      <c r="X29" s="302" t="s">
        <v>296</v>
      </c>
      <c r="Y29" s="302" t="s">
        <v>297</v>
      </c>
    </row>
    <row r="30" spans="1:25" x14ac:dyDescent="0.35">
      <c r="A30" s="1" t="s">
        <v>830</v>
      </c>
      <c r="B30" s="1" t="s">
        <v>831</v>
      </c>
      <c r="C30" s="191">
        <f>$B$17</f>
        <v>0.7</v>
      </c>
      <c r="D30" s="154">
        <f>$D$12</f>
        <v>27</v>
      </c>
      <c r="E30" s="154" t="str">
        <f>$B$12</f>
        <v>Truck</v>
      </c>
      <c r="F30" s="154" t="str">
        <f>$C$12</f>
        <v>Diesel_Euro5</v>
      </c>
      <c r="G30" s="154" cm="1">
        <f t="array" ref="G30">INDEX(LCI!H$2:H$137,MATCH('D- Benefits &amp; Burdens'!$E$30&amp;'D- Benefits &amp; Burdens'!$F$30,LCI!$B$2:$B$137&amp;LCI!$D$2:$D$137,0))*IF(AND($E30="Truck",$F30="Electric"),$B$26,1)*$D$30*$C$30</f>
        <v>8.3677292999999996E-3</v>
      </c>
      <c r="H30" s="154" cm="1">
        <f t="array" ref="H30">INDEX(LCI!I$2:I$137,MATCH('D- Benefits &amp; Burdens'!$E$30&amp;'D- Benefits &amp; Burdens'!$F$30,LCI!$B$2:$B$137&amp;LCI!$D$2:$D$137,0))*IF(AND($E30="Truck",$F30="Electric"),$B$26,1)*$D$30*$C$30</f>
        <v>3.0586994360999999</v>
      </c>
      <c r="I30" s="154" cm="1">
        <f t="array" ref="I30">INDEX(LCI!J$2:J$137,MATCH('D- Benefits &amp; Burdens'!$E$30&amp;'D- Benefits &amp; Burdens'!$F$30,LCI!$B$2:$B$137&amp;LCI!$D$2:$D$137,0))*IF(AND($E30="Truck",$F30="Electric"),$B$26,1)*$D$30*$C$30</f>
        <v>1.41369732E-3</v>
      </c>
      <c r="J30" s="154" cm="1">
        <f t="array" ref="J30">INDEX(LCI!K$2:K$137,MATCH('D- Benefits &amp; Burdens'!$E$30&amp;'D- Benefits &amp; Burdens'!$F$30,LCI!$B$2:$B$137&amp;LCI!$D$2:$D$137,0))*IF(AND($E30="Truck",$F30="Electric"),$B$26,1)*$D$30*$C$30</f>
        <v>3.0570452324999997</v>
      </c>
      <c r="K30" s="154" cm="1">
        <f t="array" ref="K30">INDEX(LCI!L$2:L$137,MATCH('D- Benefits &amp; Burdens'!$E$30&amp;'D- Benefits &amp; Burdens'!$F$30,LCI!$B$2:$B$137&amp;LCI!$D$2:$D$137,0))*IF(AND($E30="Truck",$F30="Electric"),$B$26,1)*$D$30*$C$30</f>
        <v>2.4050061000000002E-4</v>
      </c>
      <c r="L30" s="154" cm="1">
        <f t="array" ref="L30">INDEX(LCI!M$2:M$137,MATCH('D- Benefits &amp; Burdens'!$E$30&amp;'D- Benefits &amp; Burdens'!$F$30,LCI!$B$2:$B$137&amp;LCI!$D$2:$D$137,0))*IF(AND($E30="Truck",$F30="Electric"),$B$26,1)*$D$30*$C$30</f>
        <v>2.5994460492</v>
      </c>
      <c r="M30" s="154" cm="1">
        <f t="array" ref="M30">INDEX(LCI!N$2:N$137,MATCH('D- Benefits &amp; Burdens'!$E$30&amp;'D- Benefits &amp; Burdens'!$F$30,LCI!$B$2:$B$137&amp;LCI!$D$2:$D$137,0))*IF(AND($E30="Truck",$F30="Electric"),$B$26,1)*$D$30*$C$30</f>
        <v>41.125258628999994</v>
      </c>
      <c r="N30" s="154" cm="1">
        <f t="array" ref="N30">INDEX(LCI!O$2:O$137,MATCH('D- Benefits &amp; Burdens'!$E$30&amp;'D- Benefits &amp; Burdens'!$F$30,LCI!$B$2:$B$137&amp;LCI!$D$2:$D$137,0))*IF(AND($E30="Truck",$F30="Electric"),$B$26,1)*$D$30*$C$30</f>
        <v>7.0364700000000001E-5</v>
      </c>
      <c r="O30" s="154" cm="1">
        <f t="array" ref="O30">INDEX(LCI!P$2:P$137,MATCH('D- Benefits &amp; Burdens'!$E$30&amp;'D- Benefits &amp; Burdens'!$F$30,LCI!$B$2:$B$137&amp;LCI!$D$2:$D$137,0))*IF(AND($E30="Truck",$F30="Electric"),$B$26,1)*$D$30*$C$30</f>
        <v>3.0023405999999998E-3</v>
      </c>
      <c r="P30" s="154" cm="1">
        <f t="array" ref="P30">INDEX(LCI!Q$2:Q$137,MATCH('D- Benefits &amp; Burdens'!$E$30&amp;'D- Benefits &amp; Burdens'!$F$30,LCI!$B$2:$B$137&amp;LCI!$D$2:$D$137,0))*IF(AND($E30="Truck",$F30="Electric"),$B$26,1)*$D$30*$C$30</f>
        <v>3.2750959499999996E-2</v>
      </c>
      <c r="Q30" s="154" cm="1">
        <f t="array" ref="Q30">INDEX(LCI!R$2:R$137,MATCH('D- Benefits &amp; Burdens'!$E$30&amp;'D- Benefits &amp; Burdens'!$F$30,LCI!$B$2:$B$137&amp;LCI!$D$2:$D$137,0))*IF(AND($E30="Truck",$F30="Electric"),$B$26,1)*$D$30*$C$30</f>
        <v>2.8590218999999995E-10</v>
      </c>
      <c r="R30" s="154" cm="1">
        <f t="array" ref="R30">INDEX(LCI!S$2:S$137,MATCH('D- Benefits &amp; Burdens'!$E$30&amp;'D- Benefits &amp; Burdens'!$F$30,LCI!$B$2:$B$137&amp;LCI!$D$2:$D$137,0))*IF(AND($E30="Truck",$F30="Electric"),$B$26,1)*$D$30*$C$30</f>
        <v>2.1921165000000001E-8</v>
      </c>
      <c r="S30" s="154" cm="1">
        <f t="array" ref="S30">INDEX(LCI!T$2:T$137,MATCH('D- Benefits &amp; Burdens'!$E$30&amp;'D- Benefits &amp; Burdens'!$F$30,LCI!$B$2:$B$137&amp;LCI!$D$2:$D$137,0))*IF(AND($E30="Truck",$F30="Electric"),$B$26,1)*$D$30*$C$30</f>
        <v>1.8514969199999998E-2</v>
      </c>
      <c r="T30" s="154" cm="1">
        <f t="array" ref="T30">INDEX(LCI!U$2:U$137,MATCH('D- Benefits &amp; Burdens'!$E$30&amp;'D- Benefits &amp; Burdens'!$F$30,LCI!$B$2:$B$137&amp;LCI!$D$2:$D$137,0))*IF(AND($E30="Truck",$F30="Electric"),$B$26,1)*$D$30*$C$30</f>
        <v>2.5806407759999996</v>
      </c>
      <c r="U30" s="154" cm="1">
        <f t="array" ref="U30">INDEX(LCI!V$2:V$137,MATCH('D- Benefits &amp; Burdens'!$E$30&amp;'D- Benefits &amp; Burdens'!$F$30,LCI!$B$2:$B$137&amp;LCI!$D$2:$D$137,0))*IF(AND($E30="Truck",$F30="Electric"),$B$26,1)*$D$30*$C$30</f>
        <v>3.3154568999999998E-6</v>
      </c>
      <c r="V30" s="154" cm="1">
        <f t="array" ref="V30">INDEX(LCI!W$2:W$137,MATCH('D- Benefits &amp; Burdens'!$E$30&amp;'D- Benefits &amp; Burdens'!$F$30,LCI!$B$2:$B$137&amp;LCI!$D$2:$D$137,0))*IF(AND($E30="Truck",$F30="Electric"),$B$26,1)*$D$30*$C$30</f>
        <v>6.8037353999999989E-8</v>
      </c>
      <c r="W30" s="154" cm="1">
        <f t="array" ref="W30">INDEX(LCI!X$2:X$137,MATCH('D- Benefits &amp; Burdens'!$E$30&amp;'D- Benefits &amp; Burdens'!$F$30,LCI!$B$2:$B$137&amp;LCI!$D$2:$D$137,0))*IF(AND($E30="Truck",$F30="Electric"),$B$26,1)*$D$30*$C$30</f>
        <v>2.068227E-7</v>
      </c>
      <c r="X30" s="154" cm="1">
        <f t="array" ref="X30">INDEX(LCI!Y$2:Y$137,MATCH('D- Benefits &amp; Burdens'!$E$30&amp;'D- Benefits &amp; Burdens'!$F$30,LCI!$B$2:$B$137&amp;LCI!$D$2:$D$137,0))*IF(AND($E30="Truck",$F30="Electric"),$B$26,1)*$D$30*$C$30</f>
        <v>1.31743395E-2</v>
      </c>
      <c r="Y30" s="154" cm="1">
        <f t="array" ref="Y30">INDEX(LCI!Z$2:Z$137,MATCH('D- Benefits &amp; Burdens'!$E$30&amp;'D- Benefits &amp; Burdens'!$F$30,LCI!$B$2:$B$137&amp;LCI!$D$2:$D$137,0))*IF(AND($E30="Truck",$F30="Electric"),$B$26,1)*$D$30*$C$30</f>
        <v>9.2822473799999985E-2</v>
      </c>
    </row>
    <row r="31" spans="1:25" ht="14" customHeight="1" x14ac:dyDescent="0.35">
      <c r="C31" s="92"/>
    </row>
    <row r="32" spans="1:25" ht="14" customHeight="1" x14ac:dyDescent="0.35">
      <c r="C32" s="92"/>
    </row>
    <row r="33" spans="1:4" ht="23.5" x14ac:dyDescent="0.55000000000000004">
      <c r="A33" s="100" t="s">
        <v>832</v>
      </c>
    </row>
    <row r="34" spans="1:4" ht="14" customHeight="1" x14ac:dyDescent="0.45">
      <c r="A34" s="72"/>
      <c r="B34" s="29"/>
    </row>
    <row r="35" spans="1:4" ht="14" customHeight="1" x14ac:dyDescent="0.4">
      <c r="A35" s="81" t="s">
        <v>833</v>
      </c>
      <c r="B35" s="29"/>
    </row>
    <row r="36" spans="1:4" ht="14" customHeight="1" x14ac:dyDescent="0.35">
      <c r="A36" s="62" t="s">
        <v>374</v>
      </c>
      <c r="B36" s="304" t="s">
        <v>375</v>
      </c>
      <c r="C36" s="295" t="s">
        <v>330</v>
      </c>
      <c r="D36" s="62" t="s">
        <v>331</v>
      </c>
    </row>
    <row r="37" spans="1:4" ht="14" customHeight="1" x14ac:dyDescent="0.35">
      <c r="A37" s="2" t="s">
        <v>376</v>
      </c>
      <c r="B37" s="90" t="s">
        <v>377</v>
      </c>
      <c r="C37" s="201" t="s">
        <v>834</v>
      </c>
      <c r="D37" s="1" t="s">
        <v>835</v>
      </c>
    </row>
    <row r="38" spans="1:4" ht="14" customHeight="1" x14ac:dyDescent="0.35">
      <c r="A38" s="2" t="s">
        <v>380</v>
      </c>
      <c r="B38" s="90">
        <v>1</v>
      </c>
      <c r="C38" s="33"/>
      <c r="D38" s="1"/>
    </row>
    <row r="39" spans="1:4" ht="14" customHeight="1" x14ac:dyDescent="0.35">
      <c r="A39" s="2" t="s">
        <v>411</v>
      </c>
      <c r="B39" s="90">
        <v>263.2</v>
      </c>
      <c r="C39" s="1"/>
      <c r="D39" s="1"/>
    </row>
    <row r="40" spans="1:4" ht="14" customHeight="1" x14ac:dyDescent="0.35">
      <c r="A40" s="2" t="s">
        <v>383</v>
      </c>
      <c r="B40" s="90">
        <v>0.25</v>
      </c>
      <c r="C40" s="53" t="s">
        <v>384</v>
      </c>
      <c r="D40" s="30" t="s">
        <v>673</v>
      </c>
    </row>
    <row r="41" spans="1:4" ht="14" customHeight="1" x14ac:dyDescent="0.35">
      <c r="A41" s="2" t="s">
        <v>381</v>
      </c>
      <c r="B41" s="90">
        <v>0.51</v>
      </c>
      <c r="C41" s="218" t="s">
        <v>382</v>
      </c>
      <c r="D41" s="1"/>
    </row>
    <row r="42" spans="1:4" ht="14" customHeight="1" x14ac:dyDescent="0.35">
      <c r="A42" s="42" t="s">
        <v>836</v>
      </c>
      <c r="B42" s="152">
        <f>$B$39*$B$40*$B$41</f>
        <v>33.558</v>
      </c>
      <c r="C42" s="53" t="s">
        <v>397</v>
      </c>
      <c r="D42" s="1" t="s">
        <v>398</v>
      </c>
    </row>
    <row r="43" spans="1:4" ht="14" customHeight="1" x14ac:dyDescent="0.35">
      <c r="A43" s="2" t="s">
        <v>386</v>
      </c>
      <c r="B43" s="90">
        <v>2.2000000000000002</v>
      </c>
      <c r="C43" s="1"/>
      <c r="D43" s="1"/>
    </row>
    <row r="44" spans="1:4" ht="14" customHeight="1" x14ac:dyDescent="0.35">
      <c r="A44" s="2" t="s">
        <v>389</v>
      </c>
      <c r="B44" s="90">
        <v>0.45</v>
      </c>
      <c r="C44" s="1" t="s">
        <v>390</v>
      </c>
      <c r="D44" s="1"/>
    </row>
    <row r="45" spans="1:4" ht="14" customHeight="1" x14ac:dyDescent="0.35">
      <c r="A45" s="2" t="s">
        <v>391</v>
      </c>
      <c r="B45" s="152">
        <f>60/$B$44</f>
        <v>133.33333333333334</v>
      </c>
      <c r="C45" s="1"/>
      <c r="D45" s="1"/>
    </row>
    <row r="46" spans="1:4" ht="14" customHeight="1" x14ac:dyDescent="0.35">
      <c r="A46" s="2" t="s">
        <v>392</v>
      </c>
      <c r="B46" s="90">
        <v>5.4</v>
      </c>
      <c r="C46" s="8"/>
      <c r="D46" s="1"/>
    </row>
    <row r="47" spans="1:4" ht="14" customHeight="1" x14ac:dyDescent="0.35">
      <c r="A47" s="42" t="s">
        <v>393</v>
      </c>
      <c r="B47" s="152">
        <f>$B$43*$B$45*$B$46</f>
        <v>1584.0000000000002</v>
      </c>
      <c r="C47" s="8"/>
      <c r="D47" s="1"/>
    </row>
    <row r="48" spans="1:4" ht="14" customHeight="1" x14ac:dyDescent="0.35">
      <c r="A48" s="42" t="s">
        <v>837</v>
      </c>
      <c r="B48" s="152">
        <f>$B$17/$B$47</f>
        <v>4.4191919191919184E-4</v>
      </c>
      <c r="C48" s="13" t="s">
        <v>838</v>
      </c>
      <c r="D48" s="1"/>
    </row>
    <row r="49" spans="1:4" ht="14" customHeight="1" x14ac:dyDescent="0.45">
      <c r="A49" s="72"/>
      <c r="B49" s="29"/>
    </row>
    <row r="50" spans="1:4" ht="18.5" x14ac:dyDescent="0.45">
      <c r="A50" s="116" t="s">
        <v>986</v>
      </c>
      <c r="B50" s="116"/>
      <c r="C50" s="116"/>
    </row>
    <row r="51" spans="1:4" ht="14" customHeight="1" x14ac:dyDescent="0.45">
      <c r="A51" s="75"/>
      <c r="B51" s="75"/>
      <c r="C51" s="75"/>
    </row>
    <row r="52" spans="1:4" ht="14" customHeight="1" x14ac:dyDescent="0.35">
      <c r="A52" s="62" t="s">
        <v>374</v>
      </c>
      <c r="B52" s="304" t="s">
        <v>375</v>
      </c>
      <c r="C52" s="295" t="s">
        <v>330</v>
      </c>
      <c r="D52" s="62" t="s">
        <v>331</v>
      </c>
    </row>
    <row r="53" spans="1:4" ht="14" customHeight="1" x14ac:dyDescent="0.35">
      <c r="A53" s="1" t="s">
        <v>839</v>
      </c>
      <c r="B53" s="90">
        <v>0.25</v>
      </c>
      <c r="C53" s="223" t="s">
        <v>384</v>
      </c>
      <c r="D53" s="214" t="s">
        <v>479</v>
      </c>
    </row>
    <row r="54" spans="1:4" ht="14" customHeight="1" x14ac:dyDescent="0.35">
      <c r="A54" s="1" t="s">
        <v>381</v>
      </c>
      <c r="B54" s="90">
        <v>0.51</v>
      </c>
      <c r="C54" s="53" t="s">
        <v>382</v>
      </c>
      <c r="D54" s="1"/>
    </row>
    <row r="55" spans="1:4" ht="14" customHeight="1" x14ac:dyDescent="0.35">
      <c r="A55" s="1" t="s">
        <v>406</v>
      </c>
      <c r="B55" s="90" t="s">
        <v>407</v>
      </c>
      <c r="C55" s="46" t="s">
        <v>407</v>
      </c>
      <c r="D55" s="30" t="s">
        <v>840</v>
      </c>
    </row>
    <row r="56" spans="1:4" ht="14" customHeight="1" x14ac:dyDescent="0.35">
      <c r="A56" s="1" t="s">
        <v>409</v>
      </c>
      <c r="B56" s="90">
        <v>1</v>
      </c>
      <c r="C56" s="1"/>
      <c r="D56" s="1"/>
    </row>
    <row r="57" spans="1:4" ht="14" customHeight="1" x14ac:dyDescent="0.35">
      <c r="A57" s="1" t="s">
        <v>410</v>
      </c>
      <c r="B57" s="90">
        <v>400</v>
      </c>
      <c r="C57" s="1"/>
      <c r="D57" s="1"/>
    </row>
    <row r="58" spans="1:4" ht="14" customHeight="1" x14ac:dyDescent="0.35">
      <c r="A58" s="1" t="s">
        <v>411</v>
      </c>
      <c r="B58" s="90">
        <v>200</v>
      </c>
      <c r="C58" s="1"/>
      <c r="D58" s="1"/>
    </row>
    <row r="59" spans="1:4" ht="14" customHeight="1" x14ac:dyDescent="0.35">
      <c r="A59" s="1" t="s">
        <v>841</v>
      </c>
      <c r="B59" s="152">
        <f>$B$53*$B$54*$B$58</f>
        <v>25.5</v>
      </c>
      <c r="C59" s="53" t="s">
        <v>397</v>
      </c>
      <c r="D59" s="1"/>
    </row>
    <row r="60" spans="1:4" ht="14" customHeight="1" x14ac:dyDescent="0.35">
      <c r="A60" s="1" t="s">
        <v>413</v>
      </c>
      <c r="B60" s="152">
        <f>$B$17/$B$57</f>
        <v>1.7499999999999998E-3</v>
      </c>
      <c r="C60" s="1" t="s">
        <v>842</v>
      </c>
      <c r="D60" s="1"/>
    </row>
    <row r="61" spans="1:4" ht="14" customHeight="1" x14ac:dyDescent="0.35">
      <c r="B61" s="29"/>
    </row>
    <row r="62" spans="1:4" ht="18.5" x14ac:dyDescent="0.45">
      <c r="A62" s="116" t="s">
        <v>843</v>
      </c>
      <c r="B62" s="116"/>
      <c r="C62" s="116"/>
    </row>
    <row r="63" spans="1:4" ht="14" customHeight="1" x14ac:dyDescent="0.45">
      <c r="A63" s="74"/>
      <c r="B63" s="29"/>
    </row>
    <row r="64" spans="1:4" ht="14" customHeight="1" x14ac:dyDescent="0.35">
      <c r="A64" s="62" t="s">
        <v>374</v>
      </c>
      <c r="B64" s="304" t="s">
        <v>375</v>
      </c>
      <c r="C64" s="295" t="s">
        <v>330</v>
      </c>
      <c r="D64" s="62" t="s">
        <v>331</v>
      </c>
    </row>
    <row r="65" spans="1:4" ht="14" customHeight="1" x14ac:dyDescent="0.35">
      <c r="A65" s="1" t="s">
        <v>839</v>
      </c>
      <c r="B65" s="90">
        <v>0.25</v>
      </c>
      <c r="C65" s="223" t="s">
        <v>384</v>
      </c>
      <c r="D65" s="214" t="s">
        <v>673</v>
      </c>
    </row>
    <row r="66" spans="1:4" ht="14" customHeight="1" x14ac:dyDescent="0.35">
      <c r="A66" s="1" t="s">
        <v>381</v>
      </c>
      <c r="B66" s="90">
        <v>0.51</v>
      </c>
      <c r="C66" s="53" t="s">
        <v>382</v>
      </c>
      <c r="D66" s="1"/>
    </row>
    <row r="67" spans="1:4" ht="14" customHeight="1" x14ac:dyDescent="0.35">
      <c r="A67" s="1" t="s">
        <v>415</v>
      </c>
      <c r="B67" s="90" t="s">
        <v>416</v>
      </c>
      <c r="C67" s="219" t="s">
        <v>416</v>
      </c>
      <c r="D67" s="30" t="s">
        <v>417</v>
      </c>
    </row>
    <row r="68" spans="1:4" ht="14" customHeight="1" x14ac:dyDescent="0.35">
      <c r="A68" s="1" t="s">
        <v>433</v>
      </c>
      <c r="B68" s="90">
        <v>1</v>
      </c>
      <c r="C68" s="1"/>
      <c r="D68" s="1"/>
    </row>
    <row r="69" spans="1:4" ht="14" customHeight="1" x14ac:dyDescent="0.35">
      <c r="A69" s="1" t="s">
        <v>410</v>
      </c>
      <c r="B69" s="90">
        <v>500</v>
      </c>
      <c r="C69" s="1"/>
      <c r="D69" s="1"/>
    </row>
    <row r="70" spans="1:4" ht="14" customHeight="1" x14ac:dyDescent="0.35">
      <c r="A70" s="1" t="s">
        <v>411</v>
      </c>
      <c r="B70" s="113">
        <v>55</v>
      </c>
      <c r="C70" s="1"/>
      <c r="D70" s="1"/>
    </row>
    <row r="71" spans="1:4" ht="14" customHeight="1" x14ac:dyDescent="0.35">
      <c r="A71" s="1" t="s">
        <v>841</v>
      </c>
      <c r="B71" s="152">
        <f>$B$70*$B$66*$B$65</f>
        <v>7.0125000000000002</v>
      </c>
      <c r="C71" s="53" t="s">
        <v>397</v>
      </c>
      <c r="D71" s="1" t="s">
        <v>398</v>
      </c>
    </row>
    <row r="72" spans="1:4" ht="14" customHeight="1" x14ac:dyDescent="0.35">
      <c r="A72" s="6" t="s">
        <v>419</v>
      </c>
      <c r="B72" s="152">
        <f>B60</f>
        <v>1.7499999999999998E-3</v>
      </c>
      <c r="C72" s="53" t="s">
        <v>844</v>
      </c>
      <c r="D72" s="1"/>
    </row>
    <row r="73" spans="1:4" ht="14" customHeight="1" x14ac:dyDescent="0.35">
      <c r="A73" s="55"/>
      <c r="B73" s="29"/>
      <c r="C73" s="28"/>
    </row>
    <row r="74" spans="1:4" ht="18.5" x14ac:dyDescent="0.45">
      <c r="A74" s="116" t="s">
        <v>845</v>
      </c>
      <c r="B74" s="116"/>
      <c r="C74" s="116"/>
    </row>
    <row r="75" spans="1:4" ht="14" customHeight="1" x14ac:dyDescent="0.45">
      <c r="A75" s="74"/>
      <c r="B75" s="29"/>
    </row>
    <row r="76" spans="1:4" ht="14" customHeight="1" x14ac:dyDescent="0.35">
      <c r="A76" s="62" t="s">
        <v>374</v>
      </c>
      <c r="B76" s="304" t="s">
        <v>375</v>
      </c>
      <c r="C76" s="295" t="s">
        <v>330</v>
      </c>
      <c r="D76" s="62" t="s">
        <v>331</v>
      </c>
    </row>
    <row r="77" spans="1:4" ht="14" customHeight="1" x14ac:dyDescent="0.35">
      <c r="A77" s="1" t="s">
        <v>421</v>
      </c>
      <c r="B77" s="90" t="s">
        <v>422</v>
      </c>
      <c r="C77" s="1" t="s">
        <v>422</v>
      </c>
      <c r="D77" s="225" t="s">
        <v>423</v>
      </c>
    </row>
    <row r="78" spans="1:4" ht="14" customHeight="1" x14ac:dyDescent="0.35">
      <c r="A78" s="1" t="s">
        <v>424</v>
      </c>
      <c r="B78" s="90">
        <v>1</v>
      </c>
      <c r="C78" s="1"/>
      <c r="D78" s="1"/>
    </row>
    <row r="79" spans="1:4" ht="14" customHeight="1" x14ac:dyDescent="0.35">
      <c r="A79" s="1" t="s">
        <v>411</v>
      </c>
      <c r="B79" s="90">
        <v>99</v>
      </c>
      <c r="C79" s="1"/>
      <c r="D79" s="1"/>
    </row>
    <row r="80" spans="1:4" ht="14" customHeight="1" x14ac:dyDescent="0.35">
      <c r="A80" s="2" t="s">
        <v>383</v>
      </c>
      <c r="B80" s="90">
        <v>0.25</v>
      </c>
      <c r="C80" s="223" t="s">
        <v>384</v>
      </c>
      <c r="D80" s="214" t="s">
        <v>479</v>
      </c>
    </row>
    <row r="81" spans="1:4" ht="14" customHeight="1" x14ac:dyDescent="0.35">
      <c r="A81" s="2" t="s">
        <v>381</v>
      </c>
      <c r="B81" s="90">
        <v>0.51</v>
      </c>
      <c r="C81" s="53" t="s">
        <v>382</v>
      </c>
      <c r="D81" s="1"/>
    </row>
    <row r="82" spans="1:4" ht="14" customHeight="1" x14ac:dyDescent="0.35">
      <c r="A82" s="1" t="s">
        <v>410</v>
      </c>
      <c r="B82" s="90">
        <v>500</v>
      </c>
      <c r="C82" s="1"/>
      <c r="D82" s="1"/>
    </row>
    <row r="83" spans="1:4" ht="14" customHeight="1" x14ac:dyDescent="0.35">
      <c r="A83" s="2" t="s">
        <v>846</v>
      </c>
      <c r="B83" s="152">
        <f>$B$82*$B$81*$B$80</f>
        <v>63.75</v>
      </c>
      <c r="C83" s="53" t="s">
        <v>397</v>
      </c>
      <c r="D83" s="1" t="s">
        <v>398</v>
      </c>
    </row>
    <row r="84" spans="1:4" ht="14" customHeight="1" x14ac:dyDescent="0.35">
      <c r="A84" s="2" t="s">
        <v>413</v>
      </c>
      <c r="B84" s="152">
        <f>B60</f>
        <v>1.7499999999999998E-3</v>
      </c>
      <c r="C84" s="53" t="s">
        <v>844</v>
      </c>
      <c r="D84" s="1"/>
    </row>
    <row r="85" spans="1:4" ht="14" customHeight="1" x14ac:dyDescent="0.35">
      <c r="A85" s="29"/>
      <c r="B85" s="29"/>
      <c r="C85" s="28"/>
    </row>
    <row r="86" spans="1:4" ht="14" customHeight="1" x14ac:dyDescent="0.35"/>
    <row r="87" spans="1:4" ht="14" customHeight="1" x14ac:dyDescent="0.35"/>
    <row r="88" spans="1:4" ht="21" x14ac:dyDescent="0.5">
      <c r="A88" s="99" t="s">
        <v>439</v>
      </c>
      <c r="B88" s="29"/>
    </row>
    <row r="89" spans="1:4" ht="21" x14ac:dyDescent="0.5">
      <c r="A89" s="99"/>
      <c r="B89" s="29"/>
    </row>
    <row r="90" spans="1:4" x14ac:dyDescent="0.35">
      <c r="A90" t="s">
        <v>676</v>
      </c>
      <c r="B90" s="29"/>
    </row>
    <row r="91" spans="1:4" ht="14" customHeight="1" x14ac:dyDescent="0.35"/>
    <row r="92" spans="1:4" ht="14" customHeight="1" x14ac:dyDescent="0.35">
      <c r="A92" s="308" t="s">
        <v>441</v>
      </c>
      <c r="B92" s="303" t="s">
        <v>442</v>
      </c>
      <c r="C92" s="308" t="s">
        <v>443</v>
      </c>
      <c r="D92" s="308" t="s">
        <v>396</v>
      </c>
    </row>
    <row r="93" spans="1:4" ht="14" customHeight="1" x14ac:dyDescent="0.35">
      <c r="A93" s="1" t="s">
        <v>444</v>
      </c>
      <c r="B93" s="192">
        <v>0</v>
      </c>
      <c r="C93" s="192">
        <v>0</v>
      </c>
      <c r="D93" s="154">
        <v>0</v>
      </c>
    </row>
    <row r="94" spans="1:4" ht="14" customHeight="1" x14ac:dyDescent="0.35">
      <c r="A94" s="1" t="s">
        <v>357</v>
      </c>
      <c r="B94" s="152">
        <f>$B$60</f>
        <v>1.7499999999999998E-3</v>
      </c>
      <c r="C94" s="152">
        <f>$B$58</f>
        <v>200</v>
      </c>
      <c r="D94" s="154">
        <f>$B$59</f>
        <v>25.5</v>
      </c>
    </row>
    <row r="95" spans="1:4" ht="14" customHeight="1" x14ac:dyDescent="0.35">
      <c r="A95" s="1" t="s">
        <v>446</v>
      </c>
      <c r="B95" s="152">
        <v>0</v>
      </c>
      <c r="C95" s="152">
        <v>0</v>
      </c>
      <c r="D95" s="154">
        <v>0</v>
      </c>
    </row>
    <row r="96" spans="1:4" ht="14" customHeight="1" x14ac:dyDescent="0.35">
      <c r="A96" s="1" t="s">
        <v>361</v>
      </c>
      <c r="B96" s="152">
        <f>$B$72</f>
        <v>1.7499999999999998E-3</v>
      </c>
      <c r="C96" s="152">
        <f>$B$70</f>
        <v>55</v>
      </c>
      <c r="D96" s="154">
        <f>$B$71</f>
        <v>7.0125000000000002</v>
      </c>
    </row>
    <row r="97" spans="1:26" ht="14" customHeight="1" x14ac:dyDescent="0.35">
      <c r="A97" s="1" t="s">
        <v>448</v>
      </c>
      <c r="B97" s="152">
        <v>0</v>
      </c>
      <c r="C97" s="152">
        <v>0</v>
      </c>
      <c r="D97" s="154">
        <v>0</v>
      </c>
    </row>
    <row r="98" spans="1:26" ht="14" customHeight="1" x14ac:dyDescent="0.35">
      <c r="A98" s="1" t="s">
        <v>363</v>
      </c>
      <c r="B98" s="152">
        <f>$B$84</f>
        <v>1.7499999999999998E-3</v>
      </c>
      <c r="C98" s="152">
        <f>$B$79</f>
        <v>99</v>
      </c>
      <c r="D98" s="154">
        <f>$B$83</f>
        <v>63.75</v>
      </c>
    </row>
    <row r="99" spans="1:26" ht="14" customHeight="1" x14ac:dyDescent="0.35">
      <c r="A99" s="1" t="s">
        <v>450</v>
      </c>
      <c r="B99" s="152">
        <v>0</v>
      </c>
      <c r="C99" s="152">
        <v>0</v>
      </c>
      <c r="D99" s="154">
        <v>0</v>
      </c>
    </row>
    <row r="100" spans="1:26" ht="14" customHeight="1" x14ac:dyDescent="0.35">
      <c r="A100" s="1" t="s">
        <v>359</v>
      </c>
      <c r="B100" s="152">
        <f>$B$48</f>
        <v>4.4191919191919184E-4</v>
      </c>
      <c r="C100" s="152">
        <f>$B$39</f>
        <v>263.2</v>
      </c>
      <c r="D100" s="154">
        <f>$B$42</f>
        <v>33.558</v>
      </c>
    </row>
    <row r="101" spans="1:26" ht="14" customHeight="1" x14ac:dyDescent="0.35">
      <c r="A101" s="1" t="s">
        <v>359</v>
      </c>
      <c r="B101" s="152">
        <f>$B$48</f>
        <v>4.4191919191919184E-4</v>
      </c>
      <c r="C101" s="152">
        <f>$B$39</f>
        <v>263.2</v>
      </c>
      <c r="D101" s="154">
        <f>$B$42</f>
        <v>33.558</v>
      </c>
    </row>
    <row r="102" spans="1:26" ht="14" customHeight="1" x14ac:dyDescent="0.35"/>
    <row r="103" spans="1:26" ht="14" customHeight="1" x14ac:dyDescent="0.35"/>
    <row r="104" spans="1:26" ht="72.5" x14ac:dyDescent="0.35">
      <c r="A104" s="302" t="s">
        <v>451</v>
      </c>
      <c r="B104" s="302" t="s">
        <v>452</v>
      </c>
      <c r="C104" s="302" t="s">
        <v>684</v>
      </c>
      <c r="D104" s="302" t="s">
        <v>454</v>
      </c>
      <c r="E104" s="302" t="s">
        <v>847</v>
      </c>
      <c r="F104" s="302" t="s">
        <v>411</v>
      </c>
      <c r="G104" s="302" t="s">
        <v>396</v>
      </c>
      <c r="H104" s="302" t="s">
        <v>279</v>
      </c>
      <c r="I104" s="302" t="s">
        <v>280</v>
      </c>
      <c r="J104" s="302" t="s">
        <v>281</v>
      </c>
      <c r="K104" s="302" t="s">
        <v>282</v>
      </c>
      <c r="L104" s="302" t="s">
        <v>283</v>
      </c>
      <c r="M104" s="302" t="s">
        <v>284</v>
      </c>
      <c r="N104" s="302" t="s">
        <v>285</v>
      </c>
      <c r="O104" s="302" t="s">
        <v>286</v>
      </c>
      <c r="P104" s="302" t="s">
        <v>287</v>
      </c>
      <c r="Q104" s="302" t="s">
        <v>288</v>
      </c>
      <c r="R104" s="302" t="s">
        <v>289</v>
      </c>
      <c r="S104" s="302" t="s">
        <v>290</v>
      </c>
      <c r="T104" s="302" t="s">
        <v>291</v>
      </c>
      <c r="U104" s="302" t="s">
        <v>292</v>
      </c>
      <c r="V104" s="302" t="s">
        <v>293</v>
      </c>
      <c r="W104" s="302" t="s">
        <v>294</v>
      </c>
      <c r="X104" s="302" t="s">
        <v>295</v>
      </c>
      <c r="Y104" s="302" t="s">
        <v>296</v>
      </c>
      <c r="Z104" s="302" t="s">
        <v>297</v>
      </c>
    </row>
    <row r="105" spans="1:26" ht="14" customHeight="1" x14ac:dyDescent="0.35">
      <c r="A105" s="73" t="s">
        <v>455</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456</v>
      </c>
      <c r="B106" s="154" t="str">
        <f>'C3'' - Secondary Raw Material '!$B$7</f>
        <v>Mobile_jaw_crusher_400tph_RAP</v>
      </c>
      <c r="C106" s="154">
        <f>$B$56</f>
        <v>1</v>
      </c>
      <c r="D106" s="154" t="str">
        <f>'C3'' - Secondary Raw Material '!$C$7</f>
        <v>Diesel</v>
      </c>
      <c r="E106" s="154">
        <f>INDEX($B$93:$B$101,MATCH($B106,$A$93:$A$101,0))</f>
        <v>1.7499999999999998E-3</v>
      </c>
      <c r="F106" s="154">
        <f>INDEX($C$93:$C$101,MATCH($B106,$A$93:$A$101,0))</f>
        <v>200</v>
      </c>
      <c r="G106" s="154">
        <f>INDEX($D$93:$D$101,MATCH($B106,$A$93:$A$101,0))</f>
        <v>25.5</v>
      </c>
      <c r="H106" s="154" cm="1">
        <f t="array" ref="H106">INDEX(LCI!H$2:H$137,MATCH($A$105&amp;$D106,LCI!$B$2:$B$137&amp;LCI!$D$2:$D$137,0))*IF($D106="Electric",($F106*$E106)*$B$3,$G106*$E106)</f>
        <v>2.3667073953711199E-4</v>
      </c>
      <c r="I106" s="154" cm="1">
        <f t="array" ref="I106">INDEX(LCI!I$2:I$137,MATCH($A$105&amp;$D106,LCI!$B$2:$B$137&amp;LCI!$D$2:$D$137,0))*IF($D106="Electric",($F106*$E106)*$B$3,$G106*$E106)</f>
        <v>0.18511780169755787</v>
      </c>
      <c r="J106" s="154" cm="1">
        <f t="array" ref="J106">INDEX(LCI!J$2:J$137,MATCH($A$105&amp;$D106,LCI!$B$2:$B$137&amp;LCI!$D$2:$D$137,0))*IF($D106="Electric",($F106*$E106)*$B$3,$G106*$E106)</f>
        <v>3.8259154128883017E-5</v>
      </c>
      <c r="K106" s="154" cm="1">
        <f t="array" ref="K106">INDEX(LCI!K$2:K$137,MATCH($A$105&amp;$D106,LCI!$B$2:$B$137&amp;LCI!$D$2:$D$137,0))*IF($D106="Electric",($F106*$E106)*$B$3,$G106*$E106)</f>
        <v>0.18507135615061526</v>
      </c>
      <c r="L106" s="154" cm="1">
        <f t="array" ref="L106">INDEX(LCI!L$2:L$137,MATCH($A$105&amp;$D106,LCI!$B$2:$B$137&amp;LCI!$D$2:$D$137,0))*IF($D106="Electric",($F106*$E106)*$B$3,$G106*$E106)</f>
        <v>8.1863928137453519E-6</v>
      </c>
      <c r="M106" s="154" cm="1">
        <f t="array" ref="M106">INDEX(LCI!M$2:M$137,MATCH($A$105&amp;$D106,LCI!$B$2:$B$137&amp;LCI!$D$2:$D$137,0))*IF($D106="Electric",($F106*$E106)*$B$3,$G106*$E106)</f>
        <v>8.1790714177850526E-2</v>
      </c>
      <c r="N106" s="154" cm="1">
        <f t="array" ref="N106">INDEX(LCI!N$2:N$137,MATCH($A$105&amp;$D106,LCI!$B$2:$B$137&amp;LCI!$D$2:$D$137,0))*IF($D106="Electric",($F106*$E106)*$B$3,$G106*$E106)</f>
        <v>2.4588592505684952</v>
      </c>
      <c r="O106" s="154" cm="1">
        <f t="array" ref="O106">INDEX(LCI!O$2:O$137,MATCH($A$105&amp;$D106,LCI!$B$2:$B$137&amp;LCI!$D$2:$D$137,0))*IF($D106="Electric",($F106*$E106)*$B$3,$G106*$E106)</f>
        <v>1.9569453654493039E-6</v>
      </c>
      <c r="P106" s="154" cm="1">
        <f t="array" ref="P106">INDEX(LCI!P$2:P$137,MATCH($A$105&amp;$D106,LCI!$B$2:$B$137&amp;LCI!$D$2:$D$137,0))*IF($D106="Electric",($F106*$E106)*$B$3,$G106*$E106)</f>
        <v>5.3518965012633332E-5</v>
      </c>
      <c r="Q106" s="154" cm="1">
        <f t="array" ref="Q106">INDEX(LCI!Q$2:Q$137,MATCH($A$105&amp;$D106,LCI!$B$2:$B$137&amp;LCI!$D$2:$D$137,0))*IF($D106="Electric",($F106*$E106)*$B$3,$G106*$E106)</f>
        <v>5.8181709805887221E-4</v>
      </c>
      <c r="R106" s="154" cm="1">
        <f t="array" ref="R106">INDEX(LCI!R$2:R$137,MATCH($A$105&amp;$D106,LCI!$B$2:$B$137&amp;LCI!$D$2:$D$137,0))*IF($D106="Electric",($F106*$E106)*$B$3,$G106*$E106)</f>
        <v>1.1312648021615282E-11</v>
      </c>
      <c r="S106" s="154" cm="1">
        <f t="array" ref="S106">INDEX(LCI!S$2:S$137,MATCH($A$105&amp;$D106,LCI!$B$2:$B$137&amp;LCI!$D$2:$D$137,0))*IF($D106="Electric",($F106*$E106)*$B$3,$G106*$E106)</f>
        <v>3.0152823815899659E-10</v>
      </c>
      <c r="T106" s="154" cm="1">
        <f t="array" ref="T106">INDEX(LCI!T$2:T$137,MATCH($A$105&amp;$D106,LCI!$B$2:$B$137&amp;LCI!$D$2:$D$137,0))*IF($D106="Electric",($F106*$E106)*$B$3,$G106*$E106)</f>
        <v>7.3829287332207881E-4</v>
      </c>
      <c r="U106" s="154" cm="1">
        <f t="array" ref="U106">INDEX(LCI!U$2:U$137,MATCH($A$105&amp;$D106,LCI!$B$2:$B$137&amp;LCI!$D$2:$D$137,0))*IF($D106="Electric",($F106*$E106)*$B$3,$G106*$E106)</f>
        <v>0.12642084334250403</v>
      </c>
      <c r="V106" s="154" cm="1">
        <f t="array" ref="V106">INDEX(LCI!V$2:V$137,MATCH($A$105&amp;$D106,LCI!$B$2:$B$137&amp;LCI!$D$2:$D$137,0))*IF($D106="Electric",($F106*$E106)*$B$3,$G106*$E106)</f>
        <v>2.8865770956607367E-8</v>
      </c>
      <c r="W106" s="154" cm="1">
        <f t="array" ref="W106">INDEX(LCI!W$2:W$137,MATCH($A$105&amp;$D106,LCI!$B$2:$B$137&amp;LCI!$D$2:$D$137,0))*IF($D106="Electric",($F106*$E106)*$B$3,$G106*$E106)</f>
        <v>4.1715588681533579E-9</v>
      </c>
      <c r="X106" s="154" cm="1">
        <f t="array" ref="X106">INDEX(LCI!X$2:X$137,MATCH($A$105&amp;$D106,LCI!$B$2:$B$137&amp;LCI!$D$2:$D$137,0))*IF($D106="Electric",($F106*$E106)*$B$3,$G106*$E106)</f>
        <v>1.8232733543583709E-9</v>
      </c>
      <c r="Y106" s="154" cm="1">
        <f t="array" ref="Y106">INDEX(LCI!Y$2:Y$137,MATCH($A$105&amp;$D106,LCI!$B$2:$B$137&amp;LCI!$D$2:$D$137,0))*IF($D106="Electric",($F106*$E106)*$B$3,$G106*$E106)</f>
        <v>4.5597043312333753E-4</v>
      </c>
      <c r="Z106" s="154" cm="1">
        <f t="array" ref="Z106">INDEX(LCI!Z$2:Z$137,MATCH($A$105&amp;$D106,LCI!$B$2:$B$137&amp;LCI!$D$2:$D$137,0))*IF($D106="Electric",($F106*$E106)*$B$3,$G106*$E106)</f>
        <v>3.3278798482704128E-3</v>
      </c>
    </row>
    <row r="107" spans="1:26" ht="14" customHeight="1" x14ac:dyDescent="0.35">
      <c r="A107" s="1" t="s">
        <v>457</v>
      </c>
      <c r="B107" s="154" t="str">
        <f>'C3'' - Secondary Raw Material '!$B$8</f>
        <v>Wheel_loader_338tph_Komatsu_WA500_RAP</v>
      </c>
      <c r="C107" s="154">
        <f>$B$38</f>
        <v>1</v>
      </c>
      <c r="D107" s="154" t="str">
        <f>'C3'' - Secondary Raw Material '!$C$8</f>
        <v>Diesel</v>
      </c>
      <c r="E107" s="154">
        <f>INDEX($B$93:$B$101,MATCH($B107,$A$93:$A$101,0))</f>
        <v>4.4191919191919184E-4</v>
      </c>
      <c r="F107" s="154">
        <f>INDEX($C$93:$C$101,MATCH($B107,$A$93:$A$101,0))</f>
        <v>263.2</v>
      </c>
      <c r="G107" s="154">
        <f t="shared" ref="G107:G109" si="0">INDEX($D$93:$D$101,MATCH($B107,$A$93:$A$101,0))</f>
        <v>33.558</v>
      </c>
      <c r="H107" s="154" cm="1">
        <f t="array" ref="H107">INDEX(LCI!H$2:H$137,MATCH($A$105&amp;$D107,LCI!$B$2:$B$137&amp;LCI!$D$2:$D$137,0))*IF($D107="Electric",($F107*$E107)*$B$3,$G107*$E107)</f>
        <v>7.8651185159302864E-5</v>
      </c>
      <c r="I107" s="154" cm="1">
        <f t="array" ref="I107">INDEX(LCI!I$2:I$137,MATCH($A$105&amp;$D107,LCI!$B$2:$B$137&amp;LCI!$D$2:$D$137,0))*IF($D107="Electric",($F107*$E107)*$B$3,$G107*$E107)</f>
        <v>6.1518946220703571E-2</v>
      </c>
      <c r="J107" s="154" cm="1">
        <f t="array" ref="J107">INDEX(LCI!J$2:J$137,MATCH($A$105&amp;$D107,LCI!$B$2:$B$137&amp;LCI!$D$2:$D$137,0))*IF($D107="Electric",($F107*$E107)*$B$3,$G107*$E107)</f>
        <v>1.2714405766063143E-5</v>
      </c>
      <c r="K107" s="154" cm="1">
        <f t="array" ref="K107">INDEX(LCI!K$2:K$137,MATCH($A$105&amp;$D107,LCI!$B$2:$B$137&amp;LCI!$D$2:$D$137,0))*IF($D107="Electric",($F107*$E107)*$B$3,$G107*$E107)</f>
        <v>6.1503511286416575E-2</v>
      </c>
      <c r="L107" s="154" cm="1">
        <f t="array" ref="L107">INDEX(LCI!L$2:L$137,MATCH($A$105&amp;$D107,LCI!$B$2:$B$137&amp;LCI!$D$2:$D$137,0))*IF($D107="Electric",($F107*$E107)*$B$3,$G107*$E107)</f>
        <v>2.7205285209315357E-6</v>
      </c>
      <c r="M107" s="154" cm="1">
        <f t="array" ref="M107">INDEX(LCI!M$2:M$137,MATCH($A$105&amp;$D107,LCI!$B$2:$B$137&amp;LCI!$D$2:$D$137,0))*IF($D107="Electric",($F107*$E107)*$B$3,$G107*$E107)</f>
        <v>2.7180954509608907E-2</v>
      </c>
      <c r="N107" s="154" cm="1">
        <f t="array" ref="N107">INDEX(LCI!N$2:N$137,MATCH($A$105&amp;$D107,LCI!$B$2:$B$137&amp;LCI!$D$2:$D$137,0))*IF($D107="Electric",($F107*$E107)*$B$3,$G107*$E107)</f>
        <v>0.81713605397680278</v>
      </c>
      <c r="O107" s="154" cm="1">
        <f t="array" ref="O107">INDEX(LCI!O$2:O$137,MATCH($A$105&amp;$D107,LCI!$B$2:$B$137&amp;LCI!$D$2:$D$137,0))*IF($D107="Electric",($F107*$E107)*$B$3,$G107*$E107)</f>
        <v>6.5033840932608178E-7</v>
      </c>
      <c r="P107" s="154" cm="1">
        <f t="array" ref="P107">INDEX(LCI!P$2:P$137,MATCH($A$105&amp;$D107,LCI!$B$2:$B$137&amp;LCI!$D$2:$D$137,0))*IF($D107="Electric",($F107*$E107)*$B$3,$G107*$E107)</f>
        <v>1.7785595443592287E-5</v>
      </c>
      <c r="Q107" s="154" cm="1">
        <f t="array" ref="Q107">INDEX(LCI!Q$2:Q$137,MATCH($A$105&amp;$D107,LCI!$B$2:$B$137&amp;LCI!$D$2:$D$137,0))*IF($D107="Electric",($F107*$E107)*$B$3,$G107*$E107)</f>
        <v>1.9335133864784739E-4</v>
      </c>
      <c r="R107" s="154" cm="1">
        <f t="array" ref="R107">INDEX(LCI!R$2:R$137,MATCH($A$105&amp;$D107,LCI!$B$2:$B$137&amp;LCI!$D$2:$D$137,0))*IF($D107="Electric",($F107*$E107)*$B$3,$G107*$E107)</f>
        <v>3.7594557566782097E-12</v>
      </c>
      <c r="S107" s="154" cm="1">
        <f t="array" ref="S107">INDEX(LCI!S$2:S$137,MATCH($A$105&amp;$D107,LCI!$B$2:$B$137&amp;LCI!$D$2:$D$137,0))*IF($D107="Electric",($F107*$E107)*$B$3,$G107*$E107)</f>
        <v>1.0020483874172713E-10</v>
      </c>
      <c r="T107" s="154" cm="1">
        <f t="array" ref="T107">INDEX(LCI!T$2:T$137,MATCH($A$105&amp;$D107,LCI!$B$2:$B$137&amp;LCI!$D$2:$D$137,0))*IF($D107="Electric",($F107*$E107)*$B$3,$G107*$E107)</f>
        <v>2.4535187406359992E-4</v>
      </c>
      <c r="U107" s="154" cm="1">
        <f t="array" ref="U107">INDEX(LCI!U$2:U$137,MATCH($A$105&amp;$D107,LCI!$B$2:$B$137&amp;LCI!$D$2:$D$137,0))*IF($D107="Electric",($F107*$E107)*$B$3,$G107*$E107)</f>
        <v>4.2012583292609922E-2</v>
      </c>
      <c r="V107" s="154" cm="1">
        <f t="array" ref="V107">INDEX(LCI!V$2:V$137,MATCH($A$105&amp;$D107,LCI!$B$2:$B$137&amp;LCI!$D$2:$D$137,0))*IF($D107="Electric",($F107*$E107)*$B$3,$G107*$E107)</f>
        <v>9.592766307801842E-9</v>
      </c>
      <c r="W107" s="154" cm="1">
        <f t="array" ref="W107">INDEX(LCI!W$2:W$137,MATCH($A$105&amp;$D107,LCI!$B$2:$B$137&amp;LCI!$D$2:$D$137,0))*IF($D107="Electric",($F107*$E107)*$B$3,$G107*$E107)</f>
        <v>1.3863059268913682E-9</v>
      </c>
      <c r="X107" s="154" cm="1">
        <f t="array" ref="X107">INDEX(LCI!X$2:X$137,MATCH($A$105&amp;$D107,LCI!$B$2:$B$137&amp;LCI!$D$2:$D$137,0))*IF($D107="Electric",($F107*$E107)*$B$3,$G107*$E107)</f>
        <v>6.0591609452919587E-10</v>
      </c>
      <c r="Y107" s="154" cm="1">
        <f t="array" ref="Y107">INDEX(LCI!Y$2:Y$137,MATCH($A$105&amp;$D107,LCI!$B$2:$B$137&amp;LCI!$D$2:$D$137,0))*IF($D107="Electric",($F107*$E107)*$B$3,$G107*$E107)</f>
        <v>1.5152956817937176E-4</v>
      </c>
      <c r="Z107" s="154" cm="1">
        <f t="array" ref="Z107">INDEX(LCI!Z$2:Z$137,MATCH($A$105&amp;$D107,LCI!$B$2:$B$137&amp;LCI!$D$2:$D$137,0))*IF($D107="Electric",($F107*$E107)*$B$3,$G107*$E107)</f>
        <v>1.1059317879605712E-3</v>
      </c>
    </row>
    <row r="108" spans="1:26" ht="14" customHeight="1" x14ac:dyDescent="0.35">
      <c r="A108" s="1" t="s">
        <v>458</v>
      </c>
      <c r="B108" s="154" t="str">
        <f>'C3'' - Secondary Raw Material '!$B$9</f>
        <v>Tracked_stacker_500tph_RAP</v>
      </c>
      <c r="C108" s="154">
        <f>$B$68</f>
        <v>1</v>
      </c>
      <c r="D108" s="154" t="str">
        <f>'C3'' - Secondary Raw Material '!$C$9</f>
        <v>Diesel</v>
      </c>
      <c r="E108" s="154">
        <f>INDEX($B$93:$B$101,MATCH($B108,$A$93:$A$101,0))</f>
        <v>1.7499999999999998E-3</v>
      </c>
      <c r="F108" s="154">
        <f>INDEX($C$93:$C$101,MATCH($B108,$A$93:$A$101,0))</f>
        <v>55</v>
      </c>
      <c r="G108" s="154">
        <f t="shared" si="0"/>
        <v>7.0125000000000002</v>
      </c>
      <c r="H108" s="154" cm="1">
        <f t="array" ref="H108">INDEX(LCI!H$2:H$137,MATCH($A$105&amp;$D108,LCI!$B$2:$B$137&amp;LCI!$D$2:$D$137,0))*IF($D108="Electric",($F108*$E108)*$B$3,$G108*$E108)</f>
        <v>6.5084453372705794E-5</v>
      </c>
      <c r="I108" s="154" cm="1">
        <f t="array" ref="I108">INDEX(LCI!I$2:I$137,MATCH($A$105&amp;$D108,LCI!$B$2:$B$137&amp;LCI!$D$2:$D$137,0))*IF($D108="Electric",($F108*$E108)*$B$3,$G108*$E108)</f>
        <v>5.0907395466828417E-2</v>
      </c>
      <c r="J108" s="154" cm="1">
        <f t="array" ref="J108">INDEX(LCI!J$2:J$137,MATCH($A$105&amp;$D108,LCI!$B$2:$B$137&amp;LCI!$D$2:$D$137,0))*IF($D108="Electric",($F108*$E108)*$B$3,$G108*$E108)</f>
        <v>1.0521267385442831E-5</v>
      </c>
      <c r="K108" s="154" cm="1">
        <f t="array" ref="K108">INDEX(LCI!K$2:K$137,MATCH($A$105&amp;$D108,LCI!$B$2:$B$137&amp;LCI!$D$2:$D$137,0))*IF($D108="Electric",($F108*$E108)*$B$3,$G108*$E108)</f>
        <v>5.08946229414192E-2</v>
      </c>
      <c r="L108" s="154" cm="1">
        <f t="array" ref="L108">INDEX(LCI!L$2:L$137,MATCH($A$105&amp;$D108,LCI!$B$2:$B$137&amp;LCI!$D$2:$D$137,0))*IF($D108="Electric",($F108*$E108)*$B$3,$G108*$E108)</f>
        <v>2.2512580237799719E-6</v>
      </c>
      <c r="M108" s="154" cm="1">
        <f t="array" ref="M108">INDEX(LCI!M$2:M$137,MATCH($A$105&amp;$D108,LCI!$B$2:$B$137&amp;LCI!$D$2:$D$137,0))*IF($D108="Electric",($F108*$E108)*$B$3,$G108*$E108)</f>
        <v>2.2492446398908895E-2</v>
      </c>
      <c r="N108" s="154" cm="1">
        <f t="array" ref="N108">INDEX(LCI!N$2:N$137,MATCH($A$105&amp;$D108,LCI!$B$2:$B$137&amp;LCI!$D$2:$D$137,0))*IF($D108="Electric",($F108*$E108)*$B$3,$G108*$E108)</f>
        <v>0.67618629390633622</v>
      </c>
      <c r="O108" s="154" cm="1">
        <f t="array" ref="O108">INDEX(LCI!O$2:O$137,MATCH($A$105&amp;$D108,LCI!$B$2:$B$137&amp;LCI!$D$2:$D$137,0))*IF($D108="Electric",($F108*$E108)*$B$3,$G108*$E108)</f>
        <v>5.3815997549855857E-7</v>
      </c>
      <c r="P108" s="154" cm="1">
        <f t="array" ref="P108">INDEX(LCI!P$2:P$137,MATCH($A$105&amp;$D108,LCI!$B$2:$B$137&amp;LCI!$D$2:$D$137,0))*IF($D108="Electric",($F108*$E108)*$B$3,$G108*$E108)</f>
        <v>1.4717715378474166E-5</v>
      </c>
      <c r="Q108" s="154" cm="1">
        <f t="array" ref="Q108">INDEX(LCI!Q$2:Q$137,MATCH($A$105&amp;$D108,LCI!$B$2:$B$137&amp;LCI!$D$2:$D$137,0))*IF($D108="Electric",($F108*$E108)*$B$3,$G108*$E108)</f>
        <v>1.5999970196618984E-4</v>
      </c>
      <c r="R108" s="154" cm="1">
        <f t="array" ref="R108">INDEX(LCI!R$2:R$137,MATCH($A$105&amp;$D108,LCI!$B$2:$B$137&amp;LCI!$D$2:$D$137,0))*IF($D108="Electric",($F108*$E108)*$B$3,$G108*$E108)</f>
        <v>3.1109782059442026E-12</v>
      </c>
      <c r="S108" s="154" cm="1">
        <f t="array" ref="S108">INDEX(LCI!S$2:S$137,MATCH($A$105&amp;$D108,LCI!$B$2:$B$137&amp;LCI!$D$2:$D$137,0))*IF($D108="Electric",($F108*$E108)*$B$3,$G108*$E108)</f>
        <v>8.2920265493724062E-11</v>
      </c>
      <c r="T108" s="154" cm="1">
        <f t="array" ref="T108">INDEX(LCI!T$2:T$137,MATCH($A$105&amp;$D108,LCI!$B$2:$B$137&amp;LCI!$D$2:$D$137,0))*IF($D108="Electric",($F108*$E108)*$B$3,$G108*$E108)</f>
        <v>2.0303054016357168E-4</v>
      </c>
      <c r="U108" s="154" cm="1">
        <f t="array" ref="U108">INDEX(LCI!U$2:U$137,MATCH($A$105&amp;$D108,LCI!$B$2:$B$137&amp;LCI!$D$2:$D$137,0))*IF($D108="Electric",($F108*$E108)*$B$3,$G108*$E108)</f>
        <v>3.4765731919188608E-2</v>
      </c>
      <c r="V108" s="154" cm="1">
        <f t="array" ref="V108">INDEX(LCI!V$2:V$137,MATCH($A$105&amp;$D108,LCI!$B$2:$B$137&amp;LCI!$D$2:$D$137,0))*IF($D108="Electric",($F108*$E108)*$B$3,$G108*$E108)</f>
        <v>7.938087013067026E-9</v>
      </c>
      <c r="W108" s="154" cm="1">
        <f t="array" ref="W108">INDEX(LCI!W$2:W$137,MATCH($A$105&amp;$D108,LCI!$B$2:$B$137&amp;LCI!$D$2:$D$137,0))*IF($D108="Electric",($F108*$E108)*$B$3,$G108*$E108)</f>
        <v>1.1471786887421734E-9</v>
      </c>
      <c r="X108" s="154" cm="1">
        <f t="array" ref="X108">INDEX(LCI!X$2:X$137,MATCH($A$105&amp;$D108,LCI!$B$2:$B$137&amp;LCI!$D$2:$D$137,0))*IF($D108="Electric",($F108*$E108)*$B$3,$G108*$E108)</f>
        <v>5.0140017244855199E-10</v>
      </c>
      <c r="Y108" s="154" cm="1">
        <f t="array" ref="Y108">INDEX(LCI!Y$2:Y$137,MATCH($A$105&amp;$D108,LCI!$B$2:$B$137&amp;LCI!$D$2:$D$137,0))*IF($D108="Electric",($F108*$E108)*$B$3,$G108*$E108)</f>
        <v>1.2539186910891784E-4</v>
      </c>
      <c r="Z108" s="154" cm="1">
        <f t="array" ref="Z108">INDEX(LCI!Z$2:Z$137,MATCH($A$105&amp;$D108,LCI!$B$2:$B$137&amp;LCI!$D$2:$D$137,0))*IF($D108="Electric",($F108*$E108)*$B$3,$G108*$E108)</f>
        <v>9.1516695827436353E-4</v>
      </c>
    </row>
    <row r="109" spans="1:26" ht="14" customHeight="1" x14ac:dyDescent="0.35">
      <c r="A109" s="1" t="s">
        <v>362</v>
      </c>
      <c r="B109" s="154" t="str">
        <f>'C3'' - Secondary Raw Material '!$B$10</f>
        <v>Mobile_screener_500tph_RAP</v>
      </c>
      <c r="C109" s="154">
        <f>$B$78</f>
        <v>1</v>
      </c>
      <c r="D109" s="154" t="str">
        <f>'C3'' - Secondary Raw Material '!$C$10</f>
        <v>Diesel</v>
      </c>
      <c r="E109" s="154">
        <f>INDEX($B$93:$B$101,MATCH($B109,$A$93:$A$101,0))</f>
        <v>1.7499999999999998E-3</v>
      </c>
      <c r="F109" s="154">
        <f>INDEX($C$93:$C$101,MATCH($B109,$A$93:$A$101,0))</f>
        <v>99</v>
      </c>
      <c r="G109" s="154">
        <f t="shared" si="0"/>
        <v>63.75</v>
      </c>
      <c r="H109" s="154" cm="1">
        <f t="array" ref="H109">INDEX(LCI!H$2:H$137,MATCH($A$105&amp;$D109,LCI!$B$2:$B$137&amp;LCI!$D$2:$D$137,0))*IF($D109="Electric",($F109*$E109)*$B$3,$G109*$E109)</f>
        <v>5.9167684884277999E-4</v>
      </c>
      <c r="I109" s="154" cm="1">
        <f t="array" ref="I109">INDEX(LCI!I$2:I$137,MATCH($A$105&amp;$D109,LCI!$B$2:$B$137&amp;LCI!$D$2:$D$137,0))*IF($D109="Electric",($F109*$E109)*$B$3,$G109*$E109)</f>
        <v>0.46279450424389473</v>
      </c>
      <c r="J109" s="154" cm="1">
        <f t="array" ref="J109">INDEX(LCI!J$2:J$137,MATCH($A$105&amp;$D109,LCI!$B$2:$B$137&amp;LCI!$D$2:$D$137,0))*IF($D109="Electric",($F109*$E109)*$B$3,$G109*$E109)</f>
        <v>9.564788532220754E-5</v>
      </c>
      <c r="K109" s="154" cm="1">
        <f t="array" ref="K109">INDEX(LCI!K$2:K$137,MATCH($A$105&amp;$D109,LCI!$B$2:$B$137&amp;LCI!$D$2:$D$137,0))*IF($D109="Electric",($F109*$E109)*$B$3,$G109*$E109)</f>
        <v>0.46267839037653813</v>
      </c>
      <c r="L109" s="154" cm="1">
        <f t="array" ref="L109">INDEX(LCI!L$2:L$137,MATCH($A$105&amp;$D109,LCI!$B$2:$B$137&amp;LCI!$D$2:$D$137,0))*IF($D109="Electric",($F109*$E109)*$B$3,$G109*$E109)</f>
        <v>2.0465982034363379E-5</v>
      </c>
      <c r="M109" s="154" cm="1">
        <f t="array" ref="M109">INDEX(LCI!M$2:M$137,MATCH($A$105&amp;$D109,LCI!$B$2:$B$137&amp;LCI!$D$2:$D$137,0))*IF($D109="Electric",($F109*$E109)*$B$3,$G109*$E109)</f>
        <v>0.2044767854446263</v>
      </c>
      <c r="N109" s="154" cm="1">
        <f t="array" ref="N109">INDEX(LCI!N$2:N$137,MATCH($A$105&amp;$D109,LCI!$B$2:$B$137&amp;LCI!$D$2:$D$137,0))*IF($D109="Electric",($F109*$E109)*$B$3,$G109*$E109)</f>
        <v>6.1471481264212375</v>
      </c>
      <c r="O109" s="154" cm="1">
        <f t="array" ref="O109">INDEX(LCI!O$2:O$137,MATCH($A$105&amp;$D109,LCI!$B$2:$B$137&amp;LCI!$D$2:$D$137,0))*IF($D109="Electric",($F109*$E109)*$B$3,$G109*$E109)</f>
        <v>4.8923634136232597E-6</v>
      </c>
      <c r="P109" s="154" cm="1">
        <f t="array" ref="P109">INDEX(LCI!P$2:P$137,MATCH($A$105&amp;$D109,LCI!$B$2:$B$137&amp;LCI!$D$2:$D$137,0))*IF($D109="Electric",($F109*$E109)*$B$3,$G109*$E109)</f>
        <v>1.3379741253158331E-4</v>
      </c>
      <c r="Q109" s="154" cm="1">
        <f t="array" ref="Q109">INDEX(LCI!Q$2:Q$137,MATCH($A$105&amp;$D109,LCI!$B$2:$B$137&amp;LCI!$D$2:$D$137,0))*IF($D109="Electric",($F109*$E109)*$B$3,$G109*$E109)</f>
        <v>1.4545427451471804E-3</v>
      </c>
      <c r="R109" s="154" cm="1">
        <f t="array" ref="R109">INDEX(LCI!R$2:R$137,MATCH($A$105&amp;$D109,LCI!$B$2:$B$137&amp;LCI!$D$2:$D$137,0))*IF($D109="Electric",($F109*$E109)*$B$3,$G109*$E109)</f>
        <v>2.8281620054038207E-11</v>
      </c>
      <c r="S109" s="154" cm="1">
        <f t="array" ref="S109">INDEX(LCI!S$2:S$137,MATCH($A$105&amp;$D109,LCI!$B$2:$B$137&amp;LCI!$D$2:$D$137,0))*IF($D109="Electric",($F109*$E109)*$B$3,$G109*$E109)</f>
        <v>7.5382059539749146E-10</v>
      </c>
      <c r="T109" s="154" cm="1">
        <f t="array" ref="T109">INDEX(LCI!T$2:T$137,MATCH($A$105&amp;$D109,LCI!$B$2:$B$137&amp;LCI!$D$2:$D$137,0))*IF($D109="Electric",($F109*$E109)*$B$3,$G109*$E109)</f>
        <v>1.8457321833051971E-3</v>
      </c>
      <c r="U109" s="154" cm="1">
        <f t="array" ref="U109">INDEX(LCI!U$2:U$137,MATCH($A$105&amp;$D109,LCI!$B$2:$B$137&amp;LCI!$D$2:$D$137,0))*IF($D109="Electric",($F109*$E109)*$B$3,$G109*$E109)</f>
        <v>0.31605210835626008</v>
      </c>
      <c r="V109" s="154" cm="1">
        <f t="array" ref="V109">INDEX(LCI!V$2:V$137,MATCH($A$105&amp;$D109,LCI!$B$2:$B$137&amp;LCI!$D$2:$D$137,0))*IF($D109="Electric",($F109*$E109)*$B$3,$G109*$E109)</f>
        <v>7.2164427391518425E-8</v>
      </c>
      <c r="W109" s="154" cm="1">
        <f t="array" ref="W109">INDEX(LCI!W$2:W$137,MATCH($A$105&amp;$D109,LCI!$B$2:$B$137&amp;LCI!$D$2:$D$137,0))*IF($D109="Electric",($F109*$E109)*$B$3,$G109*$E109)</f>
        <v>1.0428897170383394E-8</v>
      </c>
      <c r="X109" s="154" cm="1">
        <f t="array" ref="X109">INDEX(LCI!X$2:X$137,MATCH($A$105&amp;$D109,LCI!$B$2:$B$137&amp;LCI!$D$2:$D$137,0))*IF($D109="Electric",($F109*$E109)*$B$3,$G109*$E109)</f>
        <v>4.5581833858959269E-9</v>
      </c>
      <c r="Y109" s="154" cm="1">
        <f t="array" ref="Y109">INDEX(LCI!Y$2:Y$137,MATCH($A$105&amp;$D109,LCI!$B$2:$B$137&amp;LCI!$D$2:$D$137,0))*IF($D109="Electric",($F109*$E109)*$B$3,$G109*$E109)</f>
        <v>1.1399260828083438E-3</v>
      </c>
      <c r="Z109" s="154" cm="1">
        <f t="array" ref="Z109">INDEX(LCI!Z$2:Z$137,MATCH($A$105&amp;$D109,LCI!$B$2:$B$137&amp;LCI!$D$2:$D$137,0))*IF($D109="Electric",($F109*$E109)*$B$3,$G109*$E109)</f>
        <v>8.3196996206760312E-3</v>
      </c>
    </row>
    <row r="110" spans="1:26" ht="14" customHeight="1" x14ac:dyDescent="0.35">
      <c r="A110" s="406" t="s">
        <v>200</v>
      </c>
      <c r="B110" s="406"/>
      <c r="C110" s="406"/>
      <c r="D110" s="406"/>
      <c r="E110" s="406"/>
      <c r="F110" s="406"/>
      <c r="G110" s="21"/>
      <c r="H110" s="1">
        <f>SUM(H106:H109)</f>
        <v>9.7208322691190062E-4</v>
      </c>
      <c r="I110" s="1">
        <f t="shared" ref="I110:Z110" si="1">SUM(I106:I109)</f>
        <v>0.76033864762898462</v>
      </c>
      <c r="J110" s="1">
        <f t="shared" si="1"/>
        <v>1.5714271260259654E-4</v>
      </c>
      <c r="K110" s="1">
        <f t="shared" si="1"/>
        <v>0.76014788075498918</v>
      </c>
      <c r="L110" s="1">
        <f t="shared" si="1"/>
        <v>3.3624161392820239E-5</v>
      </c>
      <c r="M110" s="1">
        <f t="shared" si="1"/>
        <v>0.33594090053099462</v>
      </c>
      <c r="N110" s="1">
        <f t="shared" si="1"/>
        <v>10.099329724872872</v>
      </c>
      <c r="O110" s="1">
        <f t="shared" si="1"/>
        <v>8.0378071638972046E-6</v>
      </c>
      <c r="P110" s="1">
        <f t="shared" si="1"/>
        <v>2.1981968836628309E-4</v>
      </c>
      <c r="Q110" s="1">
        <f t="shared" si="1"/>
        <v>2.3897108838200898E-3</v>
      </c>
      <c r="R110" s="1">
        <f t="shared" si="1"/>
        <v>4.6464702038275903E-11</v>
      </c>
      <c r="S110" s="1">
        <f t="shared" si="1"/>
        <v>1.2384739377919393E-9</v>
      </c>
      <c r="T110" s="1">
        <f t="shared" si="1"/>
        <v>3.0324074708544474E-3</v>
      </c>
      <c r="U110" s="1">
        <f t="shared" si="1"/>
        <v>0.51925126691056267</v>
      </c>
      <c r="V110" s="1">
        <f t="shared" si="1"/>
        <v>1.1856105166899467E-7</v>
      </c>
      <c r="W110" s="1">
        <f t="shared" si="1"/>
        <v>1.7133940654170295E-8</v>
      </c>
      <c r="X110" s="1">
        <f t="shared" si="1"/>
        <v>7.4887730072320456E-9</v>
      </c>
      <c r="Y110" s="1">
        <f t="shared" si="1"/>
        <v>1.872817953219971E-3</v>
      </c>
      <c r="Z110" s="1">
        <f t="shared" si="1"/>
        <v>1.366867821518138E-2</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848</v>
      </c>
    </row>
    <row r="114" spans="1:4" ht="14" customHeight="1" x14ac:dyDescent="0.35"/>
    <row r="115" spans="1:4" ht="14" customHeight="1" x14ac:dyDescent="0.35">
      <c r="A115" s="62" t="s">
        <v>561</v>
      </c>
      <c r="B115" s="62" t="s">
        <v>849</v>
      </c>
      <c r="C115" s="62" t="s">
        <v>330</v>
      </c>
      <c r="D115" s="62" t="s">
        <v>331</v>
      </c>
    </row>
    <row r="116" spans="1:4" ht="14" customHeight="1" x14ac:dyDescent="0.35">
      <c r="A116" s="1" t="s">
        <v>850</v>
      </c>
      <c r="B116" s="130">
        <v>0.61799999999999999</v>
      </c>
      <c r="C116" s="428" t="s">
        <v>851</v>
      </c>
      <c r="D116" s="430" t="s">
        <v>852</v>
      </c>
    </row>
    <row r="117" spans="1:4" ht="14" customHeight="1" x14ac:dyDescent="0.35">
      <c r="A117" s="1" t="s">
        <v>853</v>
      </c>
      <c r="B117" s="130">
        <v>0.38200000000000001</v>
      </c>
      <c r="C117" s="429"/>
      <c r="D117" s="431"/>
    </row>
    <row r="118" spans="1:4" ht="14" customHeight="1" x14ac:dyDescent="0.35"/>
    <row r="119" spans="1:4" ht="14" customHeight="1" x14ac:dyDescent="0.35"/>
    <row r="120" spans="1:4" ht="14" customHeight="1" x14ac:dyDescent="0.35">
      <c r="A120" s="302" t="s">
        <v>561</v>
      </c>
      <c r="B120" s="302" t="s">
        <v>854</v>
      </c>
      <c r="C120" s="62" t="s">
        <v>330</v>
      </c>
      <c r="D120" s="62" t="s">
        <v>331</v>
      </c>
    </row>
    <row r="121" spans="1:4" ht="14" customHeight="1" x14ac:dyDescent="0.35">
      <c r="A121" s="89" t="s">
        <v>855</v>
      </c>
      <c r="B121" s="193">
        <v>5.3999999999999999E-2</v>
      </c>
      <c r="C121" s="425" t="s">
        <v>851</v>
      </c>
      <c r="D121" s="426" t="s">
        <v>856</v>
      </c>
    </row>
    <row r="122" spans="1:4" ht="14" customHeight="1" x14ac:dyDescent="0.35">
      <c r="A122" s="1" t="s">
        <v>857</v>
      </c>
      <c r="B122" s="194">
        <v>9.9000000000000005E-2</v>
      </c>
      <c r="C122" s="425"/>
      <c r="D122" s="427"/>
    </row>
    <row r="123" spans="1:4" ht="14" customHeight="1" x14ac:dyDescent="0.35">
      <c r="A123" s="1" t="s">
        <v>858</v>
      </c>
      <c r="B123" s="194">
        <v>0.35499999999999998</v>
      </c>
      <c r="C123" s="425"/>
      <c r="D123" s="427"/>
    </row>
    <row r="124" spans="1:4" ht="14" customHeight="1" x14ac:dyDescent="0.35">
      <c r="A124" s="1" t="s">
        <v>859</v>
      </c>
      <c r="B124" s="194">
        <v>0.49199999999999999</v>
      </c>
      <c r="C124" s="425"/>
      <c r="D124" s="427"/>
    </row>
    <row r="125" spans="1:4" ht="14" customHeight="1" x14ac:dyDescent="0.35"/>
    <row r="126" spans="1:4" ht="18.5" x14ac:dyDescent="0.45">
      <c r="A126" s="116" t="s">
        <v>860</v>
      </c>
    </row>
    <row r="127" spans="1:4" ht="14" customHeight="1" x14ac:dyDescent="0.35">
      <c r="A127" s="36"/>
    </row>
    <row r="128" spans="1:4" ht="14" customHeight="1" x14ac:dyDescent="0.35">
      <c r="A128" s="1" t="s">
        <v>861</v>
      </c>
      <c r="B128" s="169">
        <f>$B$17*$B$116</f>
        <v>0.43259999999999998</v>
      </c>
      <c r="C128" s="91"/>
    </row>
    <row r="129" spans="1:23" ht="14" customHeight="1" x14ac:dyDescent="0.35">
      <c r="A129" s="1" t="s">
        <v>862</v>
      </c>
      <c r="B129" s="169">
        <f>$B$16*$B$117</f>
        <v>0.11459999999999999</v>
      </c>
    </row>
    <row r="130" spans="1:23" ht="14" customHeight="1" x14ac:dyDescent="0.35"/>
    <row r="131" spans="1:23" ht="14" customHeight="1" x14ac:dyDescent="0.35">
      <c r="A131" s="1" t="s">
        <v>863</v>
      </c>
      <c r="B131" s="195">
        <f>-1*$B$128*$B$121</f>
        <v>-2.33604E-2</v>
      </c>
    </row>
    <row r="132" spans="1:23" ht="14" customHeight="1" x14ac:dyDescent="0.35">
      <c r="A132" s="1" t="s">
        <v>864</v>
      </c>
      <c r="B132" s="195">
        <f>-1*$B$128*$B$122</f>
        <v>-4.2827400000000002E-2</v>
      </c>
    </row>
    <row r="133" spans="1:23" ht="14" customHeight="1" x14ac:dyDescent="0.35">
      <c r="A133" s="1" t="s">
        <v>865</v>
      </c>
      <c r="B133" s="195">
        <f>-1*($B$128+B129)*$B$124</f>
        <v>-0.26922240000000003</v>
      </c>
    </row>
    <row r="134" spans="1:23" ht="14" customHeight="1" x14ac:dyDescent="0.35">
      <c r="A134" s="1" t="s">
        <v>866</v>
      </c>
      <c r="B134" s="195">
        <f>-1*($B$128+B129)*$B$123</f>
        <v>-0.19425599999999998</v>
      </c>
    </row>
    <row r="135" spans="1:23" ht="14" customHeight="1" x14ac:dyDescent="0.35"/>
    <row r="136" spans="1:23" ht="14" customHeight="1" x14ac:dyDescent="0.35"/>
    <row r="137" spans="1:23" ht="14" customHeight="1" x14ac:dyDescent="0.35"/>
    <row r="138" spans="1:23" ht="87" x14ac:dyDescent="0.35">
      <c r="A138" s="103" t="s">
        <v>276</v>
      </c>
      <c r="B138" s="103" t="s">
        <v>277</v>
      </c>
      <c r="C138" s="103" t="s">
        <v>589</v>
      </c>
      <c r="D138" s="103" t="s">
        <v>867</v>
      </c>
      <c r="E138" s="103" t="s">
        <v>279</v>
      </c>
      <c r="F138" s="103" t="s">
        <v>280</v>
      </c>
      <c r="G138" s="103" t="s">
        <v>281</v>
      </c>
      <c r="H138" s="103" t="s">
        <v>282</v>
      </c>
      <c r="I138" s="103" t="s">
        <v>283</v>
      </c>
      <c r="J138" s="103" t="s">
        <v>284</v>
      </c>
      <c r="K138" s="103" t="s">
        <v>285</v>
      </c>
      <c r="L138" s="103" t="s">
        <v>286</v>
      </c>
      <c r="M138" s="103" t="s">
        <v>287</v>
      </c>
      <c r="N138" s="103" t="s">
        <v>288</v>
      </c>
      <c r="O138" s="103" t="s">
        <v>289</v>
      </c>
      <c r="P138" s="103" t="s">
        <v>290</v>
      </c>
      <c r="Q138" s="103" t="s">
        <v>291</v>
      </c>
      <c r="R138" s="103" t="s">
        <v>292</v>
      </c>
      <c r="S138" s="103" t="s">
        <v>293</v>
      </c>
      <c r="T138" s="103" t="s">
        <v>294</v>
      </c>
      <c r="U138" s="103" t="s">
        <v>295</v>
      </c>
      <c r="V138" s="103" t="s">
        <v>296</v>
      </c>
      <c r="W138" s="103" t="s">
        <v>297</v>
      </c>
    </row>
    <row r="139" spans="1:23" ht="14" customHeight="1" x14ac:dyDescent="0.35">
      <c r="A139" s="1" t="s">
        <v>863</v>
      </c>
      <c r="B139" s="1" t="s">
        <v>59</v>
      </c>
      <c r="C139" s="195">
        <f>$B$131</f>
        <v>-2.33604E-2</v>
      </c>
      <c r="D139" s="176" t="str">
        <f>Input!C39</f>
        <v>Conventional_Bitumen</v>
      </c>
      <c r="E139" s="154" cm="1">
        <f t="array" ref="E139">INDEX(LCI!H$2:H$137,MATCH('D- Benefits &amp; Burdens'!$B139&amp;'D- Benefits &amp; Burdens'!$D139,LCI!$B$2:$B$137&amp;LCI!$D$2:$D$137,0))*$C$139</f>
        <v>-4.0179887999999997E-2</v>
      </c>
      <c r="F139" s="154" cm="1">
        <f t="array" ref="F139">INDEX(LCI!I$2:I$137,MATCH('D- Benefits &amp; Burdens'!$B139&amp;'D- Benefits &amp; Burdens'!$D139,LCI!$B$2:$B$137&amp;LCI!$D$2:$D$137,0))*$C$139</f>
        <v>-12.381012</v>
      </c>
      <c r="G139" s="154" cm="1">
        <f t="array" ref="G139">INDEX(LCI!J$2:J$137,MATCH('D- Benefits &amp; Burdens'!$B139&amp;'D- Benefits &amp; Burdens'!$D139,LCI!$B$2:$B$137&amp;LCI!$D$2:$D$137,0))*$C$139</f>
        <v>-4.9056840000000004E-2</v>
      </c>
      <c r="H139" s="154" cm="1">
        <f t="array" ref="H139">INDEX(LCI!K$2:K$137,MATCH('D- Benefits &amp; Burdens'!$B139&amp;'D- Benefits &amp; Burdens'!$D139,LCI!$B$2:$B$137&amp;LCI!$D$2:$D$137,0))*$C$139</f>
        <v>-12.334291199999999</v>
      </c>
      <c r="I139" s="154" cm="1">
        <f t="array" ref="I139">INDEX(LCI!L$2:L$137,MATCH('D- Benefits &amp; Burdens'!$B139&amp;'D- Benefits &amp; Burdens'!$D139,LCI!$B$2:$B$137&amp;LCI!$D$2:$D$137,0))*$C$139</f>
        <v>-6.1905060000000001E-3</v>
      </c>
      <c r="J139" s="154" cm="1">
        <f t="array" ref="J139">INDEX(LCI!M$2:M$137,MATCH('D- Benefits &amp; Burdens'!$B139&amp;'D- Benefits &amp; Burdens'!$D139,LCI!$B$2:$B$137&amp;LCI!$D$2:$D$137,0))*$C$139</f>
        <v>-665.77139999999997</v>
      </c>
      <c r="K139" s="154" cm="1">
        <f t="array" ref="K139">INDEX(LCI!N$2:N$137,MATCH('D- Benefits &amp; Burdens'!$B139&amp;'D- Benefits &amp; Burdens'!$D139,LCI!$B$2:$B$137&amp;LCI!$D$2:$D$137,0))*$C$139</f>
        <v>-1069.9063200000001</v>
      </c>
      <c r="L139" s="154" cm="1">
        <f t="array" ref="L139">INDEX(LCI!O$2:O$137,MATCH('D- Benefits &amp; Burdens'!$B139&amp;'D- Benefits &amp; Burdens'!$D139,LCI!$B$2:$B$137&amp;LCI!$D$2:$D$137,0))*$C$139</f>
        <v>-1.0395377999999999E-5</v>
      </c>
      <c r="M139" s="154" cm="1">
        <f t="array" ref="M139">INDEX(LCI!P$2:P$137,MATCH('D- Benefits &amp; Burdens'!$B139&amp;'D- Benefits &amp; Burdens'!$D139,LCI!$B$2:$B$137&amp;LCI!$D$2:$D$137,0))*$C$139</f>
        <v>-1.03720176E-2</v>
      </c>
      <c r="N139" s="154" cm="1">
        <f t="array" ref="N139">INDEX(LCI!Q$2:Q$137,MATCH('D- Benefits &amp; Burdens'!$B139&amp;'D- Benefits &amp; Burdens'!$D139,LCI!$B$2:$B$137&amp;LCI!$D$2:$D$137,0))*$C$139</f>
        <v>-0.11353154400000001</v>
      </c>
      <c r="O139" s="154" cm="1">
        <f t="array" ref="O139">INDEX(LCI!R$2:R$137,MATCH('D- Benefits &amp; Burdens'!$B139&amp;'D- Benefits &amp; Burdens'!$D139,LCI!$B$2:$B$137&amp;LCI!$D$2:$D$137,0))*$C$139</f>
        <v>-1.1586758400000001E-8</v>
      </c>
      <c r="P139" s="154" cm="1">
        <f t="array" ref="P139">INDEX(LCI!S$2:S$137,MATCH('D- Benefits &amp; Burdens'!$B139&amp;'D- Benefits &amp; Burdens'!$D139,LCI!$B$2:$B$137&amp;LCI!$D$2:$D$137,0))*$C$139</f>
        <v>-3.3405372E-7</v>
      </c>
      <c r="Q139" s="154" cm="1">
        <f t="array" ref="Q139">INDEX(LCI!T$2:T$137,MATCH('D- Benefits &amp; Burdens'!$B139&amp;'D- Benefits &amp; Burdens'!$D139,LCI!$B$2:$B$137&amp;LCI!$D$2:$D$137,0))*$C$139</f>
        <v>-0.17637101999999999</v>
      </c>
      <c r="R139" s="154" cm="1">
        <f t="array" ref="R139">INDEX(LCI!U$2:U$137,MATCH('D- Benefits &amp; Burdens'!$B139&amp;'D- Benefits &amp; Burdens'!$D139,LCI!$B$2:$B$137&amp;LCI!$D$2:$D$137,0))*$C$139</f>
        <v>-6.1437851999999999</v>
      </c>
      <c r="S139" s="154" cm="1">
        <f t="array" ref="S139">INDEX(LCI!V$2:V$137,MATCH('D- Benefits &amp; Burdens'!$B139&amp;'D- Benefits &amp; Burdens'!$D139,LCI!$B$2:$B$137&amp;LCI!$D$2:$D$137,0))*$C$139</f>
        <v>-2.3827608E-6</v>
      </c>
      <c r="T139" s="154" cm="1">
        <f t="array" ref="T139">INDEX(LCI!W$2:W$137,MATCH('D- Benefits &amp; Burdens'!$B139&amp;'D- Benefits &amp; Burdens'!$D139,LCI!$B$2:$B$137&amp;LCI!$D$2:$D$137,0))*$C$139</f>
        <v>-7.7556528000000004E-12</v>
      </c>
      <c r="U139" s="154" cm="1">
        <f t="array" ref="U139">INDEX(LCI!X$2:X$137,MATCH('D- Benefits &amp; Burdens'!$B139&amp;'D- Benefits &amp; Burdens'!$D139,LCI!$B$2:$B$137&amp;LCI!$D$2:$D$137,0))*$C$139</f>
        <v>-6.2605872E-7</v>
      </c>
      <c r="V139" s="154" cm="1">
        <f t="array" ref="V139">INDEX(LCI!Y$2:Y$137,MATCH('D- Benefits &amp; Burdens'!$B139&amp;'D- Benefits &amp; Burdens'!$D139,LCI!$B$2:$B$137&amp;LCI!$D$2:$D$137,0))*$C$139</f>
        <v>-4.7421611999999995E-2</v>
      </c>
      <c r="W139" s="154" cm="1">
        <f t="array" ref="W139">INDEX(LCI!Z$2:Z$137,MATCH('D- Benefits &amp; Burdens'!$B139&amp;'D- Benefits &amp; Burdens'!$D139,LCI!$B$2:$B$137&amp;LCI!$D$2:$D$137,0))*$C$139</f>
        <v>-0.16842848399999999</v>
      </c>
    </row>
    <row r="140" spans="1:23" ht="14" customHeight="1" x14ac:dyDescent="0.35">
      <c r="A140" s="1" t="s">
        <v>864</v>
      </c>
      <c r="B140" s="1" t="s">
        <v>77</v>
      </c>
      <c r="C140" s="195">
        <f>$B$132</f>
        <v>-4.2827400000000002E-2</v>
      </c>
      <c r="D140" s="176" t="str">
        <f>Input!C49</f>
        <v>Limestone_residue</v>
      </c>
      <c r="E140" s="154" cm="1">
        <f t="array" ref="E140">INDEX(LCI!H$2:H$137,MATCH('D- Benefits &amp; Burdens'!$B140&amp;'D- Benefits &amp; Burdens'!$D140,LCI!$B$2:$B$137&amp;LCI!$D$2:$D$137,0))*$C$140</f>
        <v>-7.2480855828086074E-3</v>
      </c>
      <c r="F140" s="154" cm="1">
        <f t="array" ref="F140">INDEX(LCI!I$2:I$137,MATCH('D- Benefits &amp; Burdens'!$B140&amp;'D- Benefits &amp; Burdens'!$D140,LCI!$B$2:$B$137&amp;LCI!$D$2:$D$137,0))*$C$140</f>
        <v>-0.94737620791540567</v>
      </c>
      <c r="G140" s="154" cm="1">
        <f t="array" ref="G140">INDEX(LCI!J$2:J$137,MATCH('D- Benefits &amp; Burdens'!$B140&amp;'D- Benefits &amp; Burdens'!$D140,LCI!$B$2:$B$137&amp;LCI!$D$2:$D$137,0))*$C$140</f>
        <v>-1.4774654030505841E-2</v>
      </c>
      <c r="H140" s="154" cm="1">
        <f t="array" ref="H140">INDEX(LCI!K$2:K$137,MATCH('D- Benefits &amp; Burdens'!$B140&amp;'D- Benefits &amp; Burdens'!$D140,LCI!$B$2:$B$137&amp;LCI!$D$2:$D$137,0))*$C$140</f>
        <v>-0.93100043186025327</v>
      </c>
      <c r="I140" s="154" cm="1">
        <f t="array" ref="I140">INDEX(LCI!L$2:L$137,MATCH('D- Benefits &amp; Burdens'!$B140&amp;'D- Benefits &amp; Burdens'!$D140,LCI!$B$2:$B$137&amp;LCI!$D$2:$D$137,0))*$C$140</f>
        <v>-1.6011220246464912E-3</v>
      </c>
      <c r="J140" s="154" cm="1">
        <f t="array" ref="J140">INDEX(LCI!M$2:M$137,MATCH('D- Benefits &amp; Burdens'!$B140&amp;'D- Benefits &amp; Burdens'!$D140,LCI!$B$2:$B$137&amp;LCI!$D$2:$D$137,0))*$C$140</f>
        <v>-2.9572357625819019</v>
      </c>
      <c r="K140" s="154" cm="1">
        <f t="array" ref="K140">INDEX(LCI!N$2:N$137,MATCH('D- Benefits &amp; Burdens'!$B140&amp;'D- Benefits &amp; Burdens'!$D140,LCI!$B$2:$B$137&amp;LCI!$D$2:$D$137,0))*$C$140</f>
        <v>-15.864297627135885</v>
      </c>
      <c r="L140" s="154" cm="1">
        <f t="array" ref="L140">INDEX(LCI!O$2:O$137,MATCH('D- Benefits &amp; Burdens'!$B140&amp;'D- Benefits &amp; Burdens'!$D140,LCI!$B$2:$B$137&amp;LCI!$D$2:$D$137,0))*$C$140</f>
        <v>-5.6926113903009868E-4</v>
      </c>
      <c r="M140" s="154" cm="1">
        <f t="array" ref="M140">INDEX(LCI!P$2:P$137,MATCH('D- Benefits &amp; Burdens'!$B140&amp;'D- Benefits &amp; Burdens'!$D140,LCI!$B$2:$B$137&amp;LCI!$D$2:$D$137,0))*$C$140</f>
        <v>-1.6414777326539999E-3</v>
      </c>
      <c r="N140" s="154" cm="1">
        <f t="array" ref="N140">INDEX(LCI!Q$2:Q$137,MATCH('D- Benefits &amp; Burdens'!$B140&amp;'D- Benefits &amp; Burdens'!$D140,LCI!$B$2:$B$137&amp;LCI!$D$2:$D$137,0))*$C$140</f>
        <v>-1.9456079493570384E-2</v>
      </c>
      <c r="O140" s="154" cm="1">
        <f t="array" ref="O140">INDEX(LCI!R$2:R$137,MATCH('D- Benefits &amp; Burdens'!$B140&amp;'D- Benefits &amp; Burdens'!$D140,LCI!$B$2:$B$137&amp;LCI!$D$2:$D$137,0))*$C$140</f>
        <v>-1.9522320984513078E-10</v>
      </c>
      <c r="P140" s="154" cm="1">
        <f t="array" ref="P140">INDEX(LCI!S$2:S$137,MATCH('D- Benefits &amp; Burdens'!$B140&amp;'D- Benefits &amp; Burdens'!$D140,LCI!$B$2:$B$137&amp;LCI!$D$2:$D$137,0))*$C$140</f>
        <v>-7.417745436868156E-9</v>
      </c>
      <c r="Q140" s="154" cm="1">
        <f t="array" ref="Q140">INDEX(LCI!T$2:T$137,MATCH('D- Benefits &amp; Burdens'!$B140&amp;'D- Benefits &amp; Burdens'!$D140,LCI!$B$2:$B$137&amp;LCI!$D$2:$D$137,0))*$C$140</f>
        <v>-0.30454180078598542</v>
      </c>
      <c r="R140" s="154" cm="1">
        <f t="array" ref="R140">INDEX(LCI!U$2:U$137,MATCH('D- Benefits &amp; Burdens'!$B140&amp;'D- Benefits &amp; Burdens'!$D140,LCI!$B$2:$B$137&amp;LCI!$D$2:$D$137,0))*$C$140</f>
        <v>-4.8920568793900054</v>
      </c>
      <c r="S140" s="154" cm="1">
        <f t="array" ref="S140">INDEX(LCI!V$2:V$137,MATCH('D- Benefits &amp; Burdens'!$B140&amp;'D- Benefits &amp; Burdens'!$D140,LCI!$B$2:$B$137&amp;LCI!$D$2:$D$137,0))*$C$140</f>
        <v>-2.7867996834265543E-6</v>
      </c>
      <c r="T140" s="154" cm="1">
        <f t="array" ref="T140">INDEX(LCI!W$2:W$137,MATCH('D- Benefits &amp; Burdens'!$B140&amp;'D- Benefits &amp; Burdens'!$D140,LCI!$B$2:$B$137&amp;LCI!$D$2:$D$137,0))*$C$140</f>
        <v>-1.2127284771164252E-8</v>
      </c>
      <c r="U140" s="154" cm="1">
        <f t="array" ref="U140">INDEX(LCI!X$2:X$137,MATCH('D- Benefits &amp; Burdens'!$B140&amp;'D- Benefits &amp; Burdens'!$D140,LCI!$B$2:$B$137&amp;LCI!$D$2:$D$137,0))*$C$140</f>
        <v>-7.6678485927542402E-8</v>
      </c>
      <c r="V140" s="154" cm="1">
        <f t="array" ref="V140">INDEX(LCI!Y$2:Y$137,MATCH('D- Benefits &amp; Burdens'!$B140&amp;'D- Benefits &amp; Burdens'!$D140,LCI!$B$2:$B$137&amp;LCI!$D$2:$D$137,0))*$C$140</f>
        <v>-5.1388182398949718E-3</v>
      </c>
      <c r="W140" s="154" cm="1">
        <f t="array" ref="W140">INDEX(LCI!Z$2:Z$137,MATCH('D- Benefits &amp; Burdens'!$B140&amp;'D- Benefits &amp; Burdens'!$D140,LCI!$B$2:$B$137&amp;LCI!$D$2:$D$137,0))*$C$140</f>
        <v>-1.9772688563369476</v>
      </c>
    </row>
    <row r="141" spans="1:23" ht="14" customHeight="1" x14ac:dyDescent="0.35">
      <c r="A141" s="1" t="s">
        <v>865</v>
      </c>
      <c r="B141" s="1" t="s">
        <v>62</v>
      </c>
      <c r="C141" s="195">
        <f>$B$133</f>
        <v>-0.26922240000000003</v>
      </c>
      <c r="D141" s="94"/>
      <c r="E141" s="154">
        <f>INDEX(LCI!H$2:H$137,MATCH('D- Benefits &amp; Burdens'!$B$141,LCI!$D$2:$D$137,0))*$C$141</f>
        <v>-1.4655669292787669E-2</v>
      </c>
      <c r="F141" s="154">
        <f>INDEX(LCI!I$2:I$137,MATCH('D- Benefits &amp; Burdens'!$B$141,LCI!$D$2:$D$137,0))*$C$141</f>
        <v>-0.76160680160773897</v>
      </c>
      <c r="G141" s="154">
        <f>INDEX(LCI!J$2:J$137,MATCH('D- Benefits &amp; Burdens'!$B$141,LCI!$D$2:$D$137,0))*$C$141</f>
        <v>-2.347542500540156E-3</v>
      </c>
      <c r="H141" s="154">
        <f>INDEX(LCI!K$2:K$137,MATCH('D- Benefits &amp; Burdens'!$B$141,LCI!$D$2:$D$137,0))*$C$141</f>
        <v>-0.75900889721440212</v>
      </c>
      <c r="I141" s="154">
        <f>INDEX(LCI!L$2:L$137,MATCH('D- Benefits &amp; Burdens'!$B$141,LCI!$D$2:$D$137,0))*$C$141</f>
        <v>-2.5036189279653651E-4</v>
      </c>
      <c r="J141" s="154">
        <f>INDEX(LCI!M$2:M$137,MATCH('D- Benefits &amp; Burdens'!$B$141,LCI!$D$2:$D$137,0))*$C$141</f>
        <v>-7.5255544780829347</v>
      </c>
      <c r="K141" s="154">
        <f>INDEX(LCI!N$2:N$137,MATCH('D- Benefits &amp; Burdens'!$B$141,LCI!$D$2:$D$137,0))*$C$141</f>
        <v>-10.791774022823558</v>
      </c>
      <c r="L141" s="154">
        <f>INDEX(LCI!O$2:O$137,MATCH('D- Benefits &amp; Burdens'!$B$141,LCI!$D$2:$D$137,0))*$C$141</f>
        <v>-5.6275216266641469E-5</v>
      </c>
      <c r="M141" s="154">
        <f>INDEX(LCI!P$2:P$137,MATCH('D- Benefits &amp; Burdens'!$B$141,LCI!$D$2:$D$137,0))*$C$141</f>
        <v>-5.2644061437122488E-3</v>
      </c>
      <c r="N141" s="154">
        <f>INDEX(LCI!Q$2:Q$137,MATCH('D- Benefits &amp; Burdens'!$B$141,LCI!$D$2:$D$137,0))*$C$141</f>
        <v>-7.3426905431849876E-2</v>
      </c>
      <c r="O141" s="154">
        <f>INDEX(LCI!R$2:R$137,MATCH('D- Benefits &amp; Burdens'!$B$141,LCI!$D$2:$D$137,0))*$C$141</f>
        <v>-1.372537038332449E-10</v>
      </c>
      <c r="P141" s="154">
        <f>INDEX(LCI!S$2:S$137,MATCH('D- Benefits &amp; Burdens'!$B$141,LCI!$D$2:$D$137,0))*$C$141</f>
        <v>-3.6435167362792405E-9</v>
      </c>
      <c r="Q141" s="154">
        <f>INDEX(LCI!T$2:T$137,MATCH('D- Benefits &amp; Burdens'!$B$141,LCI!$D$2:$D$137,0))*$C$141</f>
        <v>-2.8791530511477918E-2</v>
      </c>
      <c r="R141" s="154">
        <f>INDEX(LCI!U$2:U$137,MATCH('D- Benefits &amp; Burdens'!$B$141,LCI!$D$2:$D$137,0))*$C$141</f>
        <v>-8.8760555023183514</v>
      </c>
      <c r="S141" s="154">
        <f>INDEX(LCI!V$2:V$137,MATCH('D- Benefits &amp; Burdens'!$B$141,LCI!$D$2:$D$137,0))*$C$141</f>
        <v>-2.2074421142253213E-6</v>
      </c>
      <c r="T141" s="154">
        <f>INDEX(LCI!W$2:W$137,MATCH('D- Benefits &amp; Burdens'!$B$141,LCI!$D$2:$D$137,0))*$C$141</f>
        <v>-1.2553939128773711E-8</v>
      </c>
      <c r="U141" s="154">
        <f>INDEX(LCI!X$2:X$137,MATCH('D- Benefits &amp; Burdens'!$B$141,LCI!$D$2:$D$137,0))*$C$141</f>
        <v>-2.3735714186745847E-7</v>
      </c>
      <c r="V141" s="154">
        <f>INDEX(LCI!Y$2:Y$137,MATCH('D- Benefits &amp; Burdens'!$B$141,LCI!$D$2:$D$137,0))*$C$141</f>
        <v>-1.6583011729087289E-2</v>
      </c>
      <c r="W141" s="154">
        <f>INDEX(LCI!Z$2:Z$137,MATCH('D- Benefits &amp; Burdens'!$B$141,LCI!$D$2:$D$137,0))*$C$141</f>
        <v>-1.0837889978467863</v>
      </c>
    </row>
    <row r="142" spans="1:23" ht="14" customHeight="1" x14ac:dyDescent="0.35">
      <c r="A142" s="9" t="s">
        <v>866</v>
      </c>
      <c r="B142" s="9" t="s">
        <v>73</v>
      </c>
      <c r="C142" s="196">
        <f>B134</f>
        <v>-0.19425599999999998</v>
      </c>
      <c r="D142" s="94"/>
      <c r="E142" s="154">
        <f>INDEX(LCI!H$2:H$137,MATCH('D- Benefits &amp; Burdens'!$B$142,LCI!$D$2:$D$137,0))*$C$142</f>
        <v>-8.9310864495955131E-3</v>
      </c>
      <c r="F142" s="154">
        <f>INDEX(LCI!I$2:I$137,MATCH('D- Benefits &amp; Burdens'!$B$142,LCI!$D$2:$D$137,0))*$C$142</f>
        <v>-1.0130154825271522</v>
      </c>
      <c r="G142" s="154">
        <f>INDEX(LCI!J$2:J$137,MATCH('D- Benefits &amp; Burdens'!$B$142,LCI!$D$2:$D$137,0))*$C$142</f>
        <v>2.4371335735976125E-4</v>
      </c>
      <c r="H142" s="154">
        <f>INDEX(LCI!K$2:K$137,MATCH('D- Benefits &amp; Burdens'!$B$142,LCI!$D$2:$D$137,0))*$C$142</f>
        <v>-1.0131197910789436</v>
      </c>
      <c r="I142" s="154">
        <f>INDEX(LCI!L$2:L$137,MATCH('D- Benefits &amp; Burdens'!$B$142,LCI!$D$2:$D$137,0))*$C$142</f>
        <v>-1.3940480556886E-4</v>
      </c>
      <c r="J142" s="154">
        <f>INDEX(LCI!M$2:M$137,MATCH('D- Benefits &amp; Burdens'!$B$142,LCI!$D$2:$D$137,0))*$C$142</f>
        <v>-0.86515576199929611</v>
      </c>
      <c r="K142" s="154">
        <f>INDEX(LCI!N$2:N$137,MATCH('D- Benefits &amp; Burdens'!$B$142,LCI!$D$2:$D$137,0))*$C$142</f>
        <v>-13.16743971431517</v>
      </c>
      <c r="L142" s="154">
        <f>INDEX(LCI!O$2:O$137,MATCH('D- Benefits &amp; Burdens'!$B$142,LCI!$D$2:$D$137,0))*$C$142</f>
        <v>-4.5690197620322211E-5</v>
      </c>
      <c r="M142" s="154">
        <f>INDEX(LCI!P$2:P$137,MATCH('D- Benefits &amp; Burdens'!$B$142,LCI!$D$2:$D$137,0))*$C$142</f>
        <v>-4.0986453918732376E-3</v>
      </c>
      <c r="N142" s="154">
        <f>INDEX(LCI!Q$2:Q$137,MATCH('D- Benefits &amp; Burdens'!$B$142,LCI!$D$2:$D$137,0))*$C$142</f>
        <v>-4.5015356269378845E-2</v>
      </c>
      <c r="O142" s="154">
        <f>INDEX(LCI!R$2:R$137,MATCH('D- Benefits &amp; Burdens'!$B$142,LCI!$D$2:$D$137,0))*$C$142</f>
        <v>-1.1917000506180149E-10</v>
      </c>
      <c r="P142" s="154">
        <f>INDEX(LCI!S$2:S$137,MATCH('D- Benefits &amp; Burdens'!$B$142,LCI!$D$2:$D$137,0))*$C$142</f>
        <v>-1.9208638110406951E-9</v>
      </c>
      <c r="Q142" s="154">
        <f>INDEX(LCI!T$2:T$137,MATCH('D- Benefits &amp; Burdens'!$B$142,LCI!$D$2:$D$137,0))*$C$142</f>
        <v>-8.6554156114640821E-3</v>
      </c>
      <c r="R142" s="154">
        <f>INDEX(LCI!U$2:U$137,MATCH('D- Benefits &amp; Burdens'!$B$142,LCI!$D$2:$D$137,0))*$C$142</f>
        <v>-475.08902869255985</v>
      </c>
      <c r="S142" s="154">
        <f>INDEX(LCI!V$2:V$137,MATCH('D- Benefits &amp; Burdens'!$B$142,LCI!$D$2:$D$137,0))*$C$142</f>
        <v>-6.4987430677752329E-7</v>
      </c>
      <c r="T142" s="154">
        <f>INDEX(LCI!W$2:W$137,MATCH('D- Benefits &amp; Burdens'!$B$142,LCI!$D$2:$D$137,0))*$C$142</f>
        <v>-1.4779949541860452E-8</v>
      </c>
      <c r="U142" s="154">
        <f>INDEX(LCI!X$2:X$137,MATCH('D- Benefits &amp; Burdens'!$B$142,LCI!$D$2:$D$137,0))*$C$142</f>
        <v>-2.5225046950408361E-7</v>
      </c>
      <c r="V142" s="154">
        <f>INDEX(LCI!Y$2:Y$137,MATCH('D- Benefits &amp; Burdens'!$B$142,LCI!$D$2:$D$137,0))*$C$142</f>
        <v>-1.3430190325964372E-2</v>
      </c>
      <c r="W142" s="154">
        <f>INDEX(LCI!Z$2:Z$137,MATCH('D- Benefits &amp; Burdens'!$B$142,LCI!$D$2:$D$137,0))*$C$142</f>
        <v>-1.2960012094595244</v>
      </c>
    </row>
    <row r="143" spans="1:23" ht="14" customHeight="1" x14ac:dyDescent="0.35">
      <c r="A143" s="410" t="s">
        <v>200</v>
      </c>
      <c r="B143" s="411"/>
      <c r="C143" s="411"/>
      <c r="D143" s="424"/>
      <c r="E143" s="154">
        <f>SUM(E139:E142)</f>
        <v>-7.1014729325191789E-2</v>
      </c>
      <c r="F143" s="154">
        <f t="shared" ref="F143:W143" si="2">SUM(F139:F142)</f>
        <v>-15.103010492050297</v>
      </c>
      <c r="G143" s="154">
        <f t="shared" si="2"/>
        <v>-6.593532317368625E-2</v>
      </c>
      <c r="H143" s="154">
        <f t="shared" si="2"/>
        <v>-15.037420320153599</v>
      </c>
      <c r="I143" s="154">
        <f t="shared" si="2"/>
        <v>-8.181394723011888E-3</v>
      </c>
      <c r="J143" s="154">
        <f t="shared" si="2"/>
        <v>-677.11934600266409</v>
      </c>
      <c r="K143" s="154">
        <f t="shared" si="2"/>
        <v>-1109.7298313642746</v>
      </c>
      <c r="L143" s="154">
        <f t="shared" si="2"/>
        <v>-6.8162193091706228E-4</v>
      </c>
      <c r="M143" s="154">
        <f t="shared" si="2"/>
        <v>-2.1376546868239487E-2</v>
      </c>
      <c r="N143" s="154">
        <f t="shared" si="2"/>
        <v>-0.25142988519479914</v>
      </c>
      <c r="O143" s="154">
        <f t="shared" si="2"/>
        <v>-1.2038405318740179E-8</v>
      </c>
      <c r="P143" s="154">
        <f t="shared" si="2"/>
        <v>-3.470358459841881E-7</v>
      </c>
      <c r="Q143" s="154">
        <f t="shared" si="2"/>
        <v>-0.51835976690892738</v>
      </c>
      <c r="R143" s="154">
        <f t="shared" si="2"/>
        <v>-495.00092627426818</v>
      </c>
      <c r="S143" s="154">
        <f t="shared" si="2"/>
        <v>-8.0268769044293994E-6</v>
      </c>
      <c r="T143" s="154">
        <f t="shared" si="2"/>
        <v>-3.9468929094598414E-8</v>
      </c>
      <c r="U143" s="154">
        <f t="shared" si="2"/>
        <v>-1.1923448172990844E-6</v>
      </c>
      <c r="V143" s="154">
        <f t="shared" si="2"/>
        <v>-8.2573632294946631E-2</v>
      </c>
      <c r="W143" s="154">
        <f t="shared" si="2"/>
        <v>-4.5254875476432588</v>
      </c>
    </row>
    <row r="144" spans="1:23" ht="14" customHeight="1" x14ac:dyDescent="0.35"/>
    <row r="145" spans="1:25" ht="14" customHeight="1" x14ac:dyDescent="0.35"/>
    <row r="146" spans="1:25" ht="14" customHeight="1" x14ac:dyDescent="0.35"/>
    <row r="147" spans="1:25" ht="23.5" x14ac:dyDescent="0.55000000000000004">
      <c r="A147" s="100" t="s">
        <v>868</v>
      </c>
    </row>
    <row r="148" spans="1:25" ht="14" customHeight="1" x14ac:dyDescent="0.55000000000000004">
      <c r="A148" s="100"/>
    </row>
    <row r="149" spans="1:25" ht="87" x14ac:dyDescent="0.35">
      <c r="A149" s="302" t="s">
        <v>452</v>
      </c>
      <c r="B149" s="302" t="s">
        <v>277</v>
      </c>
      <c r="C149" s="302" t="s">
        <v>589</v>
      </c>
      <c r="D149" s="302" t="s">
        <v>56</v>
      </c>
      <c r="E149" s="302" t="s">
        <v>339</v>
      </c>
      <c r="F149" s="302" t="s">
        <v>340</v>
      </c>
      <c r="G149" s="309" t="s">
        <v>279</v>
      </c>
      <c r="H149" s="309" t="s">
        <v>280</v>
      </c>
      <c r="I149" s="309" t="s">
        <v>281</v>
      </c>
      <c r="J149" s="309" t="s">
        <v>282</v>
      </c>
      <c r="K149" s="309" t="s">
        <v>283</v>
      </c>
      <c r="L149" s="309" t="s">
        <v>284</v>
      </c>
      <c r="M149" s="309" t="s">
        <v>285</v>
      </c>
      <c r="N149" s="309" t="s">
        <v>286</v>
      </c>
      <c r="O149" s="309" t="s">
        <v>287</v>
      </c>
      <c r="P149" s="309" t="s">
        <v>288</v>
      </c>
      <c r="Q149" s="309" t="s">
        <v>289</v>
      </c>
      <c r="R149" s="309" t="s">
        <v>290</v>
      </c>
      <c r="S149" s="309" t="s">
        <v>291</v>
      </c>
      <c r="T149" s="309" t="s">
        <v>292</v>
      </c>
      <c r="U149" s="309" t="s">
        <v>293</v>
      </c>
      <c r="V149" s="309" t="s">
        <v>294</v>
      </c>
      <c r="W149" s="309" t="s">
        <v>295</v>
      </c>
      <c r="X149" s="309" t="s">
        <v>296</v>
      </c>
      <c r="Y149" s="309" t="s">
        <v>297</v>
      </c>
    </row>
    <row r="150" spans="1:25" ht="14" customHeight="1" x14ac:dyDescent="0.35">
      <c r="A150" s="89" t="s">
        <v>863</v>
      </c>
      <c r="B150" s="311" t="s">
        <v>59</v>
      </c>
      <c r="C150" s="195">
        <f>$B$131</f>
        <v>-2.33604E-2</v>
      </c>
      <c r="D150" s="154">
        <f>$D$8</f>
        <v>261.62</v>
      </c>
      <c r="E150" s="154" t="str">
        <f>$B$8</f>
        <v>Truck</v>
      </c>
      <c r="F150" s="154" t="str">
        <f>$C$8</f>
        <v>Diesel_Euro5</v>
      </c>
      <c r="G150" s="154" cm="1">
        <f t="array" ref="G150">INDEX(LCI!H$2:H$137,MATCH('D- Benefits &amp; Burdens'!$E150&amp;'D- Benefits &amp; Burdens'!$F150,LCI!$B$2:$B$137&amp;LCI!$D$2:$D$137,0))*$C150*$D150</f>
        <v>-2.7058083595799761E-3</v>
      </c>
      <c r="H150" s="154" cm="1">
        <f t="array" ref="H150">INDEX(LCI!I$2:I$137,MATCH('D- Benefits &amp; Burdens'!$E150&amp;'D- Benefits &amp; Burdens'!$F150,LCI!$B$2:$B$137&amp;LCI!$D$2:$D$137,0))*$C150*$D150</f>
        <v>-0.98906814583998781</v>
      </c>
      <c r="I150" s="154" cm="1">
        <f t="array" ref="I150">INDEX(LCI!J$2:J$137,MATCH('D- Benefits &amp; Burdens'!$E150&amp;'D- Benefits &amp; Burdens'!$F150,LCI!$B$2:$B$137&amp;LCI!$D$2:$D$137,0))*$C150*$D150</f>
        <v>-4.5713644517298238E-4</v>
      </c>
      <c r="J150" s="154" cm="1">
        <f t="array" ref="J150">INDEX(LCI!K$2:K$137,MATCH('D- Benefits &amp; Burdens'!$E150&amp;'D- Benefits &amp; Burdens'!$F150,LCI!$B$2:$B$137&amp;LCI!$D$2:$D$137,0))*$C150*$D150</f>
        <v>-0.98853323872613941</v>
      </c>
      <c r="K150" s="154" cm="1">
        <f t="array" ref="K150">INDEX(LCI!L$2:L$137,MATCH('D- Benefits &amp; Burdens'!$E150&amp;'D- Benefits &amp; Burdens'!$F150,LCI!$B$2:$B$137&amp;LCI!$D$2:$D$137,0))*$C150*$D150</f>
        <v>-7.7768835211015208E-5</v>
      </c>
      <c r="L150" s="154" cm="1">
        <f t="array" ref="L150">INDEX(LCI!M$2:M$137,MATCH('D- Benefits &amp; Burdens'!$E150&amp;'D- Benefits &amp; Burdens'!$F150,LCI!$B$2:$B$137&amp;LCI!$D$2:$D$137,0))*$C150*$D150</f>
        <v>-0.84056290518414611</v>
      </c>
      <c r="M150" s="154" cm="1">
        <f t="array" ref="M150">INDEX(LCI!N$2:N$137,MATCH('D- Benefits &amp; Burdens'!$E150&amp;'D- Benefits &amp; Burdens'!$F150,LCI!$B$2:$B$137&amp;LCI!$D$2:$D$137,0))*$C150*$D150</f>
        <v>-13.298359040873459</v>
      </c>
      <c r="N150" s="154" cm="1">
        <f t="array" ref="N150">INDEX(LCI!O$2:O$137,MATCH('D- Benefits &amp; Burdens'!$E150&amp;'D- Benefits &amp; Burdens'!$F150,LCI!$B$2:$B$137&amp;LCI!$D$2:$D$137,0))*$C150*$D150</f>
        <v>-2.2753292638104003E-5</v>
      </c>
      <c r="O150" s="154" cm="1">
        <f t="array" ref="O150">INDEX(LCI!P$2:P$137,MATCH('D- Benefits &amp; Burdens'!$E150&amp;'D- Benefits &amp; Burdens'!$F150,LCI!$B$2:$B$137&amp;LCI!$D$2:$D$137,0))*$C150*$D150</f>
        <v>-9.70843821846192E-4</v>
      </c>
      <c r="P150" s="154" cm="1">
        <f t="array" ref="P150">INDEX(LCI!Q$2:Q$137,MATCH('D- Benefits &amp; Burdens'!$E150&amp;'D- Benefits &amp; Burdens'!$F150,LCI!$B$2:$B$137&amp;LCI!$D$2:$D$137,0))*$C150*$D150</f>
        <v>-1.0590426246146039E-2</v>
      </c>
      <c r="Q150" s="154" cm="1">
        <f t="array" ref="Q150">INDEX(LCI!R$2:R$137,MATCH('D- Benefits &amp; Burdens'!$E150&amp;'D- Benefits &amp; Burdens'!$F150,LCI!$B$2:$B$137&amp;LCI!$D$2:$D$137,0))*$C150*$D150</f>
        <v>-9.2449995451480805E-11</v>
      </c>
      <c r="R150" s="154" cm="1">
        <f t="array" ref="R150">INDEX(LCI!S$2:S$137,MATCH('D- Benefits &amp; Burdens'!$E150&amp;'D- Benefits &amp; Burdens'!$F150,LCI!$B$2:$B$137&amp;LCI!$D$2:$D$137,0))*$C150*$D150</f>
        <v>-7.0884787715028007E-9</v>
      </c>
      <c r="S150" s="154" cm="1">
        <f t="array" ref="S150">INDEX(LCI!T$2:T$137,MATCH('D- Benefits &amp; Burdens'!$E150&amp;'D- Benefits &amp; Burdens'!$F150,LCI!$B$2:$B$137&amp;LCI!$D$2:$D$137,0))*$C150*$D150</f>
        <v>-5.9870433952405435E-3</v>
      </c>
      <c r="T150" s="154" cm="1">
        <f t="array" ref="T150">INDEX(LCI!U$2:U$137,MATCH('D- Benefits &amp; Burdens'!$E150&amp;'D- Benefits &amp; Burdens'!$F150,LCI!$B$2:$B$137&amp;LCI!$D$2:$D$137,0))*$C150*$D150</f>
        <v>-0.83448198841396026</v>
      </c>
      <c r="U150" s="154" cm="1">
        <f t="array" ref="U150">INDEX(LCI!V$2:V$137,MATCH('D- Benefits &amp; Burdens'!$E150&amp;'D- Benefits &amp; Burdens'!$F150,LCI!$B$2:$B$137&amp;LCI!$D$2:$D$137,0))*$C150*$D150</f>
        <v>-1.0720938350440079E-6</v>
      </c>
      <c r="V150" s="154" cm="1">
        <f t="array" ref="V150">INDEX(LCI!W$2:W$137,MATCH('D- Benefits &amp; Burdens'!$E150&amp;'D- Benefits &amp; Burdens'!$F150,LCI!$B$2:$B$137&amp;LCI!$D$2:$D$137,0))*$C150*$D150</f>
        <v>-2.2000716636101281E-8</v>
      </c>
      <c r="W150" s="154" cm="1">
        <f t="array" ref="W150">INDEX(LCI!X$2:X$137,MATCH('D- Benefits &amp; Burdens'!$E150&amp;'D- Benefits &amp; Burdens'!$F150,LCI!$B$2:$B$137&amp;LCI!$D$2:$D$137,0))*$C150*$D150</f>
        <v>-6.6878668100664016E-8</v>
      </c>
      <c r="X150" s="154" cm="1">
        <f t="array" ref="X150">INDEX(LCI!Y$2:Y$137,MATCH('D- Benefits &amp; Burdens'!$E150&amp;'D- Benefits &amp; Burdens'!$F150,LCI!$B$2:$B$137&amp;LCI!$D$2:$D$137,0))*$C150*$D150</f>
        <v>-4.2600849851876406E-3</v>
      </c>
      <c r="Y150" s="154" cm="1">
        <f t="array" ref="Y150">INDEX(LCI!Z$2:Z$137,MATCH('D- Benefits &amp; Burdens'!$E150&amp;'D- Benefits &amp; Burdens'!$F150,LCI!$B$2:$B$137&amp;LCI!$D$2:$D$137,0))*$C150*$D150</f>
        <v>-3.0015290476107213E-2</v>
      </c>
    </row>
    <row r="151" spans="1:25" ht="14" customHeight="1" x14ac:dyDescent="0.35">
      <c r="A151" s="1" t="s">
        <v>864</v>
      </c>
      <c r="B151" s="141" t="str">
        <f>Input!$C$49</f>
        <v>Limestone_residue</v>
      </c>
      <c r="C151" s="195">
        <f>$B$132</f>
        <v>-4.2827400000000002E-2</v>
      </c>
      <c r="D151" s="154">
        <f>$D$9</f>
        <v>190.35</v>
      </c>
      <c r="E151" s="154" t="str">
        <f>$B$9</f>
        <v>Truck</v>
      </c>
      <c r="F151" s="154" t="str">
        <f>$C$9</f>
        <v>Diesel_Euro5</v>
      </c>
      <c r="G151" s="154" cm="1">
        <f t="array" ref="G151">INDEX(LCI!H$2:H$137,MATCH('D- Benefits &amp; Burdens'!$E151&amp;'D- Benefits &amp; Burdens'!$F151,LCI!$B$2:$B$137&amp;LCI!$D$2:$D$137,0))*$C151*$D151</f>
        <v>-3.6092786189298306E-3</v>
      </c>
      <c r="H151" s="154" cm="1">
        <f t="array" ref="H151">INDEX(LCI!I$2:I$137,MATCH('D- Benefits &amp; Burdens'!$E151&amp;'D- Benefits &amp; Burdens'!$F151,LCI!$B$2:$B$137&amp;LCI!$D$2:$D$137,0))*$C151*$D151</f>
        <v>-1.3193183097412648</v>
      </c>
      <c r="I151" s="154" cm="1">
        <f t="array" ref="I151">INDEX(LCI!J$2:J$137,MATCH('D- Benefits &amp; Burdens'!$E151&amp;'D- Benefits &amp; Burdens'!$F151,LCI!$B$2:$B$137&amp;LCI!$D$2:$D$137,0))*$C151*$D151</f>
        <v>-6.0977444749729204E-4</v>
      </c>
      <c r="J151" s="154" cm="1">
        <f t="array" ref="J151">INDEX(LCI!K$2:K$137,MATCH('D- Benefits &amp; Burdens'!$E151&amp;'D- Benefits &amp; Burdens'!$F151,LCI!$B$2:$B$137&amp;LCI!$D$2:$D$137,0))*$C151*$D151</f>
        <v>-1.3186047969744459</v>
      </c>
      <c r="K151" s="154" cm="1">
        <f t="array" ref="K151">INDEX(LCI!L$2:L$137,MATCH('D- Benefits &amp; Burdens'!$E151&amp;'D- Benefits &amp; Burdens'!$F151,LCI!$B$2:$B$137&amp;LCI!$D$2:$D$137,0))*$C151*$D151</f>
        <v>-1.0373587366319101E-4</v>
      </c>
      <c r="L151" s="154" cm="1">
        <f t="array" ref="L151">INDEX(LCI!M$2:M$137,MATCH('D- Benefits &amp; Burdens'!$E151&amp;'D- Benefits &amp; Burdens'!$F151,LCI!$B$2:$B$137&amp;LCI!$D$2:$D$137,0))*$C151*$D151</f>
        <v>-1.1212271226841886</v>
      </c>
      <c r="M151" s="154" cm="1">
        <f t="array" ref="M151">INDEX(LCI!N$2:N$137,MATCH('D- Benefits &amp; Burdens'!$E151&amp;'D- Benefits &amp; Burdens'!$F151,LCI!$B$2:$B$137&amp;LCI!$D$2:$D$137,0))*$C151*$D151</f>
        <v>-17.738685292748322</v>
      </c>
      <c r="N151" s="154" cm="1">
        <f t="array" ref="N151">INDEX(LCI!O$2:O$137,MATCH('D- Benefits &amp; Burdens'!$E151&amp;'D- Benefits &amp; Burdens'!$F151,LCI!$B$2:$B$137&amp;LCI!$D$2:$D$137,0))*$C151*$D151</f>
        <v>-3.0350624181569999E-5</v>
      </c>
      <c r="O151" s="154" cm="1">
        <f t="array" ref="O151">INDEX(LCI!P$2:P$137,MATCH('D- Benefits &amp; Burdens'!$E151&amp;'D- Benefits &amp; Burdens'!$F151,LCI!$B$2:$B$137&amp;LCI!$D$2:$D$137,0))*$C151*$D151</f>
        <v>-1.2950088782538599E-3</v>
      </c>
      <c r="P151" s="154" cm="1">
        <f t="array" ref="P151">INDEX(LCI!Q$2:Q$137,MATCH('D- Benefits &amp; Burdens'!$E151&amp;'D- Benefits &amp; Burdens'!$F151,LCI!$B$2:$B$137&amp;LCI!$D$2:$D$137,0))*$C151*$D151</f>
        <v>-1.412657288910945E-2</v>
      </c>
      <c r="Q151" s="154" cm="1">
        <f t="array" ref="Q151">INDEX(LCI!R$2:R$137,MATCH('D- Benefits &amp; Burdens'!$E151&amp;'D- Benefits &amp; Burdens'!$F151,LCI!$B$2:$B$137&amp;LCI!$D$2:$D$137,0))*$C151*$D151</f>
        <v>-1.2331907790948901E-10</v>
      </c>
      <c r="R151" s="154" cm="1">
        <f t="array" ref="R151">INDEX(LCI!S$2:S$137,MATCH('D- Benefits &amp; Burdens'!$E151&amp;'D- Benefits &amp; Burdens'!$F151,LCI!$B$2:$B$137&amp;LCI!$D$2:$D$137,0))*$C151*$D151</f>
        <v>-9.4553240550615008E-9</v>
      </c>
      <c r="S151" s="154" cm="1">
        <f t="array" ref="S151">INDEX(LCI!T$2:T$137,MATCH('D- Benefits &amp; Burdens'!$E151&amp;'D- Benefits &amp; Burdens'!$F151,LCI!$B$2:$B$137&amp;LCI!$D$2:$D$137,0))*$C151*$D151</f>
        <v>-7.9861190614405209E-3</v>
      </c>
      <c r="T151" s="154" cm="1">
        <f t="array" ref="T151">INDEX(LCI!U$2:U$137,MATCH('D- Benefits &amp; Burdens'!$E151&amp;'D- Benefits &amp; Burdens'!$F151,LCI!$B$2:$B$137&amp;LCI!$D$2:$D$137,0))*$C151*$D151</f>
        <v>-1.1131157858984857</v>
      </c>
      <c r="U151" s="154" cm="1">
        <f t="array" ref="U151">INDEX(LCI!V$2:V$137,MATCH('D- Benefits &amp; Burdens'!$E151&amp;'D- Benefits &amp; Burdens'!$F151,LCI!$B$2:$B$137&amp;LCI!$D$2:$D$137,0))*$C151*$D151</f>
        <v>-1.4300663025933898E-6</v>
      </c>
      <c r="V151" s="154" cm="1">
        <f t="array" ref="V151">INDEX(LCI!W$2:W$137,MATCH('D- Benefits &amp; Burdens'!$E151&amp;'D- Benefits &amp; Burdens'!$F151,LCI!$B$2:$B$137&amp;LCI!$D$2:$D$137,0))*$C151*$D151</f>
        <v>-2.9346762816617399E-8</v>
      </c>
      <c r="W151" s="154" cm="1">
        <f t="array" ref="W151">INDEX(LCI!X$2:X$137,MATCH('D- Benefits &amp; Burdens'!$E151&amp;'D- Benefits &amp; Burdens'!$F151,LCI!$B$2:$B$137&amp;LCI!$D$2:$D$137,0))*$C151*$D151</f>
        <v>-8.9209476341370009E-8</v>
      </c>
      <c r="X151" s="154" cm="1">
        <f t="array" ref="X151">INDEX(LCI!Y$2:Y$137,MATCH('D- Benefits &amp; Burdens'!$E151&amp;'D- Benefits &amp; Burdens'!$F151,LCI!$B$2:$B$137&amp;LCI!$D$2:$D$137,0))*$C151*$D151</f>
        <v>-5.6825286969874505E-3</v>
      </c>
      <c r="Y151" s="154" cm="1">
        <f t="array" ref="Y151">INDEX(LCI!Z$2:Z$137,MATCH('D- Benefits &amp; Burdens'!$E151&amp;'D- Benefits &amp; Burdens'!$F151,LCI!$B$2:$B$137&amp;LCI!$D$2:$D$137,0))*$C151*$D151</f>
        <v>-4.0037405373822776E-2</v>
      </c>
    </row>
    <row r="152" spans="1:25" ht="14" customHeight="1" x14ac:dyDescent="0.35">
      <c r="A152" s="1" t="s">
        <v>865</v>
      </c>
      <c r="B152" s="141" t="str">
        <f>Input!$A$40</f>
        <v>Virgin crushed coarse aggregate 1 (&gt;2 mm)</v>
      </c>
      <c r="C152" s="195">
        <f>$B$133</f>
        <v>-0.26922240000000003</v>
      </c>
      <c r="D152" s="154">
        <f>$D$10</f>
        <v>128</v>
      </c>
      <c r="E152" s="154" t="str">
        <f>$B$10</f>
        <v>Truck</v>
      </c>
      <c r="F152" s="154" t="str">
        <f>$C$10</f>
        <v>Diesel_Euro5</v>
      </c>
      <c r="G152" s="154" cm="1">
        <f t="array" ref="G152">INDEX(LCI!H$2:H$137,MATCH('D- Benefits &amp; Burdens'!$E152&amp;'D- Benefits &amp; Burdens'!$F152,LCI!$B$2:$B$137&amp;LCI!$D$2:$D$137,0))*$C152*$D152</f>
        <v>-1.5256923866726403E-2</v>
      </c>
      <c r="H152" s="154" cm="1">
        <f t="array" ref="H152">INDEX(LCI!I$2:I$137,MATCH('D- Benefits &amp; Burdens'!$E152&amp;'D- Benefits &amp; Burdens'!$F152,LCI!$B$2:$B$137&amp;LCI!$D$2:$D$137,0))*$C152*$D152</f>
        <v>-5.5769424122953737</v>
      </c>
      <c r="I152" s="154" cm="1">
        <f t="array" ref="I152">INDEX(LCI!J$2:J$137,MATCH('D- Benefits &amp; Burdens'!$E152&amp;'D- Benefits &amp; Burdens'!$F152,LCI!$B$2:$B$137&amp;LCI!$D$2:$D$137,0))*$C152*$D152</f>
        <v>-2.5776015939993602E-3</v>
      </c>
      <c r="J152" s="154" cm="1">
        <f t="array" ref="J152">INDEX(LCI!K$2:K$137,MATCH('D- Benefits &amp; Burdens'!$E152&amp;'D- Benefits &amp; Burdens'!$F152,LCI!$B$2:$B$137&amp;LCI!$D$2:$D$137,0))*$C152*$D152</f>
        <v>-5.5739262943641608</v>
      </c>
      <c r="K152" s="154" cm="1">
        <f t="array" ref="K152">INDEX(LCI!L$2:L$137,MATCH('D- Benefits &amp; Burdens'!$E152&amp;'D- Benefits &amp; Burdens'!$F152,LCI!$B$2:$B$137&amp;LCI!$D$2:$D$137,0))*$C152*$D152</f>
        <v>-4.3850599907328006E-4</v>
      </c>
      <c r="L152" s="154" cm="1">
        <f t="array" ref="L152">INDEX(LCI!M$2:M$137,MATCH('D- Benefits &amp; Burdens'!$E152&amp;'D- Benefits &amp; Burdens'!$F152,LCI!$B$2:$B$137&amp;LCI!$D$2:$D$137,0))*$C152*$D152</f>
        <v>-4.7395833500860425</v>
      </c>
      <c r="M152" s="154" cm="1">
        <f t="array" ref="M152">INDEX(LCI!N$2:N$137,MATCH('D- Benefits &amp; Burdens'!$E152&amp;'D- Benefits &amp; Burdens'!$F152,LCI!$B$2:$B$137&amp;LCI!$D$2:$D$137,0))*$C152*$D152</f>
        <v>-74.983895559585804</v>
      </c>
      <c r="N152" s="154" cm="1">
        <f t="array" ref="N152">INDEX(LCI!O$2:O$137,MATCH('D- Benefits &amp; Burdens'!$E152&amp;'D- Benefits &amp; Burdens'!$F152,LCI!$B$2:$B$137&amp;LCI!$D$2:$D$137,0))*$C152*$D152</f>
        <v>-1.2829631938560002E-4</v>
      </c>
      <c r="O152" s="154" cm="1">
        <f t="array" ref="O152">INDEX(LCI!P$2:P$137,MATCH('D- Benefits &amp; Burdens'!$E152&amp;'D- Benefits &amp; Burdens'!$F152,LCI!$B$2:$B$137&amp;LCI!$D$2:$D$137,0))*$C152*$D152</f>
        <v>-5.4741830565888001E-3</v>
      </c>
      <c r="P152" s="154" cm="1">
        <f t="array" ref="P152">INDEX(LCI!Q$2:Q$137,MATCH('D- Benefits &amp; Burdens'!$E152&amp;'D- Benefits &amp; Burdens'!$F152,LCI!$B$2:$B$137&amp;LCI!$D$2:$D$137,0))*$C152*$D152</f>
        <v>-5.9714992889856003E-2</v>
      </c>
      <c r="Q152" s="154" cm="1">
        <f t="array" ref="Q152">INDEX(LCI!R$2:R$137,MATCH('D- Benefits &amp; Burdens'!$E152&amp;'D- Benefits &amp; Burdens'!$F152,LCI!$B$2:$B$137&amp;LCI!$D$2:$D$137,0))*$C152*$D152</f>
        <v>-5.2128693338112003E-10</v>
      </c>
      <c r="R152" s="154" cm="1">
        <f t="array" ref="R152">INDEX(LCI!S$2:S$137,MATCH('D- Benefits &amp; Burdens'!$E152&amp;'D- Benefits &amp; Burdens'!$F152,LCI!$B$2:$B$137&amp;LCI!$D$2:$D$137,0))*$C152*$D152</f>
        <v>-3.9968972881920007E-8</v>
      </c>
      <c r="S152" s="154" cm="1">
        <f t="array" ref="S152">INDEX(LCI!T$2:T$137,MATCH('D- Benefits &amp; Burdens'!$E152&amp;'D- Benefits &amp; Burdens'!$F152,LCI!$B$2:$B$137&amp;LCI!$D$2:$D$137,0))*$C152*$D152</f>
        <v>-3.3758438562201599E-2</v>
      </c>
      <c r="T152" s="154" cm="1">
        <f t="array" ref="T152">INDEX(LCI!U$2:U$137,MATCH('D- Benefits &amp; Burdens'!$E152&amp;'D- Benefits &amp; Burdens'!$F152,LCI!$B$2:$B$137&amp;LCI!$D$2:$D$137,0))*$C152*$D152</f>
        <v>-4.7052955987476484</v>
      </c>
      <c r="U152" s="154" cm="1">
        <f t="array" ref="U152">INDEX(LCI!V$2:V$137,MATCH('D- Benefits &amp; Burdens'!$E152&amp;'D- Benefits &amp; Burdens'!$F152,LCI!$B$2:$B$137&amp;LCI!$D$2:$D$137,0))*$C152*$D152</f>
        <v>-6.0450896166912004E-6</v>
      </c>
      <c r="V152" s="154" cm="1">
        <f t="array" ref="V152">INDEX(LCI!W$2:W$137,MATCH('D- Benefits &amp; Burdens'!$E152&amp;'D- Benefits &amp; Burdens'!$F152,LCI!$B$2:$B$137&amp;LCI!$D$2:$D$137,0))*$C152*$D152</f>
        <v>-1.2405285745459201E-7</v>
      </c>
      <c r="W152" s="154" cm="1">
        <f t="array" ref="W152">INDEX(LCI!X$2:X$137,MATCH('D- Benefits &amp; Burdens'!$E152&amp;'D- Benefits &amp; Burdens'!$F152,LCI!$B$2:$B$137&amp;LCI!$D$2:$D$137,0))*$C152*$D152</f>
        <v>-3.7710089256960008E-7</v>
      </c>
      <c r="X152" s="154" cm="1">
        <f t="array" ref="X152">INDEX(LCI!Y$2:Y$137,MATCH('D- Benefits &amp; Burdens'!$E152&amp;'D- Benefits &amp; Burdens'!$F152,LCI!$B$2:$B$137&amp;LCI!$D$2:$D$137,0))*$C152*$D152</f>
        <v>-2.4020840964096003E-2</v>
      </c>
      <c r="Y152" s="154" cm="1">
        <f t="array" ref="Y152">INDEX(LCI!Z$2:Z$137,MATCH('D- Benefits &amp; Burdens'!$E152&amp;'D- Benefits &amp; Burdens'!$F152,LCI!$B$2:$B$137&amp;LCI!$D$2:$D$137,0))*$C152*$D152</f>
        <v>-0.1692436938522624</v>
      </c>
    </row>
    <row r="153" spans="1:25" ht="14" customHeight="1" x14ac:dyDescent="0.35">
      <c r="A153" s="1" t="s">
        <v>866</v>
      </c>
      <c r="B153" s="141" t="s">
        <v>73</v>
      </c>
      <c r="C153" s="195">
        <f>$B$134</f>
        <v>-0.19425599999999998</v>
      </c>
      <c r="D153" s="154">
        <f>$D$11</f>
        <v>95</v>
      </c>
      <c r="E153" s="154" t="str">
        <f>$B$11</f>
        <v>Truck</v>
      </c>
      <c r="F153" s="154" t="str">
        <f>$C$11</f>
        <v>Diesel_Euro5</v>
      </c>
      <c r="G153" s="154" cm="1">
        <f t="array" ref="G153">INDEX(LCI!H$2:H$137,MATCH('D- Benefits &amp; Burdens'!$E153&amp;'D- Benefits &amp; Burdens'!$F153,LCI!$B$2:$B$137&amp;LCI!$D$2:$D$137,0))*$C153*$D153</f>
        <v>-8.1704102738400005E-3</v>
      </c>
      <c r="H153" s="154" cm="1">
        <f t="array" ref="H153">INDEX(LCI!I$2:I$137,MATCH('D- Benefits &amp; Burdens'!$E153&amp;'D- Benefits &amp; Burdens'!$F153,LCI!$B$2:$B$137&amp;LCI!$D$2:$D$137,0))*$C153*$D153</f>
        <v>-2.9865723903496799</v>
      </c>
      <c r="I153" s="154" cm="1">
        <f t="array" ref="I153">INDEX(LCI!J$2:J$137,MATCH('D- Benefits &amp; Burdens'!$E153&amp;'D- Benefits &amp; Burdens'!$F153,LCI!$B$2:$B$137&amp;LCI!$D$2:$D$137,0))*$C153*$D153</f>
        <v>-1.380360990816E-3</v>
      </c>
      <c r="J153" s="154" cm="1">
        <f t="array" ref="J153">INDEX(LCI!K$2:K$137,MATCH('D- Benefits &amp; Burdens'!$E153&amp;'D- Benefits &amp; Burdens'!$F153,LCI!$B$2:$B$137&amp;LCI!$D$2:$D$137,0))*$C153*$D153</f>
        <v>-2.9849571944459998</v>
      </c>
      <c r="K153" s="154" cm="1">
        <f t="array" ref="K153">INDEX(LCI!L$2:L$137,MATCH('D- Benefits &amp; Burdens'!$E153&amp;'D- Benefits &amp; Burdens'!$F153,LCI!$B$2:$B$137&amp;LCI!$D$2:$D$137,0))*$C153*$D153</f>
        <v>-2.3482937656799999E-4</v>
      </c>
      <c r="L153" s="154" cm="1">
        <f t="array" ref="L153">INDEX(LCI!M$2:M$137,MATCH('D- Benefits &amp; Burdens'!$E153&amp;'D- Benefits &amp; Burdens'!$F153,LCI!$B$2:$B$137&amp;LCI!$D$2:$D$137,0))*$C153*$D153</f>
        <v>-2.53814863569696</v>
      </c>
      <c r="M153" s="154" cm="1">
        <f t="array" ref="M153">INDEX(LCI!N$2:N$137,MATCH('D- Benefits &amp; Burdens'!$E153&amp;'D- Benefits &amp; Burdens'!$F153,LCI!$B$2:$B$137&amp;LCI!$D$2:$D$137,0))*$C153*$D153</f>
        <v>-40.155485863615191</v>
      </c>
      <c r="N153" s="154" cm="1">
        <f t="array" ref="N153">INDEX(LCI!O$2:O$137,MATCH('D- Benefits &amp; Burdens'!$E153&amp;'D- Benefits &amp; Burdens'!$F153,LCI!$B$2:$B$137&amp;LCI!$D$2:$D$137,0))*$C153*$D153</f>
        <v>-6.8705433359999999E-5</v>
      </c>
      <c r="O153" s="154" cm="1">
        <f t="array" ref="O153">INDEX(LCI!P$2:P$137,MATCH('D- Benefits &amp; Burdens'!$E153&amp;'D- Benefits &amp; Burdens'!$F153,LCI!$B$2:$B$137&amp;LCI!$D$2:$D$137,0))*$C153*$D153</f>
        <v>-2.9315425492799996E-3</v>
      </c>
      <c r="P153" s="154" cm="1">
        <f t="array" ref="P153">INDEX(LCI!Q$2:Q$137,MATCH('D- Benefits &amp; Burdens'!$E153&amp;'D- Benefits &amp; Burdens'!$F153,LCI!$B$2:$B$137&amp;LCI!$D$2:$D$137,0))*$C153*$D153</f>
        <v>-3.1978660683599995E-2</v>
      </c>
      <c r="Q153" s="154" cm="1">
        <f t="array" ref="Q153">INDEX(LCI!R$2:R$137,MATCH('D- Benefits &amp; Burdens'!$E153&amp;'D- Benefits &amp; Burdens'!$F153,LCI!$B$2:$B$137&amp;LCI!$D$2:$D$137,0))*$C153*$D153</f>
        <v>-2.7916034407200001E-10</v>
      </c>
      <c r="R153" s="154" cm="1">
        <f t="array" ref="R153">INDEX(LCI!S$2:S$137,MATCH('D- Benefits &amp; Burdens'!$E153&amp;'D- Benefits &amp; Burdens'!$F153,LCI!$B$2:$B$137&amp;LCI!$D$2:$D$137,0))*$C153*$D153</f>
        <v>-2.1404243052E-8</v>
      </c>
      <c r="S153" s="154" cm="1">
        <f t="array" ref="S153">INDEX(LCI!T$2:T$137,MATCH('D- Benefits &amp; Burdens'!$E153&amp;'D- Benefits &amp; Burdens'!$F153,LCI!$B$2:$B$137&amp;LCI!$D$2:$D$137,0))*$C153*$D153</f>
        <v>-1.8078368592959998E-2</v>
      </c>
      <c r="T153" s="154" cm="1">
        <f t="array" ref="T153">INDEX(LCI!U$2:U$137,MATCH('D- Benefits &amp; Burdens'!$E153&amp;'D- Benefits &amp; Burdens'!$F153,LCI!$B$2:$B$137&amp;LCI!$D$2:$D$137,0))*$C153*$D153</f>
        <v>-2.5197868087487998</v>
      </c>
      <c r="U153" s="154" cm="1">
        <f t="array" ref="U153">INDEX(LCI!V$2:V$137,MATCH('D- Benefits &amp; Burdens'!$E153&amp;'D- Benefits &amp; Burdens'!$F153,LCI!$B$2:$B$137&amp;LCI!$D$2:$D$137,0))*$C153*$D153</f>
        <v>-3.2372752687199996E-6</v>
      </c>
      <c r="V153" s="154" cm="1">
        <f t="array" ref="V153">INDEX(LCI!W$2:W$137,MATCH('D- Benefits &amp; Burdens'!$E153&amp;'D- Benefits &amp; Burdens'!$F153,LCI!$B$2:$B$137&amp;LCI!$D$2:$D$137,0))*$C153*$D153</f>
        <v>-6.643296839519999E-8</v>
      </c>
      <c r="W153" s="154" cm="1">
        <f t="array" ref="W153">INDEX(LCI!X$2:X$137,MATCH('D- Benefits &amp; Burdens'!$E153&amp;'D- Benefits &amp; Burdens'!$F153,LCI!$B$2:$B$137&amp;LCI!$D$2:$D$137,0))*$C153*$D153</f>
        <v>-2.0194562376E-7</v>
      </c>
      <c r="X153" s="154" cm="1">
        <f t="array" ref="X153">INDEX(LCI!Y$2:Y$137,MATCH('D- Benefits &amp; Burdens'!$E153&amp;'D- Benefits &amp; Burdens'!$F153,LCI!$B$2:$B$137&amp;LCI!$D$2:$D$137,0))*$C153*$D153</f>
        <v>-1.2863676027599998E-2</v>
      </c>
      <c r="Y153" s="154" cm="1">
        <f t="array" ref="Y153">INDEX(LCI!Z$2:Z$137,MATCH('D- Benefits &amp; Burdens'!$E153&amp;'D- Benefits &amp; Burdens'!$F153,LCI!$B$2:$B$137&amp;LCI!$D$2:$D$137,0))*$C153*$D153</f>
        <v>-9.0633631465439984E-2</v>
      </c>
    </row>
    <row r="154" spans="1:25" ht="14" customHeight="1" x14ac:dyDescent="0.35">
      <c r="C154" s="312"/>
      <c r="D154" s="1"/>
      <c r="E154" s="1"/>
      <c r="F154" s="1"/>
      <c r="G154" s="154">
        <f>SUM(G150:G153)</f>
        <v>-2.9742421119076212E-2</v>
      </c>
      <c r="H154" s="154">
        <f t="shared" ref="H154:Y154" si="3">SUM(H150:H153)</f>
        <v>-10.871901258226307</v>
      </c>
      <c r="I154" s="154">
        <f t="shared" si="3"/>
        <v>-5.0248734774856344E-3</v>
      </c>
      <c r="J154" s="154">
        <f t="shared" si="3"/>
        <v>-10.866021524510746</v>
      </c>
      <c r="K154" s="154">
        <f t="shared" si="3"/>
        <v>-8.5484008451548624E-4</v>
      </c>
      <c r="L154" s="154">
        <f t="shared" si="3"/>
        <v>-9.239522013651337</v>
      </c>
      <c r="M154" s="154">
        <f t="shared" si="3"/>
        <v>-146.17642575682277</v>
      </c>
      <c r="N154" s="154">
        <f t="shared" si="3"/>
        <v>-2.5010566956527403E-4</v>
      </c>
      <c r="O154" s="154">
        <f t="shared" si="3"/>
        <v>-1.0671578305968852E-2</v>
      </c>
      <c r="P154" s="154">
        <f t="shared" si="3"/>
        <v>-0.11641065270871148</v>
      </c>
      <c r="Q154" s="154">
        <f t="shared" si="3"/>
        <v>-1.0162163508140898E-9</v>
      </c>
      <c r="R154" s="154">
        <f t="shared" si="3"/>
        <v>-7.791701876048432E-8</v>
      </c>
      <c r="S154" s="154">
        <f t="shared" si="3"/>
        <v>-6.5809969611842656E-2</v>
      </c>
      <c r="T154" s="154">
        <f t="shared" si="3"/>
        <v>-9.1726801818088948</v>
      </c>
      <c r="U154" s="154">
        <f t="shared" si="3"/>
        <v>-1.1784525023048599E-5</v>
      </c>
      <c r="V154" s="154">
        <f t="shared" si="3"/>
        <v>-2.4183330530251068E-7</v>
      </c>
      <c r="W154" s="154">
        <f t="shared" si="3"/>
        <v>-7.3513466077163411E-7</v>
      </c>
      <c r="X154" s="154">
        <f t="shared" si="3"/>
        <v>-4.6827130673871092E-2</v>
      </c>
      <c r="Y154" s="154">
        <f t="shared" si="3"/>
        <v>-0.32993002116763237</v>
      </c>
    </row>
    <row r="155" spans="1:25" ht="14" customHeight="1" x14ac:dyDescent="0.35"/>
    <row r="157" spans="1:25" ht="23.5" x14ac:dyDescent="0.55000000000000004">
      <c r="A157" s="100" t="s">
        <v>869</v>
      </c>
    </row>
    <row r="158" spans="1:25" ht="14" customHeight="1" x14ac:dyDescent="0.55000000000000004">
      <c r="A158" s="100"/>
    </row>
    <row r="159" spans="1:25" ht="14" customHeight="1" x14ac:dyDescent="0.35">
      <c r="A159" s="432" t="s">
        <v>153</v>
      </c>
      <c r="B159" s="419" t="s">
        <v>229</v>
      </c>
      <c r="C159" s="421"/>
      <c r="D159" s="419" t="s">
        <v>231</v>
      </c>
      <c r="E159" s="420"/>
      <c r="F159" s="420"/>
      <c r="G159" s="420"/>
      <c r="H159" s="420"/>
      <c r="I159" s="420"/>
      <c r="J159" s="420"/>
      <c r="K159" s="421"/>
      <c r="L159" s="380" t="s">
        <v>230</v>
      </c>
      <c r="M159" s="384" t="s">
        <v>870</v>
      </c>
      <c r="N159" s="380" t="s">
        <v>233</v>
      </c>
    </row>
    <row r="160" spans="1:25" ht="14" customHeight="1" x14ac:dyDescent="0.35">
      <c r="A160" s="432"/>
      <c r="B160" s="104" t="s">
        <v>871</v>
      </c>
      <c r="C160" s="102" t="s">
        <v>872</v>
      </c>
      <c r="D160" s="103" t="s">
        <v>873</v>
      </c>
      <c r="E160" s="103" t="s">
        <v>244</v>
      </c>
      <c r="F160" s="103" t="s">
        <v>874</v>
      </c>
      <c r="G160" s="103" t="s">
        <v>875</v>
      </c>
      <c r="H160" s="103" t="s">
        <v>876</v>
      </c>
      <c r="I160" s="103" t="s">
        <v>877</v>
      </c>
      <c r="J160" s="103" t="s">
        <v>878</v>
      </c>
      <c r="K160" s="103" t="s">
        <v>879</v>
      </c>
      <c r="L160" s="380"/>
      <c r="M160" s="384"/>
      <c r="N160" s="380"/>
    </row>
    <row r="161" spans="1:14" ht="14" customHeight="1" x14ac:dyDescent="0.35">
      <c r="A161" s="53" t="s">
        <v>279</v>
      </c>
      <c r="B161" s="154" cm="1">
        <f t="array" ref="B161">INDEX(LCI!H$2:H$137,MATCH('D- Benefits &amp; Burdens'!$E$30&amp;'D- Benefits &amp; Burdens'!$F$30,LCI!$B$2:$B$137&amp;LCI!$D$2:$D$137,0))*IF(AND($E30="Truck",$F30="Electric"),$B$26,1)*$D$30*$C$30</f>
        <v>8.3677292999999996E-3</v>
      </c>
      <c r="C161" s="154">
        <f>SUM(H106:H109)</f>
        <v>9.7208322691190062E-4</v>
      </c>
      <c r="D161" s="154" cm="1">
        <f t="array" ref="D161">INDEX(LCI!H$2:H$137,MATCH('D- Benefits &amp; Burdens'!$B139&amp;'D- Benefits &amp; Burdens'!$D139,LCI!$B$2:$B$137&amp;LCI!$D$2:$D$137,0))*$C$139</f>
        <v>-4.0179887999999997E-2</v>
      </c>
      <c r="E161" s="154" cm="1">
        <f t="array" ref="E161">INDEX(LCI!H$2:H$137,MATCH('D- Benefits &amp; Burdens'!$B140&amp;'D- Benefits &amp; Burdens'!$D140,LCI!$B$2:$B$137&amp;LCI!$D$2:$D$137,0))*$C$140</f>
        <v>-7.2480855828086074E-3</v>
      </c>
      <c r="F161" s="154">
        <f>INDEX(LCI!H$2:H$137,MATCH('D- Benefits &amp; Burdens'!$B$141,LCI!$D$2:$D$137,0))*$C$141</f>
        <v>-1.4655669292787669E-2</v>
      </c>
      <c r="G161" s="154">
        <f>INDEX(LCI!H$2:H$137,MATCH('D- Benefits &amp; Burdens'!$B$142,LCI!$D$2:$D$137,0))*$C$142</f>
        <v>-8.9310864495955131E-3</v>
      </c>
      <c r="H161" s="154" cm="1">
        <f t="array" ref="H161">INDEX(LCI!H$2:H$137,MATCH('D- Benefits &amp; Burdens'!$E150&amp;'D- Benefits &amp; Burdens'!$F150,LCI!$B$2:$B$137&amp;LCI!$D$2:$D$137,0))*$C150*$D150</f>
        <v>-2.7058083595799761E-3</v>
      </c>
      <c r="I161" s="154" cm="1">
        <f t="array" ref="I161">INDEX(LCI!H$2:H$137,MATCH('D- Benefits &amp; Burdens'!$E151&amp;'D- Benefits &amp; Burdens'!$F151,LCI!$B$2:$B$137&amp;LCI!$D$2:$D$137,0))*$C151*$D151</f>
        <v>-3.6092786189298306E-3</v>
      </c>
      <c r="J161" s="154" cm="1">
        <f t="array" ref="J161">INDEX(LCI!H$2:H$137,MATCH('D- Benefits &amp; Burdens'!$E152&amp;'D- Benefits &amp; Burdens'!$F152,LCI!$B$2:$B$137&amp;LCI!$D$2:$D$137,0))*$C152*$D152</f>
        <v>-1.5256923866726403E-2</v>
      </c>
      <c r="K161" s="154" cm="1">
        <f t="array" ref="K161">INDEX(LCI!H$2:H$137,MATCH('D- Benefits &amp; Burdens'!$E153&amp;'D- Benefits &amp; Burdens'!$F153,LCI!$B$2:$B$137&amp;LCI!$D$2:$D$137,0))*$C153*$D153</f>
        <v>-8.1704102738400005E-3</v>
      </c>
      <c r="L161" s="154">
        <f>SUM(B161:C161)</f>
        <v>9.3398125269119007E-3</v>
      </c>
      <c r="M161" s="154">
        <f>SUM(D161:K161)</f>
        <v>-0.100757150444268</v>
      </c>
      <c r="N161" s="154">
        <f>SUM(L161:M161)</f>
        <v>-9.1417337917356095E-2</v>
      </c>
    </row>
    <row r="162" spans="1:14" ht="14" customHeight="1" x14ac:dyDescent="0.35">
      <c r="A162" s="53" t="s">
        <v>280</v>
      </c>
      <c r="B162" s="154" cm="1">
        <f t="array" ref="B162">INDEX(LCI!I$2:I$137,MATCH('D- Benefits &amp; Burdens'!$E$30&amp;'D- Benefits &amp; Burdens'!$F$30,LCI!$B$2:$B$137&amp;LCI!$D$2:$D$137,0))*IF(AND($E30="Truck",$F30="Electric"),$B$26,1)*$D$30*$C$30</f>
        <v>3.0586994360999999</v>
      </c>
      <c r="C162" s="154">
        <f>SUM(I106:I109)</f>
        <v>0.76033864762898462</v>
      </c>
      <c r="D162" s="154" cm="1">
        <f t="array" ref="D162">INDEX(LCI!I$2:I$137,MATCH('D- Benefits &amp; Burdens'!$B139&amp;'D- Benefits &amp; Burdens'!$D139,LCI!$B$2:$B$137&amp;LCI!$D$2:$D$137,0))*$C$139</f>
        <v>-12.381012</v>
      </c>
      <c r="E162" s="154" cm="1">
        <f t="array" ref="E162">INDEX(LCI!I$2:I$137,MATCH('D- Benefits &amp; Burdens'!$B140&amp;'D- Benefits &amp; Burdens'!$D140,LCI!$B$2:$B$137&amp;LCI!$D$2:$D$137,0))*$C$140</f>
        <v>-0.94737620791540567</v>
      </c>
      <c r="F162" s="154">
        <f>INDEX(LCI!I$2:I$137,MATCH('D- Benefits &amp; Burdens'!$B$141,LCI!$D$2:$D$137,0))*$C$141</f>
        <v>-0.76160680160773897</v>
      </c>
      <c r="G162" s="154">
        <f>INDEX(LCI!I$2:I$137,MATCH('D- Benefits &amp; Burdens'!$B$142,LCI!$D$2:$D$137,0))*$C$142</f>
        <v>-1.0130154825271522</v>
      </c>
      <c r="H162" s="154" cm="1">
        <f t="array" ref="H162">INDEX(LCI!I$2:I$137,MATCH('D- Benefits &amp; Burdens'!$E150&amp;'D- Benefits &amp; Burdens'!$F150,LCI!$B$2:$B$137&amp;LCI!$D$2:$D$137,0))*$C150*$D150</f>
        <v>-0.98906814583998781</v>
      </c>
      <c r="I162" s="154" cm="1">
        <f t="array" ref="I162">INDEX(LCI!I$2:I$137,MATCH('D- Benefits &amp; Burdens'!$E151&amp;'D- Benefits &amp; Burdens'!$F151,LCI!$B$2:$B$137&amp;LCI!$D$2:$D$137,0))*$C151*$D151</f>
        <v>-1.3193183097412648</v>
      </c>
      <c r="J162" s="154" cm="1">
        <f t="array" ref="J162">INDEX(LCI!I$2:I$137,MATCH('D- Benefits &amp; Burdens'!$E152&amp;'D- Benefits &amp; Burdens'!$F152,LCI!$B$2:$B$137&amp;LCI!$D$2:$D$137,0))*$C152*$D152</f>
        <v>-5.5769424122953737</v>
      </c>
      <c r="K162" s="154" cm="1">
        <f t="array" ref="K162">INDEX(LCI!I$2:I$137,MATCH('D- Benefits &amp; Burdens'!$E153&amp;'D- Benefits &amp; Burdens'!$F153,LCI!$B$2:$B$137&amp;LCI!$D$2:$D$137,0))*$C153*$D153</f>
        <v>-2.9865723903496799</v>
      </c>
      <c r="L162" s="154">
        <f t="shared" ref="L162:L179" si="4">SUM(B162:C162)</f>
        <v>3.8190380837289846</v>
      </c>
      <c r="M162" s="154">
        <f t="shared" ref="M162:M179" si="5">SUM(D162:K162)</f>
        <v>-25.974911750276604</v>
      </c>
      <c r="N162" s="154">
        <f t="shared" ref="N162:N179" si="6">SUM(L162:M162)</f>
        <v>-22.15587366654762</v>
      </c>
    </row>
    <row r="163" spans="1:14" ht="14" customHeight="1" x14ac:dyDescent="0.35">
      <c r="A163" s="53" t="s">
        <v>281</v>
      </c>
      <c r="B163" s="154" cm="1">
        <f t="array" ref="B163">INDEX(LCI!J$2:J$137,MATCH('D- Benefits &amp; Burdens'!$E$30&amp;'D- Benefits &amp; Burdens'!$F$30,LCI!$B$2:$B$137&amp;LCI!$D$2:$D$137,0))*IF(AND($E30="Truck",$F30="Electric"),$B$26,1)*$D$30*$C$30</f>
        <v>1.41369732E-3</v>
      </c>
      <c r="C163" s="154">
        <f>SUM(J106:J109)</f>
        <v>1.5714271260259654E-4</v>
      </c>
      <c r="D163" s="154" cm="1">
        <f t="array" ref="D163">INDEX(LCI!J$2:J$137,MATCH('D- Benefits &amp; Burdens'!$B139&amp;'D- Benefits &amp; Burdens'!$D139,LCI!$B$2:$B$137&amp;LCI!$D$2:$D$137,0))*$C$139</f>
        <v>-4.9056840000000004E-2</v>
      </c>
      <c r="E163" s="154" cm="1">
        <f t="array" ref="E163">INDEX(LCI!J$2:J$137,MATCH('D- Benefits &amp; Burdens'!$B140&amp;'D- Benefits &amp; Burdens'!$D140,LCI!$B$2:$B$137&amp;LCI!$D$2:$D$137,0))*$C$140</f>
        <v>-1.4774654030505841E-2</v>
      </c>
      <c r="F163" s="154">
        <f>INDEX(LCI!J$2:J$137,MATCH('D- Benefits &amp; Burdens'!$B$141,LCI!$D$2:$D$137,0))*$C$141</f>
        <v>-2.347542500540156E-3</v>
      </c>
      <c r="G163" s="154">
        <f>INDEX(LCI!J$2:J$137,MATCH('D- Benefits &amp; Burdens'!$B$142,LCI!$D$2:$D$137,0))*$C$142</f>
        <v>2.4371335735976125E-4</v>
      </c>
      <c r="H163" s="154" cm="1">
        <f t="array" ref="H163">INDEX(LCI!J$2:J$137,MATCH('D- Benefits &amp; Burdens'!$E150&amp;'D- Benefits &amp; Burdens'!$F150,LCI!$B$2:$B$137&amp;LCI!$D$2:$D$137,0))*$C150*$D150</f>
        <v>-4.5713644517298238E-4</v>
      </c>
      <c r="I163" s="154" cm="1">
        <f t="array" ref="I163">INDEX(LCI!J$2:J$137,MATCH('D- Benefits &amp; Burdens'!$E151&amp;'D- Benefits &amp; Burdens'!$F151,LCI!$B$2:$B$137&amp;LCI!$D$2:$D$137,0))*$C151*$D151</f>
        <v>-6.0977444749729204E-4</v>
      </c>
      <c r="J163" s="154" cm="1">
        <f t="array" ref="J163">INDEX(LCI!J$2:J$137,MATCH('D- Benefits &amp; Burdens'!$E152&amp;'D- Benefits &amp; Burdens'!$F152,LCI!$B$2:$B$137&amp;LCI!$D$2:$D$137,0))*$C152*$D152</f>
        <v>-2.5776015939993602E-3</v>
      </c>
      <c r="K163" s="154" cm="1">
        <f t="array" ref="K163">INDEX(LCI!J$2:J$137,MATCH('D- Benefits &amp; Burdens'!$E153&amp;'D- Benefits &amp; Burdens'!$F153,LCI!$B$2:$B$137&amp;LCI!$D$2:$D$137,0))*$C153*$D153</f>
        <v>-1.380360990816E-3</v>
      </c>
      <c r="L163" s="154">
        <f t="shared" si="4"/>
        <v>1.5708400326025966E-3</v>
      </c>
      <c r="M163" s="154">
        <f t="shared" si="5"/>
        <v>-7.0960196651171883E-2</v>
      </c>
      <c r="N163" s="154">
        <f t="shared" si="6"/>
        <v>-6.9389356618569292E-2</v>
      </c>
    </row>
    <row r="164" spans="1:14" ht="14" customHeight="1" x14ac:dyDescent="0.35">
      <c r="A164" s="53" t="s">
        <v>282</v>
      </c>
      <c r="B164" s="154" cm="1">
        <f t="array" ref="B164">INDEX(LCI!K$2:K$137,MATCH('D- Benefits &amp; Burdens'!$E$30&amp;'D- Benefits &amp; Burdens'!$F$30,LCI!$B$2:$B$137&amp;LCI!$D$2:$D$137,0))*IF(AND($E30="Truck",$F30="Electric"),$B$26,1)*$D$30*$C$30</f>
        <v>3.0570452324999997</v>
      </c>
      <c r="C164" s="154">
        <f>SUM(K106:K109)</f>
        <v>0.76014788075498918</v>
      </c>
      <c r="D164" s="154" cm="1">
        <f t="array" ref="D164">INDEX(LCI!K$2:K$137,MATCH('D- Benefits &amp; Burdens'!$B139&amp;'D- Benefits &amp; Burdens'!$D139,LCI!$B$2:$B$137&amp;LCI!$D$2:$D$137,0))*$C$139</f>
        <v>-12.334291199999999</v>
      </c>
      <c r="E164" s="154" cm="1">
        <f t="array" ref="E164">INDEX(LCI!K$2:K$137,MATCH('D- Benefits &amp; Burdens'!$B140&amp;'D- Benefits &amp; Burdens'!$D140,LCI!$B$2:$B$137&amp;LCI!$D$2:$D$137,0))*$C$140</f>
        <v>-0.93100043186025327</v>
      </c>
      <c r="F164" s="154">
        <f>INDEX(LCI!K$2:K$137,MATCH('D- Benefits &amp; Burdens'!$B$141,LCI!$D$2:$D$137,0))*$C$141</f>
        <v>-0.75900889721440212</v>
      </c>
      <c r="G164" s="154">
        <f>INDEX(LCI!K$2:K$137,MATCH('D- Benefits &amp; Burdens'!$B$142,LCI!$D$2:$D$137,0))*$C$142</f>
        <v>-1.0131197910789436</v>
      </c>
      <c r="H164" s="154" cm="1">
        <f t="array" ref="H164">INDEX(LCI!K$2:K$137,MATCH('D- Benefits &amp; Burdens'!$E150&amp;'D- Benefits &amp; Burdens'!$F150,LCI!$B$2:$B$137&amp;LCI!$D$2:$D$137,0))*$C150*$D150</f>
        <v>-0.98853323872613941</v>
      </c>
      <c r="I164" s="154" cm="1">
        <f t="array" ref="I164">INDEX(LCI!K$2:K$137,MATCH('D- Benefits &amp; Burdens'!$E151&amp;'D- Benefits &amp; Burdens'!$F151,LCI!$B$2:$B$137&amp;LCI!$D$2:$D$137,0))*$C151*$D151</f>
        <v>-1.3186047969744459</v>
      </c>
      <c r="J164" s="154" cm="1">
        <f t="array" ref="J164">INDEX(LCI!K$2:K$137,MATCH('D- Benefits &amp; Burdens'!$E152&amp;'D- Benefits &amp; Burdens'!$F152,LCI!$B$2:$B$137&amp;LCI!$D$2:$D$137,0))*$C152*$D152</f>
        <v>-5.5739262943641608</v>
      </c>
      <c r="K164" s="154" cm="1">
        <f t="array" ref="K164">INDEX(LCI!K$2:K$137,MATCH('D- Benefits &amp; Burdens'!$E153&amp;'D- Benefits &amp; Burdens'!$F153,LCI!$B$2:$B$137&amp;LCI!$D$2:$D$137,0))*$C153*$D153</f>
        <v>-2.9849571944459998</v>
      </c>
      <c r="L164" s="154">
        <f t="shared" si="4"/>
        <v>3.817193113254989</v>
      </c>
      <c r="M164" s="154">
        <f t="shared" si="5"/>
        <v>-25.903441844664343</v>
      </c>
      <c r="N164" s="154">
        <f t="shared" si="6"/>
        <v>-22.086248731409356</v>
      </c>
    </row>
    <row r="165" spans="1:14" ht="14" customHeight="1" x14ac:dyDescent="0.35">
      <c r="A165" s="53" t="s">
        <v>283</v>
      </c>
      <c r="B165" s="154" cm="1">
        <f t="array" ref="B165">INDEX(LCI!L$2:L$137,MATCH('D- Benefits &amp; Burdens'!$E$30&amp;'D- Benefits &amp; Burdens'!$F$30,LCI!$B$2:$B$137&amp;LCI!$D$2:$D$137,0))*IF(AND($E30="Truck",$F30="Electric"),$B$26,1)*$D$30*$C$30</f>
        <v>2.4050061000000002E-4</v>
      </c>
      <c r="C165" s="154">
        <f>SUM(L106:L109)</f>
        <v>3.3624161392820239E-5</v>
      </c>
      <c r="D165" s="154" cm="1">
        <f t="array" ref="D165">INDEX(LCI!L$2:L$137,MATCH('D- Benefits &amp; Burdens'!$B139&amp;'D- Benefits &amp; Burdens'!$D139,LCI!$B$2:$B$137&amp;LCI!$D$2:$D$137,0))*$C$139</f>
        <v>-6.1905060000000001E-3</v>
      </c>
      <c r="E165" s="154" cm="1">
        <f t="array" ref="E165">INDEX(LCI!L$2:L$137,MATCH('D- Benefits &amp; Burdens'!$B140&amp;'D- Benefits &amp; Burdens'!$D140,LCI!$B$2:$B$137&amp;LCI!$D$2:$D$137,0))*$C$140</f>
        <v>-1.6011220246464912E-3</v>
      </c>
      <c r="F165" s="154">
        <f>INDEX(LCI!L$2:L$137,MATCH('D- Benefits &amp; Burdens'!$B$141,LCI!$D$2:$D$137,0))*$C$141</f>
        <v>-2.5036189279653651E-4</v>
      </c>
      <c r="G165" s="154">
        <f>INDEX(LCI!L$2:L$137,MATCH('D- Benefits &amp; Burdens'!$B$142,LCI!$D$2:$D$137,0))*$C$142</f>
        <v>-1.3940480556886E-4</v>
      </c>
      <c r="H165" s="154" cm="1">
        <f t="array" ref="H165">INDEX(LCI!L$2:L$137,MATCH('D- Benefits &amp; Burdens'!$E150&amp;'D- Benefits &amp; Burdens'!$F150,LCI!$B$2:$B$137&amp;LCI!$D$2:$D$137,0))*$C150*$D150</f>
        <v>-7.7768835211015208E-5</v>
      </c>
      <c r="I165" s="154" cm="1">
        <f t="array" ref="I165">INDEX(LCI!L$2:L$137,MATCH('D- Benefits &amp; Burdens'!$E151&amp;'D- Benefits &amp; Burdens'!$F151,LCI!$B$2:$B$137&amp;LCI!$D$2:$D$137,0))*$C151*$D151</f>
        <v>-1.0373587366319101E-4</v>
      </c>
      <c r="J165" s="154" cm="1">
        <f t="array" ref="J165">INDEX(LCI!L$2:L$137,MATCH('D- Benefits &amp; Burdens'!$E152&amp;'D- Benefits &amp; Burdens'!$F152,LCI!$B$2:$B$137&amp;LCI!$D$2:$D$137,0))*$C152*$D152</f>
        <v>-4.3850599907328006E-4</v>
      </c>
      <c r="K165" s="154" cm="1">
        <f t="array" ref="K165">INDEX(LCI!L$2:L$137,MATCH('D- Benefits &amp; Burdens'!$E153&amp;'D- Benefits &amp; Burdens'!$F153,LCI!$B$2:$B$137&amp;LCI!$D$2:$D$137,0))*$C153*$D153</f>
        <v>-2.3482937656799999E-4</v>
      </c>
      <c r="L165" s="154">
        <f t="shared" si="4"/>
        <v>2.7412477139282027E-4</v>
      </c>
      <c r="M165" s="154">
        <f t="shared" si="5"/>
        <v>-9.0362348075273737E-3</v>
      </c>
      <c r="N165" s="154">
        <f t="shared" si="6"/>
        <v>-8.7621100361345537E-3</v>
      </c>
    </row>
    <row r="166" spans="1:14" ht="14" customHeight="1" x14ac:dyDescent="0.35">
      <c r="A166" s="53" t="s">
        <v>284</v>
      </c>
      <c r="B166" s="154" cm="1">
        <f t="array" ref="B166">INDEX(LCI!M$2:M$137,MATCH('D- Benefits &amp; Burdens'!$E$30&amp;'D- Benefits &amp; Burdens'!$F$30,LCI!$B$2:$B$137&amp;LCI!$D$2:$D$137,0))*IF(AND($E30="Truck",$F30="Electric"),$B$26,1)*$D$30*$C$30</f>
        <v>2.5994460492</v>
      </c>
      <c r="C166" s="154">
        <f>SUM(M106:M109)</f>
        <v>0.33594090053099462</v>
      </c>
      <c r="D166" s="154" cm="1">
        <f t="array" ref="D166">INDEX(LCI!M$2:M$137,MATCH('D- Benefits &amp; Burdens'!$B139&amp;'D- Benefits &amp; Burdens'!$D139,LCI!$B$2:$B$137&amp;LCI!$D$2:$D$137,0))*$C$139</f>
        <v>-665.77139999999997</v>
      </c>
      <c r="E166" s="154" cm="1">
        <f t="array" ref="E166">INDEX(LCI!M$2:M$137,MATCH('D- Benefits &amp; Burdens'!$B140&amp;'D- Benefits &amp; Burdens'!$D140,LCI!$B$2:$B$137&amp;LCI!$D$2:$D$137,0))*$C$140</f>
        <v>-2.9572357625819019</v>
      </c>
      <c r="F166" s="154">
        <f>INDEX(LCI!M$2:M$137,MATCH('D- Benefits &amp; Burdens'!$B$141,LCI!$D$2:$D$137,0))*$C$141</f>
        <v>-7.5255544780829347</v>
      </c>
      <c r="G166" s="154">
        <f>INDEX(LCI!M$2:M$137,MATCH('D- Benefits &amp; Burdens'!$B$142,LCI!$D$2:$D$137,0))*$C$142</f>
        <v>-0.86515576199929611</v>
      </c>
      <c r="H166" s="154" cm="1">
        <f t="array" ref="H166">INDEX(LCI!M$2:M$137,MATCH('D- Benefits &amp; Burdens'!$E150&amp;'D- Benefits &amp; Burdens'!$F150,LCI!$B$2:$B$137&amp;LCI!$D$2:$D$137,0))*$C150*$D150</f>
        <v>-0.84056290518414611</v>
      </c>
      <c r="I166" s="154" cm="1">
        <f t="array" ref="I166">INDEX(LCI!M$2:M$137,MATCH('D- Benefits &amp; Burdens'!$E151&amp;'D- Benefits &amp; Burdens'!$F151,LCI!$B$2:$B$137&amp;LCI!$D$2:$D$137,0))*$C151*$D151</f>
        <v>-1.1212271226841886</v>
      </c>
      <c r="J166" s="154" cm="1">
        <f t="array" ref="J166">INDEX(LCI!M$2:M$137,MATCH('D- Benefits &amp; Burdens'!$E152&amp;'D- Benefits &amp; Burdens'!$F152,LCI!$B$2:$B$137&amp;LCI!$D$2:$D$137,0))*$C152*$D152</f>
        <v>-4.7395833500860425</v>
      </c>
      <c r="K166" s="154" cm="1">
        <f t="array" ref="K166">INDEX(LCI!M$2:M$137,MATCH('D- Benefits &amp; Burdens'!$E153&amp;'D- Benefits &amp; Burdens'!$F153,LCI!$B$2:$B$137&amp;LCI!$D$2:$D$137,0))*$C153*$D153</f>
        <v>-2.53814863569696</v>
      </c>
      <c r="L166" s="154">
        <f t="shared" si="4"/>
        <v>2.9353869497309946</v>
      </c>
      <c r="M166" s="154">
        <f t="shared" si="5"/>
        <v>-686.35886801631545</v>
      </c>
      <c r="N166" s="154">
        <f t="shared" si="6"/>
        <v>-683.42348106658449</v>
      </c>
    </row>
    <row r="167" spans="1:14" ht="14" customHeight="1" x14ac:dyDescent="0.35">
      <c r="A167" s="53" t="s">
        <v>285</v>
      </c>
      <c r="B167" s="154" cm="1">
        <f t="array" ref="B167">INDEX(LCI!N$2:N$137,MATCH('D- Benefits &amp; Burdens'!$E$30&amp;'D- Benefits &amp; Burdens'!$F$30,LCI!$B$2:$B$137&amp;LCI!$D$2:$D$137,0))*IF(AND($E30="Truck",$F30="Electric"),$B$26,1)*$D$30*$C$30</f>
        <v>41.125258628999994</v>
      </c>
      <c r="C167" s="154">
        <f>SUM(N106:N109)</f>
        <v>10.099329724872872</v>
      </c>
      <c r="D167" s="154" cm="1">
        <f t="array" ref="D167">INDEX(LCI!N$2:N$137,MATCH('D- Benefits &amp; Burdens'!$B139&amp;'D- Benefits &amp; Burdens'!$D139,LCI!$B$2:$B$137&amp;LCI!$D$2:$D$137,0))*$C$139</f>
        <v>-1069.9063200000001</v>
      </c>
      <c r="E167" s="154" cm="1">
        <f t="array" ref="E167">INDEX(LCI!N$2:N$137,MATCH('D- Benefits &amp; Burdens'!$B140&amp;'D- Benefits &amp; Burdens'!$D140,LCI!$B$2:$B$137&amp;LCI!$D$2:$D$137,0))*$C$140</f>
        <v>-15.864297627135885</v>
      </c>
      <c r="F167" s="154">
        <f>INDEX(LCI!N$2:N$137,MATCH('D- Benefits &amp; Burdens'!$B$141,LCI!$D$2:$D$137,0))*$C$141</f>
        <v>-10.791774022823558</v>
      </c>
      <c r="G167" s="154">
        <f>INDEX(LCI!N$2:N$137,MATCH('D- Benefits &amp; Burdens'!$B$142,LCI!$D$2:$D$137,0))*$C$142</f>
        <v>-13.16743971431517</v>
      </c>
      <c r="H167" s="154" cm="1">
        <f t="array" ref="H167">INDEX(LCI!N$2:N$137,MATCH('D- Benefits &amp; Burdens'!$E150&amp;'D- Benefits &amp; Burdens'!$F150,LCI!$B$2:$B$137&amp;LCI!$D$2:$D$137,0))*$C150*$D150</f>
        <v>-13.298359040873459</v>
      </c>
      <c r="I167" s="154" cm="1">
        <f t="array" ref="I167">INDEX(LCI!N$2:N$137,MATCH('D- Benefits &amp; Burdens'!$E151&amp;'D- Benefits &amp; Burdens'!$F151,LCI!$B$2:$B$137&amp;LCI!$D$2:$D$137,0))*$C151*$D151</f>
        <v>-17.738685292748322</v>
      </c>
      <c r="J167" s="154" cm="1">
        <f t="array" ref="J167">INDEX(LCI!N$2:N$137,MATCH('D- Benefits &amp; Burdens'!$E152&amp;'D- Benefits &amp; Burdens'!$F152,LCI!$B$2:$B$137&amp;LCI!$D$2:$D$137,0))*$C152*$D152</f>
        <v>-74.983895559585804</v>
      </c>
      <c r="K167" s="154" cm="1">
        <f t="array" ref="K167">INDEX(LCI!N$2:N$137,MATCH('D- Benefits &amp; Burdens'!$E153&amp;'D- Benefits &amp; Burdens'!$F153,LCI!$B$2:$B$137&amp;LCI!$D$2:$D$137,0))*$C153*$D153</f>
        <v>-40.155485863615191</v>
      </c>
      <c r="L167" s="154">
        <f t="shared" si="4"/>
        <v>51.224588353872868</v>
      </c>
      <c r="M167" s="154">
        <f t="shared" si="5"/>
        <v>-1255.9062571210975</v>
      </c>
      <c r="N167" s="154">
        <f t="shared" si="6"/>
        <v>-1204.6816687672247</v>
      </c>
    </row>
    <row r="168" spans="1:14" ht="14" customHeight="1" x14ac:dyDescent="0.35">
      <c r="A168" s="53" t="s">
        <v>286</v>
      </c>
      <c r="B168" s="154" cm="1">
        <f t="array" ref="B168">INDEX(LCI!O$2:O$137,MATCH('D- Benefits &amp; Burdens'!$E$30&amp;'D- Benefits &amp; Burdens'!$F$30,LCI!$B$2:$B$137&amp;LCI!$D$2:$D$137,0))*IF(AND($E30="Truck",$F30="Electric"),$B$26,1)*$D$30*$C$30</f>
        <v>7.0364700000000001E-5</v>
      </c>
      <c r="C168" s="154">
        <f>SUM(O106:O109)</f>
        <v>8.0378071638972046E-6</v>
      </c>
      <c r="D168" s="154" cm="1">
        <f t="array" ref="D168">INDEX(LCI!O$2:O$137,MATCH('D- Benefits &amp; Burdens'!$B139&amp;'D- Benefits &amp; Burdens'!$D139,LCI!$B$2:$B$137&amp;LCI!$D$2:$D$137,0))*$C$139</f>
        <v>-1.0395377999999999E-5</v>
      </c>
      <c r="E168" s="154" cm="1">
        <f t="array" ref="E168">INDEX(LCI!O$2:O$137,MATCH('D- Benefits &amp; Burdens'!$B140&amp;'D- Benefits &amp; Burdens'!$D140,LCI!$B$2:$B$137&amp;LCI!$D$2:$D$137,0))*$C$140</f>
        <v>-5.6926113903009868E-4</v>
      </c>
      <c r="F168" s="154">
        <f>INDEX(LCI!O$2:O$137,MATCH('D- Benefits &amp; Burdens'!$B$141,LCI!$D$2:$D$137,0))*$C$141</f>
        <v>-5.6275216266641469E-5</v>
      </c>
      <c r="G168" s="154">
        <f>INDEX(LCI!O$2:O$137,MATCH('D- Benefits &amp; Burdens'!$B$142,LCI!$D$2:$D$137,0))*$C$142</f>
        <v>-4.5690197620322211E-5</v>
      </c>
      <c r="H168" s="154" cm="1">
        <f t="array" ref="H168">INDEX(LCI!O$2:O$137,MATCH('D- Benefits &amp; Burdens'!$E150&amp;'D- Benefits &amp; Burdens'!$F150,LCI!$B$2:$B$137&amp;LCI!$D$2:$D$137,0))*$C150*$D150</f>
        <v>-2.2753292638104003E-5</v>
      </c>
      <c r="I168" s="154" cm="1">
        <f t="array" ref="I168">INDEX(LCI!O$2:O$137,MATCH('D- Benefits &amp; Burdens'!$E151&amp;'D- Benefits &amp; Burdens'!$F151,LCI!$B$2:$B$137&amp;LCI!$D$2:$D$137,0))*$C151*$D151</f>
        <v>-3.0350624181569999E-5</v>
      </c>
      <c r="J168" s="154" cm="1">
        <f t="array" ref="J168">INDEX(LCI!O$2:O$137,MATCH('D- Benefits &amp; Burdens'!$E152&amp;'D- Benefits &amp; Burdens'!$F152,LCI!$B$2:$B$137&amp;LCI!$D$2:$D$137,0))*$C152*$D152</f>
        <v>-1.2829631938560002E-4</v>
      </c>
      <c r="K168" s="154" cm="1">
        <f t="array" ref="K168">INDEX(LCI!O$2:O$137,MATCH('D- Benefits &amp; Burdens'!$E153&amp;'D- Benefits &amp; Burdens'!$F153,LCI!$B$2:$B$137&amp;LCI!$D$2:$D$137,0))*$C153*$D153</f>
        <v>-6.8705433359999999E-5</v>
      </c>
      <c r="L168" s="154">
        <f t="shared" si="4"/>
        <v>7.8402507163897209E-5</v>
      </c>
      <c r="M168" s="154">
        <f t="shared" si="5"/>
        <v>-9.317276004823363E-4</v>
      </c>
      <c r="N168" s="154">
        <f t="shared" si="6"/>
        <v>-8.5332509331843907E-4</v>
      </c>
    </row>
    <row r="169" spans="1:14" ht="14" customHeight="1" x14ac:dyDescent="0.35">
      <c r="A169" s="53" t="s">
        <v>287</v>
      </c>
      <c r="B169" s="154" cm="1">
        <f t="array" ref="B169">INDEX(LCI!P$2:P$137,MATCH('D- Benefits &amp; Burdens'!$E$30&amp;'D- Benefits &amp; Burdens'!$F$30,LCI!$B$2:$B$137&amp;LCI!$D$2:$D$137,0))*IF(AND($E30="Truck",$F30="Electric"),$B$26,1)*$D$30*$C$30</f>
        <v>3.0023405999999998E-3</v>
      </c>
      <c r="C169" s="154">
        <f>SUM(P106:P109)</f>
        <v>2.1981968836628309E-4</v>
      </c>
      <c r="D169" s="154" cm="1">
        <f t="array" ref="D169">INDEX(LCI!P$2:P$137,MATCH('D- Benefits &amp; Burdens'!$B139&amp;'D- Benefits &amp; Burdens'!$D139,LCI!$B$2:$B$137&amp;LCI!$D$2:$D$137,0))*$C$139</f>
        <v>-1.03720176E-2</v>
      </c>
      <c r="E169" s="154" cm="1">
        <f t="array" ref="E169">INDEX(LCI!P$2:P$137,MATCH('D- Benefits &amp; Burdens'!$B140&amp;'D- Benefits &amp; Burdens'!$D140,LCI!$B$2:$B$137&amp;LCI!$D$2:$D$137,0))*$C$140</f>
        <v>-1.6414777326539999E-3</v>
      </c>
      <c r="F169" s="154">
        <f>INDEX(LCI!P$2:P$137,MATCH('D- Benefits &amp; Burdens'!$B$141,LCI!$D$2:$D$137,0))*$C$141</f>
        <v>-5.2644061437122488E-3</v>
      </c>
      <c r="G169" s="154">
        <f>INDEX(LCI!P$2:P$137,MATCH('D- Benefits &amp; Burdens'!$B$142,LCI!$D$2:$D$137,0))*$C$142</f>
        <v>-4.0986453918732376E-3</v>
      </c>
      <c r="H169" s="154" cm="1">
        <f t="array" ref="H169">INDEX(LCI!P$2:P$137,MATCH('D- Benefits &amp; Burdens'!$E150&amp;'D- Benefits &amp; Burdens'!$F150,LCI!$B$2:$B$137&amp;LCI!$D$2:$D$137,0))*$C150*$D150</f>
        <v>-9.70843821846192E-4</v>
      </c>
      <c r="I169" s="154" cm="1">
        <f t="array" ref="I169">INDEX(LCI!P$2:P$137,MATCH('D- Benefits &amp; Burdens'!$E151&amp;'D- Benefits &amp; Burdens'!$F151,LCI!$B$2:$B$137&amp;LCI!$D$2:$D$137,0))*$C151*$D151</f>
        <v>-1.2950088782538599E-3</v>
      </c>
      <c r="J169" s="154" cm="1">
        <f t="array" ref="J169">INDEX(LCI!P$2:P$137,MATCH('D- Benefits &amp; Burdens'!$E152&amp;'D- Benefits &amp; Burdens'!$F152,LCI!$B$2:$B$137&amp;LCI!$D$2:$D$137,0))*$C152*$D152</f>
        <v>-5.4741830565888001E-3</v>
      </c>
      <c r="K169" s="154" cm="1">
        <f t="array" ref="K169">INDEX(LCI!P$2:P$137,MATCH('D- Benefits &amp; Burdens'!$E153&amp;'D- Benefits &amp; Burdens'!$F153,LCI!$B$2:$B$137&amp;LCI!$D$2:$D$137,0))*$C153*$D153</f>
        <v>-2.9315425492799996E-3</v>
      </c>
      <c r="L169" s="154">
        <f t="shared" si="4"/>
        <v>3.2221602883662831E-3</v>
      </c>
      <c r="M169" s="154">
        <f t="shared" si="5"/>
        <v>-3.2048125174208339E-2</v>
      </c>
      <c r="N169" s="154">
        <f t="shared" si="6"/>
        <v>-2.8825964885842055E-2</v>
      </c>
    </row>
    <row r="170" spans="1:14" ht="14" customHeight="1" x14ac:dyDescent="0.35">
      <c r="A170" s="53" t="s">
        <v>288</v>
      </c>
      <c r="B170" s="154" cm="1">
        <f t="array" ref="B170">INDEX(LCI!Q$2:Q$137,MATCH('D- Benefits &amp; Burdens'!$E$30&amp;'D- Benefits &amp; Burdens'!$F$30,LCI!$B$2:$B$137&amp;LCI!$D$2:$D$137,0))*IF(AND($E30="Truck",$F30="Electric"),$B$26,1)*$D$30*$C$30</f>
        <v>3.2750959499999996E-2</v>
      </c>
      <c r="C170" s="154">
        <f>SUM(Q106:Q109)</f>
        <v>2.3897108838200898E-3</v>
      </c>
      <c r="D170" s="154" cm="1">
        <f t="array" ref="D170">INDEX(LCI!Q$2:Q$137,MATCH('D- Benefits &amp; Burdens'!$B139&amp;'D- Benefits &amp; Burdens'!$D139,LCI!$B$2:$B$137&amp;LCI!$D$2:$D$137,0))*$C$139</f>
        <v>-0.11353154400000001</v>
      </c>
      <c r="E170" s="154" cm="1">
        <f t="array" ref="E170">INDEX(LCI!Q$2:Q$137,MATCH('D- Benefits &amp; Burdens'!$B140&amp;'D- Benefits &amp; Burdens'!$D140,LCI!$B$2:$B$137&amp;LCI!$D$2:$D$137,0))*$C$140</f>
        <v>-1.9456079493570384E-2</v>
      </c>
      <c r="F170" s="154">
        <f>INDEX(LCI!Q$2:Q$137,MATCH('D- Benefits &amp; Burdens'!$B$141,LCI!$D$2:$D$137,0))*$C$141</f>
        <v>-7.3426905431849876E-2</v>
      </c>
      <c r="G170" s="154">
        <f>INDEX(LCI!Q$2:Q$137,MATCH('D- Benefits &amp; Burdens'!$B$142,LCI!$D$2:$D$137,0))*$C$142</f>
        <v>-4.5015356269378845E-2</v>
      </c>
      <c r="H170" s="154" cm="1">
        <f t="array" ref="H170">INDEX(LCI!Q$2:Q$137,MATCH('D- Benefits &amp; Burdens'!$E150&amp;'D- Benefits &amp; Burdens'!$F150,LCI!$B$2:$B$137&amp;LCI!$D$2:$D$137,0))*$C150*$D150</f>
        <v>-1.0590426246146039E-2</v>
      </c>
      <c r="I170" s="154" cm="1">
        <f t="array" ref="I170">INDEX(LCI!Q$2:Q$137,MATCH('D- Benefits &amp; Burdens'!$E151&amp;'D- Benefits &amp; Burdens'!$F151,LCI!$B$2:$B$137&amp;LCI!$D$2:$D$137,0))*$C151*$D151</f>
        <v>-1.412657288910945E-2</v>
      </c>
      <c r="J170" s="154" cm="1">
        <f t="array" ref="J170">INDEX(LCI!Q$2:Q$137,MATCH('D- Benefits &amp; Burdens'!$E152&amp;'D- Benefits &amp; Burdens'!$F152,LCI!$B$2:$B$137&amp;LCI!$D$2:$D$137,0))*$C152*$D152</f>
        <v>-5.9714992889856003E-2</v>
      </c>
      <c r="K170" s="154" cm="1">
        <f t="array" ref="K170">INDEX(LCI!Q$2:Q$137,MATCH('D- Benefits &amp; Burdens'!$E153&amp;'D- Benefits &amp; Burdens'!$F153,LCI!$B$2:$B$137&amp;LCI!$D$2:$D$137,0))*$C153*$D153</f>
        <v>-3.1978660683599995E-2</v>
      </c>
      <c r="L170" s="154">
        <f t="shared" si="4"/>
        <v>3.5140670383820086E-2</v>
      </c>
      <c r="M170" s="154">
        <f t="shared" si="5"/>
        <v>-0.36784053790351062</v>
      </c>
      <c r="N170" s="154">
        <f t="shared" si="6"/>
        <v>-0.33269986751969055</v>
      </c>
    </row>
    <row r="171" spans="1:14" ht="14" customHeight="1" x14ac:dyDescent="0.35">
      <c r="A171" s="53" t="s">
        <v>289</v>
      </c>
      <c r="B171" s="154" cm="1">
        <f t="array" ref="B171">INDEX(LCI!R$2:R$137,MATCH('D- Benefits &amp; Burdens'!$E$30&amp;'D- Benefits &amp; Burdens'!$F$30,LCI!$B$2:$B$137&amp;LCI!$D$2:$D$137,0))*IF(AND($E30="Truck",$F30="Electric"),$B$26,1)*$D$30*$C$30</f>
        <v>2.8590218999999995E-10</v>
      </c>
      <c r="C171" s="154">
        <f>SUM(R106:R109)</f>
        <v>4.6464702038275903E-11</v>
      </c>
      <c r="D171" s="154" cm="1">
        <f t="array" ref="D171">INDEX(LCI!R$2:R$137,MATCH('D- Benefits &amp; Burdens'!$B139&amp;'D- Benefits &amp; Burdens'!$D139,LCI!$B$2:$B$137&amp;LCI!$D$2:$D$137,0))*$C$139</f>
        <v>-1.1586758400000001E-8</v>
      </c>
      <c r="E171" s="154" cm="1">
        <f t="array" ref="E171">INDEX(LCI!R$2:R$137,MATCH('D- Benefits &amp; Burdens'!$B140&amp;'D- Benefits &amp; Burdens'!$D140,LCI!$B$2:$B$137&amp;LCI!$D$2:$D$137,0))*$C$140</f>
        <v>-1.9522320984513078E-10</v>
      </c>
      <c r="F171" s="154">
        <f>INDEX(LCI!R$2:R$137,MATCH('D- Benefits &amp; Burdens'!$B$141,LCI!$D$2:$D$137,0))*$C$141</f>
        <v>-1.372537038332449E-10</v>
      </c>
      <c r="G171" s="154">
        <f>INDEX(LCI!R$2:R$137,MATCH('D- Benefits &amp; Burdens'!$B$142,LCI!$D$2:$D$137,0))*$C$142</f>
        <v>-1.1917000506180149E-10</v>
      </c>
      <c r="H171" s="154" cm="1">
        <f t="array" ref="H171">INDEX(LCI!R$2:R$137,MATCH('D- Benefits &amp; Burdens'!$E150&amp;'D- Benefits &amp; Burdens'!$F150,LCI!$B$2:$B$137&amp;LCI!$D$2:$D$137,0))*$C150*$D150</f>
        <v>-9.2449995451480805E-11</v>
      </c>
      <c r="I171" s="154" cm="1">
        <f t="array" ref="I171">INDEX(LCI!R$2:R$137,MATCH('D- Benefits &amp; Burdens'!$E151&amp;'D- Benefits &amp; Burdens'!$F151,LCI!$B$2:$B$137&amp;LCI!$D$2:$D$137,0))*$C151*$D151</f>
        <v>-1.2331907790948901E-10</v>
      </c>
      <c r="J171" s="154" cm="1">
        <f t="array" ref="J171">INDEX(LCI!R$2:R$137,MATCH('D- Benefits &amp; Burdens'!$E152&amp;'D- Benefits &amp; Burdens'!$F152,LCI!$B$2:$B$137&amp;LCI!$D$2:$D$137,0))*$C152*$D152</f>
        <v>-5.2128693338112003E-10</v>
      </c>
      <c r="K171" s="154" cm="1">
        <f t="array" ref="K171">INDEX(LCI!R$2:R$137,MATCH('D- Benefits &amp; Burdens'!$E153&amp;'D- Benefits &amp; Burdens'!$F153,LCI!$B$2:$B$137&amp;LCI!$D$2:$D$137,0))*$C153*$D153</f>
        <v>-2.7916034407200001E-10</v>
      </c>
      <c r="L171" s="154">
        <f t="shared" si="4"/>
        <v>3.3236689203827587E-10</v>
      </c>
      <c r="M171" s="154">
        <f t="shared" si="5"/>
        <v>-1.305462166955427E-8</v>
      </c>
      <c r="N171" s="154">
        <f t="shared" si="6"/>
        <v>-1.2722254777515993E-8</v>
      </c>
    </row>
    <row r="172" spans="1:14" ht="14" customHeight="1" x14ac:dyDescent="0.35">
      <c r="A172" s="53" t="s">
        <v>290</v>
      </c>
      <c r="B172" s="154" cm="1">
        <f t="array" ref="B172">INDEX(LCI!S$2:S$137,MATCH('D- Benefits &amp; Burdens'!$E$30&amp;'D- Benefits &amp; Burdens'!$F$30,LCI!$B$2:$B$137&amp;LCI!$D$2:$D$137,0))*IF(AND($E30="Truck",$F30="Electric"),$B$26,1)*$D$30*$C$30</f>
        <v>2.1921165000000001E-8</v>
      </c>
      <c r="C172" s="154">
        <f>SUM(S106:S109)</f>
        <v>1.2384739377919393E-9</v>
      </c>
      <c r="D172" s="154" cm="1">
        <f t="array" ref="D172">INDEX(LCI!S$2:S$137,MATCH('D- Benefits &amp; Burdens'!$B139&amp;'D- Benefits &amp; Burdens'!$D139,LCI!$B$2:$B$137&amp;LCI!$D$2:$D$137,0))*$C$139</f>
        <v>-3.3405372E-7</v>
      </c>
      <c r="E172" s="154" cm="1">
        <f t="array" ref="E172">INDEX(LCI!S$2:S$137,MATCH('D- Benefits &amp; Burdens'!$B140&amp;'D- Benefits &amp; Burdens'!$D140,LCI!$B$2:$B$137&amp;LCI!$D$2:$D$137,0))*$C$140</f>
        <v>-7.417745436868156E-9</v>
      </c>
      <c r="F172" s="154">
        <f>INDEX(LCI!S$2:S$137,MATCH('D- Benefits &amp; Burdens'!$B$141,LCI!$D$2:$D$137,0))*$C$141</f>
        <v>-3.6435167362792405E-9</v>
      </c>
      <c r="G172" s="154">
        <f>INDEX(LCI!S$2:S$137,MATCH('D- Benefits &amp; Burdens'!$B$142,LCI!$D$2:$D$137,0))*$C$142</f>
        <v>-1.9208638110406951E-9</v>
      </c>
      <c r="H172" s="154" cm="1">
        <f t="array" ref="H172">INDEX(LCI!S$2:S$137,MATCH('D- Benefits &amp; Burdens'!$E150&amp;'D- Benefits &amp; Burdens'!$F150,LCI!$B$2:$B$137&amp;LCI!$D$2:$D$137,0))*$C150*$D150</f>
        <v>-7.0884787715028007E-9</v>
      </c>
      <c r="I172" s="154" cm="1">
        <f t="array" ref="I172">INDEX(LCI!S$2:S$137,MATCH('D- Benefits &amp; Burdens'!$E151&amp;'D- Benefits &amp; Burdens'!$F151,LCI!$B$2:$B$137&amp;LCI!$D$2:$D$137,0))*$C151*$D151</f>
        <v>-9.4553240550615008E-9</v>
      </c>
      <c r="J172" s="154" cm="1">
        <f t="array" ref="J172">INDEX(LCI!S$2:S$137,MATCH('D- Benefits &amp; Burdens'!$E152&amp;'D- Benefits &amp; Burdens'!$F152,LCI!$B$2:$B$137&amp;LCI!$D$2:$D$137,0))*$C152*$D152</f>
        <v>-3.9968972881920007E-8</v>
      </c>
      <c r="K172" s="154" cm="1">
        <f t="array" ref="K172">INDEX(LCI!S$2:S$137,MATCH('D- Benefits &amp; Burdens'!$E153&amp;'D- Benefits &amp; Burdens'!$F153,LCI!$B$2:$B$137&amp;LCI!$D$2:$D$137,0))*$C153*$D153</f>
        <v>-2.1404243052E-8</v>
      </c>
      <c r="L172" s="154">
        <f t="shared" si="4"/>
        <v>2.3159638937791939E-8</v>
      </c>
      <c r="M172" s="154">
        <f t="shared" si="5"/>
        <v>-4.2495286474467237E-7</v>
      </c>
      <c r="N172" s="154">
        <f t="shared" si="6"/>
        <v>-4.0179322580688041E-7</v>
      </c>
    </row>
    <row r="173" spans="1:14" ht="14" customHeight="1" x14ac:dyDescent="0.35">
      <c r="A173" s="53" t="s">
        <v>291</v>
      </c>
      <c r="B173" s="154" cm="1">
        <f t="array" ref="B173">INDEX(LCI!T$2:T$137,MATCH('D- Benefits &amp; Burdens'!$E$30&amp;'D- Benefits &amp; Burdens'!$F$30,LCI!$B$2:$B$137&amp;LCI!$D$2:$D$137,0))*IF(AND($E30="Truck",$F30="Electric"),$B$26,1)*$D$30*$C$30</f>
        <v>1.8514969199999998E-2</v>
      </c>
      <c r="C173" s="154">
        <f>SUM(T106:T109)</f>
        <v>3.0324074708544474E-3</v>
      </c>
      <c r="D173" s="154" cm="1">
        <f t="array" ref="D173">INDEX(LCI!T$2:T$137,MATCH('D- Benefits &amp; Burdens'!$B139&amp;'D- Benefits &amp; Burdens'!$D139,LCI!$B$2:$B$137&amp;LCI!$D$2:$D$137,0))*$C$139</f>
        <v>-0.17637101999999999</v>
      </c>
      <c r="E173" s="154" cm="1">
        <f t="array" ref="E173">INDEX(LCI!T$2:T$137,MATCH('D- Benefits &amp; Burdens'!$B140&amp;'D- Benefits &amp; Burdens'!$D140,LCI!$B$2:$B$137&amp;LCI!$D$2:$D$137,0))*$C$140</f>
        <v>-0.30454180078598542</v>
      </c>
      <c r="F173" s="154">
        <f>INDEX(LCI!T$2:T$137,MATCH('D- Benefits &amp; Burdens'!$B$141,LCI!$D$2:$D$137,0))*$C$141</f>
        <v>-2.8791530511477918E-2</v>
      </c>
      <c r="G173" s="154">
        <f>INDEX(LCI!T$2:T$137,MATCH('D- Benefits &amp; Burdens'!$B$142,LCI!$D$2:$D$137,0))*$C$142</f>
        <v>-8.6554156114640821E-3</v>
      </c>
      <c r="H173" s="154" cm="1">
        <f t="array" ref="H173">INDEX(LCI!T$2:T$137,MATCH('D- Benefits &amp; Burdens'!$E150&amp;'D- Benefits &amp; Burdens'!$F150,LCI!$B$2:$B$137&amp;LCI!$D$2:$D$137,0))*$C150*$D150</f>
        <v>-5.9870433952405435E-3</v>
      </c>
      <c r="I173" s="154" cm="1">
        <f t="array" ref="I173">INDEX(LCI!T$2:T$137,MATCH('D- Benefits &amp; Burdens'!$E151&amp;'D- Benefits &amp; Burdens'!$F151,LCI!$B$2:$B$137&amp;LCI!$D$2:$D$137,0))*$C151*$D151</f>
        <v>-7.9861190614405209E-3</v>
      </c>
      <c r="J173" s="154" cm="1">
        <f t="array" ref="J173">INDEX(LCI!T$2:T$137,MATCH('D- Benefits &amp; Burdens'!$E152&amp;'D- Benefits &amp; Burdens'!$F152,LCI!$B$2:$B$137&amp;LCI!$D$2:$D$137,0))*$C152*$D152</f>
        <v>-3.3758438562201599E-2</v>
      </c>
      <c r="K173" s="154" cm="1">
        <f t="array" ref="K173">INDEX(LCI!T$2:T$137,MATCH('D- Benefits &amp; Burdens'!$E153&amp;'D- Benefits &amp; Burdens'!$F153,LCI!$B$2:$B$137&amp;LCI!$D$2:$D$137,0))*$C153*$D153</f>
        <v>-1.8078368592959998E-2</v>
      </c>
      <c r="L173" s="154">
        <f t="shared" si="4"/>
        <v>2.1547376670854445E-2</v>
      </c>
      <c r="M173" s="154">
        <f t="shared" si="5"/>
        <v>-0.58416973652077009</v>
      </c>
      <c r="N173" s="154">
        <f t="shared" si="6"/>
        <v>-0.5626223598499156</v>
      </c>
    </row>
    <row r="174" spans="1:14" ht="14" customHeight="1" x14ac:dyDescent="0.35">
      <c r="A174" s="53" t="s">
        <v>292</v>
      </c>
      <c r="B174" s="154" cm="1">
        <f t="array" ref="B174">INDEX(LCI!U$2:U$137,MATCH('D- Benefits &amp; Burdens'!$E$30&amp;'D- Benefits &amp; Burdens'!$F$30,LCI!$B$2:$B$137&amp;LCI!$D$2:$D$137,0))*IF(AND($E30="Truck",$F30="Electric"),$B$26,1)*$D$30*$C$30</f>
        <v>2.5806407759999996</v>
      </c>
      <c r="C174" s="154">
        <f>SUM(U106:U109)</f>
        <v>0.51925126691056267</v>
      </c>
      <c r="D174" s="154" cm="1">
        <f t="array" ref="D174">INDEX(LCI!U$2:U$137,MATCH('D- Benefits &amp; Burdens'!$B139&amp;'D- Benefits &amp; Burdens'!$D139,LCI!$B$2:$B$137&amp;LCI!$D$2:$D$137,0))*$C$139</f>
        <v>-6.1437851999999999</v>
      </c>
      <c r="E174" s="154" cm="1">
        <f t="array" ref="E174">INDEX(LCI!U$2:U$137,MATCH('D- Benefits &amp; Burdens'!$B140&amp;'D- Benefits &amp; Burdens'!$D140,LCI!$B$2:$B$137&amp;LCI!$D$2:$D$137,0))*$C$140</f>
        <v>-4.8920568793900054</v>
      </c>
      <c r="F174" s="154">
        <f>INDEX(LCI!U$2:U$137,MATCH('D- Benefits &amp; Burdens'!$B$141,LCI!$D$2:$D$137,0))*$C$141</f>
        <v>-8.8760555023183514</v>
      </c>
      <c r="G174" s="154">
        <f>INDEX(LCI!U$2:U$137,MATCH('D- Benefits &amp; Burdens'!$B$142,LCI!$D$2:$D$137,0))*$C$142</f>
        <v>-475.08902869255985</v>
      </c>
      <c r="H174" s="154" cm="1">
        <f t="array" ref="H174">INDEX(LCI!U$2:U$137,MATCH('D- Benefits &amp; Burdens'!$E150&amp;'D- Benefits &amp; Burdens'!$F150,LCI!$B$2:$B$137&amp;LCI!$D$2:$D$137,0))*$C150*$D150</f>
        <v>-0.83448198841396026</v>
      </c>
      <c r="I174" s="154" cm="1">
        <f t="array" ref="I174">INDEX(LCI!U$2:U$137,MATCH('D- Benefits &amp; Burdens'!$E151&amp;'D- Benefits &amp; Burdens'!$F151,LCI!$B$2:$B$137&amp;LCI!$D$2:$D$137,0))*$C151*$D151</f>
        <v>-1.1131157858984857</v>
      </c>
      <c r="J174" s="154" cm="1">
        <f t="array" ref="J174">INDEX(LCI!U$2:U$137,MATCH('D- Benefits &amp; Burdens'!$E152&amp;'D- Benefits &amp; Burdens'!$F152,LCI!$B$2:$B$137&amp;LCI!$D$2:$D$137,0))*$C152*$D152</f>
        <v>-4.7052955987476484</v>
      </c>
      <c r="K174" s="154" cm="1">
        <f t="array" ref="K174">INDEX(LCI!U$2:U$137,MATCH('D- Benefits &amp; Burdens'!$E153&amp;'D- Benefits &amp; Burdens'!$F153,LCI!$B$2:$B$137&amp;LCI!$D$2:$D$137,0))*$C153*$D153</f>
        <v>-2.5197868087487998</v>
      </c>
      <c r="L174" s="154">
        <f t="shared" si="4"/>
        <v>3.0998920429105623</v>
      </c>
      <c r="M174" s="154">
        <f t="shared" si="5"/>
        <v>-504.17360645607704</v>
      </c>
      <c r="N174" s="154">
        <f t="shared" si="6"/>
        <v>-501.0737144131665</v>
      </c>
    </row>
    <row r="175" spans="1:14" ht="14" customHeight="1" x14ac:dyDescent="0.35">
      <c r="A175" s="53" t="s">
        <v>293</v>
      </c>
      <c r="B175" s="154" cm="1">
        <f t="array" ref="B175">INDEX(LCI!V$2:V$137,MATCH('D- Benefits &amp; Burdens'!$E$30&amp;'D- Benefits &amp; Burdens'!$F$30,LCI!$B$2:$B$137&amp;LCI!$D$2:$D$137,0))*IF(AND($E30="Truck",$F30="Electric"),$B$26,1)*$D$30*$C$30</f>
        <v>3.3154568999999998E-6</v>
      </c>
      <c r="C175" s="154">
        <f>SUM(V106:V109)</f>
        <v>1.1856105166899467E-7</v>
      </c>
      <c r="D175" s="154" cm="1">
        <f t="array" ref="D175">INDEX(LCI!V$2:V$137,MATCH('D- Benefits &amp; Burdens'!$B139&amp;'D- Benefits &amp; Burdens'!$D139,LCI!$B$2:$B$137&amp;LCI!$D$2:$D$137,0))*$C$139</f>
        <v>-2.3827608E-6</v>
      </c>
      <c r="E175" s="154" cm="1">
        <f t="array" ref="E175">INDEX(LCI!V$2:V$137,MATCH('D- Benefits &amp; Burdens'!$B140&amp;'D- Benefits &amp; Burdens'!$D140,LCI!$B$2:$B$137&amp;LCI!$D$2:$D$137,0))*$C$140</f>
        <v>-2.7867996834265543E-6</v>
      </c>
      <c r="F175" s="154">
        <f>INDEX(LCI!V$2:V$137,MATCH('D- Benefits &amp; Burdens'!$B$141,LCI!$D$2:$D$137,0))*$C$141</f>
        <v>-2.2074421142253213E-6</v>
      </c>
      <c r="G175" s="154">
        <f>INDEX(LCI!V$2:V$137,MATCH('D- Benefits &amp; Burdens'!$B$142,LCI!$D$2:$D$137,0))*$C$142</f>
        <v>-6.4987430677752329E-7</v>
      </c>
      <c r="H175" s="154" cm="1">
        <f t="array" ref="H175">INDEX(LCI!V$2:V$137,MATCH('D- Benefits &amp; Burdens'!$E150&amp;'D- Benefits &amp; Burdens'!$F150,LCI!$B$2:$B$137&amp;LCI!$D$2:$D$137,0))*$C150*$D150</f>
        <v>-1.0720938350440079E-6</v>
      </c>
      <c r="I175" s="154" cm="1">
        <f t="array" ref="I175">INDEX(LCI!V$2:V$137,MATCH('D- Benefits &amp; Burdens'!$E151&amp;'D- Benefits &amp; Burdens'!$F151,LCI!$B$2:$B$137&amp;LCI!$D$2:$D$137,0))*$C151*$D151</f>
        <v>-1.4300663025933898E-6</v>
      </c>
      <c r="J175" s="154" cm="1">
        <f t="array" ref="J175">INDEX(LCI!V$2:V$137,MATCH('D- Benefits &amp; Burdens'!$E152&amp;'D- Benefits &amp; Burdens'!$F152,LCI!$B$2:$B$137&amp;LCI!$D$2:$D$137,0))*$C152*$D152</f>
        <v>-6.0450896166912004E-6</v>
      </c>
      <c r="K175" s="154" cm="1">
        <f t="array" ref="K175">INDEX(LCI!V$2:V$137,MATCH('D- Benefits &amp; Burdens'!$E153&amp;'D- Benefits &amp; Burdens'!$F153,LCI!$B$2:$B$137&amp;LCI!$D$2:$D$137,0))*$C153*$D153</f>
        <v>-3.2372752687199996E-6</v>
      </c>
      <c r="L175" s="154">
        <f t="shared" si="4"/>
        <v>3.4340179516689943E-6</v>
      </c>
      <c r="M175" s="154">
        <f t="shared" si="5"/>
        <v>-1.9811401927477995E-5</v>
      </c>
      <c r="N175" s="154">
        <f t="shared" si="6"/>
        <v>-1.6377383975809E-5</v>
      </c>
    </row>
    <row r="176" spans="1:14" ht="14" customHeight="1" x14ac:dyDescent="0.35">
      <c r="A176" s="53" t="s">
        <v>294</v>
      </c>
      <c r="B176" s="154" cm="1">
        <f t="array" ref="B176">INDEX(LCI!W$2:W$137,MATCH('D- Benefits &amp; Burdens'!$E$30&amp;'D- Benefits &amp; Burdens'!$F$30,LCI!$B$2:$B$137&amp;LCI!$D$2:$D$137,0))*IF(AND($E30="Truck",$F30="Electric"),$B$26,1)*$D$30*$C$30</f>
        <v>6.8037353999999989E-8</v>
      </c>
      <c r="C176" s="154">
        <f>SUM(W106:W109)</f>
        <v>1.7133940654170295E-8</v>
      </c>
      <c r="D176" s="154" cm="1">
        <f t="array" ref="D176">INDEX(LCI!W$2:W$137,MATCH('D- Benefits &amp; Burdens'!$B139&amp;'D- Benefits &amp; Burdens'!$D139,LCI!$B$2:$B$137&amp;LCI!$D$2:$D$137,0))*$C$139</f>
        <v>-7.7556528000000004E-12</v>
      </c>
      <c r="E176" s="154" cm="1">
        <f t="array" ref="E176">INDEX(LCI!W$2:W$137,MATCH('D- Benefits &amp; Burdens'!$B140&amp;'D- Benefits &amp; Burdens'!$D140,LCI!$B$2:$B$137&amp;LCI!$D$2:$D$137,0))*$C$140</f>
        <v>-1.2127284771164252E-8</v>
      </c>
      <c r="F176" s="154">
        <f>INDEX(LCI!W$2:W$137,MATCH('D- Benefits &amp; Burdens'!$B$141,LCI!$D$2:$D$137,0))*$C$141</f>
        <v>-1.2553939128773711E-8</v>
      </c>
      <c r="G176" s="154">
        <f>INDEX(LCI!W$2:W$137,MATCH('D- Benefits &amp; Burdens'!$B$142,LCI!$D$2:$D$137,0))*$C$142</f>
        <v>-1.4779949541860452E-8</v>
      </c>
      <c r="H176" s="154" cm="1">
        <f t="array" ref="H176">INDEX(LCI!W$2:W$137,MATCH('D- Benefits &amp; Burdens'!$E150&amp;'D- Benefits &amp; Burdens'!$F150,LCI!$B$2:$B$137&amp;LCI!$D$2:$D$137,0))*$C150*$D150</f>
        <v>-2.2000716636101281E-8</v>
      </c>
      <c r="I176" s="154" cm="1">
        <f t="array" ref="I176">INDEX(LCI!W$2:W$137,MATCH('D- Benefits &amp; Burdens'!$E151&amp;'D- Benefits &amp; Burdens'!$F151,LCI!$B$2:$B$137&amp;LCI!$D$2:$D$137,0))*$C151*$D151</f>
        <v>-2.9346762816617399E-8</v>
      </c>
      <c r="J176" s="154" cm="1">
        <f t="array" ref="J176">INDEX(LCI!W$2:W$137,MATCH('D- Benefits &amp; Burdens'!$E152&amp;'D- Benefits &amp; Burdens'!$F152,LCI!$B$2:$B$137&amp;LCI!$D$2:$D$137,0))*$C152*$D152</f>
        <v>-1.2405285745459201E-7</v>
      </c>
      <c r="K176" s="154" cm="1">
        <f t="array" ref="K176">INDEX(LCI!W$2:W$137,MATCH('D- Benefits &amp; Burdens'!$E153&amp;'D- Benefits &amp; Burdens'!$F153,LCI!$B$2:$B$137&amp;LCI!$D$2:$D$137,0))*$C153*$D153</f>
        <v>-6.643296839519999E-8</v>
      </c>
      <c r="L176" s="154">
        <f t="shared" si="4"/>
        <v>8.5171294654170292E-8</v>
      </c>
      <c r="M176" s="154">
        <f t="shared" si="5"/>
        <v>-2.8130223439710907E-7</v>
      </c>
      <c r="N176" s="154">
        <f t="shared" si="6"/>
        <v>-1.9613093974293878E-7</v>
      </c>
    </row>
    <row r="177" spans="1:14" ht="14" customHeight="1" x14ac:dyDescent="0.35">
      <c r="A177" s="53" t="s">
        <v>295</v>
      </c>
      <c r="B177" s="154" cm="1">
        <f t="array" ref="B177">INDEX(LCI!X$2:X$137,MATCH('D- Benefits &amp; Burdens'!$E$30&amp;'D- Benefits &amp; Burdens'!$F$30,LCI!$B$2:$B$137&amp;LCI!$D$2:$D$137,0))*IF(AND($E30="Truck",$F30="Electric"),$B$26,1)*$D$30*$C$30</f>
        <v>2.068227E-7</v>
      </c>
      <c r="C177" s="154">
        <f>SUM(X106:X109)</f>
        <v>7.4887730072320456E-9</v>
      </c>
      <c r="D177" s="154" cm="1">
        <f t="array" ref="D177">INDEX(LCI!X$2:X$137,MATCH('D- Benefits &amp; Burdens'!$B139&amp;'D- Benefits &amp; Burdens'!$D139,LCI!$B$2:$B$137&amp;LCI!$D$2:$D$137,0))*$C$139</f>
        <v>-6.2605872E-7</v>
      </c>
      <c r="E177" s="154" cm="1">
        <f t="array" ref="E177">INDEX(LCI!X$2:X$137,MATCH('D- Benefits &amp; Burdens'!$B140&amp;'D- Benefits &amp; Burdens'!$D140,LCI!$B$2:$B$137&amp;LCI!$D$2:$D$137,0))*$C$140</f>
        <v>-7.6678485927542402E-8</v>
      </c>
      <c r="F177" s="154">
        <f>INDEX(LCI!X$2:X$137,MATCH('D- Benefits &amp; Burdens'!$B$141,LCI!$D$2:$D$137,0))*$C$141</f>
        <v>-2.3735714186745847E-7</v>
      </c>
      <c r="G177" s="154">
        <f>INDEX(LCI!X$2:X$137,MATCH('D- Benefits &amp; Burdens'!$B$142,LCI!$D$2:$D$137,0))*$C$142</f>
        <v>-2.5225046950408361E-7</v>
      </c>
      <c r="H177" s="154" cm="1">
        <f t="array" ref="H177">INDEX(LCI!X$2:X$137,MATCH('D- Benefits &amp; Burdens'!$E150&amp;'D- Benefits &amp; Burdens'!$F150,LCI!$B$2:$B$137&amp;LCI!$D$2:$D$137,0))*$C150*$D150</f>
        <v>-6.6878668100664016E-8</v>
      </c>
      <c r="I177" s="154" cm="1">
        <f t="array" ref="I177">INDEX(LCI!X$2:X$137,MATCH('D- Benefits &amp; Burdens'!$E151&amp;'D- Benefits &amp; Burdens'!$F151,LCI!$B$2:$B$137&amp;LCI!$D$2:$D$137,0))*$C151*$D151</f>
        <v>-8.9209476341370009E-8</v>
      </c>
      <c r="J177" s="154" cm="1">
        <f t="array" ref="J177">INDEX(LCI!X$2:X$137,MATCH('D- Benefits &amp; Burdens'!$E152&amp;'D- Benefits &amp; Burdens'!$F152,LCI!$B$2:$B$137&amp;LCI!$D$2:$D$137,0))*$C152*$D152</f>
        <v>-3.7710089256960008E-7</v>
      </c>
      <c r="K177" s="154" cm="1">
        <f t="array" ref="K177">INDEX(LCI!X$2:X$137,MATCH('D- Benefits &amp; Burdens'!$E153&amp;'D- Benefits &amp; Burdens'!$F153,LCI!$B$2:$B$137&amp;LCI!$D$2:$D$137,0))*$C153*$D153</f>
        <v>-2.0194562376E-7</v>
      </c>
      <c r="L177" s="154">
        <f t="shared" si="4"/>
        <v>2.1431147300723203E-7</v>
      </c>
      <c r="M177" s="154">
        <f t="shared" si="5"/>
        <v>-1.9274794780707184E-6</v>
      </c>
      <c r="N177" s="154">
        <f t="shared" si="6"/>
        <v>-1.7131680050634864E-6</v>
      </c>
    </row>
    <row r="178" spans="1:14" ht="14" customHeight="1" x14ac:dyDescent="0.35">
      <c r="A178" s="53" t="s">
        <v>296</v>
      </c>
      <c r="B178" s="154" cm="1">
        <f t="array" ref="B178">INDEX(LCI!Y$2:Y$137,MATCH('D- Benefits &amp; Burdens'!$E$30&amp;'D- Benefits &amp; Burdens'!$F$30,LCI!$B$2:$B$137&amp;LCI!$D$2:$D$137,0))*IF(AND($E30="Truck",$F30="Electric"),$B$26,1)*$D$30*$C$30</f>
        <v>1.31743395E-2</v>
      </c>
      <c r="C178" s="154">
        <f>SUM(Y106:Y109)</f>
        <v>1.872817953219971E-3</v>
      </c>
      <c r="D178" s="154" cm="1">
        <f t="array" ref="D178">INDEX(LCI!Y$2:Y$137,MATCH('D- Benefits &amp; Burdens'!$B139&amp;'D- Benefits &amp; Burdens'!$D139,LCI!$B$2:$B$137&amp;LCI!$D$2:$D$137,0))*$C$139</f>
        <v>-4.7421611999999995E-2</v>
      </c>
      <c r="E178" s="154" cm="1">
        <f t="array" ref="E178">INDEX(LCI!Y$2:Y$137,MATCH('D- Benefits &amp; Burdens'!$B140&amp;'D- Benefits &amp; Burdens'!$D140,LCI!$B$2:$B$137&amp;LCI!$D$2:$D$137,0))*$C$140</f>
        <v>-5.1388182398949718E-3</v>
      </c>
      <c r="F178" s="154">
        <f>INDEX(LCI!Y$2:Y$137,MATCH('D- Benefits &amp; Burdens'!$B$141,LCI!$D$2:$D$137,0))*$C$141</f>
        <v>-1.6583011729087289E-2</v>
      </c>
      <c r="G178" s="154">
        <f>INDEX(LCI!Y$2:Y$137,MATCH('D- Benefits &amp; Burdens'!$B$142,LCI!$D$2:$D$137,0))*$C$142</f>
        <v>-1.3430190325964372E-2</v>
      </c>
      <c r="H178" s="154" cm="1">
        <f t="array" ref="H178">INDEX(LCI!Y$2:Y$137,MATCH('D- Benefits &amp; Burdens'!$E150&amp;'D- Benefits &amp; Burdens'!$F150,LCI!$B$2:$B$137&amp;LCI!$D$2:$D$137,0))*$C150*$D150</f>
        <v>-4.2600849851876406E-3</v>
      </c>
      <c r="I178" s="154" cm="1">
        <f t="array" ref="I178">INDEX(LCI!Y$2:Y$137,MATCH('D- Benefits &amp; Burdens'!$E151&amp;'D- Benefits &amp; Burdens'!$F151,LCI!$B$2:$B$137&amp;LCI!$D$2:$D$137,0))*$C151*$D151</f>
        <v>-5.6825286969874505E-3</v>
      </c>
      <c r="J178" s="154" cm="1">
        <f t="array" ref="J178">INDEX(LCI!Y$2:Y$137,MATCH('D- Benefits &amp; Burdens'!$E152&amp;'D- Benefits &amp; Burdens'!$F152,LCI!$B$2:$B$137&amp;LCI!$D$2:$D$137,0))*$C152*$D152</f>
        <v>-2.4020840964096003E-2</v>
      </c>
      <c r="K178" s="154" cm="1">
        <f t="array" ref="K178">INDEX(LCI!Y$2:Y$137,MATCH('D- Benefits &amp; Burdens'!$E153&amp;'D- Benefits &amp; Burdens'!$F153,LCI!$B$2:$B$137&amp;LCI!$D$2:$D$137,0))*$C153*$D153</f>
        <v>-1.2863676027599998E-2</v>
      </c>
      <c r="L178" s="154">
        <f t="shared" si="4"/>
        <v>1.504715745321997E-2</v>
      </c>
      <c r="M178" s="154">
        <f t="shared" si="5"/>
        <v>-0.12940076296881772</v>
      </c>
      <c r="N178" s="154">
        <f t="shared" si="6"/>
        <v>-0.11435360551559776</v>
      </c>
    </row>
    <row r="179" spans="1:14" ht="14" customHeight="1" x14ac:dyDescent="0.35">
      <c r="A179" s="53" t="s">
        <v>297</v>
      </c>
      <c r="B179" s="154" cm="1">
        <f t="array" ref="B179">INDEX(LCI!Z$2:Z$137,MATCH('D- Benefits &amp; Burdens'!$E$30&amp;'D- Benefits &amp; Burdens'!$F$30,LCI!$B$2:$B$137&amp;LCI!$D$2:$D$137,0))*IF(AND($E30="Truck",$F30="Electric"),$B$26,1)*$D$30*$C$30</f>
        <v>9.2822473799999985E-2</v>
      </c>
      <c r="C179" s="154">
        <f>SUM(Z106:Z109)</f>
        <v>1.366867821518138E-2</v>
      </c>
      <c r="D179" s="154" cm="1">
        <f t="array" ref="D179">INDEX(LCI!Z$2:Z$137,MATCH('D- Benefits &amp; Burdens'!$B139&amp;'D- Benefits &amp; Burdens'!$D139,LCI!$B$2:$B$137&amp;LCI!$D$2:$D$137,0))*$C$139</f>
        <v>-0.16842848399999999</v>
      </c>
      <c r="E179" s="154" cm="1">
        <f t="array" ref="E179">INDEX(LCI!Z$2:Z$137,MATCH('D- Benefits &amp; Burdens'!$B140&amp;'D- Benefits &amp; Burdens'!$D140,LCI!$B$2:$B$137&amp;LCI!$D$2:$D$137,0))*$C$140</f>
        <v>-1.9772688563369476</v>
      </c>
      <c r="F179" s="154">
        <f>INDEX(LCI!Z$2:Z$137,MATCH('D- Benefits &amp; Burdens'!$B$141,LCI!$D$2:$D$137,0))*$C$141</f>
        <v>-1.0837889978467863</v>
      </c>
      <c r="G179" s="154">
        <f>INDEX(LCI!Z$2:Z$137,MATCH('D- Benefits &amp; Burdens'!$B$142,LCI!$D$2:$D$137,0))*$C$142</f>
        <v>-1.2960012094595244</v>
      </c>
      <c r="H179" s="154" cm="1">
        <f t="array" ref="H179">INDEX(LCI!Z$2:Z$137,MATCH('D- Benefits &amp; Burdens'!$E150&amp;'D- Benefits &amp; Burdens'!$F150,LCI!$B$2:$B$137&amp;LCI!$D$2:$D$137,0))*$C150*$D150</f>
        <v>-3.0015290476107213E-2</v>
      </c>
      <c r="I179" s="154" cm="1">
        <f t="array" ref="I179">INDEX(LCI!Z$2:Z$137,MATCH('D- Benefits &amp; Burdens'!$E151&amp;'D- Benefits &amp; Burdens'!$F151,LCI!$B$2:$B$137&amp;LCI!$D$2:$D$137,0))*$C151*$D151</f>
        <v>-4.0037405373822776E-2</v>
      </c>
      <c r="J179" s="154" cm="1">
        <f t="array" ref="J179">INDEX(LCI!Z$2:Z$137,MATCH('D- Benefits &amp; Burdens'!$E152&amp;'D- Benefits &amp; Burdens'!$F152,LCI!$B$2:$B$137&amp;LCI!$D$2:$D$137,0))*$C152*$D152</f>
        <v>-0.1692436938522624</v>
      </c>
      <c r="K179" s="154" cm="1">
        <f t="array" ref="K179">INDEX(LCI!Z$2:Z$137,MATCH('D- Benefits &amp; Burdens'!$E153&amp;'D- Benefits &amp; Burdens'!$F153,LCI!$B$2:$B$137&amp;LCI!$D$2:$D$137,0))*$C153*$D153</f>
        <v>-9.0633631465439984E-2</v>
      </c>
      <c r="L179" s="154">
        <f t="shared" si="4"/>
        <v>0.10649115201518136</v>
      </c>
      <c r="M179" s="154">
        <f t="shared" si="5"/>
        <v>-4.8554175688108909</v>
      </c>
      <c r="N179" s="154">
        <f t="shared" si="6"/>
        <v>-4.7489264167957099</v>
      </c>
    </row>
    <row r="180" spans="1:14" ht="14" customHeight="1" x14ac:dyDescent="0.35"/>
    <row r="181" spans="1:14" ht="14" customHeight="1" x14ac:dyDescent="0.35"/>
    <row r="182" spans="1:14" ht="14" customHeight="1" x14ac:dyDescent="0.35"/>
    <row r="183" spans="1:14" ht="23.5" x14ac:dyDescent="0.55000000000000004">
      <c r="A183" s="100" t="s">
        <v>880</v>
      </c>
    </row>
    <row r="184" spans="1:14" ht="14" customHeight="1" x14ac:dyDescent="0.35"/>
    <row r="185" spans="1:14" ht="14" customHeight="1" x14ac:dyDescent="0.35">
      <c r="A185" s="422" t="s">
        <v>153</v>
      </c>
      <c r="B185" s="419" t="s">
        <v>229</v>
      </c>
      <c r="C185" s="421"/>
      <c r="D185" s="419" t="s">
        <v>231</v>
      </c>
      <c r="E185" s="420"/>
      <c r="F185" s="420"/>
      <c r="G185" s="420"/>
      <c r="H185" s="420"/>
      <c r="I185" s="420"/>
      <c r="J185" s="420"/>
      <c r="K185" s="421"/>
      <c r="L185" s="380" t="s">
        <v>230</v>
      </c>
      <c r="M185" s="384" t="s">
        <v>870</v>
      </c>
      <c r="N185" s="380" t="s">
        <v>233</v>
      </c>
    </row>
    <row r="186" spans="1:14" ht="14" customHeight="1" x14ac:dyDescent="0.35">
      <c r="A186" s="423"/>
      <c r="B186" s="104" t="s">
        <v>871</v>
      </c>
      <c r="C186" s="102" t="s">
        <v>872</v>
      </c>
      <c r="D186" s="103" t="s">
        <v>873</v>
      </c>
      <c r="E186" s="103" t="s">
        <v>244</v>
      </c>
      <c r="F186" s="103" t="s">
        <v>874</v>
      </c>
      <c r="G186" s="103" t="s">
        <v>875</v>
      </c>
      <c r="H186" s="103" t="s">
        <v>876</v>
      </c>
      <c r="I186" s="103" t="s">
        <v>877</v>
      </c>
      <c r="J186" s="103" t="s">
        <v>878</v>
      </c>
      <c r="K186" s="103" t="s">
        <v>879</v>
      </c>
      <c r="L186" s="380"/>
      <c r="M186" s="384"/>
      <c r="N186" s="380"/>
    </row>
    <row r="187" spans="1:14" ht="14" customHeight="1" x14ac:dyDescent="0.35">
      <c r="A187" s="53" t="s">
        <v>279</v>
      </c>
      <c r="B187" s="154">
        <f>B161*Input!$C$31</f>
        <v>1.6066040256E-3</v>
      </c>
      <c r="C187" s="154">
        <f>C161*Input!$C$31</f>
        <v>1.8663997956708492E-4</v>
      </c>
      <c r="D187" s="154">
        <f>D161*Input!$C$31</f>
        <v>-7.7145384959999997E-3</v>
      </c>
      <c r="E187" s="154">
        <f>E161*Input!$C$31</f>
        <v>-1.3916324318992525E-3</v>
      </c>
      <c r="F187" s="154">
        <f>F161*Input!$C$31</f>
        <v>-2.8138885042152326E-3</v>
      </c>
      <c r="G187" s="154">
        <f>G161*Input!$C$31</f>
        <v>-1.7147685983223385E-3</v>
      </c>
      <c r="H187" s="154">
        <f>H161*Input!$C$31</f>
        <v>-5.1951520503935541E-4</v>
      </c>
      <c r="I187" s="154">
        <f>I161*Input!$C$31</f>
        <v>-6.9298149483452748E-4</v>
      </c>
      <c r="J187" s="154">
        <f>J161*Input!$C$31</f>
        <v>-2.9293293824114693E-3</v>
      </c>
      <c r="K187" s="154">
        <f>K161*Input!$C$31</f>
        <v>-1.5687187725772801E-3</v>
      </c>
      <c r="L187" s="154">
        <f>SUM(B187:C187)</f>
        <v>1.7932440051670849E-3</v>
      </c>
      <c r="M187" s="154">
        <f>SUM(D187:K187)</f>
        <v>-1.9345372885299455E-2</v>
      </c>
      <c r="N187" s="154">
        <f>SUM(L187:M187)</f>
        <v>-1.755212888013237E-2</v>
      </c>
    </row>
    <row r="188" spans="1:14" ht="14" customHeight="1" x14ac:dyDescent="0.35">
      <c r="A188" s="53" t="s">
        <v>280</v>
      </c>
      <c r="B188" s="154">
        <f>B162*Input!$C$31</f>
        <v>0.58727029173120004</v>
      </c>
      <c r="C188" s="154">
        <f>C162*Input!$C$31</f>
        <v>0.14598502034476504</v>
      </c>
      <c r="D188" s="154">
        <f>D162*Input!$C$31</f>
        <v>-2.3771543040000003</v>
      </c>
      <c r="E188" s="154">
        <f>E162*Input!$C$31</f>
        <v>-0.1818962319197579</v>
      </c>
      <c r="F188" s="154">
        <f>F162*Input!$C$31</f>
        <v>-0.14622850590868589</v>
      </c>
      <c r="G188" s="154">
        <f>G162*Input!$C$31</f>
        <v>-0.19449897264521324</v>
      </c>
      <c r="H188" s="154">
        <f>H162*Input!$C$31</f>
        <v>-0.18990108400127767</v>
      </c>
      <c r="I188" s="154">
        <f>I162*Input!$C$31</f>
        <v>-0.25330911547032287</v>
      </c>
      <c r="J188" s="154">
        <f>J162*Input!$C$31</f>
        <v>-1.0707729431607118</v>
      </c>
      <c r="K188" s="154">
        <f>K162*Input!$C$31</f>
        <v>-0.57342189894713858</v>
      </c>
      <c r="L188" s="154">
        <f t="shared" ref="L188:L205" si="7">SUM(B188:C188)</f>
        <v>0.73325531207596506</v>
      </c>
      <c r="M188" s="154">
        <f t="shared" ref="M188:M205" si="8">SUM(D188:K188)</f>
        <v>-4.9871830560531087</v>
      </c>
      <c r="N188" s="154">
        <f t="shared" ref="N188:N205" si="9">SUM(L188:M188)</f>
        <v>-4.2539277439771439</v>
      </c>
    </row>
    <row r="189" spans="1:14" ht="14" customHeight="1" x14ac:dyDescent="0.35">
      <c r="A189" s="53" t="s">
        <v>281</v>
      </c>
      <c r="B189" s="154">
        <f>B163*Input!$C$31</f>
        <v>2.7142988544000003E-4</v>
      </c>
      <c r="C189" s="154">
        <f>C163*Input!$C$31</f>
        <v>3.0171400819698537E-5</v>
      </c>
      <c r="D189" s="154">
        <f>D163*Input!$C$31</f>
        <v>-9.4189132800000016E-3</v>
      </c>
      <c r="E189" s="154">
        <f>E163*Input!$C$31</f>
        <v>-2.8367335738571217E-3</v>
      </c>
      <c r="F189" s="154">
        <f>F163*Input!$C$31</f>
        <v>-4.5072816010370998E-4</v>
      </c>
      <c r="G189" s="154">
        <f>G163*Input!$C$31</f>
        <v>4.6792964613074159E-5</v>
      </c>
      <c r="H189" s="154">
        <f>H163*Input!$C$31</f>
        <v>-8.7770197473212622E-5</v>
      </c>
      <c r="I189" s="154">
        <f>I163*Input!$C$31</f>
        <v>-1.1707669391948008E-4</v>
      </c>
      <c r="J189" s="154">
        <f>J163*Input!$C$31</f>
        <v>-4.9489950604787714E-4</v>
      </c>
      <c r="K189" s="154">
        <f>K163*Input!$C$31</f>
        <v>-2.6502931023667198E-4</v>
      </c>
      <c r="L189" s="154">
        <f t="shared" si="7"/>
        <v>3.0160128625969854E-4</v>
      </c>
      <c r="M189" s="154">
        <f t="shared" si="8"/>
        <v>-1.3624357757025E-2</v>
      </c>
      <c r="N189" s="154">
        <f t="shared" si="9"/>
        <v>-1.3322756470765302E-2</v>
      </c>
    </row>
    <row r="190" spans="1:14" ht="14" customHeight="1" x14ac:dyDescent="0.35">
      <c r="A190" s="53" t="s">
        <v>282</v>
      </c>
      <c r="B190" s="154">
        <f>B164*Input!$C$31</f>
        <v>0.58695268463999994</v>
      </c>
      <c r="C190" s="154">
        <f>C164*Input!$C$31</f>
        <v>0.14594839310495791</v>
      </c>
      <c r="D190" s="154">
        <f>D164*Input!$C$31</f>
        <v>-2.3681839104</v>
      </c>
      <c r="E190" s="154">
        <f>E164*Input!$C$31</f>
        <v>-0.17875208291716863</v>
      </c>
      <c r="F190" s="154">
        <f>F164*Input!$C$31</f>
        <v>-0.14572970826516521</v>
      </c>
      <c r="G190" s="154">
        <f>G164*Input!$C$31</f>
        <v>-0.19451899988715718</v>
      </c>
      <c r="H190" s="154">
        <f>H164*Input!$C$31</f>
        <v>-0.18979838183541878</v>
      </c>
      <c r="I190" s="154">
        <f>I164*Input!$C$31</f>
        <v>-0.25317212101909359</v>
      </c>
      <c r="J190" s="154">
        <f>J164*Input!$C$31</f>
        <v>-1.070193848517919</v>
      </c>
      <c r="K190" s="154">
        <f>K164*Input!$C$31</f>
        <v>-0.57311178133363194</v>
      </c>
      <c r="L190" s="154">
        <f t="shared" si="7"/>
        <v>0.73290107774495783</v>
      </c>
      <c r="M190" s="154">
        <f t="shared" si="8"/>
        <v>-4.9734608341755546</v>
      </c>
      <c r="N190" s="154">
        <f t="shared" si="9"/>
        <v>-4.2405597564305966</v>
      </c>
    </row>
    <row r="191" spans="1:14" ht="14" customHeight="1" x14ac:dyDescent="0.35">
      <c r="A191" s="53" t="s">
        <v>283</v>
      </c>
      <c r="B191" s="154">
        <f>B165*Input!$C$31</f>
        <v>4.6176117120000004E-5</v>
      </c>
      <c r="C191" s="154">
        <f>C165*Input!$C$31</f>
        <v>6.4558389874214863E-6</v>
      </c>
      <c r="D191" s="154">
        <f>D165*Input!$C$31</f>
        <v>-1.1885771519999999E-3</v>
      </c>
      <c r="E191" s="154">
        <f>E165*Input!$C$31</f>
        <v>-3.0741542873212631E-4</v>
      </c>
      <c r="F191" s="154">
        <f>F165*Input!$C$31</f>
        <v>-4.8069483416935012E-5</v>
      </c>
      <c r="G191" s="154">
        <f>G165*Input!$C$31</f>
        <v>-2.6765722669221122E-5</v>
      </c>
      <c r="H191" s="154">
        <f>H165*Input!$C$31</f>
        <v>-1.493161636051492E-5</v>
      </c>
      <c r="I191" s="154">
        <f>I165*Input!$C$31</f>
        <v>-1.9917287743332673E-5</v>
      </c>
      <c r="J191" s="154">
        <f>J165*Input!$C$31</f>
        <v>-8.4193151822069766E-5</v>
      </c>
      <c r="K191" s="154">
        <f>K165*Input!$C$31</f>
        <v>-4.5087240301056001E-5</v>
      </c>
      <c r="L191" s="154">
        <f t="shared" si="7"/>
        <v>5.2631956107421491E-5</v>
      </c>
      <c r="M191" s="154">
        <f t="shared" si="8"/>
        <v>-1.7349570830452556E-3</v>
      </c>
      <c r="N191" s="154">
        <f t="shared" si="9"/>
        <v>-1.6823251269378341E-3</v>
      </c>
    </row>
    <row r="192" spans="1:14" ht="14" customHeight="1" x14ac:dyDescent="0.35">
      <c r="A192" s="53" t="s">
        <v>284</v>
      </c>
      <c r="B192" s="154">
        <f>B166*Input!$C$31</f>
        <v>0.4990936414464</v>
      </c>
      <c r="C192" s="154">
        <f>C166*Input!$C$31</f>
        <v>6.4500652901950964E-2</v>
      </c>
      <c r="D192" s="154">
        <f>D166*Input!$C$31</f>
        <v>-127.8281088</v>
      </c>
      <c r="E192" s="154">
        <f>E166*Input!$C$31</f>
        <v>-0.56778926641572514</v>
      </c>
      <c r="F192" s="154">
        <f>F166*Input!$C$31</f>
        <v>-1.4449064597919234</v>
      </c>
      <c r="G192" s="154">
        <f>G166*Input!$C$31</f>
        <v>-0.16610990630386485</v>
      </c>
      <c r="H192" s="154">
        <f>H166*Input!$C$31</f>
        <v>-0.16138807779535605</v>
      </c>
      <c r="I192" s="154">
        <f>I166*Input!$C$31</f>
        <v>-0.21527560755536421</v>
      </c>
      <c r="J192" s="154">
        <f>J166*Input!$C$31</f>
        <v>-0.91000000321652019</v>
      </c>
      <c r="K192" s="154">
        <f>K166*Input!$C$31</f>
        <v>-0.48732453805381631</v>
      </c>
      <c r="L192" s="154">
        <f t="shared" si="7"/>
        <v>0.56359429434835095</v>
      </c>
      <c r="M192" s="154">
        <f t="shared" si="8"/>
        <v>-131.78090265913255</v>
      </c>
      <c r="N192" s="154">
        <f t="shared" si="9"/>
        <v>-131.2173083647842</v>
      </c>
    </row>
    <row r="193" spans="1:14" ht="14" customHeight="1" x14ac:dyDescent="0.35">
      <c r="A193" s="53" t="s">
        <v>285</v>
      </c>
      <c r="B193" s="154">
        <f>B167*Input!$C$31</f>
        <v>7.8960496567679987</v>
      </c>
      <c r="C193" s="154">
        <f>C167*Input!$C$31</f>
        <v>1.9390713071755914</v>
      </c>
      <c r="D193" s="154">
        <f>D167*Input!$C$31</f>
        <v>-205.42201344</v>
      </c>
      <c r="E193" s="154">
        <f>E167*Input!$C$31</f>
        <v>-3.0459451444100898</v>
      </c>
      <c r="F193" s="154">
        <f>F167*Input!$C$31</f>
        <v>-2.0720206123821234</v>
      </c>
      <c r="G193" s="154">
        <f>G167*Input!$C$31</f>
        <v>-2.5281484251485127</v>
      </c>
      <c r="H193" s="154">
        <f>H167*Input!$C$31</f>
        <v>-2.5532849358477043</v>
      </c>
      <c r="I193" s="154">
        <f>I167*Input!$C$31</f>
        <v>-3.405827576207678</v>
      </c>
      <c r="J193" s="154">
        <f>J167*Input!$C$31</f>
        <v>-14.396907947440475</v>
      </c>
      <c r="K193" s="154">
        <f>K167*Input!$C$31</f>
        <v>-7.7098532858141171</v>
      </c>
      <c r="L193" s="154">
        <f t="shared" si="7"/>
        <v>9.8351209639435897</v>
      </c>
      <c r="M193" s="154">
        <f t="shared" si="8"/>
        <v>-241.1340013672507</v>
      </c>
      <c r="N193" s="154">
        <f t="shared" si="9"/>
        <v>-231.29888040330712</v>
      </c>
    </row>
    <row r="194" spans="1:14" ht="14" customHeight="1" x14ac:dyDescent="0.35">
      <c r="A194" s="53" t="s">
        <v>286</v>
      </c>
      <c r="B194" s="154">
        <f>B168*Input!$C$31</f>
        <v>1.3510022400000001E-5</v>
      </c>
      <c r="C194" s="154">
        <f>C168*Input!$C$31</f>
        <v>1.5432589754682634E-6</v>
      </c>
      <c r="D194" s="154">
        <f>D168*Input!$C$31</f>
        <v>-1.9959125759999997E-6</v>
      </c>
      <c r="E194" s="154">
        <f>E168*Input!$C$31</f>
        <v>-1.0929813869377895E-4</v>
      </c>
      <c r="F194" s="154">
        <f>F168*Input!$C$31</f>
        <v>-1.0804841523195163E-5</v>
      </c>
      <c r="G194" s="154">
        <f>G168*Input!$C$31</f>
        <v>-8.7725179431018649E-6</v>
      </c>
      <c r="H194" s="154">
        <f>H168*Input!$C$31</f>
        <v>-4.3686321865159689E-6</v>
      </c>
      <c r="I194" s="154">
        <f>I168*Input!$C$31</f>
        <v>-5.82731984286144E-6</v>
      </c>
      <c r="J194" s="154">
        <f>J168*Input!$C$31</f>
        <v>-2.4632893322035205E-5</v>
      </c>
      <c r="K194" s="154">
        <f>K168*Input!$C$31</f>
        <v>-1.319144320512E-5</v>
      </c>
      <c r="L194" s="154">
        <f t="shared" si="7"/>
        <v>1.5053281375468264E-5</v>
      </c>
      <c r="M194" s="154">
        <f t="shared" si="8"/>
        <v>-1.7889169929260858E-4</v>
      </c>
      <c r="N194" s="154">
        <f t="shared" si="9"/>
        <v>-1.6383841791714032E-4</v>
      </c>
    </row>
    <row r="195" spans="1:14" ht="14" customHeight="1" x14ac:dyDescent="0.35">
      <c r="A195" s="53" t="s">
        <v>287</v>
      </c>
      <c r="B195" s="154">
        <f>B169*Input!$C$31</f>
        <v>5.7644939519999993E-4</v>
      </c>
      <c r="C195" s="154">
        <f>C169*Input!$C$31</f>
        <v>4.220538016632635E-5</v>
      </c>
      <c r="D195" s="154">
        <f>D169*Input!$C$31</f>
        <v>-1.9914273792E-3</v>
      </c>
      <c r="E195" s="154">
        <f>E169*Input!$C$31</f>
        <v>-3.1516372466956798E-4</v>
      </c>
      <c r="F195" s="154">
        <f>F169*Input!$C$31</f>
        <v>-1.0107659795927518E-3</v>
      </c>
      <c r="G195" s="154">
        <f>G169*Input!$C$31</f>
        <v>-7.8693991523966168E-4</v>
      </c>
      <c r="H195" s="154">
        <f>H169*Input!$C$31</f>
        <v>-1.8640201379446886E-4</v>
      </c>
      <c r="I195" s="154">
        <f>I169*Input!$C$31</f>
        <v>-2.4864170462474112E-4</v>
      </c>
      <c r="J195" s="154">
        <f>J169*Input!$C$31</f>
        <v>-1.0510431468650496E-3</v>
      </c>
      <c r="K195" s="154">
        <f>K169*Input!$C$31</f>
        <v>-5.6285616946175998E-4</v>
      </c>
      <c r="L195" s="154">
        <f t="shared" si="7"/>
        <v>6.1865477536632632E-4</v>
      </c>
      <c r="M195" s="154">
        <f t="shared" si="8"/>
        <v>-6.1532400334480012E-3</v>
      </c>
      <c r="N195" s="154">
        <f t="shared" si="9"/>
        <v>-5.5345852580816748E-3</v>
      </c>
    </row>
    <row r="196" spans="1:14" ht="14" customHeight="1" x14ac:dyDescent="0.35">
      <c r="A196" s="53" t="s">
        <v>288</v>
      </c>
      <c r="B196" s="154">
        <f>B170*Input!$C$31</f>
        <v>6.2881842239999996E-3</v>
      </c>
      <c r="C196" s="154">
        <f>C170*Input!$C$31</f>
        <v>4.5882448969345726E-4</v>
      </c>
      <c r="D196" s="154">
        <f>D170*Input!$C$31</f>
        <v>-2.1798056448000001E-2</v>
      </c>
      <c r="E196" s="154">
        <f>E170*Input!$C$31</f>
        <v>-3.7355672627655137E-3</v>
      </c>
      <c r="F196" s="154">
        <f>F170*Input!$C$31</f>
        <v>-1.4097965842915176E-2</v>
      </c>
      <c r="G196" s="154">
        <f>G170*Input!$C$31</f>
        <v>-8.6429484037207384E-3</v>
      </c>
      <c r="H196" s="154">
        <f>H170*Input!$C$31</f>
        <v>-2.0333618392600395E-3</v>
      </c>
      <c r="I196" s="154">
        <f>I170*Input!$C$31</f>
        <v>-2.7123019947090142E-3</v>
      </c>
      <c r="J196" s="154">
        <f>J170*Input!$C$31</f>
        <v>-1.1465278634852354E-2</v>
      </c>
      <c r="K196" s="154">
        <f>K170*Input!$C$31</f>
        <v>-6.1399028512511989E-3</v>
      </c>
      <c r="L196" s="154">
        <f t="shared" si="7"/>
        <v>6.7470087136934573E-3</v>
      </c>
      <c r="M196" s="154">
        <f t="shared" si="8"/>
        <v>-7.0625383277474044E-2</v>
      </c>
      <c r="N196" s="154">
        <f t="shared" si="9"/>
        <v>-6.3878374563780593E-2</v>
      </c>
    </row>
    <row r="197" spans="1:14" ht="14" customHeight="1" x14ac:dyDescent="0.35">
      <c r="A197" s="53" t="s">
        <v>289</v>
      </c>
      <c r="B197" s="154">
        <f>B171*Input!$C$31</f>
        <v>5.4893220479999993E-11</v>
      </c>
      <c r="C197" s="154">
        <f>C171*Input!$C$31</f>
        <v>8.9212227913489734E-12</v>
      </c>
      <c r="D197" s="154">
        <f>D171*Input!$C$31</f>
        <v>-2.2246576128000001E-9</v>
      </c>
      <c r="E197" s="154">
        <f>E171*Input!$C$31</f>
        <v>-3.7482856290265112E-11</v>
      </c>
      <c r="F197" s="154">
        <f>F171*Input!$C$31</f>
        <v>-2.6352711135983022E-11</v>
      </c>
      <c r="G197" s="154">
        <f>G171*Input!$C$31</f>
        <v>-2.2880640971865886E-11</v>
      </c>
      <c r="H197" s="154">
        <f>H171*Input!$C$31</f>
        <v>-1.7750399126684314E-11</v>
      </c>
      <c r="I197" s="154">
        <f>I171*Input!$C$31</f>
        <v>-2.3677262958621892E-11</v>
      </c>
      <c r="J197" s="154">
        <f>J171*Input!$C$31</f>
        <v>-1.0008709120917505E-10</v>
      </c>
      <c r="K197" s="154">
        <f>K171*Input!$C$31</f>
        <v>-5.3598786061824001E-11</v>
      </c>
      <c r="L197" s="154">
        <f t="shared" si="7"/>
        <v>6.3814443271348971E-11</v>
      </c>
      <c r="M197" s="154">
        <f t="shared" si="8"/>
        <v>-2.506487360554419E-9</v>
      </c>
      <c r="N197" s="154">
        <f t="shared" si="9"/>
        <v>-2.4426729172830698E-9</v>
      </c>
    </row>
    <row r="198" spans="1:14" ht="14" customHeight="1" x14ac:dyDescent="0.35">
      <c r="A198" s="53" t="s">
        <v>290</v>
      </c>
      <c r="B198" s="154">
        <f>B172*Input!$C$31</f>
        <v>4.2088636800000006E-9</v>
      </c>
      <c r="C198" s="154">
        <f>C172*Input!$C$31</f>
        <v>2.3778699605605235E-10</v>
      </c>
      <c r="D198" s="154">
        <f>D172*Input!$C$31</f>
        <v>-6.4138314239999999E-8</v>
      </c>
      <c r="E198" s="154">
        <f>E172*Input!$C$31</f>
        <v>-1.4242071238786861E-9</v>
      </c>
      <c r="F198" s="154">
        <f>F172*Input!$C$31</f>
        <v>-6.9955521336561415E-10</v>
      </c>
      <c r="G198" s="154">
        <f>G172*Input!$C$31</f>
        <v>-3.6880585171981345E-10</v>
      </c>
      <c r="H198" s="154">
        <f>H172*Input!$C$31</f>
        <v>-1.3609879241285378E-9</v>
      </c>
      <c r="I198" s="154">
        <f>I172*Input!$C$31</f>
        <v>-1.8154222185718082E-9</v>
      </c>
      <c r="J198" s="154">
        <f>J172*Input!$C$31</f>
        <v>-7.6740427933286413E-9</v>
      </c>
      <c r="K198" s="154">
        <f>K172*Input!$C$31</f>
        <v>-4.1096146659840002E-9</v>
      </c>
      <c r="L198" s="154">
        <f t="shared" si="7"/>
        <v>4.4466506760560532E-9</v>
      </c>
      <c r="M198" s="154">
        <f t="shared" si="8"/>
        <v>-8.159095003097709E-8</v>
      </c>
      <c r="N198" s="154">
        <f t="shared" si="9"/>
        <v>-7.7144299354921038E-8</v>
      </c>
    </row>
    <row r="199" spans="1:14" ht="14" customHeight="1" x14ac:dyDescent="0.35">
      <c r="A199" s="53" t="s">
        <v>291</v>
      </c>
      <c r="B199" s="154">
        <f>B173*Input!$C$31</f>
        <v>3.5548740864E-3</v>
      </c>
      <c r="C199" s="154">
        <f>C173*Input!$C$31</f>
        <v>5.8222223440405397E-4</v>
      </c>
      <c r="D199" s="154">
        <f>D173*Input!$C$31</f>
        <v>-3.3863235839999999E-2</v>
      </c>
      <c r="E199" s="154">
        <f>E173*Input!$C$31</f>
        <v>-5.84720257509092E-2</v>
      </c>
      <c r="F199" s="154">
        <f>F173*Input!$C$31</f>
        <v>-5.5279738582037601E-3</v>
      </c>
      <c r="G199" s="154">
        <f>G173*Input!$C$31</f>
        <v>-1.6618397974011037E-3</v>
      </c>
      <c r="H199" s="154">
        <f>H173*Input!$C$31</f>
        <v>-1.1495123318861844E-3</v>
      </c>
      <c r="I199" s="154">
        <f>I173*Input!$C$31</f>
        <v>-1.53333485979658E-3</v>
      </c>
      <c r="J199" s="154">
        <f>J173*Input!$C$31</f>
        <v>-6.4816202039427069E-3</v>
      </c>
      <c r="K199" s="154">
        <f>K173*Input!$C$31</f>
        <v>-3.4710467698483198E-3</v>
      </c>
      <c r="L199" s="154">
        <f t="shared" si="7"/>
        <v>4.1370963208040542E-3</v>
      </c>
      <c r="M199" s="154">
        <f t="shared" si="8"/>
        <v>-0.11216058941198785</v>
      </c>
      <c r="N199" s="154">
        <f t="shared" si="9"/>
        <v>-0.10802349309118379</v>
      </c>
    </row>
    <row r="200" spans="1:14" ht="14" customHeight="1" x14ac:dyDescent="0.35">
      <c r="A200" s="53" t="s">
        <v>292</v>
      </c>
      <c r="B200" s="154">
        <f>B174*Input!$C$31</f>
        <v>0.49548302899199992</v>
      </c>
      <c r="C200" s="154">
        <f>C174*Input!$C$31</f>
        <v>9.9696243246828034E-2</v>
      </c>
      <c r="D200" s="154">
        <f>D174*Input!$C$31</f>
        <v>-1.1796067584000001</v>
      </c>
      <c r="E200" s="154">
        <f>E174*Input!$C$31</f>
        <v>-0.93927492084288111</v>
      </c>
      <c r="F200" s="154">
        <f>F174*Input!$C$31</f>
        <v>-1.7042026564451236</v>
      </c>
      <c r="G200" s="154">
        <f>G174*Input!$C$31</f>
        <v>-91.217093508971487</v>
      </c>
      <c r="H200" s="154">
        <f>H174*Input!$C$31</f>
        <v>-0.16022054177548037</v>
      </c>
      <c r="I200" s="154">
        <f>I174*Input!$C$31</f>
        <v>-0.21371823089250927</v>
      </c>
      <c r="J200" s="154">
        <f>J174*Input!$C$31</f>
        <v>-0.90341675495954854</v>
      </c>
      <c r="K200" s="154">
        <f>K174*Input!$C$31</f>
        <v>-0.48379906727976957</v>
      </c>
      <c r="L200" s="154">
        <f t="shared" si="7"/>
        <v>0.59517927223882794</v>
      </c>
      <c r="M200" s="154">
        <f t="shared" si="8"/>
        <v>-96.801332439566821</v>
      </c>
      <c r="N200" s="154">
        <f t="shared" si="9"/>
        <v>-96.206153167327997</v>
      </c>
    </row>
    <row r="201" spans="1:14" ht="14" customHeight="1" x14ac:dyDescent="0.35">
      <c r="A201" s="53" t="s">
        <v>293</v>
      </c>
      <c r="B201" s="154">
        <f>B175*Input!$C$31</f>
        <v>6.3656772479999995E-7</v>
      </c>
      <c r="C201" s="154">
        <f>C175*Input!$C$31</f>
        <v>2.2763721920446975E-8</v>
      </c>
      <c r="D201" s="154">
        <f>D175*Input!$C$31</f>
        <v>-4.5749007360000003E-7</v>
      </c>
      <c r="E201" s="154">
        <f>E175*Input!$C$31</f>
        <v>-5.3506553921789849E-7</v>
      </c>
      <c r="F201" s="154">
        <f>F175*Input!$C$31</f>
        <v>-4.2382888593126167E-7</v>
      </c>
      <c r="G201" s="154">
        <f>G175*Input!$C$31</f>
        <v>-1.2477586690128448E-7</v>
      </c>
      <c r="H201" s="154">
        <f>H175*Input!$C$31</f>
        <v>-2.0584201632844952E-7</v>
      </c>
      <c r="I201" s="154">
        <f>I175*Input!$C$31</f>
        <v>-2.7457273009793083E-7</v>
      </c>
      <c r="J201" s="154">
        <f>J175*Input!$C$31</f>
        <v>-1.1606572064047106E-6</v>
      </c>
      <c r="K201" s="154">
        <f>K175*Input!$C$31</f>
        <v>-6.2155685159423996E-7</v>
      </c>
      <c r="L201" s="154">
        <f t="shared" si="7"/>
        <v>6.5933144672044696E-7</v>
      </c>
      <c r="M201" s="154">
        <f t="shared" si="8"/>
        <v>-3.8037891700757749E-6</v>
      </c>
      <c r="N201" s="154">
        <f t="shared" si="9"/>
        <v>-3.144457723355328E-6</v>
      </c>
    </row>
    <row r="202" spans="1:14" ht="14" customHeight="1" x14ac:dyDescent="0.35">
      <c r="A202" s="53" t="s">
        <v>294</v>
      </c>
      <c r="B202" s="154">
        <f>B176*Input!$C$31</f>
        <v>1.3063171967999998E-8</v>
      </c>
      <c r="C202" s="154">
        <f>C176*Input!$C$31</f>
        <v>3.2897166056006967E-9</v>
      </c>
      <c r="D202" s="154">
        <f>D176*Input!$C$31</f>
        <v>-1.4890853376000002E-12</v>
      </c>
      <c r="E202" s="154">
        <f>E176*Input!$C$31</f>
        <v>-2.3284386760635366E-9</v>
      </c>
      <c r="F202" s="154">
        <f>F176*Input!$C$31</f>
        <v>-2.4103563127245524E-9</v>
      </c>
      <c r="G202" s="154">
        <f>G176*Input!$C$31</f>
        <v>-2.8377503120372069E-9</v>
      </c>
      <c r="H202" s="154">
        <f>H176*Input!$C$31</f>
        <v>-4.2241375941314459E-9</v>
      </c>
      <c r="I202" s="154">
        <f>I176*Input!$C$31</f>
        <v>-5.6345784607905406E-9</v>
      </c>
      <c r="J202" s="154">
        <f>J176*Input!$C$31</f>
        <v>-2.3818148631281668E-8</v>
      </c>
      <c r="K202" s="154">
        <f>K176*Input!$C$31</f>
        <v>-1.2755129931878398E-8</v>
      </c>
      <c r="L202" s="154">
        <f t="shared" si="7"/>
        <v>1.6352888573600695E-8</v>
      </c>
      <c r="M202" s="154">
        <f t="shared" si="8"/>
        <v>-5.401002900424495E-8</v>
      </c>
      <c r="N202" s="154">
        <f t="shared" si="9"/>
        <v>-3.7657140430644252E-8</v>
      </c>
    </row>
    <row r="203" spans="1:14" ht="14" customHeight="1" x14ac:dyDescent="0.35">
      <c r="A203" s="53" t="s">
        <v>295</v>
      </c>
      <c r="B203" s="154">
        <f>B177*Input!$C$31</f>
        <v>3.9709958400000003E-8</v>
      </c>
      <c r="C203" s="154">
        <f>C177*Input!$C$31</f>
        <v>1.4378444173885529E-9</v>
      </c>
      <c r="D203" s="154">
        <f>D177*Input!$C$31</f>
        <v>-1.2020327424000001E-7</v>
      </c>
      <c r="E203" s="154">
        <f>E177*Input!$C$31</f>
        <v>-1.4722269298088142E-8</v>
      </c>
      <c r="F203" s="154">
        <f>F177*Input!$C$31</f>
        <v>-4.5572571238552026E-8</v>
      </c>
      <c r="G203" s="154">
        <f>G177*Input!$C$31</f>
        <v>-4.8432090144784052E-8</v>
      </c>
      <c r="H203" s="154">
        <f>H177*Input!$C$31</f>
        <v>-1.2840704275327491E-8</v>
      </c>
      <c r="I203" s="154">
        <f>I177*Input!$C$31</f>
        <v>-1.7128219457543041E-8</v>
      </c>
      <c r="J203" s="154">
        <f>J177*Input!$C$31</f>
        <v>-7.2403371373363215E-8</v>
      </c>
      <c r="K203" s="154">
        <f>K177*Input!$C$31</f>
        <v>-3.8773559761920002E-8</v>
      </c>
      <c r="L203" s="154">
        <f t="shared" si="7"/>
        <v>4.1147802817388556E-8</v>
      </c>
      <c r="M203" s="154">
        <f t="shared" si="8"/>
        <v>-3.70076059789578E-7</v>
      </c>
      <c r="N203" s="154">
        <f t="shared" si="9"/>
        <v>-3.2892825697218942E-7</v>
      </c>
    </row>
    <row r="204" spans="1:14" ht="14" customHeight="1" x14ac:dyDescent="0.35">
      <c r="A204" s="53" t="s">
        <v>296</v>
      </c>
      <c r="B204" s="154">
        <f>B178*Input!$C$31</f>
        <v>2.5294731840000001E-3</v>
      </c>
      <c r="C204" s="154">
        <f>C178*Input!$C$31</f>
        <v>3.5958104701823445E-4</v>
      </c>
      <c r="D204" s="154">
        <f>D178*Input!$C$31</f>
        <v>-9.1049495039999991E-3</v>
      </c>
      <c r="E204" s="154">
        <f>E178*Input!$C$31</f>
        <v>-9.8665310205983464E-4</v>
      </c>
      <c r="F204" s="154">
        <f>F178*Input!$C$31</f>
        <v>-3.1839382519847593E-3</v>
      </c>
      <c r="G204" s="154">
        <f>G178*Input!$C$31</f>
        <v>-2.5785965425851594E-3</v>
      </c>
      <c r="H204" s="154">
        <f>H178*Input!$C$31</f>
        <v>-8.1793631715602704E-4</v>
      </c>
      <c r="I204" s="154">
        <f>I178*Input!$C$31</f>
        <v>-1.0910455098215904E-3</v>
      </c>
      <c r="J204" s="154">
        <f>J178*Input!$C$31</f>
        <v>-4.6120014651064327E-3</v>
      </c>
      <c r="K204" s="154">
        <f>K178*Input!$C$31</f>
        <v>-2.4698257972991995E-3</v>
      </c>
      <c r="L204" s="154">
        <f t="shared" si="7"/>
        <v>2.8890542310182343E-3</v>
      </c>
      <c r="M204" s="154">
        <f t="shared" si="8"/>
        <v>-2.4844946490013002E-2</v>
      </c>
      <c r="N204" s="154">
        <f t="shared" si="9"/>
        <v>-2.1955892258994768E-2</v>
      </c>
    </row>
    <row r="205" spans="1:14" ht="14" customHeight="1" x14ac:dyDescent="0.35">
      <c r="A205" s="53" t="s">
        <v>297</v>
      </c>
      <c r="B205" s="154">
        <f>B179*Input!$C$31</f>
        <v>1.7821914969599999E-2</v>
      </c>
      <c r="C205" s="154">
        <f>C179*Input!$C$31</f>
        <v>2.6243862173148248E-3</v>
      </c>
      <c r="D205" s="154">
        <f>D179*Input!$C$31</f>
        <v>-3.2338268928E-2</v>
      </c>
      <c r="E205" s="154">
        <f>E179*Input!$C$31</f>
        <v>-0.37963562041669396</v>
      </c>
      <c r="F205" s="154">
        <f>F179*Input!$C$31</f>
        <v>-0.20808748758658296</v>
      </c>
      <c r="G205" s="154">
        <f>G179*Input!$C$31</f>
        <v>-0.24883223221622869</v>
      </c>
      <c r="H205" s="154">
        <f>H179*Input!$C$31</f>
        <v>-5.7629357714125851E-3</v>
      </c>
      <c r="I205" s="154">
        <f>I179*Input!$C$31</f>
        <v>-7.687181831773973E-3</v>
      </c>
      <c r="J205" s="154">
        <f>J179*Input!$C$31</f>
        <v>-3.2494789219634383E-2</v>
      </c>
      <c r="K205" s="154">
        <f>K179*Input!$C$31</f>
        <v>-1.7401657241364478E-2</v>
      </c>
      <c r="L205" s="154">
        <f t="shared" si="7"/>
        <v>2.0446301186914824E-2</v>
      </c>
      <c r="M205" s="154">
        <f t="shared" si="8"/>
        <v>-0.93224017321169106</v>
      </c>
      <c r="N205" s="154">
        <f t="shared" si="9"/>
        <v>-0.91179387202477624</v>
      </c>
    </row>
    <row r="206" spans="1:14" ht="14" customHeight="1" x14ac:dyDescent="0.35"/>
    <row r="207" spans="1:14" ht="14" customHeight="1" x14ac:dyDescent="0.35"/>
    <row r="208" spans="1:14" ht="14" customHeight="1" x14ac:dyDescent="0.35"/>
    <row r="209" spans="1:3" ht="14" customHeight="1" x14ac:dyDescent="0.35">
      <c r="B209" t="s">
        <v>352</v>
      </c>
    </row>
    <row r="210" spans="1:3" ht="14" customHeight="1" x14ac:dyDescent="0.35">
      <c r="B210" s="205" t="s">
        <v>881</v>
      </c>
      <c r="C210" s="205" t="s">
        <v>882</v>
      </c>
    </row>
    <row r="211" spans="1:3" ht="14" customHeight="1" x14ac:dyDescent="0.35">
      <c r="A211" s="95" t="s">
        <v>530</v>
      </c>
      <c r="B211" s="1">
        <f>SUM(G$30:Y$30)+SUM(H$110:Z$110)+SUM(E$143:W$143)+SUM(G$154:Y$154)</f>
        <v>-2439.3788556903628</v>
      </c>
      <c r="C211" s="1">
        <f>+SUM(B161:N179)*Input!C31</f>
        <v>-1405.0822208776497</v>
      </c>
    </row>
    <row r="212" spans="1:3" ht="14" customHeight="1" x14ac:dyDescent="0.35">
      <c r="A212" s="95" t="s">
        <v>531</v>
      </c>
      <c r="B212" s="1">
        <f>SUM($B$161:$K$179)</f>
        <v>-2439.3788556903642</v>
      </c>
      <c r="C212" s="1">
        <f>+SUM(B187:N205)</f>
        <v>-1405.082220877651</v>
      </c>
    </row>
    <row r="213" spans="1:3" ht="14" customHeight="1" x14ac:dyDescent="0.35">
      <c r="A213" s="148" t="s">
        <v>58</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883</v>
      </c>
      <c r="B1" s="108" t="s">
        <v>452</v>
      </c>
      <c r="C1" s="108" t="s">
        <v>884</v>
      </c>
      <c r="D1" s="108" t="s">
        <v>885</v>
      </c>
      <c r="E1" s="108" t="s">
        <v>886</v>
      </c>
      <c r="F1" s="108" t="s">
        <v>486</v>
      </c>
      <c r="G1" s="108" t="s">
        <v>154</v>
      </c>
      <c r="H1" s="108" t="s">
        <v>279</v>
      </c>
      <c r="I1" s="108" t="s">
        <v>280</v>
      </c>
      <c r="J1" s="108" t="s">
        <v>281</v>
      </c>
      <c r="K1" s="108" t="s">
        <v>282</v>
      </c>
      <c r="L1" s="108" t="s">
        <v>283</v>
      </c>
      <c r="M1" s="108" t="s">
        <v>284</v>
      </c>
      <c r="N1" s="108" t="s">
        <v>285</v>
      </c>
      <c r="O1" s="108" t="s">
        <v>286</v>
      </c>
      <c r="P1" s="108" t="s">
        <v>287</v>
      </c>
      <c r="Q1" s="108" t="s">
        <v>288</v>
      </c>
      <c r="R1" s="108" t="s">
        <v>289</v>
      </c>
      <c r="S1" s="108" t="s">
        <v>290</v>
      </c>
      <c r="T1" s="108" t="s">
        <v>291</v>
      </c>
      <c r="U1" s="108" t="s">
        <v>292</v>
      </c>
      <c r="V1" s="108" t="s">
        <v>293</v>
      </c>
      <c r="W1" s="108" t="s">
        <v>294</v>
      </c>
      <c r="X1" s="108" t="s">
        <v>295</v>
      </c>
      <c r="Y1" s="108" t="s">
        <v>296</v>
      </c>
      <c r="Z1" s="108" t="s">
        <v>297</v>
      </c>
    </row>
    <row r="2" spans="1:26" s="242" customFormat="1" x14ac:dyDescent="0.35">
      <c r="A2" s="88">
        <v>1</v>
      </c>
      <c r="B2" s="88" t="s">
        <v>211</v>
      </c>
      <c r="C2" s="88" t="s">
        <v>234</v>
      </c>
      <c r="D2" s="88" t="s">
        <v>62</v>
      </c>
      <c r="E2" s="88" t="s">
        <v>887</v>
      </c>
      <c r="F2" s="88">
        <v>1</v>
      </c>
      <c r="G2" s="88" t="s">
        <v>888</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211</v>
      </c>
      <c r="C3" s="88" t="s">
        <v>234</v>
      </c>
      <c r="D3" s="88" t="s">
        <v>65</v>
      </c>
      <c r="E3" s="88" t="s">
        <v>887</v>
      </c>
      <c r="F3" s="88">
        <v>1</v>
      </c>
      <c r="G3" s="88" t="s">
        <v>888</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211</v>
      </c>
      <c r="C4" s="88" t="s">
        <v>234</v>
      </c>
      <c r="D4" s="88" t="s">
        <v>66</v>
      </c>
      <c r="E4" s="88" t="s">
        <v>887</v>
      </c>
      <c r="F4" s="88">
        <v>1</v>
      </c>
      <c r="G4" s="88" t="s">
        <v>888</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211</v>
      </c>
      <c r="C5" s="88" t="s">
        <v>234</v>
      </c>
      <c r="D5" s="88" t="s">
        <v>67</v>
      </c>
      <c r="E5" s="88" t="s">
        <v>887</v>
      </c>
      <c r="F5" s="88">
        <v>1</v>
      </c>
      <c r="G5" s="88" t="s">
        <v>888</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211</v>
      </c>
      <c r="C6" s="88" t="s">
        <v>234</v>
      </c>
      <c r="D6" s="88" t="s">
        <v>71</v>
      </c>
      <c r="E6" s="88" t="s">
        <v>887</v>
      </c>
      <c r="F6" s="88">
        <v>1</v>
      </c>
      <c r="G6" s="88" t="s">
        <v>888</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211</v>
      </c>
      <c r="C7" s="88" t="s">
        <v>234</v>
      </c>
      <c r="D7" s="88" t="s">
        <v>72</v>
      </c>
      <c r="E7" s="88" t="s">
        <v>887</v>
      </c>
      <c r="F7" s="88">
        <v>1</v>
      </c>
      <c r="G7" s="88" t="s">
        <v>888</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211</v>
      </c>
      <c r="C8" s="88" t="s">
        <v>234</v>
      </c>
      <c r="D8" s="88" t="s">
        <v>73</v>
      </c>
      <c r="E8" s="88" t="s">
        <v>889</v>
      </c>
      <c r="F8" s="88">
        <v>1</v>
      </c>
      <c r="G8" s="88" t="s">
        <v>888</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211</v>
      </c>
      <c r="C9" s="88" t="s">
        <v>234</v>
      </c>
      <c r="D9" s="88" t="s">
        <v>75</v>
      </c>
      <c r="E9" s="88" t="s">
        <v>889</v>
      </c>
      <c r="F9" s="88">
        <v>1</v>
      </c>
      <c r="G9" s="88" t="s">
        <v>888</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211</v>
      </c>
      <c r="C10" s="88" t="s">
        <v>234</v>
      </c>
      <c r="D10" s="88" t="s">
        <v>76</v>
      </c>
      <c r="E10" s="88" t="s">
        <v>889</v>
      </c>
      <c r="F10" s="88">
        <v>1</v>
      </c>
      <c r="G10" s="88" t="s">
        <v>888</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77</v>
      </c>
      <c r="C11" s="88" t="s">
        <v>234</v>
      </c>
      <c r="D11" s="88" t="s">
        <v>576</v>
      </c>
      <c r="E11" s="88"/>
      <c r="F11" s="88">
        <v>1</v>
      </c>
      <c r="G11" s="88" t="s">
        <v>888</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77</v>
      </c>
      <c r="C12" s="88" t="s">
        <v>234</v>
      </c>
      <c r="D12" s="88" t="s">
        <v>574</v>
      </c>
      <c r="E12" s="88" t="s">
        <v>890</v>
      </c>
      <c r="F12" s="88">
        <v>1</v>
      </c>
      <c r="G12" s="88" t="s">
        <v>888</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77</v>
      </c>
      <c r="C13" s="88" t="s">
        <v>234</v>
      </c>
      <c r="D13" s="88" t="s">
        <v>575</v>
      </c>
      <c r="E13" s="88" t="s">
        <v>891</v>
      </c>
      <c r="F13" s="88">
        <v>1</v>
      </c>
      <c r="G13" s="88" t="s">
        <v>888</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77</v>
      </c>
      <c r="C14" s="88" t="s">
        <v>234</v>
      </c>
      <c r="D14" s="88" t="s">
        <v>78</v>
      </c>
      <c r="E14" s="88" t="s">
        <v>892</v>
      </c>
      <c r="F14" s="88">
        <v>1</v>
      </c>
      <c r="G14" s="88" t="s">
        <v>888</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80</v>
      </c>
      <c r="C15" s="88" t="s">
        <v>234</v>
      </c>
      <c r="D15" s="88" t="s">
        <v>576</v>
      </c>
      <c r="E15" s="88"/>
      <c r="F15" s="88">
        <v>1</v>
      </c>
      <c r="G15" s="88" t="s">
        <v>888</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80</v>
      </c>
      <c r="C16" s="88" t="s">
        <v>234</v>
      </c>
      <c r="D16" s="88" t="s">
        <v>574</v>
      </c>
      <c r="E16" s="88" t="s">
        <v>890</v>
      </c>
      <c r="F16" s="88">
        <v>1</v>
      </c>
      <c r="G16" s="88" t="s">
        <v>888</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80</v>
      </c>
      <c r="C17" s="88" t="s">
        <v>234</v>
      </c>
      <c r="D17" s="88" t="s">
        <v>575</v>
      </c>
      <c r="E17" s="88" t="s">
        <v>893</v>
      </c>
      <c r="F17" s="88">
        <v>1</v>
      </c>
      <c r="G17" s="88" t="s">
        <v>888</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80</v>
      </c>
      <c r="C18" s="88" t="s">
        <v>234</v>
      </c>
      <c r="D18" s="88" t="s">
        <v>78</v>
      </c>
      <c r="E18" s="88" t="s">
        <v>892</v>
      </c>
      <c r="F18" s="88">
        <v>1</v>
      </c>
      <c r="G18" s="88" t="s">
        <v>888</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59</v>
      </c>
      <c r="C19" s="88" t="s">
        <v>234</v>
      </c>
      <c r="D19" s="88" t="s">
        <v>60</v>
      </c>
      <c r="E19" s="88" t="s">
        <v>894</v>
      </c>
      <c r="F19" s="88">
        <v>1</v>
      </c>
      <c r="G19" s="88" t="s">
        <v>888</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59</v>
      </c>
      <c r="C20" s="88" t="s">
        <v>234</v>
      </c>
      <c r="D20" s="88" t="s">
        <v>573</v>
      </c>
      <c r="E20" s="88" t="s">
        <v>894</v>
      </c>
      <c r="F20" s="88">
        <v>1</v>
      </c>
      <c r="G20" s="88" t="s">
        <v>888</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301</v>
      </c>
      <c r="C21" s="88" t="s">
        <v>234</v>
      </c>
      <c r="D21" s="88" t="s">
        <v>895</v>
      </c>
      <c r="E21" s="88" t="s">
        <v>896</v>
      </c>
      <c r="F21" s="88">
        <v>1</v>
      </c>
      <c r="G21" s="88" t="s">
        <v>888</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90</v>
      </c>
      <c r="C22" s="88" t="s">
        <v>234</v>
      </c>
      <c r="D22" s="88" t="s">
        <v>91</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90</v>
      </c>
      <c r="C23" s="88" t="s">
        <v>234</v>
      </c>
      <c r="D23" s="88" t="s">
        <v>580</v>
      </c>
      <c r="E23" s="88" t="s">
        <v>900</v>
      </c>
      <c r="F23" s="88">
        <v>1</v>
      </c>
      <c r="G23" s="88" t="s">
        <v>888</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90</v>
      </c>
      <c r="C24" s="88" t="s">
        <v>234</v>
      </c>
      <c r="D24" s="88" t="s">
        <v>94</v>
      </c>
      <c r="E24" s="88" t="s">
        <v>898</v>
      </c>
      <c r="F24" s="88">
        <v>1</v>
      </c>
      <c r="G24" s="88" t="s">
        <v>888</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90</v>
      </c>
      <c r="C25" s="88" t="s">
        <v>234</v>
      </c>
      <c r="D25" s="88" t="s">
        <v>581</v>
      </c>
      <c r="E25" s="88" t="s">
        <v>899</v>
      </c>
      <c r="F25" s="88">
        <v>1</v>
      </c>
      <c r="G25" s="88" t="s">
        <v>888</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93</v>
      </c>
      <c r="C26" s="88" t="s">
        <v>234</v>
      </c>
      <c r="D26" s="88" t="s">
        <v>91</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93</v>
      </c>
      <c r="C27" s="88" t="s">
        <v>234</v>
      </c>
      <c r="D27" s="88" t="s">
        <v>580</v>
      </c>
      <c r="E27" s="88" t="s">
        <v>900</v>
      </c>
      <c r="F27" s="88">
        <v>1</v>
      </c>
      <c r="G27" s="88" t="s">
        <v>888</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93</v>
      </c>
      <c r="C28" s="88" t="s">
        <v>234</v>
      </c>
      <c r="D28" s="88" t="s">
        <v>94</v>
      </c>
      <c r="E28" s="88" t="s">
        <v>898</v>
      </c>
      <c r="F28" s="88">
        <v>1</v>
      </c>
      <c r="G28" s="88" t="s">
        <v>888</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93</v>
      </c>
      <c r="C29" s="88" t="s">
        <v>234</v>
      </c>
      <c r="D29" s="88" t="s">
        <v>581</v>
      </c>
      <c r="E29" s="88" t="s">
        <v>899</v>
      </c>
      <c r="F29" s="88">
        <v>1</v>
      </c>
      <c r="G29" s="88" t="s">
        <v>888</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95</v>
      </c>
      <c r="C30" s="88" t="s">
        <v>234</v>
      </c>
      <c r="D30" s="88" t="s">
        <v>91</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95</v>
      </c>
      <c r="C31" s="88" t="s">
        <v>234</v>
      </c>
      <c r="D31" s="88" t="s">
        <v>897</v>
      </c>
      <c r="E31" s="88" t="s">
        <v>900</v>
      </c>
      <c r="F31" s="88">
        <v>1</v>
      </c>
      <c r="G31" s="88" t="s">
        <v>888</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95</v>
      </c>
      <c r="C32" s="88" t="s">
        <v>234</v>
      </c>
      <c r="D32" s="88" t="s">
        <v>580</v>
      </c>
      <c r="E32" s="88" t="s">
        <v>900</v>
      </c>
      <c r="F32" s="88">
        <v>1</v>
      </c>
      <c r="G32" s="88" t="s">
        <v>888</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95</v>
      </c>
      <c r="C33" s="88" t="s">
        <v>234</v>
      </c>
      <c r="D33" s="88" t="s">
        <v>94</v>
      </c>
      <c r="E33" s="88" t="s">
        <v>898</v>
      </c>
      <c r="F33" s="88">
        <v>1</v>
      </c>
      <c r="G33" s="88" t="s">
        <v>888</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95</v>
      </c>
      <c r="C34" s="88" t="s">
        <v>234</v>
      </c>
      <c r="D34" s="88" t="s">
        <v>581</v>
      </c>
      <c r="E34" s="88" t="s">
        <v>899</v>
      </c>
      <c r="F34" s="88">
        <v>1</v>
      </c>
      <c r="G34" s="88" t="s">
        <v>888</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84</v>
      </c>
      <c r="C35" s="88" t="s">
        <v>234</v>
      </c>
      <c r="D35" s="88" t="s">
        <v>579</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84</v>
      </c>
      <c r="C36" s="88" t="s">
        <v>234</v>
      </c>
      <c r="D36" s="88" t="s">
        <v>578</v>
      </c>
      <c r="E36" s="88" t="s">
        <v>901</v>
      </c>
      <c r="F36" s="88">
        <v>1</v>
      </c>
      <c r="G36" s="88" t="s">
        <v>888</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84</v>
      </c>
      <c r="C37" s="88" t="s">
        <v>234</v>
      </c>
      <c r="D37" s="88" t="s">
        <v>85</v>
      </c>
      <c r="E37" s="88" t="s">
        <v>902</v>
      </c>
      <c r="F37" s="88">
        <v>1</v>
      </c>
      <c r="G37" s="88" t="s">
        <v>888</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84</v>
      </c>
      <c r="C38" s="88" t="s">
        <v>234</v>
      </c>
      <c r="D38" s="88" t="s">
        <v>89</v>
      </c>
      <c r="E38" s="88" t="s">
        <v>903</v>
      </c>
      <c r="F38" s="88">
        <v>1</v>
      </c>
      <c r="G38" s="88" t="s">
        <v>888</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88</v>
      </c>
      <c r="C39" s="88" t="s">
        <v>234</v>
      </c>
      <c r="D39" s="88" t="s">
        <v>579</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88</v>
      </c>
      <c r="C40" s="88" t="s">
        <v>234</v>
      </c>
      <c r="D40" s="88" t="s">
        <v>578</v>
      </c>
      <c r="E40" s="88" t="s">
        <v>904</v>
      </c>
      <c r="F40" s="88">
        <v>1</v>
      </c>
      <c r="G40" s="88" t="s">
        <v>888</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88</v>
      </c>
      <c r="C41" s="88" t="s">
        <v>234</v>
      </c>
      <c r="D41" s="88" t="s">
        <v>85</v>
      </c>
      <c r="E41" s="88" t="s">
        <v>902</v>
      </c>
      <c r="F41" s="88">
        <v>1</v>
      </c>
      <c r="G41" s="88" t="s">
        <v>888</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88</v>
      </c>
      <c r="C42" s="88" t="s">
        <v>234</v>
      </c>
      <c r="D42" s="88" t="s">
        <v>89</v>
      </c>
      <c r="E42" s="88" t="s">
        <v>903</v>
      </c>
      <c r="F42" s="88">
        <v>1</v>
      </c>
      <c r="G42" s="88" t="s">
        <v>888</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513</v>
      </c>
      <c r="C43" s="88" t="s">
        <v>234</v>
      </c>
      <c r="D43" s="88" t="s">
        <v>25</v>
      </c>
      <c r="E43" s="88" t="s">
        <v>905</v>
      </c>
      <c r="F43" s="88">
        <v>1</v>
      </c>
      <c r="G43" s="88" t="s">
        <v>557</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513</v>
      </c>
      <c r="C44" s="88" t="s">
        <v>234</v>
      </c>
      <c r="D44" s="88" t="s">
        <v>36</v>
      </c>
      <c r="E44" s="88" t="s">
        <v>906</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619</v>
      </c>
      <c r="C45" s="88" t="s">
        <v>234</v>
      </c>
      <c r="D45" s="88" t="s">
        <v>36</v>
      </c>
      <c r="E45" s="88" t="s">
        <v>907</v>
      </c>
      <c r="F45" s="88">
        <v>1</v>
      </c>
      <c r="G45" s="88" t="s">
        <v>558</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619</v>
      </c>
      <c r="C46" s="88" t="s">
        <v>234</v>
      </c>
      <c r="D46" s="88" t="s">
        <v>87</v>
      </c>
      <c r="E46" s="88" t="s">
        <v>908</v>
      </c>
      <c r="F46" s="88">
        <v>1</v>
      </c>
      <c r="G46" s="88" t="s">
        <v>558</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619</v>
      </c>
      <c r="C47" s="88" t="s">
        <v>234</v>
      </c>
      <c r="D47" s="88" t="s">
        <v>806</v>
      </c>
      <c r="E47" s="88" t="s">
        <v>909</v>
      </c>
      <c r="F47" s="88">
        <v>1</v>
      </c>
      <c r="G47" s="88" t="s">
        <v>558</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619</v>
      </c>
      <c r="C48" s="88" t="s">
        <v>234</v>
      </c>
      <c r="D48" s="88" t="s">
        <v>807</v>
      </c>
      <c r="E48" s="88" t="s">
        <v>910</v>
      </c>
      <c r="F48" s="88">
        <v>1</v>
      </c>
      <c r="G48" s="88" t="s">
        <v>558</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619</v>
      </c>
      <c r="C49" s="88" t="s">
        <v>234</v>
      </c>
      <c r="D49" s="88" t="s">
        <v>79</v>
      </c>
      <c r="E49" s="88" t="s">
        <v>911</v>
      </c>
      <c r="F49" s="88">
        <v>1</v>
      </c>
      <c r="G49" s="88" t="s">
        <v>558</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619</v>
      </c>
      <c r="C50" s="88" t="s">
        <v>234</v>
      </c>
      <c r="D50" s="88" t="s">
        <v>808</v>
      </c>
      <c r="E50" s="88" t="s">
        <v>912</v>
      </c>
      <c r="F50" s="88">
        <v>1</v>
      </c>
      <c r="G50" s="88" t="s">
        <v>558</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619</v>
      </c>
      <c r="C51" s="88" t="s">
        <v>234</v>
      </c>
      <c r="D51" s="88" t="s">
        <v>82</v>
      </c>
      <c r="E51" s="88" t="s">
        <v>913</v>
      </c>
      <c r="F51" s="88">
        <v>1</v>
      </c>
      <c r="G51" s="88" t="s">
        <v>557</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619</v>
      </c>
      <c r="C52" s="88" t="s">
        <v>234</v>
      </c>
      <c r="D52" s="88" t="s">
        <v>92</v>
      </c>
      <c r="E52" s="88" t="s">
        <v>914</v>
      </c>
      <c r="F52" s="88">
        <v>1</v>
      </c>
      <c r="G52" s="88" t="s">
        <v>557</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619</v>
      </c>
      <c r="C53" s="88" t="s">
        <v>234</v>
      </c>
      <c r="D53" s="88" t="s">
        <v>27</v>
      </c>
      <c r="E53" s="88"/>
      <c r="F53" s="88">
        <v>1</v>
      </c>
      <c r="G53" s="88" t="s">
        <v>557</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69</v>
      </c>
      <c r="C54" s="88" t="s">
        <v>235</v>
      </c>
      <c r="D54" s="88" t="s">
        <v>70</v>
      </c>
      <c r="E54" s="88" t="s">
        <v>915</v>
      </c>
      <c r="F54" s="88">
        <v>1</v>
      </c>
      <c r="G54" s="88" t="s">
        <v>916</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69</v>
      </c>
      <c r="C55" s="88" t="s">
        <v>235</v>
      </c>
      <c r="D55" s="88" t="s">
        <v>489</v>
      </c>
      <c r="E55" s="88" t="s">
        <v>917</v>
      </c>
      <c r="F55" s="88">
        <v>1</v>
      </c>
      <c r="G55" s="88" t="s">
        <v>916</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69</v>
      </c>
      <c r="C56" s="88" t="s">
        <v>235</v>
      </c>
      <c r="D56" s="88" t="s">
        <v>87</v>
      </c>
      <c r="E56" s="88" t="s">
        <v>918</v>
      </c>
      <c r="F56" s="88">
        <v>1</v>
      </c>
      <c r="G56" s="88" t="s">
        <v>916</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69</v>
      </c>
      <c r="C57" s="88" t="s">
        <v>235</v>
      </c>
      <c r="D57" s="88" t="s">
        <v>806</v>
      </c>
      <c r="E57" s="88" t="s">
        <v>919</v>
      </c>
      <c r="F57" s="88">
        <v>1</v>
      </c>
      <c r="G57" s="88" t="s">
        <v>916</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69</v>
      </c>
      <c r="C58" s="88" t="s">
        <v>235</v>
      </c>
      <c r="D58" s="88" t="s">
        <v>807</v>
      </c>
      <c r="E58" s="88" t="s">
        <v>920</v>
      </c>
      <c r="F58" s="88">
        <v>1</v>
      </c>
      <c r="G58" s="88" t="s">
        <v>916</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69</v>
      </c>
      <c r="C59" s="88" t="s">
        <v>235</v>
      </c>
      <c r="D59" s="88" t="s">
        <v>79</v>
      </c>
      <c r="E59" s="88" t="s">
        <v>921</v>
      </c>
      <c r="F59" s="88">
        <v>1</v>
      </c>
      <c r="G59" s="88" t="s">
        <v>916</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69</v>
      </c>
      <c r="C60" s="88" t="s">
        <v>235</v>
      </c>
      <c r="D60" s="88" t="s">
        <v>808</v>
      </c>
      <c r="E60" s="88" t="s">
        <v>922</v>
      </c>
      <c r="F60" s="88">
        <v>1</v>
      </c>
      <c r="G60" s="88" t="s">
        <v>916</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69</v>
      </c>
      <c r="C61" s="88" t="s">
        <v>235</v>
      </c>
      <c r="D61" s="88" t="s">
        <v>82</v>
      </c>
      <c r="E61" s="88" t="s">
        <v>923</v>
      </c>
      <c r="F61" s="88">
        <v>1</v>
      </c>
      <c r="G61" s="88" t="s">
        <v>557</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69</v>
      </c>
      <c r="C62" s="88" t="s">
        <v>235</v>
      </c>
      <c r="D62" s="88" t="s">
        <v>92</v>
      </c>
      <c r="E62" s="88" t="s">
        <v>924</v>
      </c>
      <c r="F62" s="88">
        <v>1</v>
      </c>
      <c r="G62" s="88" t="s">
        <v>557</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69</v>
      </c>
      <c r="C63" s="88" t="s">
        <v>235</v>
      </c>
      <c r="D63" s="88" t="s">
        <v>27</v>
      </c>
      <c r="E63" s="88"/>
      <c r="F63" s="88">
        <v>1</v>
      </c>
      <c r="G63" s="88" t="s">
        <v>916</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925</v>
      </c>
      <c r="C64" s="88" t="s">
        <v>235</v>
      </c>
      <c r="D64" s="88" t="s">
        <v>36</v>
      </c>
      <c r="E64" s="28" t="s">
        <v>926</v>
      </c>
      <c r="F64" s="88">
        <v>1</v>
      </c>
      <c r="G64" s="88" t="s">
        <v>916</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61</v>
      </c>
      <c r="C65" s="88" t="s">
        <v>235</v>
      </c>
      <c r="D65" s="88" t="s">
        <v>36</v>
      </c>
      <c r="E65" s="88" t="s">
        <v>927</v>
      </c>
      <c r="F65" s="88">
        <v>1</v>
      </c>
      <c r="G65" s="88" t="s">
        <v>916</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63</v>
      </c>
      <c r="C66" s="88" t="s">
        <v>235</v>
      </c>
      <c r="D66" s="88" t="s">
        <v>64</v>
      </c>
      <c r="E66" s="88" t="s">
        <v>928</v>
      </c>
      <c r="F66" s="88">
        <v>1</v>
      </c>
      <c r="G66" s="88" t="s">
        <v>916</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27</v>
      </c>
      <c r="C67" s="88"/>
      <c r="D67" s="88" t="s">
        <v>27</v>
      </c>
      <c r="E67" s="88" t="s">
        <v>27</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74</v>
      </c>
      <c r="C68" s="88" t="s">
        <v>235</v>
      </c>
      <c r="D68" s="88" t="s">
        <v>36</v>
      </c>
      <c r="E68" s="88" t="s">
        <v>929</v>
      </c>
      <c r="F68" s="88">
        <v>1</v>
      </c>
      <c r="G68" s="88" t="s">
        <v>916</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74</v>
      </c>
      <c r="C69" s="88" t="s">
        <v>235</v>
      </c>
      <c r="D69" s="88" t="s">
        <v>82</v>
      </c>
      <c r="E69" s="88" t="s">
        <v>930</v>
      </c>
      <c r="F69" s="88">
        <v>1</v>
      </c>
      <c r="G69" s="88" t="s">
        <v>916</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20</v>
      </c>
      <c r="C70" s="88" t="s">
        <v>238</v>
      </c>
      <c r="D70" s="88" t="s">
        <v>793</v>
      </c>
      <c r="E70" s="88" t="s">
        <v>931</v>
      </c>
      <c r="F70" s="88">
        <v>1</v>
      </c>
      <c r="G70" s="88" t="s">
        <v>609</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20</v>
      </c>
      <c r="C71" s="88" t="s">
        <v>238</v>
      </c>
      <c r="D71" s="267" t="s">
        <v>21</v>
      </c>
      <c r="E71" s="88" t="s">
        <v>932</v>
      </c>
      <c r="F71" s="88">
        <v>1</v>
      </c>
      <c r="G71" s="88" t="s">
        <v>609</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20</v>
      </c>
      <c r="C72" s="88" t="s">
        <v>238</v>
      </c>
      <c r="D72" s="88" t="s">
        <v>933</v>
      </c>
      <c r="E72" s="88" t="s">
        <v>934</v>
      </c>
      <c r="F72" s="88">
        <v>1</v>
      </c>
      <c r="G72" s="88" t="s">
        <v>609</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20</v>
      </c>
      <c r="C73" s="88" t="s">
        <v>238</v>
      </c>
      <c r="D73" s="88" t="s">
        <v>25</v>
      </c>
      <c r="E73" s="88" t="s">
        <v>905</v>
      </c>
      <c r="F73" s="88">
        <v>1</v>
      </c>
      <c r="G73" s="88" t="s">
        <v>557</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20</v>
      </c>
      <c r="C74" s="88" t="s">
        <v>238</v>
      </c>
      <c r="D74" s="88" t="s">
        <v>935</v>
      </c>
      <c r="E74" s="88" t="s">
        <v>936</v>
      </c>
      <c r="F74" s="88">
        <v>1</v>
      </c>
      <c r="G74" s="88" t="s">
        <v>557</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20</v>
      </c>
      <c r="C75" s="88" t="s">
        <v>238</v>
      </c>
      <c r="D75" s="88" t="s">
        <v>937</v>
      </c>
      <c r="E75" s="88" t="s">
        <v>938</v>
      </c>
      <c r="F75" s="88">
        <v>1</v>
      </c>
      <c r="G75" s="88" t="s">
        <v>558</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22</v>
      </c>
      <c r="C76" s="88" t="s">
        <v>238</v>
      </c>
      <c r="D76" s="88" t="s">
        <v>793</v>
      </c>
      <c r="E76" s="88" t="s">
        <v>931</v>
      </c>
      <c r="F76" s="88">
        <v>1</v>
      </c>
      <c r="G76" s="88" t="s">
        <v>609</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22</v>
      </c>
      <c r="C77" s="88" t="s">
        <v>238</v>
      </c>
      <c r="D77" s="88" t="s">
        <v>21</v>
      </c>
      <c r="E77" s="88" t="s">
        <v>932</v>
      </c>
      <c r="F77" s="88">
        <v>1</v>
      </c>
      <c r="G77" s="88" t="s">
        <v>609</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22</v>
      </c>
      <c r="C78" s="88" t="s">
        <v>238</v>
      </c>
      <c r="D78" s="88" t="s">
        <v>933</v>
      </c>
      <c r="E78" s="88" t="s">
        <v>934</v>
      </c>
      <c r="F78" s="88">
        <v>1</v>
      </c>
      <c r="G78" s="88" t="s">
        <v>609</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22</v>
      </c>
      <c r="C79" s="88" t="s">
        <v>238</v>
      </c>
      <c r="D79" s="88" t="s">
        <v>25</v>
      </c>
      <c r="E79" s="88" t="s">
        <v>939</v>
      </c>
      <c r="F79" s="88">
        <v>1</v>
      </c>
      <c r="G79" s="88" t="s">
        <v>557</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22</v>
      </c>
      <c r="C80" s="88" t="s">
        <v>238</v>
      </c>
      <c r="D80" s="88" t="s">
        <v>935</v>
      </c>
      <c r="E80" s="88" t="s">
        <v>940</v>
      </c>
      <c r="F80" s="88">
        <v>1</v>
      </c>
      <c r="G80" s="88" t="s">
        <v>557</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22</v>
      </c>
      <c r="C81" s="88" t="s">
        <v>238</v>
      </c>
      <c r="D81" s="88" t="s">
        <v>937</v>
      </c>
      <c r="E81" s="88" t="s">
        <v>938</v>
      </c>
      <c r="F81" s="88">
        <v>1</v>
      </c>
      <c r="G81" s="88" t="s">
        <v>558</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22</v>
      </c>
      <c r="C82" s="88" t="s">
        <v>238</v>
      </c>
      <c r="D82" s="88" t="s">
        <v>27</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941</v>
      </c>
      <c r="C83" s="88" t="s">
        <v>238</v>
      </c>
      <c r="D83" s="88" t="s">
        <v>25</v>
      </c>
      <c r="E83" s="88" t="s">
        <v>913</v>
      </c>
      <c r="F83" s="88">
        <v>1</v>
      </c>
      <c r="G83" s="88" t="s">
        <v>557</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941</v>
      </c>
      <c r="C84" s="88" t="s">
        <v>238</v>
      </c>
      <c r="D84" s="88" t="s">
        <v>935</v>
      </c>
      <c r="E84" s="88" t="s">
        <v>914</v>
      </c>
      <c r="F84" s="88">
        <v>1</v>
      </c>
      <c r="G84" s="88" t="s">
        <v>557</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941</v>
      </c>
      <c r="C85" s="88" t="s">
        <v>238</v>
      </c>
      <c r="D85" s="88" t="s">
        <v>27</v>
      </c>
      <c r="E85" s="88" t="s">
        <v>942</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22</v>
      </c>
      <c r="C86" s="88" t="s">
        <v>238</v>
      </c>
      <c r="D86" s="88" t="s">
        <v>27</v>
      </c>
      <c r="E86" s="88" t="s">
        <v>942</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450</v>
      </c>
      <c r="C87" s="88"/>
      <c r="D87" s="88" t="s">
        <v>27</v>
      </c>
      <c r="E87" s="88" t="s">
        <v>942</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106</v>
      </c>
      <c r="C88" s="88" t="s">
        <v>240</v>
      </c>
      <c r="D88" s="88"/>
      <c r="E88" s="88" t="s">
        <v>942</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685</v>
      </c>
      <c r="C89" s="88" t="s">
        <v>240</v>
      </c>
      <c r="D89" s="88" t="s">
        <v>36</v>
      </c>
      <c r="E89" s="88" t="s">
        <v>943</v>
      </c>
      <c r="F89" s="88">
        <v>1</v>
      </c>
      <c r="G89" s="88" t="s">
        <v>558</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685</v>
      </c>
      <c r="C90" s="88" t="s">
        <v>240</v>
      </c>
      <c r="D90" s="88" t="s">
        <v>87</v>
      </c>
      <c r="E90" s="88" t="s">
        <v>908</v>
      </c>
      <c r="F90" s="88">
        <v>1</v>
      </c>
      <c r="G90" s="88" t="s">
        <v>558</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685</v>
      </c>
      <c r="C91" s="88" t="s">
        <v>240</v>
      </c>
      <c r="D91" s="88" t="s">
        <v>806</v>
      </c>
      <c r="E91" s="88" t="s">
        <v>909</v>
      </c>
      <c r="F91" s="88">
        <v>1</v>
      </c>
      <c r="G91" s="88" t="s">
        <v>558</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685</v>
      </c>
      <c r="C92" s="88" t="s">
        <v>240</v>
      </c>
      <c r="D92" s="88" t="s">
        <v>807</v>
      </c>
      <c r="E92" s="88" t="s">
        <v>910</v>
      </c>
      <c r="F92" s="88">
        <v>1</v>
      </c>
      <c r="G92" s="88" t="s">
        <v>558</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685</v>
      </c>
      <c r="C93" s="88" t="s">
        <v>240</v>
      </c>
      <c r="D93" s="88" t="s">
        <v>79</v>
      </c>
      <c r="E93" s="88" t="s">
        <v>911</v>
      </c>
      <c r="F93" s="88">
        <v>1</v>
      </c>
      <c r="G93" s="88" t="s">
        <v>558</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685</v>
      </c>
      <c r="C94" s="88" t="s">
        <v>240</v>
      </c>
      <c r="D94" s="88" t="s">
        <v>808</v>
      </c>
      <c r="E94" s="88" t="s">
        <v>912</v>
      </c>
      <c r="F94" s="88">
        <v>1</v>
      </c>
      <c r="G94" s="88" t="s">
        <v>558</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685</v>
      </c>
      <c r="C95" s="88" t="s">
        <v>240</v>
      </c>
      <c r="D95" s="88" t="s">
        <v>82</v>
      </c>
      <c r="E95" s="88" t="s">
        <v>944</v>
      </c>
      <c r="F95" s="88">
        <v>1</v>
      </c>
      <c r="G95" s="88" t="s">
        <v>557</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685</v>
      </c>
      <c r="C96" s="88" t="s">
        <v>240</v>
      </c>
      <c r="D96" s="88" t="s">
        <v>92</v>
      </c>
      <c r="E96" s="88" t="s">
        <v>940</v>
      </c>
      <c r="F96" s="88">
        <v>1</v>
      </c>
      <c r="G96" s="88" t="s">
        <v>557</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685</v>
      </c>
      <c r="C97" s="88" t="s">
        <v>240</v>
      </c>
      <c r="D97" s="88" t="s">
        <v>27</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727</v>
      </c>
      <c r="C98" s="88" t="s">
        <v>251</v>
      </c>
      <c r="D98" s="88" t="s">
        <v>36</v>
      </c>
      <c r="E98" s="88" t="s">
        <v>943</v>
      </c>
      <c r="F98" s="88">
        <v>1</v>
      </c>
      <c r="G98" s="88" t="s">
        <v>558</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727</v>
      </c>
      <c r="C99" s="88" t="s">
        <v>251</v>
      </c>
      <c r="D99" s="88" t="s">
        <v>87</v>
      </c>
      <c r="E99" s="88" t="s">
        <v>908</v>
      </c>
      <c r="F99" s="88">
        <v>1</v>
      </c>
      <c r="G99" s="88" t="s">
        <v>558</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727</v>
      </c>
      <c r="C100" s="88" t="s">
        <v>251</v>
      </c>
      <c r="D100" s="88" t="s">
        <v>806</v>
      </c>
      <c r="E100" s="88" t="s">
        <v>909</v>
      </c>
      <c r="F100" s="88">
        <v>1</v>
      </c>
      <c r="G100" s="88" t="s">
        <v>558</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727</v>
      </c>
      <c r="C101" s="88" t="s">
        <v>251</v>
      </c>
      <c r="D101" s="88" t="s">
        <v>807</v>
      </c>
      <c r="E101" s="88" t="s">
        <v>910</v>
      </c>
      <c r="F101" s="88">
        <v>1</v>
      </c>
      <c r="G101" s="88" t="s">
        <v>558</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727</v>
      </c>
      <c r="C102" s="88" t="s">
        <v>251</v>
      </c>
      <c r="D102" s="88" t="s">
        <v>79</v>
      </c>
      <c r="E102" s="88" t="s">
        <v>911</v>
      </c>
      <c r="F102" s="88">
        <v>1</v>
      </c>
      <c r="G102" s="88" t="s">
        <v>558</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727</v>
      </c>
      <c r="C103" s="88" t="s">
        <v>251</v>
      </c>
      <c r="D103" s="88" t="s">
        <v>808</v>
      </c>
      <c r="E103" s="88" t="s">
        <v>912</v>
      </c>
      <c r="F103" s="88">
        <v>1</v>
      </c>
      <c r="G103" s="88" t="s">
        <v>558</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727</v>
      </c>
      <c r="C104" s="88" t="s">
        <v>251</v>
      </c>
      <c r="D104" s="88" t="s">
        <v>82</v>
      </c>
      <c r="E104" s="88" t="s">
        <v>944</v>
      </c>
      <c r="F104" s="88">
        <v>1</v>
      </c>
      <c r="G104" s="88" t="s">
        <v>557</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727</v>
      </c>
      <c r="C105" s="88" t="s">
        <v>251</v>
      </c>
      <c r="D105" s="88" t="s">
        <v>92</v>
      </c>
      <c r="E105" s="88" t="s">
        <v>940</v>
      </c>
      <c r="F105" s="88">
        <v>1</v>
      </c>
      <c r="G105" s="88" t="s">
        <v>557</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727</v>
      </c>
      <c r="C106" s="88" t="s">
        <v>251</v>
      </c>
      <c r="D106" s="88" t="s">
        <v>27</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455</v>
      </c>
      <c r="C107" s="88" t="s">
        <v>252</v>
      </c>
      <c r="D107" s="88" t="s">
        <v>36</v>
      </c>
      <c r="E107" s="88" t="s">
        <v>943</v>
      </c>
      <c r="F107" s="88">
        <v>1</v>
      </c>
      <c r="G107" s="88" t="s">
        <v>558</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455</v>
      </c>
      <c r="C108" s="88" t="s">
        <v>252</v>
      </c>
      <c r="D108" s="88" t="s">
        <v>87</v>
      </c>
      <c r="E108" s="88" t="s">
        <v>908</v>
      </c>
      <c r="F108" s="88">
        <v>1</v>
      </c>
      <c r="G108" s="88" t="s">
        <v>558</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455</v>
      </c>
      <c r="C109" s="88" t="s">
        <v>252</v>
      </c>
      <c r="D109" s="88" t="s">
        <v>806</v>
      </c>
      <c r="E109" s="88" t="s">
        <v>909</v>
      </c>
      <c r="F109" s="88">
        <v>1</v>
      </c>
      <c r="G109" s="88" t="s">
        <v>558</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455</v>
      </c>
      <c r="C110" s="88" t="s">
        <v>252</v>
      </c>
      <c r="D110" s="88" t="s">
        <v>807</v>
      </c>
      <c r="E110" s="88" t="s">
        <v>910</v>
      </c>
      <c r="F110" s="88">
        <v>1</v>
      </c>
      <c r="G110" s="88" t="s">
        <v>558</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455</v>
      </c>
      <c r="C111" s="88" t="s">
        <v>252</v>
      </c>
      <c r="D111" s="88" t="s">
        <v>79</v>
      </c>
      <c r="E111" s="88" t="s">
        <v>911</v>
      </c>
      <c r="F111" s="88">
        <v>1</v>
      </c>
      <c r="G111" s="88" t="s">
        <v>558</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455</v>
      </c>
      <c r="C112" s="88" t="s">
        <v>252</v>
      </c>
      <c r="D112" s="88" t="s">
        <v>808</v>
      </c>
      <c r="E112" s="88" t="s">
        <v>912</v>
      </c>
      <c r="F112" s="88">
        <v>1</v>
      </c>
      <c r="G112" s="88" t="s">
        <v>558</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455</v>
      </c>
      <c r="C113" s="88" t="s">
        <v>252</v>
      </c>
      <c r="D113" s="88" t="s">
        <v>82</v>
      </c>
      <c r="E113" s="88" t="s">
        <v>944</v>
      </c>
      <c r="F113" s="88">
        <v>1</v>
      </c>
      <c r="G113" s="88" t="s">
        <v>557</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455</v>
      </c>
      <c r="C114" s="88" t="s">
        <v>252</v>
      </c>
      <c r="D114" s="88" t="s">
        <v>92</v>
      </c>
      <c r="E114" s="88" t="s">
        <v>914</v>
      </c>
      <c r="F114" s="88">
        <v>1</v>
      </c>
      <c r="G114" s="88" t="s">
        <v>557</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455</v>
      </c>
      <c r="C115" s="88" t="s">
        <v>252</v>
      </c>
      <c r="D115" s="88" t="s">
        <v>27</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459</v>
      </c>
      <c r="C116" s="88" t="s">
        <v>252</v>
      </c>
      <c r="D116" s="88" t="s">
        <v>36</v>
      </c>
      <c r="E116" s="88" t="s">
        <v>943</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459</v>
      </c>
      <c r="C117" s="88" t="s">
        <v>252</v>
      </c>
      <c r="D117" s="88" t="s">
        <v>87</v>
      </c>
      <c r="E117" s="88" t="s">
        <v>908</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459</v>
      </c>
      <c r="C118" s="88" t="s">
        <v>252</v>
      </c>
      <c r="D118" s="88" t="s">
        <v>806</v>
      </c>
      <c r="E118" s="88" t="s">
        <v>909</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459</v>
      </c>
      <c r="C119" s="88" t="s">
        <v>252</v>
      </c>
      <c r="D119" s="88" t="s">
        <v>807</v>
      </c>
      <c r="E119" s="88" t="s">
        <v>910</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459</v>
      </c>
      <c r="C120" s="88" t="s">
        <v>252</v>
      </c>
      <c r="D120" s="88" t="s">
        <v>79</v>
      </c>
      <c r="E120" s="88" t="s">
        <v>911</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459</v>
      </c>
      <c r="C121" s="88" t="s">
        <v>252</v>
      </c>
      <c r="D121" s="88" t="s">
        <v>808</v>
      </c>
      <c r="E121" s="88" t="s">
        <v>912</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459</v>
      </c>
      <c r="C122" s="88" t="s">
        <v>252</v>
      </c>
      <c r="D122" s="88" t="s">
        <v>82</v>
      </c>
      <c r="E122" s="88" t="s">
        <v>945</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459</v>
      </c>
      <c r="C123" s="88" t="s">
        <v>252</v>
      </c>
      <c r="D123" s="88" t="s">
        <v>92</v>
      </c>
      <c r="E123" s="88" t="s">
        <v>940</v>
      </c>
      <c r="F123" s="88">
        <v>1</v>
      </c>
      <c r="G123" s="88" t="s">
        <v>557</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459</v>
      </c>
      <c r="C124" s="88" t="s">
        <v>252</v>
      </c>
      <c r="D124" s="88" t="s">
        <v>27</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444</v>
      </c>
      <c r="C125" s="88" t="s">
        <v>252</v>
      </c>
      <c r="D125" s="88" t="s">
        <v>27</v>
      </c>
      <c r="E125" s="88" t="s">
        <v>942</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445</v>
      </c>
      <c r="C126" s="88" t="s">
        <v>252</v>
      </c>
      <c r="D126" s="88" t="s">
        <v>27</v>
      </c>
      <c r="E126" s="88" t="s">
        <v>942</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448</v>
      </c>
      <c r="C127" s="88" t="s">
        <v>252</v>
      </c>
      <c r="D127" s="88" t="s">
        <v>27</v>
      </c>
      <c r="E127" s="88" t="s">
        <v>942</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449</v>
      </c>
      <c r="C128" s="88" t="s">
        <v>252</v>
      </c>
      <c r="D128" s="88" t="s">
        <v>27</v>
      </c>
      <c r="E128" s="88" t="s">
        <v>942</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448</v>
      </c>
      <c r="C129" s="88" t="s">
        <v>252</v>
      </c>
      <c r="D129" s="88" t="s">
        <v>27</v>
      </c>
      <c r="E129" s="88" t="s">
        <v>942</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681</v>
      </c>
      <c r="C130" s="88" t="s">
        <v>240</v>
      </c>
      <c r="D130" s="88" t="s">
        <v>27</v>
      </c>
      <c r="E130" s="88" t="s">
        <v>942</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729</v>
      </c>
    </row>
    <row r="3" spans="1:8" ht="18.5" x14ac:dyDescent="0.45">
      <c r="A3" s="72" t="s">
        <v>730</v>
      </c>
    </row>
    <row r="5" spans="1:8" ht="18.5" x14ac:dyDescent="0.45">
      <c r="A5" s="72" t="s">
        <v>731</v>
      </c>
    </row>
    <row r="7" spans="1:8" ht="18.5" x14ac:dyDescent="0.45">
      <c r="A7" s="72" t="s">
        <v>732</v>
      </c>
    </row>
    <row r="8" spans="1:8" ht="18.5" x14ac:dyDescent="0.45">
      <c r="A8" s="72"/>
    </row>
    <row r="9" spans="1:8" ht="18.5" x14ac:dyDescent="0.45">
      <c r="A9" s="72" t="s">
        <v>733</v>
      </c>
    </row>
    <row r="10" spans="1:8" ht="18.5" x14ac:dyDescent="0.45">
      <c r="A10" s="72"/>
    </row>
    <row r="11" spans="1:8" ht="18.5" x14ac:dyDescent="0.45">
      <c r="A11" s="72" t="s">
        <v>734</v>
      </c>
    </row>
    <row r="12" spans="1:8" ht="18.5" x14ac:dyDescent="0.45">
      <c r="A12" s="72"/>
    </row>
    <row r="13" spans="1:8" ht="18.5" x14ac:dyDescent="0.45">
      <c r="A13" s="72" t="s">
        <v>735</v>
      </c>
    </row>
    <row r="14" spans="1:8" ht="18.5" x14ac:dyDescent="0.45">
      <c r="A14" s="72"/>
    </row>
    <row r="16" spans="1:8" ht="16" x14ac:dyDescent="0.4">
      <c r="A16" s="81" t="s">
        <v>736</v>
      </c>
      <c r="H16" s="81" t="s">
        <v>737</v>
      </c>
    </row>
    <row r="17" spans="1:12" ht="18.5" x14ac:dyDescent="0.45">
      <c r="A17" s="72"/>
      <c r="H17" s="72"/>
    </row>
    <row r="18" spans="1:12" ht="16" x14ac:dyDescent="0.4">
      <c r="A18" s="307" t="s">
        <v>738</v>
      </c>
      <c r="B18" s="62" t="s">
        <v>486</v>
      </c>
      <c r="C18" s="62" t="s">
        <v>154</v>
      </c>
      <c r="H18" s="307" t="s">
        <v>738</v>
      </c>
      <c r="I18" s="62" t="s">
        <v>486</v>
      </c>
      <c r="J18" s="62" t="s">
        <v>154</v>
      </c>
    </row>
    <row r="19" spans="1:12" x14ac:dyDescent="0.35">
      <c r="A19" s="1" t="s">
        <v>739</v>
      </c>
      <c r="B19" s="96">
        <v>4.5863800000000003E-2</v>
      </c>
      <c r="C19" s="1" t="s">
        <v>740</v>
      </c>
      <c r="H19" s="1" t="s">
        <v>741</v>
      </c>
      <c r="I19" s="96">
        <v>-2.2165834196891199E-5</v>
      </c>
      <c r="J19" s="1" t="s">
        <v>740</v>
      </c>
    </row>
    <row r="20" spans="1:12" x14ac:dyDescent="0.35">
      <c r="A20" s="1" t="s">
        <v>742</v>
      </c>
      <c r="B20" s="96">
        <v>3.1800000000000002E-7</v>
      </c>
      <c r="C20" s="1" t="s">
        <v>743</v>
      </c>
      <c r="H20" s="1" t="s">
        <v>744</v>
      </c>
      <c r="I20" s="96">
        <v>3.6646053999999997E-2</v>
      </c>
      <c r="J20" s="1" t="s">
        <v>740</v>
      </c>
    </row>
    <row r="21" spans="1:12" x14ac:dyDescent="0.35">
      <c r="A21" s="1" t="s">
        <v>745</v>
      </c>
      <c r="B21" s="96">
        <v>3.1800000000000002E-7</v>
      </c>
      <c r="C21" s="1" t="s">
        <v>743</v>
      </c>
      <c r="H21" s="1" t="s">
        <v>746</v>
      </c>
      <c r="I21" s="96">
        <v>3.2000000000000001E-7</v>
      </c>
      <c r="J21" s="1" t="s">
        <v>743</v>
      </c>
    </row>
    <row r="22" spans="1:12" x14ac:dyDescent="0.35">
      <c r="A22" s="1" t="s">
        <v>747</v>
      </c>
      <c r="B22" s="96">
        <v>1.99E-3</v>
      </c>
      <c r="C22" s="1" t="s">
        <v>748</v>
      </c>
      <c r="H22" s="1" t="s">
        <v>749</v>
      </c>
      <c r="I22" s="96">
        <v>3.2000000000000001E-7</v>
      </c>
      <c r="J22" s="1" t="s">
        <v>743</v>
      </c>
    </row>
    <row r="23" spans="1:12" x14ac:dyDescent="0.35">
      <c r="A23" s="1" t="s">
        <v>750</v>
      </c>
      <c r="B23" s="96">
        <v>3.1800000000000002E-7</v>
      </c>
      <c r="C23" s="1" t="s">
        <v>748</v>
      </c>
      <c r="H23" s="1" t="s">
        <v>751</v>
      </c>
      <c r="I23" s="96">
        <v>1.0499999999999999E-3</v>
      </c>
      <c r="J23" s="1" t="s">
        <v>748</v>
      </c>
    </row>
    <row r="24" spans="1:12" x14ac:dyDescent="0.35">
      <c r="H24" s="1" t="s">
        <v>752</v>
      </c>
      <c r="I24" s="96">
        <v>2.2318502041788099E-4</v>
      </c>
      <c r="J24" s="1" t="s">
        <v>748</v>
      </c>
    </row>
    <row r="25" spans="1:12" x14ac:dyDescent="0.35">
      <c r="H25" s="1" t="s">
        <v>753</v>
      </c>
      <c r="I25" s="96">
        <v>-1.9084974093264199E-5</v>
      </c>
      <c r="J25" s="1" t="s">
        <v>740</v>
      </c>
    </row>
    <row r="26" spans="1:12" x14ac:dyDescent="0.35">
      <c r="H26" s="1" t="s">
        <v>754</v>
      </c>
      <c r="I26" s="96">
        <v>-2.1961352331606199E-4</v>
      </c>
      <c r="J26" s="1" t="s">
        <v>740</v>
      </c>
    </row>
    <row r="29" spans="1:12" ht="16" x14ac:dyDescent="0.4">
      <c r="A29" s="307" t="s">
        <v>755</v>
      </c>
      <c r="B29" s="62" t="s">
        <v>486</v>
      </c>
      <c r="C29" s="62" t="s">
        <v>154</v>
      </c>
      <c r="D29" s="62" t="s">
        <v>756</v>
      </c>
      <c r="E29" s="62" t="s">
        <v>757</v>
      </c>
      <c r="H29" s="307" t="s">
        <v>755</v>
      </c>
      <c r="I29" s="62" t="s">
        <v>486</v>
      </c>
      <c r="J29" s="62" t="s">
        <v>154</v>
      </c>
      <c r="K29" s="62" t="s">
        <v>756</v>
      </c>
      <c r="L29" s="62" t="s">
        <v>757</v>
      </c>
    </row>
    <row r="30" spans="1:12" x14ac:dyDescent="0.35">
      <c r="A30" s="1" t="s">
        <v>758</v>
      </c>
      <c r="B30" s="96">
        <v>3.9387999999999998E-7</v>
      </c>
      <c r="C30" s="1" t="s">
        <v>740</v>
      </c>
      <c r="D30" s="1" t="s">
        <v>759</v>
      </c>
      <c r="E30" s="154">
        <f>B30/$B$19</f>
        <v>8.5880367522970181E-6</v>
      </c>
      <c r="H30" s="1" t="s">
        <v>760</v>
      </c>
      <c r="I30" s="96">
        <v>1.50635E-7</v>
      </c>
      <c r="J30" s="1" t="s">
        <v>740</v>
      </c>
      <c r="K30" s="1" t="s">
        <v>759</v>
      </c>
      <c r="L30" s="154">
        <f>I30/$I$20</f>
        <v>4.1105380677548529E-6</v>
      </c>
    </row>
    <row r="31" spans="1:12" x14ac:dyDescent="0.35">
      <c r="A31" s="1" t="s">
        <v>761</v>
      </c>
      <c r="B31" s="96">
        <v>8.6000000000000002E-7</v>
      </c>
      <c r="C31" s="1" t="s">
        <v>740</v>
      </c>
      <c r="D31" s="1" t="s">
        <v>759</v>
      </c>
      <c r="E31" s="154">
        <f t="shared" ref="E31:E62" si="0">B31/$B$19</f>
        <v>1.8751171948246766E-5</v>
      </c>
      <c r="H31" s="1" t="s">
        <v>762</v>
      </c>
      <c r="I31" s="96">
        <v>5.8342299999999997E-8</v>
      </c>
      <c r="J31" s="1" t="s">
        <v>740</v>
      </c>
      <c r="K31" s="1" t="s">
        <v>759</v>
      </c>
      <c r="L31" s="154">
        <f t="shared" ref="L31:L63" si="1">I31/$I$20</f>
        <v>1.5920486282097385E-6</v>
      </c>
    </row>
    <row r="32" spans="1:12" x14ac:dyDescent="0.35">
      <c r="A32" s="1" t="s">
        <v>763</v>
      </c>
      <c r="B32" s="96">
        <v>2.002424E-7</v>
      </c>
      <c r="C32" s="1" t="s">
        <v>740</v>
      </c>
      <c r="D32" s="1" t="s">
        <v>759</v>
      </c>
      <c r="E32" s="154">
        <f t="shared" si="0"/>
        <v>4.3660228764297767E-6</v>
      </c>
      <c r="H32" s="1" t="s">
        <v>761</v>
      </c>
      <c r="I32" s="96">
        <v>5.1845699999999997E-7</v>
      </c>
      <c r="J32" s="1" t="s">
        <v>740</v>
      </c>
      <c r="K32" s="1" t="s">
        <v>759</v>
      </c>
      <c r="L32" s="154">
        <f t="shared" si="1"/>
        <v>1.4147689680313194E-5</v>
      </c>
    </row>
    <row r="33" spans="1:12" x14ac:dyDescent="0.35">
      <c r="A33" s="1" t="s">
        <v>764</v>
      </c>
      <c r="B33" s="96">
        <v>7.2411999999999998E-10</v>
      </c>
      <c r="C33" s="1" t="s">
        <v>740</v>
      </c>
      <c r="D33" s="1" t="s">
        <v>759</v>
      </c>
      <c r="E33" s="154">
        <f t="shared" si="0"/>
        <v>1.5788486780423773E-8</v>
      </c>
      <c r="H33" s="1" t="s">
        <v>765</v>
      </c>
      <c r="I33" s="96">
        <v>3.6646099999999997E-12</v>
      </c>
      <c r="J33" s="1" t="s">
        <v>740</v>
      </c>
      <c r="K33" s="1" t="s">
        <v>759</v>
      </c>
      <c r="L33" s="154">
        <f t="shared" si="1"/>
        <v>1.0000012552511111E-10</v>
      </c>
    </row>
    <row r="34" spans="1:12" x14ac:dyDescent="0.35">
      <c r="A34" s="1" t="s">
        <v>766</v>
      </c>
      <c r="B34" s="96">
        <v>6.8270240000000001E-3</v>
      </c>
      <c r="C34" s="1" t="s">
        <v>740</v>
      </c>
      <c r="D34" s="1" t="s">
        <v>759</v>
      </c>
      <c r="E34" s="154">
        <f t="shared" si="0"/>
        <v>0.14885430339396211</v>
      </c>
      <c r="H34" s="1" t="s">
        <v>767</v>
      </c>
      <c r="I34" s="96">
        <v>4.5157599999999998E-8</v>
      </c>
      <c r="J34" s="1" t="s">
        <v>740</v>
      </c>
      <c r="K34" s="1" t="s">
        <v>759</v>
      </c>
      <c r="L34" s="154">
        <f t="shared" si="1"/>
        <v>1.2322636429013613E-6</v>
      </c>
    </row>
    <row r="35" spans="1:12" x14ac:dyDescent="0.35">
      <c r="A35" s="1" t="s">
        <v>768</v>
      </c>
      <c r="B35" s="96">
        <v>0.12288712</v>
      </c>
      <c r="C35" s="1" t="s">
        <v>740</v>
      </c>
      <c r="D35" s="1" t="s">
        <v>759</v>
      </c>
      <c r="E35" s="154">
        <f t="shared" si="0"/>
        <v>2.6793924620288765</v>
      </c>
      <c r="H35" s="1" t="s">
        <v>763</v>
      </c>
      <c r="I35" s="96">
        <v>2.3073199999999998E-9</v>
      </c>
      <c r="J35" s="1" t="s">
        <v>740</v>
      </c>
      <c r="K35" s="1" t="s">
        <v>759</v>
      </c>
      <c r="L35" s="154">
        <f t="shared" si="1"/>
        <v>6.2962304208796939E-8</v>
      </c>
    </row>
    <row r="36" spans="1:12" x14ac:dyDescent="0.35">
      <c r="A36" s="1" t="s">
        <v>769</v>
      </c>
      <c r="B36" s="96">
        <v>8.5886480000000007E-6</v>
      </c>
      <c r="C36" s="1" t="s">
        <v>740</v>
      </c>
      <c r="D36" s="1" t="s">
        <v>759</v>
      </c>
      <c r="E36" s="154">
        <f t="shared" si="0"/>
        <v>1.8726420401275079E-4</v>
      </c>
      <c r="H36" s="1" t="s">
        <v>770</v>
      </c>
      <c r="I36" s="96">
        <v>4.9442599999999996E-9</v>
      </c>
      <c r="J36" s="1" t="s">
        <v>740</v>
      </c>
      <c r="K36" s="1" t="s">
        <v>759</v>
      </c>
      <c r="L36" s="154">
        <f t="shared" si="1"/>
        <v>1.3491930127047239E-7</v>
      </c>
    </row>
    <row r="37" spans="1:12" x14ac:dyDescent="0.35">
      <c r="A37" s="1" t="s">
        <v>771</v>
      </c>
      <c r="B37" s="96">
        <v>1.5459531999999999E-4</v>
      </c>
      <c r="C37" s="1" t="s">
        <v>740</v>
      </c>
      <c r="D37" s="1" t="s">
        <v>759</v>
      </c>
      <c r="E37" s="154">
        <f t="shared" si="0"/>
        <v>3.3707481717607343E-3</v>
      </c>
      <c r="H37" s="1" t="s">
        <v>764</v>
      </c>
      <c r="I37" s="96">
        <v>3.18821E-10</v>
      </c>
      <c r="J37" s="1" t="s">
        <v>740</v>
      </c>
      <c r="K37" s="1" t="s">
        <v>759</v>
      </c>
      <c r="L37" s="154">
        <f t="shared" si="1"/>
        <v>8.7000090105199322E-9</v>
      </c>
    </row>
    <row r="38" spans="1:12" x14ac:dyDescent="0.35">
      <c r="A38" s="1" t="s">
        <v>772</v>
      </c>
      <c r="B38" s="96">
        <v>6.5188000000000003E-9</v>
      </c>
      <c r="C38" s="1" t="s">
        <v>740</v>
      </c>
      <c r="D38" s="1" t="s">
        <v>759</v>
      </c>
      <c r="E38" s="154">
        <f t="shared" si="0"/>
        <v>1.4213388336771047E-7</v>
      </c>
      <c r="H38" s="1" t="s">
        <v>766</v>
      </c>
      <c r="I38" s="96">
        <v>0.114797235</v>
      </c>
      <c r="J38" s="1" t="s">
        <v>740</v>
      </c>
      <c r="K38" s="1" t="s">
        <v>759</v>
      </c>
      <c r="L38" s="154">
        <f t="shared" si="1"/>
        <v>3.1325947126531006</v>
      </c>
    </row>
    <row r="39" spans="1:12" x14ac:dyDescent="0.35">
      <c r="A39" s="1" t="s">
        <v>773</v>
      </c>
      <c r="B39" s="96">
        <v>1.0853200000000001E-8</v>
      </c>
      <c r="C39" s="1" t="s">
        <v>740</v>
      </c>
      <c r="D39" s="1" t="s">
        <v>759</v>
      </c>
      <c r="E39" s="154">
        <f t="shared" si="0"/>
        <v>2.3663978998687418E-7</v>
      </c>
      <c r="H39" s="1" t="s">
        <v>769</v>
      </c>
      <c r="I39" s="96">
        <v>1.12649E-4</v>
      </c>
      <c r="J39" s="1" t="s">
        <v>740</v>
      </c>
      <c r="K39" s="1" t="s">
        <v>759</v>
      </c>
      <c r="L39" s="154">
        <f t="shared" si="1"/>
        <v>3.0739735306835494E-3</v>
      </c>
    </row>
    <row r="40" spans="1:12" x14ac:dyDescent="0.35">
      <c r="A40" s="1" t="s">
        <v>774</v>
      </c>
      <c r="B40" s="96">
        <v>1.2106220000000001E-6</v>
      </c>
      <c r="C40" s="1" t="s">
        <v>740</v>
      </c>
      <c r="D40" s="1" t="s">
        <v>759</v>
      </c>
      <c r="E40" s="154">
        <f t="shared" si="0"/>
        <v>2.6396024751546972E-5</v>
      </c>
      <c r="H40" s="1" t="s">
        <v>772</v>
      </c>
      <c r="I40" s="96">
        <v>1.09938E-9</v>
      </c>
      <c r="J40" s="1" t="s">
        <v>740</v>
      </c>
      <c r="K40" s="1" t="s">
        <v>759</v>
      </c>
      <c r="L40" s="154">
        <f t="shared" si="1"/>
        <v>2.9999955793330436E-8</v>
      </c>
    </row>
    <row r="41" spans="1:12" x14ac:dyDescent="0.35">
      <c r="A41" s="1" t="s">
        <v>775</v>
      </c>
      <c r="B41" s="96">
        <v>3.6119999999999999E-9</v>
      </c>
      <c r="C41" s="1" t="s">
        <v>740</v>
      </c>
      <c r="D41" s="1" t="s">
        <v>759</v>
      </c>
      <c r="E41" s="154">
        <f t="shared" si="0"/>
        <v>7.8754922182636411E-8</v>
      </c>
      <c r="H41" s="1" t="s">
        <v>776</v>
      </c>
      <c r="I41" s="96">
        <v>2.1987599999999998E-12</v>
      </c>
      <c r="J41" s="1" t="s">
        <v>740</v>
      </c>
      <c r="K41" s="1" t="s">
        <v>759</v>
      </c>
      <c r="L41" s="154">
        <f t="shared" si="1"/>
        <v>5.9999911586660873E-11</v>
      </c>
    </row>
    <row r="42" spans="1:12" x14ac:dyDescent="0.35">
      <c r="A42" s="1" t="s">
        <v>777</v>
      </c>
      <c r="B42" s="96">
        <v>3.64554E-8</v>
      </c>
      <c r="C42" s="1" t="s">
        <v>740</v>
      </c>
      <c r="D42" s="1" t="s">
        <v>759</v>
      </c>
      <c r="E42" s="154">
        <f t="shared" si="0"/>
        <v>7.9486217888618029E-7</v>
      </c>
      <c r="H42" s="1" t="s">
        <v>773</v>
      </c>
      <c r="I42" s="96">
        <v>7.7689600000000004E-10</v>
      </c>
      <c r="J42" s="1" t="s">
        <v>740</v>
      </c>
      <c r="K42" s="1" t="s">
        <v>759</v>
      </c>
      <c r="L42" s="154">
        <f t="shared" si="1"/>
        <v>2.1199990591074283E-8</v>
      </c>
    </row>
    <row r="43" spans="1:12" x14ac:dyDescent="0.35">
      <c r="A43" s="1" t="s">
        <v>778</v>
      </c>
      <c r="B43" s="96">
        <v>6.5619719999999997E-7</v>
      </c>
      <c r="C43" s="1" t="s">
        <v>740</v>
      </c>
      <c r="D43" s="1" t="s">
        <v>759</v>
      </c>
      <c r="E43" s="154">
        <f t="shared" si="0"/>
        <v>1.4307519219951244E-5</v>
      </c>
      <c r="H43" s="1" t="s">
        <v>774</v>
      </c>
      <c r="I43" s="96">
        <v>6.1386900000000003E-6</v>
      </c>
      <c r="J43" s="1" t="s">
        <v>740</v>
      </c>
      <c r="K43" s="1" t="s">
        <v>759</v>
      </c>
      <c r="L43" s="154">
        <f t="shared" si="1"/>
        <v>1.6751298789222983E-4</v>
      </c>
    </row>
    <row r="44" spans="1:12" x14ac:dyDescent="0.35">
      <c r="A44" s="1" t="s">
        <v>779</v>
      </c>
      <c r="B44" s="96">
        <v>2.7980959999999999E-5</v>
      </c>
      <c r="C44" s="1" t="s">
        <v>740</v>
      </c>
      <c r="D44" s="1" t="s">
        <v>759</v>
      </c>
      <c r="E44" s="154">
        <f t="shared" si="0"/>
        <v>6.1008813050815675E-4</v>
      </c>
      <c r="H44" s="1" t="s">
        <v>780</v>
      </c>
      <c r="I44" s="96">
        <v>9.8885199999999997E-10</v>
      </c>
      <c r="J44" s="1" t="s">
        <v>740</v>
      </c>
      <c r="K44" s="1" t="s">
        <v>759</v>
      </c>
      <c r="L44" s="154">
        <f t="shared" si="1"/>
        <v>2.6983860254094479E-8</v>
      </c>
    </row>
    <row r="45" spans="1:12" x14ac:dyDescent="0.35">
      <c r="A45" s="1" t="s">
        <v>781</v>
      </c>
      <c r="B45" s="96">
        <v>5.7964000000000004E-9</v>
      </c>
      <c r="C45" s="1" t="s">
        <v>740</v>
      </c>
      <c r="D45" s="1" t="s">
        <v>759</v>
      </c>
      <c r="E45" s="154">
        <f t="shared" si="0"/>
        <v>1.2638289893118321E-7</v>
      </c>
      <c r="H45" s="1" t="s">
        <v>782</v>
      </c>
      <c r="I45" s="96">
        <v>2.76879E-7</v>
      </c>
      <c r="J45" s="1" t="s">
        <v>740</v>
      </c>
      <c r="K45" s="1" t="s">
        <v>759</v>
      </c>
      <c r="L45" s="154">
        <f t="shared" si="1"/>
        <v>7.5554928778962128E-6</v>
      </c>
    </row>
    <row r="46" spans="1:12" x14ac:dyDescent="0.35">
      <c r="A46" s="1" t="s">
        <v>783</v>
      </c>
      <c r="B46" s="96">
        <v>1.2026928000000001E-3</v>
      </c>
      <c r="C46" s="1" t="s">
        <v>740</v>
      </c>
      <c r="D46" s="1" t="s">
        <v>759</v>
      </c>
      <c r="E46" s="154">
        <f t="shared" si="0"/>
        <v>2.6223138946184135E-2</v>
      </c>
      <c r="H46" s="1" t="s">
        <v>784</v>
      </c>
      <c r="I46" s="96">
        <v>9.8885199999999993E-9</v>
      </c>
      <c r="J46" s="1" t="s">
        <v>740</v>
      </c>
      <c r="K46" s="1" t="s">
        <v>759</v>
      </c>
      <c r="L46" s="154">
        <f t="shared" si="1"/>
        <v>2.6983860254094478E-7</v>
      </c>
    </row>
    <row r="47" spans="1:12" x14ac:dyDescent="0.35">
      <c r="A47" s="1" t="s">
        <v>785</v>
      </c>
      <c r="B47" s="96">
        <v>2.3039399999999998E-5</v>
      </c>
      <c r="C47" s="1" t="s">
        <v>740</v>
      </c>
      <c r="D47" s="1" t="s">
        <v>759</v>
      </c>
      <c r="E47" s="154">
        <f t="shared" si="0"/>
        <v>5.0234389649353082E-4</v>
      </c>
      <c r="H47" s="1" t="s">
        <v>775</v>
      </c>
      <c r="I47" s="96">
        <v>1.9092600000000001E-9</v>
      </c>
      <c r="J47" s="1" t="s">
        <v>740</v>
      </c>
      <c r="K47" s="1" t="s">
        <v>759</v>
      </c>
      <c r="L47" s="154">
        <f t="shared" si="1"/>
        <v>5.2100016007180479E-8</v>
      </c>
    </row>
    <row r="48" spans="1:12" x14ac:dyDescent="0.35">
      <c r="A48" s="1" t="s">
        <v>786</v>
      </c>
      <c r="B48" s="96">
        <v>7.3607400000000003E-5</v>
      </c>
      <c r="C48" s="1" t="s">
        <v>740</v>
      </c>
      <c r="D48" s="1" t="s">
        <v>759</v>
      </c>
      <c r="E48" s="154">
        <f t="shared" si="0"/>
        <v>1.6049128070504406E-3</v>
      </c>
      <c r="H48" s="1" t="s">
        <v>787</v>
      </c>
      <c r="I48" s="96">
        <v>1.9422400000000001E-10</v>
      </c>
      <c r="J48" s="1" t="s">
        <v>740</v>
      </c>
      <c r="K48" s="1" t="s">
        <v>759</v>
      </c>
      <c r="L48" s="154">
        <f t="shared" si="1"/>
        <v>5.2999976477685707E-9</v>
      </c>
    </row>
    <row r="49" spans="1:12" x14ac:dyDescent="0.35">
      <c r="A49" s="1" t="s">
        <v>788</v>
      </c>
      <c r="B49" s="96">
        <v>1.3669184000000001E-5</v>
      </c>
      <c r="C49" s="1" t="s">
        <v>740</v>
      </c>
      <c r="D49" s="1" t="s">
        <v>759</v>
      </c>
      <c r="E49" s="154">
        <f t="shared" si="0"/>
        <v>2.9803862741421339E-4</v>
      </c>
      <c r="H49" s="1" t="s">
        <v>777</v>
      </c>
      <c r="I49" s="96">
        <v>8.1053500000000005E-8</v>
      </c>
      <c r="J49" s="1" t="s">
        <v>740</v>
      </c>
      <c r="K49" s="1" t="s">
        <v>759</v>
      </c>
      <c r="L49" s="154">
        <f t="shared" si="1"/>
        <v>2.2117933898149035E-6</v>
      </c>
    </row>
    <row r="50" spans="1:12" x14ac:dyDescent="0.35">
      <c r="A50" s="1" t="s">
        <v>789</v>
      </c>
      <c r="B50" s="96">
        <v>5.8136000000000001E-7</v>
      </c>
      <c r="C50" s="1" t="s">
        <v>740</v>
      </c>
      <c r="D50" s="1" t="s">
        <v>759</v>
      </c>
      <c r="E50" s="154">
        <f t="shared" si="0"/>
        <v>1.2675792237014812E-5</v>
      </c>
      <c r="H50" s="1" t="s">
        <v>779</v>
      </c>
      <c r="I50" s="96">
        <v>2.6774800000000001E-6</v>
      </c>
      <c r="J50" s="1" t="s">
        <v>740</v>
      </c>
      <c r="K50" s="1" t="s">
        <v>759</v>
      </c>
      <c r="L50" s="154">
        <f t="shared" si="1"/>
        <v>7.3063255323479036E-5</v>
      </c>
    </row>
    <row r="51" spans="1:12" x14ac:dyDescent="0.35">
      <c r="A51" s="1" t="s">
        <v>764</v>
      </c>
      <c r="B51" s="96">
        <v>1.7888000000000001E-9</v>
      </c>
      <c r="C51" s="1" t="s">
        <v>740</v>
      </c>
      <c r="D51" s="1" t="s">
        <v>790</v>
      </c>
      <c r="E51" s="154">
        <f t="shared" si="0"/>
        <v>3.9002437652353268E-8</v>
      </c>
      <c r="H51" s="1" t="s">
        <v>781</v>
      </c>
      <c r="I51" s="96">
        <v>3.22485E-10</v>
      </c>
      <c r="J51" s="1" t="s">
        <v>740</v>
      </c>
      <c r="K51" s="1" t="s">
        <v>759</v>
      </c>
      <c r="L51" s="154">
        <f t="shared" si="1"/>
        <v>8.7999924903237887E-9</v>
      </c>
    </row>
    <row r="52" spans="1:12" x14ac:dyDescent="0.35">
      <c r="A52" s="1" t="s">
        <v>772</v>
      </c>
      <c r="B52" s="96">
        <v>1.6099200000000002E-8</v>
      </c>
      <c r="C52" s="1" t="s">
        <v>740</v>
      </c>
      <c r="D52" s="1" t="s">
        <v>790</v>
      </c>
      <c r="E52" s="154">
        <f t="shared" si="0"/>
        <v>3.5102193887117944E-7</v>
      </c>
      <c r="H52" s="1" t="s">
        <v>783</v>
      </c>
      <c r="I52" s="96">
        <v>5.2243200000000002E-5</v>
      </c>
      <c r="J52" s="1" t="s">
        <v>740</v>
      </c>
      <c r="K52" s="1" t="s">
        <v>759</v>
      </c>
      <c r="L52" s="154">
        <f t="shared" si="1"/>
        <v>1.425615974915062E-3</v>
      </c>
    </row>
    <row r="53" spans="1:12" x14ac:dyDescent="0.35">
      <c r="A53" s="1" t="s">
        <v>773</v>
      </c>
      <c r="B53" s="96">
        <v>2.6832000000000002E-8</v>
      </c>
      <c r="C53" s="1" t="s">
        <v>740</v>
      </c>
      <c r="D53" s="1" t="s">
        <v>790</v>
      </c>
      <c r="E53" s="154">
        <f t="shared" si="0"/>
        <v>5.8503656478529905E-7</v>
      </c>
      <c r="H53" s="1" t="s">
        <v>791</v>
      </c>
      <c r="I53" s="96">
        <v>2.8657199999999999E-9</v>
      </c>
      <c r="J53" s="1" t="s">
        <v>740</v>
      </c>
      <c r="K53" s="1" t="s">
        <v>759</v>
      </c>
      <c r="L53" s="154">
        <f t="shared" si="1"/>
        <v>7.8199961174537375E-8</v>
      </c>
    </row>
    <row r="54" spans="1:12" x14ac:dyDescent="0.35">
      <c r="A54" s="1" t="s">
        <v>775</v>
      </c>
      <c r="B54" s="96">
        <v>8.9440000000000005E-9</v>
      </c>
      <c r="C54" s="1" t="s">
        <v>740</v>
      </c>
      <c r="D54" s="1" t="s">
        <v>790</v>
      </c>
      <c r="E54" s="154">
        <f t="shared" si="0"/>
        <v>1.9501218826176637E-7</v>
      </c>
      <c r="H54" s="1" t="s">
        <v>785</v>
      </c>
      <c r="I54" s="96">
        <v>4.9409999999999996E-7</v>
      </c>
      <c r="J54" s="1" t="s">
        <v>740</v>
      </c>
      <c r="K54" s="1" t="s">
        <v>759</v>
      </c>
      <c r="L54" s="154">
        <f t="shared" si="1"/>
        <v>1.348303421699919E-5</v>
      </c>
    </row>
    <row r="55" spans="1:12" x14ac:dyDescent="0.35">
      <c r="A55" s="1" t="s">
        <v>781</v>
      </c>
      <c r="B55" s="96">
        <v>1.4310400000000001E-8</v>
      </c>
      <c r="C55" s="1" t="s">
        <v>740</v>
      </c>
      <c r="D55" s="1" t="s">
        <v>790</v>
      </c>
      <c r="E55" s="154">
        <f t="shared" si="0"/>
        <v>3.1201950121882614E-7</v>
      </c>
      <c r="H55" s="1" t="s">
        <v>792</v>
      </c>
      <c r="I55" s="96">
        <v>1.9776999999999999E-9</v>
      </c>
      <c r="J55" s="1" t="s">
        <v>740</v>
      </c>
      <c r="K55" s="1" t="s">
        <v>759</v>
      </c>
      <c r="L55" s="154">
        <f t="shared" si="1"/>
        <v>5.3967611355918429E-8</v>
      </c>
    </row>
    <row r="56" spans="1:12" x14ac:dyDescent="0.35">
      <c r="A56" s="1" t="s">
        <v>789</v>
      </c>
      <c r="B56" s="96">
        <v>1.4361999999999999E-6</v>
      </c>
      <c r="C56" s="1" t="s">
        <v>740</v>
      </c>
      <c r="D56" s="1" t="s">
        <v>790</v>
      </c>
      <c r="E56" s="154">
        <f t="shared" si="0"/>
        <v>3.1314457153572097E-5</v>
      </c>
      <c r="H56" s="1" t="s">
        <v>793</v>
      </c>
      <c r="I56" s="96">
        <v>3.2961699999999998E-9</v>
      </c>
      <c r="J56" s="1" t="s">
        <v>740</v>
      </c>
      <c r="K56" s="1" t="s">
        <v>759</v>
      </c>
      <c r="L56" s="154">
        <f t="shared" si="1"/>
        <v>8.9946109886756161E-8</v>
      </c>
    </row>
    <row r="57" spans="1:12" x14ac:dyDescent="0.35">
      <c r="A57" s="1" t="s">
        <v>764</v>
      </c>
      <c r="B57" s="96">
        <v>1.7888000000000001E-9</v>
      </c>
      <c r="C57" s="1" t="s">
        <v>740</v>
      </c>
      <c r="D57" s="1" t="s">
        <v>794</v>
      </c>
      <c r="E57" s="154">
        <f t="shared" si="0"/>
        <v>3.9002437652353268E-8</v>
      </c>
      <c r="H57" s="1" t="s">
        <v>795</v>
      </c>
      <c r="I57" s="96">
        <v>3.6646099999999997E-12</v>
      </c>
      <c r="J57" s="1" t="s">
        <v>740</v>
      </c>
      <c r="K57" s="1" t="s">
        <v>759</v>
      </c>
      <c r="L57" s="154">
        <f t="shared" si="1"/>
        <v>1.0000012552511111E-10</v>
      </c>
    </row>
    <row r="58" spans="1:12" x14ac:dyDescent="0.35">
      <c r="A58" s="1" t="s">
        <v>772</v>
      </c>
      <c r="B58" s="96">
        <v>1.6099200000000002E-8</v>
      </c>
      <c r="C58" s="1" t="s">
        <v>740</v>
      </c>
      <c r="D58" s="1" t="s">
        <v>794</v>
      </c>
      <c r="E58" s="154">
        <f t="shared" si="0"/>
        <v>3.5102193887117944E-7</v>
      </c>
      <c r="H58" s="1" t="s">
        <v>796</v>
      </c>
      <c r="I58" s="96">
        <v>1.8458600000000002E-8</v>
      </c>
      <c r="J58" s="1" t="s">
        <v>740</v>
      </c>
      <c r="K58" s="1" t="s">
        <v>759</v>
      </c>
      <c r="L58" s="154">
        <f t="shared" si="1"/>
        <v>5.0369952519308086E-7</v>
      </c>
    </row>
    <row r="59" spans="1:12" x14ac:dyDescent="0.35">
      <c r="A59" s="1" t="s">
        <v>773</v>
      </c>
      <c r="B59" s="96">
        <v>2.6832000000000002E-8</v>
      </c>
      <c r="C59" s="1" t="s">
        <v>740</v>
      </c>
      <c r="D59" s="1" t="s">
        <v>794</v>
      </c>
      <c r="E59" s="154">
        <f t="shared" si="0"/>
        <v>5.8503656478529905E-7</v>
      </c>
      <c r="H59" s="1" t="s">
        <v>797</v>
      </c>
      <c r="I59" s="96">
        <v>5.6666799999999998E-7</v>
      </c>
      <c r="J59" s="1" t="s">
        <v>740</v>
      </c>
      <c r="K59" s="1" t="s">
        <v>759</v>
      </c>
      <c r="L59" s="154">
        <f t="shared" si="1"/>
        <v>1.5463274708922277E-5</v>
      </c>
    </row>
    <row r="60" spans="1:12" x14ac:dyDescent="0.35">
      <c r="A60" s="1" t="s">
        <v>775</v>
      </c>
      <c r="B60" s="96">
        <v>8.9440000000000005E-9</v>
      </c>
      <c r="C60" s="1" t="s">
        <v>740</v>
      </c>
      <c r="D60" s="1" t="s">
        <v>794</v>
      </c>
      <c r="E60" s="154">
        <f t="shared" si="0"/>
        <v>1.9501218826176637E-7</v>
      </c>
      <c r="H60" s="1" t="s">
        <v>798</v>
      </c>
      <c r="I60" s="96">
        <v>3.2961700000000002E-10</v>
      </c>
      <c r="J60" s="1" t="s">
        <v>740</v>
      </c>
      <c r="K60" s="1" t="s">
        <v>759</v>
      </c>
      <c r="L60" s="154">
        <f t="shared" si="1"/>
        <v>8.9946109886756167E-9</v>
      </c>
    </row>
    <row r="61" spans="1:12" x14ac:dyDescent="0.35">
      <c r="A61" s="1" t="s">
        <v>781</v>
      </c>
      <c r="B61" s="96">
        <v>1.4310400000000001E-8</v>
      </c>
      <c r="C61" s="1" t="s">
        <v>740</v>
      </c>
      <c r="D61" s="1" t="s">
        <v>794</v>
      </c>
      <c r="E61" s="154">
        <f t="shared" si="0"/>
        <v>3.1201950121882614E-7</v>
      </c>
      <c r="H61" s="1" t="s">
        <v>789</v>
      </c>
      <c r="I61" s="96">
        <v>6.36908E-8</v>
      </c>
      <c r="J61" s="1" t="s">
        <v>740</v>
      </c>
      <c r="K61" s="1" t="s">
        <v>759</v>
      </c>
      <c r="L61" s="154">
        <f t="shared" si="1"/>
        <v>1.7379988579397935E-6</v>
      </c>
    </row>
    <row r="62" spans="1:12" x14ac:dyDescent="0.35">
      <c r="A62" s="1" t="s">
        <v>789</v>
      </c>
      <c r="B62" s="96">
        <v>1.4361999999999999E-6</v>
      </c>
      <c r="C62" s="1" t="s">
        <v>740</v>
      </c>
      <c r="D62" s="1" t="s">
        <v>794</v>
      </c>
      <c r="E62" s="154">
        <f t="shared" si="0"/>
        <v>3.1314457153572097E-5</v>
      </c>
      <c r="H62" s="1" t="s">
        <v>799</v>
      </c>
      <c r="I62" s="96">
        <v>3.2302500000000001E-8</v>
      </c>
      <c r="J62" s="1" t="s">
        <v>740</v>
      </c>
      <c r="K62" s="1" t="s">
        <v>759</v>
      </c>
      <c r="L62" s="154">
        <f t="shared" si="1"/>
        <v>8.8147280468450995E-7</v>
      </c>
    </row>
    <row r="63" spans="1:12" x14ac:dyDescent="0.35">
      <c r="H63" s="1" t="s">
        <v>800</v>
      </c>
      <c r="I63" s="96">
        <v>1.3184700000000001E-8</v>
      </c>
      <c r="J63" s="1" t="s">
        <v>740</v>
      </c>
      <c r="K63" s="1" t="s">
        <v>759</v>
      </c>
      <c r="L63" s="154">
        <f t="shared" si="1"/>
        <v>3.5978498530837731E-7</v>
      </c>
    </row>
    <row r="64" spans="1:12" x14ac:dyDescent="0.35">
      <c r="A64" s="11"/>
    </row>
    <row r="66" spans="1:23" ht="72.5" x14ac:dyDescent="0.35">
      <c r="A66" s="104" t="s">
        <v>451</v>
      </c>
      <c r="B66" s="102" t="s">
        <v>801</v>
      </c>
      <c r="C66" s="302" t="s">
        <v>486</v>
      </c>
      <c r="D66" s="302" t="s">
        <v>154</v>
      </c>
      <c r="E66" s="302" t="s">
        <v>279</v>
      </c>
      <c r="F66" s="302" t="s">
        <v>280</v>
      </c>
      <c r="G66" s="302" t="s">
        <v>281</v>
      </c>
      <c r="H66" s="302" t="s">
        <v>282</v>
      </c>
      <c r="I66" s="302" t="s">
        <v>283</v>
      </c>
      <c r="J66" s="302" t="s">
        <v>284</v>
      </c>
      <c r="K66" s="302" t="s">
        <v>285</v>
      </c>
      <c r="L66" s="302" t="s">
        <v>286</v>
      </c>
      <c r="M66" s="302" t="s">
        <v>287</v>
      </c>
      <c r="N66" s="302" t="s">
        <v>288</v>
      </c>
      <c r="O66" s="302" t="s">
        <v>289</v>
      </c>
      <c r="P66" s="302" t="s">
        <v>290</v>
      </c>
      <c r="Q66" s="302" t="s">
        <v>291</v>
      </c>
      <c r="R66" s="302" t="s">
        <v>292</v>
      </c>
      <c r="S66" s="302" t="s">
        <v>293</v>
      </c>
      <c r="T66" s="302" t="s">
        <v>294</v>
      </c>
      <c r="U66" s="302" t="s">
        <v>295</v>
      </c>
      <c r="V66" s="302" t="s">
        <v>296</v>
      </c>
      <c r="W66" s="302" t="s">
        <v>297</v>
      </c>
    </row>
    <row r="67" spans="1:23" x14ac:dyDescent="0.35">
      <c r="A67" s="1" t="s">
        <v>802</v>
      </c>
      <c r="B67" s="7"/>
      <c r="C67" s="1">
        <v>1</v>
      </c>
      <c r="D67" s="141" t="s">
        <v>558</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803</v>
      </c>
      <c r="B68" s="7"/>
      <c r="C68" s="1">
        <v>1</v>
      </c>
      <c r="D68" s="141" t="s">
        <v>558</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804</v>
      </c>
      <c r="B69" s="1"/>
      <c r="C69" s="1">
        <v>1</v>
      </c>
      <c r="D69" s="1" t="s">
        <v>557</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805</v>
      </c>
      <c r="B70" s="1"/>
      <c r="C70" s="1">
        <v>1</v>
      </c>
      <c r="D70" s="1" t="s">
        <v>557</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451</v>
      </c>
      <c r="B73" s="102" t="s">
        <v>801</v>
      </c>
      <c r="C73" s="302" t="s">
        <v>486</v>
      </c>
      <c r="D73" s="302" t="s">
        <v>154</v>
      </c>
      <c r="E73" s="302" t="s">
        <v>279</v>
      </c>
      <c r="F73" s="302" t="s">
        <v>280</v>
      </c>
      <c r="G73" s="302" t="s">
        <v>281</v>
      </c>
      <c r="H73" s="302" t="s">
        <v>282</v>
      </c>
      <c r="I73" s="302" t="s">
        <v>283</v>
      </c>
      <c r="J73" s="302" t="s">
        <v>284</v>
      </c>
      <c r="K73" s="302" t="s">
        <v>285</v>
      </c>
      <c r="L73" s="302" t="s">
        <v>286</v>
      </c>
      <c r="M73" s="302" t="s">
        <v>287</v>
      </c>
      <c r="N73" s="302" t="s">
        <v>288</v>
      </c>
      <c r="O73" s="302" t="s">
        <v>289</v>
      </c>
      <c r="P73" s="302" t="s">
        <v>290</v>
      </c>
      <c r="Q73" s="302" t="s">
        <v>291</v>
      </c>
      <c r="R73" s="302" t="s">
        <v>292</v>
      </c>
      <c r="S73" s="302" t="s">
        <v>293</v>
      </c>
      <c r="T73" s="302" t="s">
        <v>294</v>
      </c>
      <c r="U73" s="302" t="s">
        <v>295</v>
      </c>
      <c r="V73" s="302" t="s">
        <v>296</v>
      </c>
      <c r="W73" s="302" t="s">
        <v>297</v>
      </c>
    </row>
    <row r="74" spans="1:23" x14ac:dyDescent="0.35">
      <c r="A74" s="6" t="s">
        <v>36</v>
      </c>
      <c r="B74" s="73"/>
      <c r="C74" s="125">
        <v>1</v>
      </c>
      <c r="D74" s="125" t="s">
        <v>558</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87</v>
      </c>
      <c r="B75" s="1"/>
      <c r="C75" s="1">
        <v>1</v>
      </c>
      <c r="D75" s="1" t="s">
        <v>558</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806</v>
      </c>
      <c r="B76" s="1"/>
      <c r="C76" s="1">
        <v>1</v>
      </c>
      <c r="D76" s="1" t="s">
        <v>558</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807</v>
      </c>
      <c r="B77" s="1"/>
      <c r="C77" s="1">
        <v>1</v>
      </c>
      <c r="D77" s="1" t="s">
        <v>558</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79</v>
      </c>
      <c r="B78" s="1"/>
      <c r="C78" s="1">
        <v>1</v>
      </c>
      <c r="D78" s="1" t="s">
        <v>558</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808</v>
      </c>
      <c r="B79" s="1"/>
      <c r="C79" s="1">
        <v>1</v>
      </c>
      <c r="D79" s="1" t="s">
        <v>558</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82</v>
      </c>
      <c r="B80" s="1"/>
      <c r="C80" s="1">
        <v>1</v>
      </c>
      <c r="D80" s="1" t="s">
        <v>557</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92</v>
      </c>
      <c r="B81" s="1"/>
      <c r="C81" s="1">
        <v>1</v>
      </c>
      <c r="D81" s="1" t="s">
        <v>557</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809</v>
      </c>
    </row>
    <row r="85" spans="1:23" ht="72.5" x14ac:dyDescent="0.35">
      <c r="A85" s="104" t="s">
        <v>451</v>
      </c>
      <c r="B85" s="102" t="s">
        <v>801</v>
      </c>
      <c r="C85" s="302" t="s">
        <v>486</v>
      </c>
      <c r="D85" s="302" t="s">
        <v>154</v>
      </c>
      <c r="E85" s="302" t="s">
        <v>279</v>
      </c>
      <c r="F85" s="302" t="s">
        <v>280</v>
      </c>
      <c r="G85" s="302" t="s">
        <v>281</v>
      </c>
      <c r="H85" s="302" t="s">
        <v>282</v>
      </c>
      <c r="I85" s="302" t="s">
        <v>283</v>
      </c>
      <c r="J85" s="302" t="s">
        <v>284</v>
      </c>
      <c r="K85" s="302" t="s">
        <v>285</v>
      </c>
      <c r="L85" s="302" t="s">
        <v>286</v>
      </c>
      <c r="M85" s="302" t="s">
        <v>287</v>
      </c>
      <c r="N85" s="302" t="s">
        <v>288</v>
      </c>
      <c r="O85" s="302" t="s">
        <v>289</v>
      </c>
      <c r="P85" s="302" t="s">
        <v>290</v>
      </c>
      <c r="Q85" s="302" t="s">
        <v>291</v>
      </c>
      <c r="R85" s="302" t="s">
        <v>292</v>
      </c>
      <c r="S85" s="302" t="s">
        <v>293</v>
      </c>
      <c r="T85" s="302" t="s">
        <v>294</v>
      </c>
      <c r="U85" s="302" t="s">
        <v>295</v>
      </c>
      <c r="V85" s="302" t="s">
        <v>296</v>
      </c>
      <c r="W85" s="302" t="s">
        <v>297</v>
      </c>
    </row>
    <row r="86" spans="1:23" ht="43.5" x14ac:dyDescent="0.35">
      <c r="A86" s="53" t="s">
        <v>810</v>
      </c>
      <c r="B86" s="1"/>
      <c r="C86" s="1">
        <v>1</v>
      </c>
      <c r="D86" s="1" t="s">
        <v>811</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812</v>
      </c>
      <c r="B87" s="1"/>
      <c r="C87" s="1">
        <v>1</v>
      </c>
      <c r="D87" s="1" t="s">
        <v>811</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813</v>
      </c>
      <c r="B88" s="1"/>
      <c r="C88" s="1">
        <v>1</v>
      </c>
      <c r="D88" s="1" t="s">
        <v>814</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815</v>
      </c>
      <c r="B89" s="1"/>
      <c r="C89" s="1">
        <v>1</v>
      </c>
      <c r="D89" s="1" t="s">
        <v>814</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451</v>
      </c>
      <c r="B92" s="102" t="s">
        <v>801</v>
      </c>
      <c r="C92" s="302" t="s">
        <v>486</v>
      </c>
      <c r="D92" s="302" t="s">
        <v>154</v>
      </c>
      <c r="E92" s="302" t="s">
        <v>279</v>
      </c>
      <c r="F92" s="302" t="s">
        <v>280</v>
      </c>
      <c r="G92" s="302" t="s">
        <v>281</v>
      </c>
      <c r="H92" s="302" t="s">
        <v>282</v>
      </c>
      <c r="I92" s="302" t="s">
        <v>283</v>
      </c>
      <c r="J92" s="302" t="s">
        <v>284</v>
      </c>
      <c r="K92" s="302" t="s">
        <v>285</v>
      </c>
      <c r="L92" s="302" t="s">
        <v>286</v>
      </c>
      <c r="M92" s="302" t="s">
        <v>287</v>
      </c>
      <c r="N92" s="302" t="s">
        <v>288</v>
      </c>
      <c r="O92" s="302" t="s">
        <v>289</v>
      </c>
      <c r="P92" s="302" t="s">
        <v>290</v>
      </c>
      <c r="Q92" s="302" t="s">
        <v>291</v>
      </c>
      <c r="R92" s="302" t="s">
        <v>292</v>
      </c>
      <c r="S92" s="302" t="s">
        <v>293</v>
      </c>
      <c r="T92" s="302" t="s">
        <v>294</v>
      </c>
      <c r="U92" s="302" t="s">
        <v>295</v>
      </c>
      <c r="V92" s="302" t="s">
        <v>296</v>
      </c>
      <c r="W92" s="302" t="s">
        <v>297</v>
      </c>
    </row>
    <row r="93" spans="1:23" x14ac:dyDescent="0.35">
      <c r="A93" s="6" t="s">
        <v>36</v>
      </c>
      <c r="B93" s="1"/>
      <c r="C93" s="1">
        <v>1</v>
      </c>
      <c r="D93" s="1" t="s">
        <v>811</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87</v>
      </c>
      <c r="B94" s="1"/>
      <c r="C94" s="1">
        <v>1</v>
      </c>
      <c r="D94" s="1" t="s">
        <v>811</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806</v>
      </c>
      <c r="B95" s="1"/>
      <c r="C95" s="1">
        <v>1</v>
      </c>
      <c r="D95" s="1" t="s">
        <v>811</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807</v>
      </c>
      <c r="B96" s="1"/>
      <c r="C96" s="1">
        <v>1</v>
      </c>
      <c r="D96" s="1" t="s">
        <v>811</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79</v>
      </c>
      <c r="B97" s="1"/>
      <c r="C97" s="1">
        <v>1</v>
      </c>
      <c r="D97" s="1" t="s">
        <v>811</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808</v>
      </c>
      <c r="B98" s="1"/>
      <c r="C98" s="1">
        <v>1</v>
      </c>
      <c r="D98" s="1" t="s">
        <v>811</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816</v>
      </c>
      <c r="B99" s="1"/>
      <c r="C99" s="1">
        <v>1</v>
      </c>
      <c r="D99" s="1" t="s">
        <v>814</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817</v>
      </c>
      <c r="B100" s="1"/>
      <c r="C100" s="1">
        <v>1</v>
      </c>
      <c r="D100" s="1" t="s">
        <v>814</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818</v>
      </c>
    </row>
    <row r="105" spans="1:23" ht="72.5" x14ac:dyDescent="0.35">
      <c r="A105" s="104" t="s">
        <v>451</v>
      </c>
      <c r="B105" s="102" t="s">
        <v>801</v>
      </c>
      <c r="C105" s="302" t="s">
        <v>486</v>
      </c>
      <c r="D105" s="302" t="s">
        <v>154</v>
      </c>
      <c r="E105" s="302" t="s">
        <v>279</v>
      </c>
      <c r="F105" s="302" t="s">
        <v>280</v>
      </c>
      <c r="G105" s="302" t="s">
        <v>281</v>
      </c>
      <c r="H105" s="302" t="s">
        <v>282</v>
      </c>
      <c r="I105" s="302" t="s">
        <v>283</v>
      </c>
      <c r="J105" s="302" t="s">
        <v>284</v>
      </c>
      <c r="K105" s="302" t="s">
        <v>285</v>
      </c>
      <c r="L105" s="302" t="s">
        <v>286</v>
      </c>
      <c r="M105" s="302" t="s">
        <v>287</v>
      </c>
      <c r="N105" s="302" t="s">
        <v>288</v>
      </c>
      <c r="O105" s="302" t="s">
        <v>289</v>
      </c>
      <c r="P105" s="302" t="s">
        <v>290</v>
      </c>
      <c r="Q105" s="302" t="s">
        <v>291</v>
      </c>
      <c r="R105" s="302" t="s">
        <v>292</v>
      </c>
      <c r="S105" s="302" t="s">
        <v>293</v>
      </c>
      <c r="T105" s="302" t="s">
        <v>294</v>
      </c>
      <c r="U105" s="302" t="s">
        <v>295</v>
      </c>
      <c r="V105" s="302" t="s">
        <v>296</v>
      </c>
      <c r="W105" s="302" t="s">
        <v>297</v>
      </c>
    </row>
    <row r="106" spans="1:23" ht="43.5" x14ac:dyDescent="0.35">
      <c r="A106" s="53" t="s">
        <v>810</v>
      </c>
      <c r="B106" s="1"/>
      <c r="C106" s="1">
        <v>1</v>
      </c>
      <c r="D106" s="1" t="s">
        <v>811</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819</v>
      </c>
      <c r="B107" s="1"/>
      <c r="C107" s="1">
        <v>1</v>
      </c>
      <c r="D107" s="1" t="s">
        <v>811</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813</v>
      </c>
      <c r="B108" s="1"/>
      <c r="C108" s="1">
        <v>1</v>
      </c>
      <c r="D108" s="1" t="s">
        <v>814</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815</v>
      </c>
      <c r="B109" s="1"/>
      <c r="C109" s="1">
        <v>1</v>
      </c>
      <c r="D109" s="1" t="s">
        <v>814</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451</v>
      </c>
      <c r="B112" s="102" t="s">
        <v>801</v>
      </c>
      <c r="C112" s="302" t="s">
        <v>486</v>
      </c>
      <c r="D112" s="302" t="s">
        <v>154</v>
      </c>
      <c r="E112" s="302" t="s">
        <v>279</v>
      </c>
      <c r="F112" s="302" t="s">
        <v>280</v>
      </c>
      <c r="G112" s="302" t="s">
        <v>281</v>
      </c>
      <c r="H112" s="302" t="s">
        <v>282</v>
      </c>
      <c r="I112" s="302" t="s">
        <v>283</v>
      </c>
      <c r="J112" s="302" t="s">
        <v>284</v>
      </c>
      <c r="K112" s="302" t="s">
        <v>285</v>
      </c>
      <c r="L112" s="302" t="s">
        <v>286</v>
      </c>
      <c r="M112" s="302" t="s">
        <v>287</v>
      </c>
      <c r="N112" s="302" t="s">
        <v>288</v>
      </c>
      <c r="O112" s="302" t="s">
        <v>289</v>
      </c>
      <c r="P112" s="302" t="s">
        <v>290</v>
      </c>
      <c r="Q112" s="302" t="s">
        <v>291</v>
      </c>
      <c r="R112" s="302" t="s">
        <v>292</v>
      </c>
      <c r="S112" s="302" t="s">
        <v>293</v>
      </c>
      <c r="T112" s="302" t="s">
        <v>294</v>
      </c>
      <c r="U112" s="302" t="s">
        <v>295</v>
      </c>
      <c r="V112" s="302" t="s">
        <v>296</v>
      </c>
      <c r="W112" s="302" t="s">
        <v>297</v>
      </c>
    </row>
    <row r="113" spans="1:23" x14ac:dyDescent="0.35">
      <c r="A113" s="6" t="s">
        <v>36</v>
      </c>
      <c r="B113" s="1"/>
      <c r="C113" s="1">
        <v>1</v>
      </c>
      <c r="D113" s="1" t="s">
        <v>811</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87</v>
      </c>
      <c r="B114" s="1"/>
      <c r="C114" s="1">
        <v>1</v>
      </c>
      <c r="D114" s="1" t="s">
        <v>811</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806</v>
      </c>
      <c r="B115" s="1"/>
      <c r="C115" s="1">
        <v>1</v>
      </c>
      <c r="D115" s="1" t="s">
        <v>811</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807</v>
      </c>
      <c r="B116" s="1"/>
      <c r="C116" s="1">
        <v>1</v>
      </c>
      <c r="D116" s="1" t="s">
        <v>811</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79</v>
      </c>
      <c r="B117" s="1"/>
      <c r="C117" s="1">
        <v>1</v>
      </c>
      <c r="D117" s="1" t="s">
        <v>811</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808</v>
      </c>
      <c r="B118" s="1"/>
      <c r="C118" s="1">
        <v>1</v>
      </c>
      <c r="D118" s="1" t="s">
        <v>811</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816</v>
      </c>
      <c r="B119" s="1"/>
      <c r="C119" s="1">
        <v>1</v>
      </c>
      <c r="D119" s="1" t="s">
        <v>814</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946</v>
      </c>
    </row>
    <row r="3" spans="1:10" ht="23.5" x14ac:dyDescent="0.55000000000000004">
      <c r="A3" s="132" t="s">
        <v>947</v>
      </c>
    </row>
    <row r="4" spans="1:10" x14ac:dyDescent="0.35">
      <c r="A4" s="133" t="s">
        <v>948</v>
      </c>
      <c r="B4" s="133" t="s">
        <v>27</v>
      </c>
      <c r="C4" s="133" t="s">
        <v>69</v>
      </c>
      <c r="D4" s="133" t="s">
        <v>925</v>
      </c>
      <c r="E4" s="133" t="s">
        <v>61</v>
      </c>
      <c r="F4" s="133" t="s">
        <v>63</v>
      </c>
      <c r="G4" s="133" t="s">
        <v>74</v>
      </c>
      <c r="I4" s="3"/>
      <c r="J4" s="3"/>
    </row>
    <row r="5" spans="1:10" x14ac:dyDescent="0.35">
      <c r="A5" s="98" t="s">
        <v>27</v>
      </c>
      <c r="B5" s="98" t="s">
        <v>27</v>
      </c>
      <c r="C5" s="98" t="s">
        <v>70</v>
      </c>
      <c r="D5" s="98" t="s">
        <v>36</v>
      </c>
      <c r="E5" s="98" t="s">
        <v>36</v>
      </c>
      <c r="F5" s="98" t="s">
        <v>975</v>
      </c>
      <c r="G5" s="98" t="s">
        <v>36</v>
      </c>
    </row>
    <row r="6" spans="1:10" x14ac:dyDescent="0.35">
      <c r="A6" s="98" t="s">
        <v>69</v>
      </c>
      <c r="C6" s="98" t="s">
        <v>489</v>
      </c>
      <c r="G6" s="98" t="s">
        <v>82</v>
      </c>
    </row>
    <row r="7" spans="1:10" x14ac:dyDescent="0.35">
      <c r="A7" s="98" t="s">
        <v>925</v>
      </c>
      <c r="C7" s="98" t="s">
        <v>87</v>
      </c>
    </row>
    <row r="8" spans="1:10" x14ac:dyDescent="0.35">
      <c r="A8" s="98" t="s">
        <v>61</v>
      </c>
      <c r="C8" s="98" t="s">
        <v>806</v>
      </c>
    </row>
    <row r="9" spans="1:10" x14ac:dyDescent="0.35">
      <c r="A9" s="98" t="s">
        <v>63</v>
      </c>
      <c r="C9" s="98" t="s">
        <v>807</v>
      </c>
    </row>
    <row r="10" spans="1:10" x14ac:dyDescent="0.35">
      <c r="A10" s="98" t="s">
        <v>74</v>
      </c>
      <c r="C10" s="98" t="s">
        <v>79</v>
      </c>
    </row>
    <row r="11" spans="1:10" x14ac:dyDescent="0.35">
      <c r="C11" s="98" t="s">
        <v>808</v>
      </c>
    </row>
    <row r="12" spans="1:10" x14ac:dyDescent="0.35">
      <c r="C12" s="98" t="s">
        <v>82</v>
      </c>
    </row>
    <row r="13" spans="1:10" x14ac:dyDescent="0.35">
      <c r="C13" s="98" t="s">
        <v>92</v>
      </c>
    </row>
    <row r="15" spans="1:10" ht="23.5" x14ac:dyDescent="0.55000000000000004">
      <c r="A15" s="132" t="s">
        <v>949</v>
      </c>
      <c r="I15" s="3"/>
    </row>
    <row r="16" spans="1:10" x14ac:dyDescent="0.35">
      <c r="A16" s="133" t="s">
        <v>950</v>
      </c>
      <c r="B16" s="133" t="s">
        <v>450</v>
      </c>
      <c r="C16" s="133" t="s">
        <v>35</v>
      </c>
      <c r="D16" s="3"/>
    </row>
    <row r="17" spans="1:3" x14ac:dyDescent="0.35">
      <c r="A17" s="98" t="s">
        <v>450</v>
      </c>
      <c r="B17" s="98" t="s">
        <v>27</v>
      </c>
      <c r="C17" s="98" t="s">
        <v>36</v>
      </c>
    </row>
    <row r="18" spans="1:3" x14ac:dyDescent="0.35">
      <c r="A18" s="98" t="s">
        <v>35</v>
      </c>
      <c r="C18" s="98" t="s">
        <v>87</v>
      </c>
    </row>
    <row r="19" spans="1:3" x14ac:dyDescent="0.35">
      <c r="C19" s="98" t="s">
        <v>806</v>
      </c>
    </row>
    <row r="20" spans="1:3" x14ac:dyDescent="0.35">
      <c r="C20" s="98" t="s">
        <v>807</v>
      </c>
    </row>
    <row r="21" spans="1:3" x14ac:dyDescent="0.35">
      <c r="C21" s="98" t="s">
        <v>79</v>
      </c>
    </row>
    <row r="22" spans="1:3" x14ac:dyDescent="0.35">
      <c r="C22" s="98" t="s">
        <v>808</v>
      </c>
    </row>
    <row r="23" spans="1:3" x14ac:dyDescent="0.35">
      <c r="C23" s="98" t="s">
        <v>82</v>
      </c>
    </row>
    <row r="24" spans="1:3" x14ac:dyDescent="0.35">
      <c r="C24" s="98" t="s">
        <v>92</v>
      </c>
    </row>
    <row r="27" spans="1:3" x14ac:dyDescent="0.35">
      <c r="A27" s="133" t="s">
        <v>951</v>
      </c>
      <c r="B27" s="133" t="s">
        <v>450</v>
      </c>
      <c r="C27" s="133" t="s">
        <v>359</v>
      </c>
    </row>
    <row r="28" spans="1:3" x14ac:dyDescent="0.35">
      <c r="A28" s="98" t="s">
        <v>450</v>
      </c>
      <c r="B28" s="98" t="s">
        <v>27</v>
      </c>
      <c r="C28" s="98" t="s">
        <v>36</v>
      </c>
    </row>
    <row r="29" spans="1:3" x14ac:dyDescent="0.35">
      <c r="A29" s="98" t="s">
        <v>359</v>
      </c>
      <c r="C29" s="98" t="s">
        <v>87</v>
      </c>
    </row>
    <row r="30" spans="1:3" x14ac:dyDescent="0.35">
      <c r="C30" s="98" t="s">
        <v>806</v>
      </c>
    </row>
    <row r="31" spans="1:3" x14ac:dyDescent="0.35">
      <c r="C31" s="98" t="s">
        <v>807</v>
      </c>
    </row>
    <row r="32" spans="1:3" x14ac:dyDescent="0.35">
      <c r="C32" s="98" t="s">
        <v>79</v>
      </c>
    </row>
    <row r="33" spans="1:4" x14ac:dyDescent="0.35">
      <c r="C33" s="98" t="s">
        <v>808</v>
      </c>
    </row>
    <row r="34" spans="1:4" x14ac:dyDescent="0.35">
      <c r="C34" s="98" t="s">
        <v>82</v>
      </c>
    </row>
    <row r="35" spans="1:4" x14ac:dyDescent="0.35">
      <c r="C35" s="98" t="s">
        <v>92</v>
      </c>
    </row>
    <row r="37" spans="1:4" x14ac:dyDescent="0.35">
      <c r="A37" s="133" t="s">
        <v>952</v>
      </c>
      <c r="B37" s="133" t="s">
        <v>450</v>
      </c>
      <c r="C37" s="133" t="s">
        <v>368</v>
      </c>
    </row>
    <row r="38" spans="1:4" x14ac:dyDescent="0.35">
      <c r="A38" s="98" t="s">
        <v>450</v>
      </c>
      <c r="B38" s="98" t="s">
        <v>27</v>
      </c>
      <c r="C38" s="98" t="s">
        <v>36</v>
      </c>
    </row>
    <row r="39" spans="1:4" x14ac:dyDescent="0.35">
      <c r="A39" s="98" t="s">
        <v>368</v>
      </c>
      <c r="C39" s="98" t="s">
        <v>87</v>
      </c>
    </row>
    <row r="40" spans="1:4" x14ac:dyDescent="0.35">
      <c r="C40" s="98" t="s">
        <v>806</v>
      </c>
    </row>
    <row r="41" spans="1:4" x14ac:dyDescent="0.35">
      <c r="C41" s="98" t="s">
        <v>807</v>
      </c>
    </row>
    <row r="42" spans="1:4" x14ac:dyDescent="0.35">
      <c r="C42" s="98" t="s">
        <v>79</v>
      </c>
    </row>
    <row r="43" spans="1:4" x14ac:dyDescent="0.35">
      <c r="C43" s="98" t="s">
        <v>808</v>
      </c>
    </row>
    <row r="44" spans="1:4" x14ac:dyDescent="0.35">
      <c r="C44" s="98" t="s">
        <v>82</v>
      </c>
    </row>
    <row r="45" spans="1:4" x14ac:dyDescent="0.35">
      <c r="C45" s="98" t="s">
        <v>92</v>
      </c>
    </row>
    <row r="46" spans="1:4" ht="23.5" x14ac:dyDescent="0.55000000000000004">
      <c r="A46" s="132" t="s">
        <v>953</v>
      </c>
    </row>
    <row r="47" spans="1:4" x14ac:dyDescent="0.35">
      <c r="A47" s="133" t="s">
        <v>954</v>
      </c>
      <c r="B47" s="133" t="s">
        <v>444</v>
      </c>
      <c r="C47" s="133" t="s">
        <v>357</v>
      </c>
      <c r="D47" s="3"/>
    </row>
    <row r="48" spans="1:4" x14ac:dyDescent="0.35">
      <c r="A48" s="98" t="s">
        <v>444</v>
      </c>
      <c r="B48" s="98" t="s">
        <v>27</v>
      </c>
      <c r="C48" s="98" t="s">
        <v>36</v>
      </c>
    </row>
    <row r="49" spans="1:3" x14ac:dyDescent="0.35">
      <c r="A49" s="98" t="s">
        <v>357</v>
      </c>
      <c r="C49" s="98" t="s">
        <v>87</v>
      </c>
    </row>
    <row r="50" spans="1:3" x14ac:dyDescent="0.35">
      <c r="C50" s="98" t="s">
        <v>806</v>
      </c>
    </row>
    <row r="51" spans="1:3" x14ac:dyDescent="0.35">
      <c r="C51" s="98" t="s">
        <v>807</v>
      </c>
    </row>
    <row r="52" spans="1:3" x14ac:dyDescent="0.35">
      <c r="C52" s="98" t="s">
        <v>79</v>
      </c>
    </row>
    <row r="53" spans="1:3" x14ac:dyDescent="0.35">
      <c r="C53" s="98" t="s">
        <v>808</v>
      </c>
    </row>
    <row r="54" spans="1:3" x14ac:dyDescent="0.35">
      <c r="C54" s="98" t="s">
        <v>82</v>
      </c>
    </row>
    <row r="55" spans="1:3" x14ac:dyDescent="0.35">
      <c r="C55" s="98" t="s">
        <v>92</v>
      </c>
    </row>
    <row r="57" spans="1:3" x14ac:dyDescent="0.35">
      <c r="A57" s="133" t="s">
        <v>955</v>
      </c>
      <c r="B57" s="133" t="s">
        <v>445</v>
      </c>
      <c r="C57" s="133" t="s">
        <v>367</v>
      </c>
    </row>
    <row r="58" spans="1:3" x14ac:dyDescent="0.35">
      <c r="A58" s="98" t="s">
        <v>445</v>
      </c>
      <c r="B58" s="98" t="s">
        <v>27</v>
      </c>
      <c r="C58" s="98" t="s">
        <v>36</v>
      </c>
    </row>
    <row r="59" spans="1:3" x14ac:dyDescent="0.35">
      <c r="A59" s="98" t="s">
        <v>367</v>
      </c>
      <c r="C59" s="98" t="s">
        <v>87</v>
      </c>
    </row>
    <row r="60" spans="1:3" x14ac:dyDescent="0.35">
      <c r="C60" s="98" t="s">
        <v>806</v>
      </c>
    </row>
    <row r="61" spans="1:3" x14ac:dyDescent="0.35">
      <c r="C61" s="98" t="s">
        <v>807</v>
      </c>
    </row>
    <row r="62" spans="1:3" x14ac:dyDescent="0.35">
      <c r="C62" s="98" t="s">
        <v>79</v>
      </c>
    </row>
    <row r="63" spans="1:3" x14ac:dyDescent="0.35">
      <c r="C63" s="98" t="s">
        <v>808</v>
      </c>
    </row>
    <row r="64" spans="1:3" x14ac:dyDescent="0.35">
      <c r="C64" s="98" t="s">
        <v>82</v>
      </c>
    </row>
    <row r="65" spans="1:4" x14ac:dyDescent="0.35">
      <c r="C65" s="98" t="s">
        <v>92</v>
      </c>
    </row>
    <row r="66" spans="1:4" ht="23.5" x14ac:dyDescent="0.55000000000000004">
      <c r="A66" s="132" t="s">
        <v>956</v>
      </c>
    </row>
    <row r="67" spans="1:4" x14ac:dyDescent="0.35">
      <c r="A67" s="133" t="s">
        <v>957</v>
      </c>
      <c r="B67" s="133" t="s">
        <v>446</v>
      </c>
      <c r="C67" s="133" t="s">
        <v>361</v>
      </c>
      <c r="D67" s="3"/>
    </row>
    <row r="68" spans="1:4" x14ac:dyDescent="0.35">
      <c r="A68" s="98" t="s">
        <v>446</v>
      </c>
      <c r="B68" s="98" t="s">
        <v>27</v>
      </c>
      <c r="C68" s="98" t="s">
        <v>36</v>
      </c>
    </row>
    <row r="69" spans="1:4" x14ac:dyDescent="0.35">
      <c r="A69" s="98" t="s">
        <v>361</v>
      </c>
      <c r="C69" s="98" t="s">
        <v>87</v>
      </c>
    </row>
    <row r="70" spans="1:4" x14ac:dyDescent="0.35">
      <c r="C70" s="98" t="s">
        <v>806</v>
      </c>
    </row>
    <row r="71" spans="1:4" x14ac:dyDescent="0.35">
      <c r="C71" s="98" t="s">
        <v>807</v>
      </c>
    </row>
    <row r="72" spans="1:4" x14ac:dyDescent="0.35">
      <c r="C72" s="98" t="s">
        <v>79</v>
      </c>
    </row>
    <row r="73" spans="1:4" x14ac:dyDescent="0.35">
      <c r="C73" s="98" t="s">
        <v>808</v>
      </c>
    </row>
    <row r="74" spans="1:4" x14ac:dyDescent="0.35">
      <c r="C74" s="98" t="s">
        <v>82</v>
      </c>
    </row>
    <row r="75" spans="1:4" x14ac:dyDescent="0.35">
      <c r="C75" s="98" t="s">
        <v>92</v>
      </c>
    </row>
    <row r="79" spans="1:4" x14ac:dyDescent="0.35">
      <c r="A79" s="133" t="s">
        <v>958</v>
      </c>
      <c r="B79" s="133" t="s">
        <v>447</v>
      </c>
      <c r="C79" s="133" t="s">
        <v>369</v>
      </c>
      <c r="D79" s="3"/>
    </row>
    <row r="80" spans="1:4" x14ac:dyDescent="0.35">
      <c r="A80" s="98" t="s">
        <v>447</v>
      </c>
      <c r="B80" s="98" t="s">
        <v>27</v>
      </c>
      <c r="C80" s="98" t="s">
        <v>36</v>
      </c>
    </row>
    <row r="81" spans="1:4" x14ac:dyDescent="0.35">
      <c r="A81" s="98" t="s">
        <v>369</v>
      </c>
      <c r="C81" s="98" t="s">
        <v>87</v>
      </c>
    </row>
    <row r="82" spans="1:4" x14ac:dyDescent="0.35">
      <c r="C82" s="98" t="s">
        <v>806</v>
      </c>
    </row>
    <row r="83" spans="1:4" x14ac:dyDescent="0.35">
      <c r="C83" s="98" t="s">
        <v>807</v>
      </c>
    </row>
    <row r="84" spans="1:4" x14ac:dyDescent="0.35">
      <c r="C84" s="98" t="s">
        <v>79</v>
      </c>
    </row>
    <row r="85" spans="1:4" x14ac:dyDescent="0.35">
      <c r="C85" s="98" t="s">
        <v>808</v>
      </c>
    </row>
    <row r="86" spans="1:4" x14ac:dyDescent="0.35">
      <c r="C86" s="98" t="s">
        <v>82</v>
      </c>
    </row>
    <row r="87" spans="1:4" x14ac:dyDescent="0.35">
      <c r="C87" s="98" t="s">
        <v>92</v>
      </c>
    </row>
    <row r="89" spans="1:4" ht="23.5" x14ac:dyDescent="0.55000000000000004">
      <c r="A89" s="132" t="s">
        <v>959</v>
      </c>
    </row>
    <row r="90" spans="1:4" x14ac:dyDescent="0.35">
      <c r="A90" s="133" t="s">
        <v>960</v>
      </c>
      <c r="B90" s="133" t="s">
        <v>448</v>
      </c>
      <c r="C90" s="133" t="s">
        <v>363</v>
      </c>
      <c r="D90" s="3"/>
    </row>
    <row r="91" spans="1:4" x14ac:dyDescent="0.35">
      <c r="A91" s="98" t="s">
        <v>448</v>
      </c>
      <c r="B91" s="98" t="s">
        <v>27</v>
      </c>
      <c r="C91" s="98" t="s">
        <v>36</v>
      </c>
    </row>
    <row r="92" spans="1:4" x14ac:dyDescent="0.35">
      <c r="A92" s="98" t="s">
        <v>363</v>
      </c>
      <c r="C92" s="98" t="s">
        <v>87</v>
      </c>
    </row>
    <row r="93" spans="1:4" x14ac:dyDescent="0.35">
      <c r="C93" s="98" t="s">
        <v>806</v>
      </c>
    </row>
    <row r="94" spans="1:4" x14ac:dyDescent="0.35">
      <c r="C94" s="98" t="s">
        <v>807</v>
      </c>
    </row>
    <row r="95" spans="1:4" x14ac:dyDescent="0.35">
      <c r="C95" s="98" t="s">
        <v>79</v>
      </c>
    </row>
    <row r="96" spans="1:4" x14ac:dyDescent="0.35">
      <c r="C96" s="98" t="s">
        <v>808</v>
      </c>
    </row>
    <row r="97" spans="1:8" x14ac:dyDescent="0.35">
      <c r="C97" s="98" t="s">
        <v>82</v>
      </c>
    </row>
    <row r="98" spans="1:8" x14ac:dyDescent="0.35">
      <c r="C98" s="98" t="s">
        <v>92</v>
      </c>
    </row>
    <row r="100" spans="1:8" x14ac:dyDescent="0.35">
      <c r="A100" s="133" t="s">
        <v>961</v>
      </c>
      <c r="B100" s="133" t="s">
        <v>449</v>
      </c>
      <c r="C100" s="133" t="s">
        <v>370</v>
      </c>
      <c r="D100" s="3"/>
    </row>
    <row r="101" spans="1:8" x14ac:dyDescent="0.35">
      <c r="A101" s="98" t="s">
        <v>449</v>
      </c>
      <c r="B101" s="98" t="s">
        <v>27</v>
      </c>
      <c r="C101" s="98" t="s">
        <v>36</v>
      </c>
    </row>
    <row r="102" spans="1:8" x14ac:dyDescent="0.35">
      <c r="A102" s="98" t="s">
        <v>370</v>
      </c>
      <c r="C102" s="98" t="s">
        <v>87</v>
      </c>
    </row>
    <row r="103" spans="1:8" x14ac:dyDescent="0.35">
      <c r="C103" s="98" t="s">
        <v>806</v>
      </c>
    </row>
    <row r="104" spans="1:8" x14ac:dyDescent="0.35">
      <c r="C104" s="98" t="s">
        <v>807</v>
      </c>
    </row>
    <row r="105" spans="1:8" x14ac:dyDescent="0.35">
      <c r="C105" s="98" t="s">
        <v>79</v>
      </c>
    </row>
    <row r="106" spans="1:8" x14ac:dyDescent="0.35">
      <c r="C106" s="98" t="s">
        <v>808</v>
      </c>
    </row>
    <row r="107" spans="1:8" x14ac:dyDescent="0.35">
      <c r="C107" s="98" t="s">
        <v>82</v>
      </c>
    </row>
    <row r="108" spans="1:8" x14ac:dyDescent="0.35">
      <c r="C108" s="98" t="s">
        <v>92</v>
      </c>
    </row>
    <row r="110" spans="1:8" ht="23.5" x14ac:dyDescent="0.55000000000000004">
      <c r="A110" s="132" t="s">
        <v>962</v>
      </c>
    </row>
    <row r="111" spans="1:8" x14ac:dyDescent="0.35">
      <c r="A111" s="133" t="s">
        <v>963</v>
      </c>
      <c r="B111" s="133" t="s">
        <v>106</v>
      </c>
      <c r="C111" s="133" t="s">
        <v>677</v>
      </c>
      <c r="D111" s="133" t="s">
        <v>104</v>
      </c>
      <c r="E111" s="133" t="s">
        <v>678</v>
      </c>
      <c r="F111" s="3"/>
      <c r="G111" s="3"/>
      <c r="H111" s="3"/>
    </row>
    <row r="112" spans="1:8" x14ac:dyDescent="0.35">
      <c r="A112" s="98" t="s">
        <v>106</v>
      </c>
      <c r="B112" s="98" t="s">
        <v>27</v>
      </c>
      <c r="C112" s="98" t="s">
        <v>36</v>
      </c>
      <c r="D112" s="98" t="s">
        <v>36</v>
      </c>
      <c r="E112" s="98" t="s">
        <v>36</v>
      </c>
    </row>
    <row r="113" spans="1:8" x14ac:dyDescent="0.35">
      <c r="A113" s="98" t="s">
        <v>677</v>
      </c>
      <c r="C113" s="98" t="s">
        <v>87</v>
      </c>
      <c r="D113" s="98" t="s">
        <v>87</v>
      </c>
      <c r="E113" s="98" t="s">
        <v>87</v>
      </c>
    </row>
    <row r="114" spans="1:8" x14ac:dyDescent="0.35">
      <c r="A114" s="98" t="s">
        <v>104</v>
      </c>
      <c r="C114" s="98" t="s">
        <v>806</v>
      </c>
      <c r="D114" s="98" t="s">
        <v>806</v>
      </c>
      <c r="E114" s="98" t="s">
        <v>806</v>
      </c>
    </row>
    <row r="115" spans="1:8" x14ac:dyDescent="0.35">
      <c r="A115" s="98" t="s">
        <v>678</v>
      </c>
      <c r="C115" s="98" t="s">
        <v>807</v>
      </c>
      <c r="D115" s="98" t="s">
        <v>807</v>
      </c>
      <c r="E115" s="98" t="s">
        <v>807</v>
      </c>
    </row>
    <row r="116" spans="1:8" x14ac:dyDescent="0.35">
      <c r="C116" s="98" t="s">
        <v>79</v>
      </c>
      <c r="D116" s="98" t="s">
        <v>79</v>
      </c>
      <c r="E116" s="98" t="s">
        <v>79</v>
      </c>
    </row>
    <row r="117" spans="1:8" x14ac:dyDescent="0.35">
      <c r="C117" s="98" t="s">
        <v>808</v>
      </c>
      <c r="D117" s="98" t="s">
        <v>808</v>
      </c>
      <c r="E117" s="98" t="s">
        <v>808</v>
      </c>
    </row>
    <row r="118" spans="1:8" x14ac:dyDescent="0.35">
      <c r="C118" s="98" t="s">
        <v>82</v>
      </c>
      <c r="D118" s="98" t="s">
        <v>82</v>
      </c>
      <c r="E118" s="98" t="s">
        <v>82</v>
      </c>
    </row>
    <row r="119" spans="1:8" x14ac:dyDescent="0.35">
      <c r="C119" s="98" t="s">
        <v>92</v>
      </c>
      <c r="D119" s="98" t="s">
        <v>92</v>
      </c>
      <c r="E119" s="98" t="s">
        <v>92</v>
      </c>
    </row>
    <row r="121" spans="1:8" ht="23.5" x14ac:dyDescent="0.55000000000000004">
      <c r="A121" s="132" t="s">
        <v>964</v>
      </c>
    </row>
    <row r="122" spans="1:8" x14ac:dyDescent="0.35">
      <c r="A122" s="133" t="s">
        <v>965</v>
      </c>
      <c r="B122" s="133" t="s">
        <v>682</v>
      </c>
      <c r="F122" s="3"/>
      <c r="G122" s="3"/>
      <c r="H122" s="3"/>
    </row>
    <row r="123" spans="1:8" x14ac:dyDescent="0.35">
      <c r="A123" s="98" t="s">
        <v>682</v>
      </c>
      <c r="B123" s="98" t="s">
        <v>27</v>
      </c>
      <c r="C123" s="133" t="s">
        <v>679</v>
      </c>
      <c r="D123" s="133" t="s">
        <v>111</v>
      </c>
      <c r="E123" s="133" t="s">
        <v>680</v>
      </c>
    </row>
    <row r="124" spans="1:8" x14ac:dyDescent="0.35">
      <c r="A124" s="98" t="s">
        <v>679</v>
      </c>
      <c r="C124" s="98" t="s">
        <v>36</v>
      </c>
      <c r="D124" s="98" t="s">
        <v>36</v>
      </c>
      <c r="E124" s="98" t="s">
        <v>36</v>
      </c>
    </row>
    <row r="125" spans="1:8" x14ac:dyDescent="0.35">
      <c r="A125" s="98" t="s">
        <v>111</v>
      </c>
      <c r="C125" s="98" t="s">
        <v>87</v>
      </c>
      <c r="D125" s="98" t="s">
        <v>87</v>
      </c>
      <c r="E125" s="98" t="s">
        <v>87</v>
      </c>
    </row>
    <row r="126" spans="1:8" x14ac:dyDescent="0.35">
      <c r="A126" s="98" t="s">
        <v>680</v>
      </c>
      <c r="C126" s="98" t="s">
        <v>806</v>
      </c>
      <c r="D126" s="98" t="s">
        <v>806</v>
      </c>
      <c r="E126" s="98" t="s">
        <v>806</v>
      </c>
    </row>
    <row r="127" spans="1:8" x14ac:dyDescent="0.35">
      <c r="C127" s="98" t="s">
        <v>807</v>
      </c>
      <c r="D127" s="98" t="s">
        <v>807</v>
      </c>
      <c r="E127" s="98" t="s">
        <v>807</v>
      </c>
    </row>
    <row r="128" spans="1:8" x14ac:dyDescent="0.35">
      <c r="C128" s="98" t="s">
        <v>79</v>
      </c>
      <c r="D128" s="98" t="s">
        <v>79</v>
      </c>
      <c r="E128" s="98" t="s">
        <v>79</v>
      </c>
    </row>
    <row r="129" spans="1:8" x14ac:dyDescent="0.35">
      <c r="C129" s="98" t="s">
        <v>808</v>
      </c>
      <c r="D129" s="98" t="s">
        <v>808</v>
      </c>
      <c r="E129" s="98" t="s">
        <v>808</v>
      </c>
    </row>
    <row r="130" spans="1:8" x14ac:dyDescent="0.35">
      <c r="C130" s="98" t="s">
        <v>82</v>
      </c>
      <c r="D130" s="98" t="s">
        <v>82</v>
      </c>
      <c r="E130" s="98" t="s">
        <v>82</v>
      </c>
    </row>
    <row r="131" spans="1:8" x14ac:dyDescent="0.35">
      <c r="C131" s="98" t="s">
        <v>92</v>
      </c>
      <c r="D131" s="98" t="s">
        <v>92</v>
      </c>
      <c r="E131" s="98" t="s">
        <v>92</v>
      </c>
    </row>
    <row r="132" spans="1:8" ht="23.5" x14ac:dyDescent="0.55000000000000004">
      <c r="A132" s="132" t="s">
        <v>966</v>
      </c>
    </row>
    <row r="133" spans="1:8" x14ac:dyDescent="0.35">
      <c r="A133" s="133" t="s">
        <v>967</v>
      </c>
      <c r="B133" s="133" t="s">
        <v>119</v>
      </c>
      <c r="F133" s="3"/>
      <c r="G133" s="3"/>
      <c r="H133" s="3"/>
    </row>
    <row r="134" spans="1:8" x14ac:dyDescent="0.35">
      <c r="A134" s="98" t="s">
        <v>119</v>
      </c>
      <c r="B134" s="98" t="s">
        <v>27</v>
      </c>
      <c r="C134" s="133" t="s">
        <v>722</v>
      </c>
      <c r="D134" s="133" t="s">
        <v>117</v>
      </c>
      <c r="E134" s="133" t="s">
        <v>723</v>
      </c>
    </row>
    <row r="135" spans="1:8" x14ac:dyDescent="0.35">
      <c r="A135" s="98" t="s">
        <v>722</v>
      </c>
      <c r="C135" s="98" t="s">
        <v>36</v>
      </c>
      <c r="D135" s="98" t="s">
        <v>36</v>
      </c>
      <c r="E135" s="98" t="s">
        <v>36</v>
      </c>
    </row>
    <row r="136" spans="1:8" x14ac:dyDescent="0.35">
      <c r="A136" s="98" t="s">
        <v>117</v>
      </c>
      <c r="C136" s="98" t="s">
        <v>87</v>
      </c>
      <c r="D136" s="98" t="s">
        <v>87</v>
      </c>
      <c r="E136" s="98" t="s">
        <v>87</v>
      </c>
    </row>
    <row r="137" spans="1:8" x14ac:dyDescent="0.35">
      <c r="A137" s="98" t="s">
        <v>723</v>
      </c>
      <c r="C137" s="98" t="s">
        <v>806</v>
      </c>
      <c r="D137" s="98" t="s">
        <v>806</v>
      </c>
      <c r="E137" s="98" t="s">
        <v>806</v>
      </c>
    </row>
    <row r="138" spans="1:8" x14ac:dyDescent="0.35">
      <c r="C138" s="98" t="s">
        <v>807</v>
      </c>
      <c r="D138" s="98" t="s">
        <v>807</v>
      </c>
      <c r="E138" s="98" t="s">
        <v>807</v>
      </c>
    </row>
    <row r="139" spans="1:8" x14ac:dyDescent="0.35">
      <c r="C139" s="98" t="s">
        <v>79</v>
      </c>
      <c r="D139" s="98" t="s">
        <v>79</v>
      </c>
      <c r="E139" s="98" t="s">
        <v>79</v>
      </c>
    </row>
    <row r="140" spans="1:8" x14ac:dyDescent="0.35">
      <c r="C140" s="98" t="s">
        <v>808</v>
      </c>
      <c r="D140" s="98" t="s">
        <v>808</v>
      </c>
      <c r="E140" s="98" t="s">
        <v>808</v>
      </c>
    </row>
    <row r="141" spans="1:8" x14ac:dyDescent="0.35">
      <c r="C141" s="98" t="s">
        <v>82</v>
      </c>
      <c r="D141" s="98" t="s">
        <v>82</v>
      </c>
      <c r="E141" s="98" t="s">
        <v>82</v>
      </c>
    </row>
    <row r="142" spans="1:8" x14ac:dyDescent="0.35">
      <c r="C142" s="98" t="s">
        <v>92</v>
      </c>
      <c r="D142" s="98" t="s">
        <v>92</v>
      </c>
      <c r="E142" s="98" t="s">
        <v>92</v>
      </c>
    </row>
    <row r="143" spans="1:8" ht="23.5" x14ac:dyDescent="0.55000000000000004">
      <c r="A143" s="132" t="s">
        <v>968</v>
      </c>
    </row>
    <row r="144" spans="1:8" x14ac:dyDescent="0.35">
      <c r="A144" s="133" t="s">
        <v>969</v>
      </c>
      <c r="B144" s="133" t="s">
        <v>681</v>
      </c>
    </row>
    <row r="145" spans="1:4" x14ac:dyDescent="0.35">
      <c r="A145" s="98" t="s">
        <v>681</v>
      </c>
      <c r="B145" s="98" t="s">
        <v>27</v>
      </c>
      <c r="C145" s="133" t="s">
        <v>108</v>
      </c>
      <c r="D145" s="3"/>
    </row>
    <row r="146" spans="1:4" x14ac:dyDescent="0.35">
      <c r="A146" s="98" t="s">
        <v>108</v>
      </c>
      <c r="C146" s="98" t="s">
        <v>36</v>
      </c>
    </row>
    <row r="147" spans="1:4" x14ac:dyDescent="0.35">
      <c r="C147" s="98" t="s">
        <v>87</v>
      </c>
    </row>
    <row r="148" spans="1:4" x14ac:dyDescent="0.35">
      <c r="C148" s="98" t="s">
        <v>806</v>
      </c>
    </row>
    <row r="149" spans="1:4" x14ac:dyDescent="0.35">
      <c r="C149" s="98" t="s">
        <v>807</v>
      </c>
    </row>
    <row r="150" spans="1:4" x14ac:dyDescent="0.35">
      <c r="C150" s="98" t="s">
        <v>79</v>
      </c>
    </row>
    <row r="151" spans="1:4" x14ac:dyDescent="0.35">
      <c r="C151" s="98" t="s">
        <v>808</v>
      </c>
    </row>
    <row r="152" spans="1:4" x14ac:dyDescent="0.35">
      <c r="C152" s="98" t="s">
        <v>82</v>
      </c>
    </row>
    <row r="153" spans="1:4" x14ac:dyDescent="0.35">
      <c r="C153" s="98" t="s">
        <v>92</v>
      </c>
    </row>
    <row r="154" spans="1:4" x14ac:dyDescent="0.35">
      <c r="A154" t="s">
        <v>970</v>
      </c>
    </row>
    <row r="155" spans="1:4" x14ac:dyDescent="0.35">
      <c r="A155" s="133" t="s">
        <v>971</v>
      </c>
      <c r="B155" s="133" t="s">
        <v>972</v>
      </c>
    </row>
    <row r="156" spans="1:4" x14ac:dyDescent="0.35">
      <c r="A156" s="98" t="s">
        <v>972</v>
      </c>
      <c r="B156" s="98" t="s">
        <v>27</v>
      </c>
      <c r="C156" s="133" t="s">
        <v>121</v>
      </c>
      <c r="D156" s="3"/>
    </row>
    <row r="157" spans="1:4" x14ac:dyDescent="0.35">
      <c r="A157" s="98" t="s">
        <v>121</v>
      </c>
      <c r="C157" s="98" t="s">
        <v>36</v>
      </c>
    </row>
    <row r="158" spans="1:4" x14ac:dyDescent="0.35">
      <c r="C158" s="98" t="s">
        <v>87</v>
      </c>
    </row>
    <row r="159" spans="1:4" x14ac:dyDescent="0.35">
      <c r="C159" s="98" t="s">
        <v>806</v>
      </c>
    </row>
    <row r="160" spans="1:4" x14ac:dyDescent="0.35">
      <c r="C160" s="98" t="s">
        <v>807</v>
      </c>
    </row>
    <row r="161" spans="1:3" x14ac:dyDescent="0.35">
      <c r="C161" s="98" t="s">
        <v>79</v>
      </c>
    </row>
    <row r="162" spans="1:3" x14ac:dyDescent="0.35">
      <c r="C162" s="98" t="s">
        <v>808</v>
      </c>
    </row>
    <row r="163" spans="1:3" x14ac:dyDescent="0.35">
      <c r="C163" s="98" t="s">
        <v>82</v>
      </c>
    </row>
    <row r="164" spans="1:3" x14ac:dyDescent="0.35">
      <c r="C164" s="98" t="s">
        <v>92</v>
      </c>
    </row>
    <row r="167" spans="1:3" ht="23.5" x14ac:dyDescent="0.55000000000000004">
      <c r="A167" s="132" t="s">
        <v>941</v>
      </c>
    </row>
    <row r="168" spans="1:3" x14ac:dyDescent="0.35">
      <c r="A168" s="133" t="s">
        <v>973</v>
      </c>
      <c r="B168" s="133" t="s">
        <v>24</v>
      </c>
    </row>
    <row r="169" spans="1:3" x14ac:dyDescent="0.35">
      <c r="A169" s="98" t="s">
        <v>24</v>
      </c>
      <c r="B169" s="98" t="s">
        <v>25</v>
      </c>
      <c r="C169" s="133" t="s">
        <v>27</v>
      </c>
    </row>
    <row r="170" spans="1:3" x14ac:dyDescent="0.35">
      <c r="A170" s="98" t="s">
        <v>27</v>
      </c>
      <c r="B170" s="98" t="s">
        <v>935</v>
      </c>
      <c r="C170" s="98" t="s">
        <v>27</v>
      </c>
    </row>
    <row r="174" spans="1:3" ht="23.5" x14ac:dyDescent="0.55000000000000004">
      <c r="A174" s="132" t="s">
        <v>1031</v>
      </c>
    </row>
    <row r="175" spans="1:3" x14ac:dyDescent="0.35">
      <c r="A175" s="349" t="s">
        <v>28</v>
      </c>
    </row>
    <row r="176" spans="1:3" x14ac:dyDescent="0.35">
      <c r="A176" s="2" t="s">
        <v>543</v>
      </c>
    </row>
    <row r="177" spans="1:1" x14ac:dyDescent="0.35">
      <c r="A177" s="2" t="s">
        <v>545</v>
      </c>
    </row>
    <row r="178" spans="1:1" x14ac:dyDescent="0.35">
      <c r="A178" s="61" t="s">
        <v>546</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2026-04-28T15:21:35Z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