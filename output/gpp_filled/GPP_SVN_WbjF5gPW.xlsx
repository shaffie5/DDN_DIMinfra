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A6C0D124-7932-48D6-9400-5CD7A9B18E19}" xr6:coauthVersionLast="47" xr6:coauthVersionMax="47" xr10:uidLastSave="{00000000-0000-0000-0000-000000000000}"/>
  <bookViews>
    <workbookView xWindow="3420" yWindow="3420" windowWidth="17280" windowHeight="1069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Y123" i="5" s="1"/>
  <c r="R76" i="20" s="1"/>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<sst xmlns="http://schemas.openxmlformats.org/spreadsheetml/2006/main" count="4830" uniqueCount="1052">
  <si>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</si>
  <si>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</si>
  <si>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</si>
  <si>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</si>
  <si>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</si>
  <si>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</si>
  <si>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</si>
  <si>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</si>
  <si>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</si>
  <si>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</si>
  <si>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</si>
  <si>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</si>
  <si>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</si>
  <si>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</si>
  <si>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</si>
  <si>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</si>
  <si>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</si>
  <si>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</si>
  <si>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</si>
  <si>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</si>
  <si>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</si>
  <si>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</si>
  <si>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</si>
  <si>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</si>
  <si>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</si>
  <si>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</si>
  <si>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</si>
  <si>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</si>
  <si>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</si>
  <si>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</si>
  <si>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</si>
  <si>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</si>
  <si>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</si>
  <si>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</si>
  <si>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</si>
  <si>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</si>
  <si>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</si>
  <si>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</si>
  <si>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</si>
  <si>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</si>
  <si>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</si>
  <si>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</si>
  <si>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</si>
  <si>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</si>
  <si>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</si>
  <si>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</si>
  <si>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</si>
  <si>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</si>
  <si>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</si>
  <si>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</si>
  <si>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</si>
  <si>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</si>
  <si>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</si>
  <si>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</si>
  <si>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</si>
  <si>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</si>
  <si>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</si>
  <si>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</si>
  <si>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</si>
  <si>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</si>
  <si>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</si>
  <si>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</si>
  <si>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</si>
  <si>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</si>
  <si>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</si>
  <si>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</si>
  <si>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</si>
  <si>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</si>
  <si>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</si>
  <si>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</si>
  <si>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</si>
  <si>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</si>
  <si>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</si>
  <si>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</si>
  <si>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</si>
  <si>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</si>
  <si>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</si>
  <si>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</si>
  <si>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</si>
  <si>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</si>
  <si>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</si>
  <si>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</si>
  <si>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</si>
  <si>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</si>
  <si>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</si>
  <si>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</si>
  <si>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</si>
  <si>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</si>
  <si>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</si>
  <si>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</si>
  <si>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</si>
  <si>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</si>
  <si>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</si>
  <si>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</si>
  <si>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</si>
  <si>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</si>
  <si>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</si>
  <si>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</si>
  <si>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</si>
  <si>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</si>
  <si>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</si>
  <si>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</si>
  <si>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</si>
  <si>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</si>
  <si>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</si>
  <si>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</si>
  <si>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</si>
  <si>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</si>
  <si>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</si>
  <si>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</si>
  <si>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</si>
  <si>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</si>
  <si>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</si>
  <si>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</si>
  <si>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</si>
  <si>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</si>
  <si>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</si>
  <si>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</si>
  <si>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</si>
  <si>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</si>
  <si>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</si>
  <si>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</si>
  <si>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</si>
  <si>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</si>
  <si>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</si>
  <si>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</si>
  <si>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</si>
  <si>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</si>
  <si>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</si>
  <si>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</si>
  <si>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</si>
  <si>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</si>
  <si>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</si>
  <si>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</si>
  <si>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</si>
  <si>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</si>
  <si>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</si>
  <si>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</si>
  <si>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</si>
  <si>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</si>
  <si>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</si>
  <si>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</si>
  <si>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</si>
  <si>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</si>
  <si>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</si>
  <si>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</si>
  <si>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</si>
  <si>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</si>
  <si>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</si>
  <si>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</si>
  <si>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</si>
  <si>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</si>
  <si>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</si>
  <si>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</si>
  <si>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</si>
  <si>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</si>
  <si>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</si>
  <si>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</si>
  <si>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</si>
  <si>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</si>
  <si>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</si>
  <si>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</si>
  <si>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</si>
  <si>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</si>
  <si>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</si>
  <si>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</si>
  <si>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</si>
  <si>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</si>
  <si>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</si>
  <si>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</si>
  <si>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</si>
  <si>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</si>
  <si>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</si>
  <si>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</si>
  <si>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</si>
  <si>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</si>
  <si>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</si>
  <si>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</si>
  <si>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</si>
  <si>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</si>
  <si>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</si>
  <si>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</si>
  <si>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</si>
  <si>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</si>
  <si>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</si>
  <si>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</si>
  <si>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</si>
  <si>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</si>
  <si>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</si>
  <si>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</si>
  <si>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</si>
  <si>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</si>
  <si>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</si>
  <si>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</si>
  <si>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</si>
  <si>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</si>
  <si>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</si>
  <si>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</si>
  <si>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</si>
  <si>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</si>
  <si>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</si>
  <si>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</si>
  <si>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</si>
  <si>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</si>
  <si>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</si>
  <si>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</si>
  <si>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</si>
  <si>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</si>
  <si>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</si>
  <si>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</si>
  <si>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</si>
  <si>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</si>
  <si>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</si>
  <si>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</si>
  <si>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</si>
  <si>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</si>
  <si>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</si>
  <si>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</si>
  <si>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</si>
  <si>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</si>
  <si>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</si>
  <si>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</si>
  <si>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</si>
  <si>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</si>
  <si>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</si>
  <si>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</si>
  <si>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</si>
  <si>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</si>
  <si>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</si>
  <si>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</si>
  <si>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</si>
  <si>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</si>
  <si>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</si>
  <si>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</si>
  <si>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</si>
  <si>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</si>
  <si>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</si>
  <si>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</si>
  <si>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</si>
  <si>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</si>
  <si>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</si>
  <si>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</si>
  <si>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</si>
  <si>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</si>
  <si>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</si>
  <si>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</si>
  <si>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</si>
  <si>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</si>
  <si>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</si>
  <si>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</si>
  <si>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</si>
  <si>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</si>
  <si>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</si>
  <si>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</si>
  <si>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</si>
  <si>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</si>
  <si>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</si>
  <si>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</si>
  <si>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</si>
  <si>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</si>
  <si>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</si>
  <si>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</si>
  <si>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</si>
  <si>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</si>
  <si>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</si>
  <si>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</si>
  <si>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</si>
  <si>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</si>
  <si>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</si>
  <si>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</si>
  <si>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</si>
  <si>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</si>
  <si>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</si>
  <si>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</si>
  <si>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</si>
  <si>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</si>
  <si>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</si>
  <si>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</si>
  <si>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</si>
  <si>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</si>
  <si>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</si>
  <si>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</si>
  <si>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</si>
  <si>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</si>
  <si>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</si>
  <si>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</si>
  <si>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</si>
  <si>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</si>
  <si>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</si>
  <si>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</si>
  <si>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</si>
  <si>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</si>
  <si>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</si>
  <si>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</si>
  <si>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</si>
  <si>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</si>
  <si>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</si>
  <si>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</si>
  <si>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</si>
  <si>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</si>
  <si>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</si>
  <si>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</si>
  <si>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</si>
  <si>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</si>
  <si>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</si>
  <si>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</si>
  <si>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</si>
  <si>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</si>
  <si>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</si>
  <si>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</si>
  <si>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</si>
  <si>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</si>
  <si>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</si>
  <si>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</si>
  <si>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</si>
  <si>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</si>
  <si>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</si>
  <si>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</si>
  <si>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</si>
  <si>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</si>
  <si>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</si>
  <si>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</si>
  <si>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</si>
  <si>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</si>
  <si>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</si>
  <si>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</si>
  <si>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</si>
  <si>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</si>
  <si>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</si>
  <si>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</si>
  <si>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</si>
  <si>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</si>
  <si>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</si>
  <si>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</si>
  <si>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</si>
  <si>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</si>
  <si>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</si>
  <si>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</si>
  <si>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</si>
  <si>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</si>
  <si>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</si>
  <si>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</si>
  <si>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</si>
  <si>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</si>
  <si>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</si>
  <si>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</si>
  <si>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</si>
  <si>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</si>
  <si>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</si>
  <si>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</si>
  <si>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</si>
  <si>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</si>
  <si>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</si>
  <si>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</si>
  <si>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</si>
  <si>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</si>
  <si>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</si>
  <si>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</si>
  <si>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</si>
  <si>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</si>
  <si>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</si>
  <si>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</si>
  <si>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</si>
  <si>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</si>
  <si>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</si>
  <si>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</si>
  <si>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</si>
  <si>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</si>
  <si>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</si>
  <si>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</si>
  <si>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</si>
  <si>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</si>
  <si>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</si>
  <si>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</si>
  <si>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</si>
  <si>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</si>
  <si>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</si>
  <si>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</si>
  <si>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</si>
  <si>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</si>
  <si>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</si>
  <si>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</si>
  <si>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</si>
  <si>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</si>
  <si>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</si>
  <si>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</si>
  <si>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</si>
  <si>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</si>
  <si>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</si>
  <si>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</si>
  <si>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</si>
  <si>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</si>
  <si>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</si>
  <si>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</si>
  <si>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</si>
  <si>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</si>
  <si>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</si>
  <si>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</si>
  <si>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</si>
  <si>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</si>
  <si>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</si>
  <si>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</si>
  <si>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</si>
  <si>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</si>
  <si>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</si>
  <si>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</si>
  <si>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</si>
  <si>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</si>
  <si>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</si>
  <si>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</si>
  <si>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</si>
  <si>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</si>
  <si>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</si>
  <si>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</si>
  <si>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</si>
  <si>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</si>
  <si>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</si>
  <si>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</si>
  <si>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</si>
  <si>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</si>
  <si>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</si>
  <si>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</si>
  <si>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</si>
  <si>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</si>
  <si>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</si>
  <si>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</si>
  <si>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</si>
  <si>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</si>
  <si>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</si>
  <si>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</si>
  <si>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</si>
  <si>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</si>
  <si>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</si>
  <si>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</si>
  <si>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</si>
  <si>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</si>
  <si>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</si>
  <si>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</si>
  <si>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</si>
  <si>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</si>
  <si>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</si>
  <si>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</si>
  <si>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</si>
  <si>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</si>
  <si>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</si>
  <si>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</si>
  <si>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</si>
  <si>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</si>
  <si>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</si>
  <si>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</si>
  <si>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</si>
  <si>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</si>
  <si>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</si>
  <si>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</si>
  <si>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</si>
  <si>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</si>
  <si>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</si>
  <si>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</si>
  <si>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</si>
  <si>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</si>
  <si>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</si>
  <si>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</si>
  <si>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</si>
  <si>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</si>
  <si>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</si>
  <si>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</si>
  <si>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</si>
  <si>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</si>
  <si>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</si>
  <si>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</si>
  <si>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</si>
  <si>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</si>
  <si>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</si>
  <si>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</si>
  <si>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</si>
  <si>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</si>
  <si>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</si>
  <si>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</si>
  <si>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</si>
  <si>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</si>
  <si>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</si>
  <si>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</si>
  <si>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</si>
  <si>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</si>
  <si>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</si>
  <si>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</si>
  <si>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</si>
  <si>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</si>
  <si>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</si>
  <si>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</si>
  <si>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</si>
  <si>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</si>
  <si>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</si>
  <si>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</si>
  <si>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</si>
  <si>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</si>
  <si>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</si>
  <si>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</si>
  <si>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</si>
  <si>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</si>
  <si>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</si>
  <si>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</si>
  <si>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</si>
  <si>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</si>
  <si>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</si>
  <si>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</si>
  <si>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</si>
  <si>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</si>
  <si>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</si>
  <si>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</si>
  <si>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</si>
  <si>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</si>
  <si>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</si>
  <si>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</si>
  <si>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</si>
  <si>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</si>
  <si>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</si>
  <si>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</si>
  <si>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</si>
  <si>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</si>
  <si>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</si>
  <si>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</si>
  <si>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</si>
  <si>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</si>
  <si>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</si>
  <si>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</si>
  <si>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</si>
  <si>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</si>
  <si>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</si>
  <si>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</si>
  <si>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</si>
  <si>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</si>
  <si>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</si>
  <si>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</si>
  <si>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</si>
  <si>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</si>
  <si>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</si>
  <si>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</si>
  <si>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</si>
  <si>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</si>
  <si>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</si>
  <si>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</si>
  <si>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</si>
  <si>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</si>
  <si>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</si>
  <si>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</si>
  <si>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</si>
  <si>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</si>
  <si>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</si>
  <si>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</si>
  <si>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</si>
  <si>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</si>
  <si>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</si>
  <si>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</si>
  <si>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</si>
  <si>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</si>
  <si>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</si>
  <si>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</si>
  <si>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</si>
  <si>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</si>
  <si>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</si>
  <si>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</si>
  <si>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</si>
  <si>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</si>
  <si>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</si>
  <si>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</si>
  <si>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</si>
  <si>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</si>
  <si>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</si>
  <si>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</si>
  <si>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</si>
  <si>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</si>
  <si>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</si>
  <si>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</si>
  <si>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</si>
  <si>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</si>
  <si>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</si>
  <si>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</si>
  <si>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</si>
  <si>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</si>
  <si>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</si>
  <si>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</si>
  <si>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</si>
  <si>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</si>
  <si>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</si>
  <si>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</si>
  <si>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</si>
  <si>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</si>
  <si>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</si>
  <si>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</si>
  <si>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</si>
  <si>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</si>
  <si>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</si>
  <si>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</si>
  <si>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</si>
  <si>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</si>
  <si>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</si>
  <si>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</si>
  <si>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</si>
  <si>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</si>
  <si>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</si>
  <si>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</si>
  <si>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</si>
  <si>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</si>
  <si>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</si>
  <si>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</si>
  <si>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</si>
  <si>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</si>
  <si>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</si>
  <si>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</si>
  <si>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</si>
  <si>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</si>
  <si>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</si>
  <si>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</si>
  <si>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</si>
  <si>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</si>
  <si>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</si>
  <si>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</si>
  <si>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</si>
  <si>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</si>
  <si>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</si>
  <si>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</si>
  <si>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</si>
  <si>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</si>
  <si>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</si>
  <si>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</si>
  <si>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</si>
  <si>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</si>
  <si>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</si>
  <si>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</si>
  <si>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</si>
  <si>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</si>
  <si>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</si>
  <si>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</si>
  <si>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</si>
  <si>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</si>
  <si>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</si>
  <si>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</si>
  <si>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</si>
  <si>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</si>
  <si>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</si>
  <si>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</si>
  <si>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</si>
  <si>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</si>
  <si>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</si>
  <si>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</si>
  <si>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</si>
  <si>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</si>
  <si>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</si>
  <si>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</si>
  <si>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</si>
  <si>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</si>
  <si>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</si>
  <si>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</si>
  <si>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</si>
  <si>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</si>
  <si>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</si>
  <si>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</si>
  <si>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</si>
  <si>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</si>
  <si>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</si>
  <si>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</si>
  <si>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</si>
  <si>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</si>
  <si>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</si>
  <si>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</si>
  <si>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</si>
  <si>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</si>
  <si>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</si>
  <si>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</si>
  <si>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</si>
  <si>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</si>
  <si>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</si>
  <si>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</si>
  <si>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</si>
  <si>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</si>
  <si>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</si>
  <si>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</si>
  <si>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</si>
  <si>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</si>
  <si>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</si>
  <si>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</si>
  <si>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</si>
  <si>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</si>
  <si>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</si>
  <si>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</si>
  <si>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</si>
  <si>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</si>
  <si>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</si>
  <si>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</si>
  <si>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</si>
  <si>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</si>
  <si>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</si>
  <si>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</si>
  <si>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</si>
  <si>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</si>
  <si>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</si>
  <si>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</si>
  <si>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</si>
  <si>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</si>
  <si>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</si>
  <si>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</si>
  <si>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</si>
  <si>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</si>
  <si>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</si>
  <si>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</si>
  <si>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</si>
  <si>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</si>
  <si>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</si>
  <si>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</si>
  <si>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</si>
  <si>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</si>
  <si>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</si>
  <si>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</si>
  <si>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</si>
  <si>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</si>
  <si>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</si>
  <si>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</si>
  <si>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</si>
  <si>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</si>
  <si>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</si>
  <si>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</si>
  <si>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</si>
  <si>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</si>
  <si>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</si>
  <si>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</si>
  <si>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</si>
  <si>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</si>
  <si>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</si>
  <si>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</si>
  <si>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</si>
  <si>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</si>
  <si>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</si>
  <si>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</si>
  <si>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</si>
  <si>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</si>
  <si>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</si>
  <si>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</si>
  <si>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</si>
  <si>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</si>
  <si>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</si>
  <si>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</si>
  <si>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</si>
  <si>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</si>
  <si>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</si>
  <si>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</si>
  <si>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</si>
  <si>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</si>
  <si>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</si>
  <si>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</si>
  <si>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</si>
  <si>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</si>
  <si>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</si>
  <si>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</si>
  <si>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</si>
  <si>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</si>
  <si>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</si>
  <si>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</si>
  <si>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</si>
  <si>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</si>
  <si>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</si>
  <si>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</si>
  <si>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</si>
  <si>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</si>
  <si>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</si>
  <si>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</si>
  <si>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</si>
  <si>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</si>
  <si>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</si>
  <si>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</si>
  <si>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</si>
  <si>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</si>
  <si>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</si>
  <si>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</si>
  <si>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</si>
  <si>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</si>
  <si>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</si>
  <si>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</si>
  <si>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</si>
  <si>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</si>
  <si>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</si>
  <si>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</si>
  <si>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</si>
  <si>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</si>
  <si>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</si>
  <si>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</si>
  <si>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</si>
  <si>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</si>
  <si>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</si>
  <si>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</si>
  <si>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</si>
  <si>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</si>
  <si>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</si>
  <si>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</si>
  <si>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</si>
  <si>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</si>
  <si>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</si>
  <si>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</si>
  <si>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</si>
  <si>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</si>
  <si>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</si>
  <si>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</si>
  <si>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</si>
  <si>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</si>
  <si>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</si>
  <si>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</si>
  <si>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</si>
  <si>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</si>
  <si>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</si>
  <si>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</si>
  <si>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</si>
  <si>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</si>
  <si>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</si>
  <si>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</si>
  <si>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</si>
  <si>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</si>
  <si>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</si>
  <si>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</si>
  <si>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</si>
  <si>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</si>
  <si>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</si>
  <si>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</si>
  <si>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</si>
  <si>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</si>
  <si>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</si>
  <si>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</si>
  <si>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</si>
  <si>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</si>
  <si>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</si>
  <si>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</si>
  <si>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</si>
  <si>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</si>
  <si>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</si>
  <si>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</si>
  <si>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</si>
  <si>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</si>
  <si>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</si>
  <si>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</si>
  <si>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</si>
  <si>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</si>
  <si>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</si>
  <si>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</si>
  <si>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</si>
  <si>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</si>
  <si>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</si>
  <si>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</si>
  <si>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</si>
  <si>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</si>
  <si>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</si>
  <si>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</si>
  <si>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</si>
  <si>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</si>
  <si>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</si>
  <si>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</si>
  <si>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</si>
  <si>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</si>
  <si>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</si>
  <si>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</si>
  <si>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</si>
  <si>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</si>
  <si>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</si>
  <si>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</si>
  <si>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</si>
  <si>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</si>
  <si>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</si>
  <si>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</si>
  <si>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</si>
  <si>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</si>
  <si>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</si>
  <si>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</si>
  <si>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</si>
  <si>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</si>
  <si>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</si>
  <si>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</si>
  <si>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</si>
  <si>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</si>
  <si>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</si>
  <si>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</si>
  <si>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</si>
  <si>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</si>
  <si>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</si>
  <si>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</si>
  <si>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</si>
  <si>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</si>
  <si>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</si>
  <si>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</si>
  <si>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</si>
  <si>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</si>
  <si>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</si>
  <si>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</si>
  <si>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</si>
  <si>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</si>
  <si>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</si>
  <si>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</si>
  <si>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</si>
  <si>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</si>
  <si>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</si>
  <si>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</si>
  <si>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</si>
  <si>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</si>
  <si>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</si>
  <si>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</si>
  <si>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</si>
  <si>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</si>
  <si>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</si>
  <si>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</si>
  <si>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</si>
  <si>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</si>
  <si>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</si>
  <si>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</si>
  <si>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</si>
  <si>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</si>
  <si>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</si>
  <si>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</si>
  <si>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</si>
  <si>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</si>
  <si>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</si>
  <si>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</si>
  <si>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</si>
  <si>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</si>
  <si>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</si>
  <si>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</si>
  <si>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</si>
  <si>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</si>
  <si>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</si>
  <si>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</si>
  <si>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</si>
  <si>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</si>
  <si>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</si>
  <si>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</si>
  <si>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</si>
  <si>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</si>
  <si>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</si>
  <si>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</si>
  <si>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</si>
  <si>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</si>
  <si>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</si>
  <si>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</si>
  <si>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</si>
  <si>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</si>
  <si>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</si>
  <si>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</si>
  <si>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</si>
  <si>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</si>
  <si>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</si>
  <si>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</si>
  <si>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</si>
  <si>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</si>
  <si>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</si>
  <si>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</si>
  <si>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</si>
  <si>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</si>
  <si>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</si>
  <si>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</si>
  <si>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</si>
  <si>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</si>
  <si>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</si>
  <si>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</si>
  <si>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</si>
  <si>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</si>
  <si>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</si>
  <si>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</si>
  <si>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</si>
  <si>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</si>
  <si>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</si>
  <si>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</si>
  <si>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</si>
  <si>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</si>
  <si>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</si>
  <si>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</si>
  <si>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</si>
  <si>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</si>
  <si>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</si>
  <si>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</si>
  <si>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</si>
  <si>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</si>
  <si>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</si>
  <si>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</si>
  <si>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</si>
  <si>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</si>
  <si>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</si>
  <si>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</si>
  <si>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</si>
  <si>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</si>
  <si>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</si>
  <si>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</si>
  <si>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</si>
  <si>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</si>
  <si>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</si>
  <si>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</si>
  <si>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</si>
  <si>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</si>
  <si>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</si>
  <si>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</si>
  <si>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</si>
  <si>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</si>
  <si>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</si>
  <si>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</si>
  <si>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</si>
  <si>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</si>
  <si>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</si>
  <si>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</si>
  <si>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</si>
  <si>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</si>
  <si>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</si>
  <si>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</si>
  <si>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</si>
  <si>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</si>
  <si>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</si>
  <si>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</si>
  <si>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</si>
  <si>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</si>
  <si>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</si>
  <si>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</si>
  <si>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</si>
  <si>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</si>
  <si>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</si>
  <si>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</si>
  <si>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</si>
  <si>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</si>
  <si>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</si>
  <si>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</si>
  <si>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</si>
  <si>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</si>
  <si>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</si>
  <si>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</si>
  <si>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</si>
  <si>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</si>
  <si>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</si>
  <si>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</si>
  <si>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</si>
  <si>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</si>
  <si>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</si>
  <si>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</si>
  <si>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</si>
  <si>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</si>
  <si>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</si>
  <si>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</si>
  <si>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</si>
  <si>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straat 1, 1000 Gaurain-Ramecroix</t>
  </si>
  <si>
    <t>801/64/2010/13RE-1234/0</t>
  </si>
  <si>
    <t>AB-3A1</t>
  </si>
  <si>
    <t>AC 20 onderlaag 50/70</t>
  </si>
  <si>
    <t>Koudekerk-aan-de-Rijn</t>
  </si>
  <si>
    <t>Beez</t>
  </si>
  <si>
    <t>Soignies</t>
  </si>
  <si>
    <t>Neufvilles</t>
  </si>
  <si>
    <t>Genk</t>
  </si>
  <si>
    <t>Ankersmit Maastricht</t>
  </si>
  <si>
    <t>Productieproces</t>
  </si>
  <si>
    <t>Rosenberg, D.</t>
  </si>
  <si>
    <t>Uintah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</si>
</sst>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2.4783236052484865</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0.79492828266419069</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1.2669345113149411</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-3.1584157788202951</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0.13931401513313879</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1.2132833378948227</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0.30482329874994868</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1.9414867072191986</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4.0601947244784678E-2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5.4374573107332999E-2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8.7637191506807224E-2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1.9422888398684893E-2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4.15725579247819E-2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9.9220169349041432E-2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4.3204172701859223E-2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1.5831184321924747E-7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3.033841256760858E-3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0.33471715140415131</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0.17580410662295917</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4.9895984892630071E-2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14.31697414869806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13.30957790493423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0</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18.871401373599461</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-23.896691402857499</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3.1715952869327992</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2.2293018000920592</c:v>
                </c:pt>
                <c:pt idx="1">
                  <c:v>11.898110690724449</c:v>
                </c:pt>
                <c:pt idx="2">
                  <c:v>11.7448</c:v>
                </c:pt>
                <c:pt idx="3">
                  <c:v>0.92165995176527982</c:v>
                </c:pt>
                <c:pt idx="4">
                  <c:v>0.3428723486060043</c:v>
                </c:pt>
                <c:pt idx="5">
                  <c:v>0</c:v>
                </c:pt>
                <c:pt idx="6">
                  <c:v>0.16679033795373477</c:v>
                </c:pt>
                <c:pt idx="7">
                  <c:v>0</c:v>
                </c:pt>
                <c:pt idx="8">
                  <c:v>0</c:v>
                </c:pt>
                <c:pt idx="9">
                  <c:v>0</c:v>
                </c:pt>
                <c:pt idx="10">
                  <c:v>0</c:v>
                </c:pt>
                <c:pt idx="11">
                  <c:v>0.48980726244449996</c:v>
                </c:pt>
                <c:pt idx="12">
                  <c:v>18.871401373599461</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2.4783236052484865</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0.79492828266419069</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1.2669345113149411</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0.18652132353678874</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-3.1584157788202951</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0.14748710339613746</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1.3486177419758498</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0.30645216845007289</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2.0224432376665455</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4.2262371780982827E-2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5.6831817143812781E-2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9.1315683165323486E-2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1.9933803751081586E-2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4.3667291199879589E-2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9.9546250726632243E-2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4.3599844297672559E-2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1.6319657439144232E-7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3.1708115725825599E-3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0.36733696308377928</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0.19140940124249031</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5.0885959209020525E-2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2.2293018000920592</c:v>
                </c:pt>
                <c:pt idx="1">
                  <c:v>11.898110690724449</c:v>
                </c:pt>
                <c:pt idx="2">
                  <c:v>11.7448</c:v>
                </c:pt>
                <c:pt idx="3">
                  <c:v>0.92165995176527982</c:v>
                </c:pt>
                <c:pt idx="4">
                  <c:v>0.3428723486060043</c:v>
                </c:pt>
                <c:pt idx="5">
                  <c:v>0</c:v>
                </c:pt>
                <c:pt idx="6">
                  <c:v>0.16679033795373477</c:v>
                </c:pt>
                <c:pt idx="7">
                  <c:v>0</c:v>
                </c:pt>
                <c:pt idx="8">
                  <c:v>0</c:v>
                </c:pt>
                <c:pt idx="9">
                  <c:v>0</c:v>
                </c:pt>
                <c:pt idx="10">
                  <c:v>0</c:v>
                </c:pt>
                <c:pt idx="11">
                  <c:v>0.48980726244449996</c:v>
                </c:pt>
                <c:pt idx="12">
                  <c:v>18.871401373599461</c:v>
                </c:pt>
                <c:pt idx="13">
                  <c:v>3.1715952869327992</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14.31697414869806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13.30957790493423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0</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18.871401373599461</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3.1715952869327992</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-23.896691402857499</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0.47583813220770937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0.15262623027152464</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0</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0.24325142617246875</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3.5812094119063428E-2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-0.60641582953349649</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2.7488590365500283</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2.5554389577473722</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3.6233090637310967</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0.60894629509109743</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-4.5881647493486399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2.831752385205839E-2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0.25893460645936311</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5.8838816342413988E-2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0.38830910163197668</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8.1143753819487019E-3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1.0911708891612054E-2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1.7532611167742112E-2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3.8272903202076648E-3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8.3841199103768804E-3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1.9112880139513393E-2</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8.37117010515313E-3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3.1333742283156925E-8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6.0879582193585139E-4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7.0528696912085631E-2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3.6750605038558148E-2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9.7701041681319423E-3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0.42802594561767537</c:v>
                </c:pt>
                <c:pt idx="1">
                  <c:v>2.2844372526190941</c:v>
                </c:pt>
                <c:pt idx="2">
                  <c:v>2.2550015999999999</c:v>
                </c:pt>
                <c:pt idx="3">
                  <c:v>0.17695871073893374</c:v>
                </c:pt>
                <c:pt idx="4">
                  <c:v>6.5831490932352826E-2</c:v>
                </c:pt>
                <c:pt idx="5">
                  <c:v>0</c:v>
                </c:pt>
                <c:pt idx="6">
                  <c:v>3.2023744887117074E-2</c:v>
                </c:pt>
                <c:pt idx="7">
                  <c:v>0</c:v>
                </c:pt>
                <c:pt idx="8">
                  <c:v>0</c:v>
                </c:pt>
                <c:pt idx="9">
                  <c:v>0</c:v>
                </c:pt>
                <c:pt idx="10">
                  <c:v>0</c:v>
                </c:pt>
                <c:pt idx="11">
                  <c:v>9.4042994389343992E-2</c:v>
                </c:pt>
                <c:pt idx="12">
                  <c:v>3.6233090637310967</c:v>
                </c:pt>
                <c:pt idx="13">
                  <c:v>0.60894629509109743</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0.10547841845640285</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1.6492295492050555</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2.4497248757155667E-2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0.99163733045861391</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2.5731055321043472E-2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3.129617952400409E-2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4.6776364759520898E-2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7.0857500119668616E-3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3.6594861721599987E-2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4.5958959177418001E-3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5.2206753269547906E-3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8.9576887050239982E-8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1.6604477693456709E-3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0.5920729959725175</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0.19416066859318221</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1.4388939363782398E-2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63.39721505452799</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1040</v>
      </c>
      <c r="C6" s="346">
        <v>2221</v>
      </c>
      <c r="F6" s="93"/>
      <c r="G6" s="93"/>
      <c r="H6" s="93"/>
    </row>
    <row r="7" spans="1:13" x14ac:dyDescent="0.35">
      <c r="A7" s="1" t="s">
        <v>9</v>
      </c>
      <c r="B7" s="230" t="s">
        <v>1041</v>
      </c>
      <c r="C7" s="346" t="s">
        <v>10</v>
      </c>
      <c r="F7" s="93"/>
      <c r="G7" s="93"/>
      <c r="H7" s="93"/>
    </row>
    <row r="8" spans="1:13" x14ac:dyDescent="0.35">
      <c r="A8" s="1" t="s">
        <v>11</v>
      </c>
      <c r="B8" s="230" t="s">
        <v>1042</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1039</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0.8</v>
      </c>
      <c r="D17" s="24" t="str">
        <f>IF(AND(C17 + C18 = 100%, OR(B18 &lt;&gt; "No", C18 = 0%)), "Correct", IF(B18 = "No", "Error", "Error: Check %"))</f>
        <v>Correct</v>
      </c>
    </row>
    <row r="18" spans="1:21" ht="14" customHeight="1" x14ac:dyDescent="0.35">
      <c r="A18" s="1" t="s">
        <v>22</v>
      </c>
      <c r="B18" s="232" t="s">
        <v>25</v>
      </c>
      <c r="C18" s="235">
        <v>0.2</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82</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5.0999999999999997E-2</v>
      </c>
      <c r="C40" s="1"/>
      <c r="D40" s="9"/>
      <c r="E40" s="9"/>
      <c r="F40" s="9"/>
      <c r="G40" s="232" t="s">
        <v>27</v>
      </c>
      <c r="H40" s="1" t="s">
        <v>1044</v>
      </c>
      <c r="I40" s="154" t="str">
        <f t="shared" ref="I40:I57" si="0">IF($B40=0%,"Do not fill Transport", "Fill Transport")</f>
        <v>Fill Transport</v>
      </c>
      <c r="J40" s="232" t="s">
        <v>69</v>
      </c>
      <c r="K40" s="232" t="s">
        <v>489</v>
      </c>
      <c r="L40" s="240">
        <v>115</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36</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32</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0</v>
      </c>
      <c r="M49" s="232" t="s">
        <v>27</v>
      </c>
      <c r="N49" s="232" t="s">
        <v>27</v>
      </c>
      <c r="O49" s="240">
        <v>0</v>
      </c>
      <c r="P49" s="232" t="s">
        <v>27</v>
      </c>
      <c r="Q49" s="232" t="s">
        <v>27</v>
      </c>
      <c r="R49" s="232">
        <v>0</v>
      </c>
      <c r="T49" s="339">
        <f>+IF(B49&gt;0,IF(C49="No_filler",1,0),0)</f>
        <v>0</v>
      </c>
      <c r="U49" s="339">
        <f t="shared" si="1"/>
        <v>2</v>
      </c>
    </row>
    <row r="50" spans="1:21" x14ac:dyDescent="0.35">
      <c r="A50" s="13" t="s">
        <v>80</v>
      </c>
      <c r="B50" s="238">
        <v>0.01</v>
      </c>
      <c r="C50" s="232" t="s">
        <v>78</v>
      </c>
      <c r="D50" s="45"/>
      <c r="E50" s="45"/>
      <c r="F50" s="45"/>
      <c r="G50" s="232" t="s">
        <v>27</v>
      </c>
      <c r="H50" s="1" t="s">
        <v>1049</v>
      </c>
      <c r="I50" s="154" t="str">
        <f t="shared" si="0"/>
        <v>Fill Transport</v>
      </c>
      <c r="J50" s="232" t="s">
        <v>69</v>
      </c>
      <c r="K50" s="232" t="s">
        <v>489</v>
      </c>
      <c r="L50" s="240">
        <v>0</v>
      </c>
      <c r="M50" s="232" t="s">
        <v>27</v>
      </c>
      <c r="N50" s="232" t="s">
        <v>27</v>
      </c>
      <c r="O50" s="240">
        <v>0</v>
      </c>
      <c r="P50" s="232" t="s">
        <v>27</v>
      </c>
      <c r="Q50" s="232" t="s">
        <v>27</v>
      </c>
      <c r="R50" s="232">
        <v>0</v>
      </c>
      <c r="T50" s="339">
        <f>+IF(B50&gt;0,IF(C50="No_filler",1,0),0)</f>
        <v>0</v>
      </c>
      <c r="U50" s="339">
        <f t="shared" si="1"/>
        <v>2</v>
      </c>
    </row>
    <row r="51" spans="1:21" x14ac:dyDescent="0.35">
      <c r="A51" s="1" t="s">
        <v>81</v>
      </c>
      <c r="B51" s="238">
        <v>0.3</v>
      </c>
      <c r="C51" s="1" t="s">
        <v>213</v>
      </c>
      <c r="D51" s="45"/>
      <c r="E51" s="45"/>
      <c r="F51" s="45"/>
      <c r="G51" s="232" t="s">
        <v>27</v>
      </c>
      <c r="H51" s="1"/>
      <c r="I51" s="154" t="str">
        <f t="shared" si="0"/>
        <v>Fill Transport</v>
      </c>
      <c r="J51" s="232" t="s">
        <v>69</v>
      </c>
      <c r="K51" s="232" t="s">
        <v>489</v>
      </c>
      <c r="L51" s="240">
        <v>0</v>
      </c>
      <c r="M51" s="232" t="s">
        <v>27</v>
      </c>
      <c r="N51" s="232" t="s">
        <v>27</v>
      </c>
      <c r="O51" s="240">
        <v>0</v>
      </c>
      <c r="P51" s="232" t="s">
        <v>27</v>
      </c>
      <c r="Q51" s="232" t="s">
        <v>27</v>
      </c>
      <c r="R51" s="240">
        <v>0</v>
      </c>
      <c r="U51" s="339">
        <f t="shared" si="1"/>
        <v>2</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2E-3</v>
      </c>
      <c r="C55" s="232" t="s">
        <v>91</v>
      </c>
      <c r="D55" s="147"/>
      <c r="E55" s="147"/>
      <c r="F55" s="147"/>
      <c r="G55" s="232" t="s">
        <v>27</v>
      </c>
      <c r="H55" s="1" t="s">
        <v>1050</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1</v>
      </c>
      <c r="U55" s="339">
        <f t="shared" si="1"/>
        <v>0</v>
      </c>
    </row>
    <row r="56" spans="1:21" x14ac:dyDescent="0.35">
      <c r="A56" s="1" t="s">
        <v>93</v>
      </c>
      <c r="B56" s="238">
        <v>2.9999999999999997E-4</v>
      </c>
      <c r="C56" s="232" t="s">
        <v>91</v>
      </c>
      <c r="D56" s="147"/>
      <c r="E56" s="147"/>
      <c r="F56" s="147"/>
      <c r="G56" s="232" t="s">
        <v>27</v>
      </c>
      <c r="H56" s="1" t="s">
        <v>1051</v>
      </c>
      <c r="I56" s="154" t="str">
        <f t="shared" si="0"/>
        <v>Fill Transport</v>
      </c>
      <c r="J56" s="232" t="s">
        <v>69</v>
      </c>
      <c r="K56" s="232" t="s">
        <v>489</v>
      </c>
      <c r="L56" s="240">
        <v>2025</v>
      </c>
      <c r="M56" s="232" t="s">
        <v>27</v>
      </c>
      <c r="N56" s="232" t="s">
        <v>27</v>
      </c>
      <c r="O56" s="240">
        <v>0</v>
      </c>
      <c r="P56" s="232" t="s">
        <v>27</v>
      </c>
      <c r="Q56" s="232" t="s">
        <v>27</v>
      </c>
      <c r="R56" s="240">
        <v>0</v>
      </c>
      <c r="T56" s="339">
        <f>+IF(B56&gt;0,IF(C56="No_additives",1,0),0)</f>
        <v>1</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0.99895999999999985</v>
      </c>
      <c r="C58" s="149"/>
      <c r="D58" s="357" t="s">
        <v>97</v>
      </c>
      <c r="E58" s="357"/>
      <c r="F58" s="357"/>
      <c r="G58" s="166">
        <f>+'A3 - Production '!C189</f>
        <v>0.34877497469471297</v>
      </c>
      <c r="I58" s="149"/>
      <c r="J58" s="149"/>
      <c r="K58" s="149"/>
      <c r="L58" s="149" t="str">
        <f>IF(U58=0, "Correct", "Error: Fill in all transport information")</f>
        <v>Error: Fill in all transport information</v>
      </c>
      <c r="M58" s="149"/>
      <c r="N58" s="149"/>
      <c r="O58" s="149"/>
      <c r="P58" s="149"/>
      <c r="Q58" s="149"/>
      <c r="R58" s="149"/>
      <c r="U58" s="339">
        <f>+SUM(T39:U57)</f>
        <v>8</v>
      </c>
    </row>
    <row r="59" spans="1:21" ht="16" x14ac:dyDescent="0.4">
      <c r="B59" s="253" t="str">
        <f>IF(AND(B58&gt;=99.9%, B58&lt;=100.1%), "Correct", "Error: Percentage weight of Mixture")</f>
        <v>Error: Percentage weight of Mixture</v>
      </c>
      <c r="C59" t="str">
        <f>+IF(SUM(T39:T57)=0,"Correct","Error: Select material type")</f>
        <v>Error: Select material type</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8</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1</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3.4106051316484809E-13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9.0000000000003411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7.5317857737979527E-2</v>
      </c>
      <c r="D4" s="1">
        <f>'C3'' - Secondary Raw Material '!F320</f>
        <v>2.132393117742819E-4</v>
      </c>
      <c r="E4" s="1">
        <f>'A2 - Transport'!Z118</f>
        <v>2.2994155932816375E-2</v>
      </c>
      <c r="F4" s="1">
        <f>'C2''- Transport Secondary'!H58</f>
        <v>0</v>
      </c>
      <c r="G4" s="1">
        <f>'A3 - Production '!D206</f>
        <v>2.6407960588438178E-2</v>
      </c>
      <c r="H4" s="1">
        <f>'A4 - Transport'!B17</f>
        <v>4.7295161823999992E-3</v>
      </c>
      <c r="I4" s="1">
        <f>'A5 - Construction'!E139</f>
        <v>1.4781911191886577E-3</v>
      </c>
      <c r="J4" s="1">
        <f>'C1 - Deconstruction'!B87</f>
        <v>1.1217073342617407E-3</v>
      </c>
      <c r="K4" s="1">
        <f>'D- Benefits &amp; Burdens'!N161</f>
        <v>-9.617971875352388E-2</v>
      </c>
      <c r="L4" s="1">
        <f>+SUM(C4:G4)</f>
        <v>0.12493321357100835</v>
      </c>
      <c r="M4" s="1">
        <f t="shared" ref="M4:M22" si="0">SUM(C4:J4)</f>
        <v>0.13226262820685872</v>
      </c>
      <c r="Q4" s="67"/>
    </row>
    <row r="5" spans="1:17" x14ac:dyDescent="0.35">
      <c r="A5" s="39" t="s">
        <v>164</v>
      </c>
      <c r="B5" s="39" t="s">
        <v>165</v>
      </c>
      <c r="C5" s="1">
        <f>'A1 - Raw Material Supply'!Z115</f>
        <v>14.316974148698064</v>
      </c>
      <c r="D5" s="1">
        <f>'C3'' - Secondary Raw Material '!F321</f>
        <v>0.16679033795373477</v>
      </c>
      <c r="E5" s="1">
        <f>'A2 - Transport'!Z119</f>
        <v>13.30957790493423</v>
      </c>
      <c r="F5" s="1">
        <f>'C2''- Transport Secondary'!H59</f>
        <v>0</v>
      </c>
      <c r="G5" s="1">
        <f>'A3 - Production '!D207</f>
        <v>18.871401373599461</v>
      </c>
      <c r="H5" s="1">
        <f>'A4 - Transport'!B18</f>
        <v>3.1715952869327992</v>
      </c>
      <c r="I5" s="1">
        <f>'A5 - Construction'!E140</f>
        <v>1.1562033017188762</v>
      </c>
      <c r="J5" s="1">
        <f>'C1 - Deconstruction'!B88</f>
        <v>0.87737079908012983</v>
      </c>
      <c r="K5" s="1">
        <f>'D- Benefits &amp; Burdens'!N162</f>
        <v>-23.896691402857499</v>
      </c>
      <c r="L5" s="1">
        <f t="shared" ref="L5:L22" si="1">+SUM(C5:G5)</f>
        <v>46.664743765185491</v>
      </c>
      <c r="M5" s="1">
        <f t="shared" si="0"/>
        <v>51.869913152917299</v>
      </c>
      <c r="Q5" s="67"/>
    </row>
    <row r="6" spans="1:17" x14ac:dyDescent="0.35">
      <c r="A6" s="39" t="s">
        <v>166</v>
      </c>
      <c r="B6" s="39" t="s">
        <v>165</v>
      </c>
      <c r="C6" s="1">
        <f>'A1 - Raw Material Supply'!Z116</f>
        <v>5.6103432815942288E-2</v>
      </c>
      <c r="D6" s="1">
        <f>'C3'' - Secondary Raw Material '!F322</f>
        <v>3.4471332246079752E-5</v>
      </c>
      <c r="E6" s="1">
        <f>'A2 - Transport'!Z120</f>
        <v>6.1373750829551077E-3</v>
      </c>
      <c r="F6" s="1">
        <f>'C2''- Transport Secondary'!H60</f>
        <v>0</v>
      </c>
      <c r="G6" s="1">
        <f>'A3 - Production '!D208</f>
        <v>6.28795666966626E-2</v>
      </c>
      <c r="H6" s="1">
        <f>'A4 - Transport'!B19</f>
        <v>1.4822628417599998E-3</v>
      </c>
      <c r="I6" s="1">
        <f>'A5 - Construction'!E141</f>
        <v>2.3895789556239896E-4</v>
      </c>
      <c r="J6" s="1">
        <f>'C1 - Deconstruction'!B89</f>
        <v>1.8133028980664895E-4</v>
      </c>
      <c r="K6" s="1">
        <f>'D- Benefits &amp; Burdens'!N163</f>
        <v>-7.0193943476429252E-2</v>
      </c>
      <c r="L6" s="1">
        <f t="shared" si="1"/>
        <v>0.12515484592780607</v>
      </c>
      <c r="M6" s="1">
        <f t="shared" si="0"/>
        <v>0.12705739695493512</v>
      </c>
      <c r="Q6" s="67"/>
    </row>
    <row r="7" spans="1:17" x14ac:dyDescent="0.35">
      <c r="A7" s="39" t="s">
        <v>167</v>
      </c>
      <c r="B7" s="39" t="s">
        <v>165</v>
      </c>
      <c r="C7" s="1">
        <f>'A1 - Raw Material Supply'!Z117</f>
        <v>14.261926891262158</v>
      </c>
      <c r="D7" s="1">
        <f>'C3'' - Secondary Raw Material '!F323</f>
        <v>0.16674849071700243</v>
      </c>
      <c r="E7" s="1">
        <f>'A2 - Transport'!Z121</f>
        <v>13.302015460550985</v>
      </c>
      <c r="F7" s="1">
        <f>'C2''- Transport Secondary'!H61</f>
        <v>0</v>
      </c>
      <c r="G7" s="1">
        <f>'A3 - Production '!D209</f>
        <v>18.798454610649674</v>
      </c>
      <c r="H7" s="1">
        <f>'A4 - Transport'!B20</f>
        <v>3.1698607527263993</v>
      </c>
      <c r="I7" s="1">
        <f>'A5 - Construction'!E142</f>
        <v>1.1559132134927155</v>
      </c>
      <c r="J7" s="1">
        <f>'C1 - Deconstruction'!B90</f>
        <v>0.87715066916144513</v>
      </c>
      <c r="K7" s="1">
        <f>'D- Benefits &amp; Burdens'!N164</f>
        <v>-23.826124999939712</v>
      </c>
      <c r="L7" s="1">
        <f t="shared" si="1"/>
        <v>46.529145453179822</v>
      </c>
      <c r="M7" s="1">
        <f t="shared" si="0"/>
        <v>51.732070088560384</v>
      </c>
      <c r="Q7" s="67"/>
    </row>
    <row r="8" spans="1:17" x14ac:dyDescent="0.35">
      <c r="A8" s="39" t="s">
        <v>168</v>
      </c>
      <c r="B8" s="39" t="s">
        <v>165</v>
      </c>
      <c r="C8" s="1">
        <f>'A1 - Raw Material Supply'!Z118</f>
        <v>7.0322246199613359E-3</v>
      </c>
      <c r="D8" s="1">
        <f>'C3'' - Secondary Raw Material '!F324</f>
        <v>7.375904486254632E-6</v>
      </c>
      <c r="E8" s="1">
        <f>'A2 - Transport'!Z122</f>
        <v>1.4250530762065956E-3</v>
      </c>
      <c r="F8" s="1">
        <f>'C2''- Transport Secondary'!H62</f>
        <v>0</v>
      </c>
      <c r="G8" s="1">
        <f>'A3 - Production '!D210</f>
        <v>1.0067196253125181E-2</v>
      </c>
      <c r="H8" s="1">
        <f>'A4 - Transport'!B21</f>
        <v>2.5226736879999995E-4</v>
      </c>
      <c r="I8" s="1">
        <f>'A5 - Construction'!E143</f>
        <v>5.1130330598264246E-5</v>
      </c>
      <c r="J8" s="1">
        <f>'C1 - Deconstruction'!B91</f>
        <v>3.8799628878016996E-5</v>
      </c>
      <c r="K8" s="1">
        <f>'D- Benefits &amp; Burdens'!N165</f>
        <v>-8.8989877307978672E-3</v>
      </c>
      <c r="L8" s="1">
        <f t="shared" si="1"/>
        <v>1.8531849853779366E-2</v>
      </c>
      <c r="M8" s="1">
        <f t="shared" si="0"/>
        <v>1.887404718205565E-2</v>
      </c>
      <c r="Q8" s="67"/>
    </row>
    <row r="9" spans="1:17" x14ac:dyDescent="0.35">
      <c r="A9" s="39" t="s">
        <v>169</v>
      </c>
      <c r="B9" s="39" t="s">
        <v>170</v>
      </c>
      <c r="C9" s="1">
        <f>'A1 - Raw Material Supply'!Z119</f>
        <v>647.4558725354392</v>
      </c>
      <c r="D9" s="1">
        <f>'C3'' - Secondary Raw Material '!F325</f>
        <v>7.3693079401887573E-2</v>
      </c>
      <c r="E9" s="1">
        <f>'A2 - Transport'!Z123</f>
        <v>11.497779506011502</v>
      </c>
      <c r="F9" s="1">
        <f>'C2''- Transport Secondary'!H63</f>
        <v>0</v>
      </c>
      <c r="G9" s="1">
        <f>'A3 - Production '!D211</f>
        <v>18.886970328251991</v>
      </c>
      <c r="H9" s="1">
        <f>'A4 - Transport'!B22</f>
        <v>2.7240430258607997</v>
      </c>
      <c r="I9" s="1">
        <f>'A5 - Construction'!E144</f>
        <v>0.51084602839481119</v>
      </c>
      <c r="J9" s="1">
        <f>'C1 - Deconstruction'!B92</f>
        <v>0.38764928924986203</v>
      </c>
      <c r="K9" s="1">
        <f>'D- Benefits &amp; Burdens'!N166</f>
        <v>-684.90292090092066</v>
      </c>
      <c r="L9" s="1">
        <f t="shared" si="1"/>
        <v>677.91431544910461</v>
      </c>
      <c r="M9" s="1">
        <f t="shared" si="0"/>
        <v>681.53685379261015</v>
      </c>
      <c r="Q9" s="67"/>
    </row>
    <row r="10" spans="1:17" ht="29" x14ac:dyDescent="0.35">
      <c r="A10" s="39" t="s">
        <v>171</v>
      </c>
      <c r="B10" s="39" t="s">
        <v>172</v>
      </c>
      <c r="C10" s="1">
        <f>'A1 - Raw Material Supply'!Z120</f>
        <v>1051.3235161589312</v>
      </c>
      <c r="D10" s="1">
        <f>'C3'' - Secondary Raw Material '!F326</f>
        <v>2.2154215403498743</v>
      </c>
      <c r="E10" s="1">
        <f>'A2 - Transport'!Z124</f>
        <v>178.61750993633947</v>
      </c>
      <c r="F10" s="1">
        <f>'C2''- Transport Secondary'!H64</f>
        <v>0</v>
      </c>
      <c r="G10" s="1">
        <f>'A3 - Production '!D212</f>
        <v>439.32217447362336</v>
      </c>
      <c r="H10" s="1">
        <f>'A4 - Transport'!B23</f>
        <v>42.686375152191985</v>
      </c>
      <c r="I10" s="1">
        <f>'A5 - Construction'!E145</f>
        <v>15.357470529031247</v>
      </c>
      <c r="J10" s="1">
        <f>'C1 - Deconstruction'!B93</f>
        <v>11.65382953834693</v>
      </c>
      <c r="K10" s="1">
        <f>'D- Benefits &amp; Burdens'!N167</f>
        <v>-1228.0875578149492</v>
      </c>
      <c r="L10" s="1">
        <f t="shared" si="1"/>
        <v>1671.4786221092438</v>
      </c>
      <c r="M10" s="1">
        <f t="shared" si="0"/>
        <v>1741.1762973288137</v>
      </c>
      <c r="Q10" s="67"/>
    </row>
    <row r="11" spans="1:17" ht="29" x14ac:dyDescent="0.35">
      <c r="A11" s="39" t="s">
        <v>173</v>
      </c>
      <c r="B11" s="39" t="s">
        <v>174</v>
      </c>
      <c r="C11" s="1">
        <f>'A1 - Raw Material Supply'!Z121</f>
        <v>3.5764203214796363E-4</v>
      </c>
      <c r="D11" s="1">
        <f>'C3'' - Secondary Raw Material '!F327</f>
        <v>1.7631993026448645E-6</v>
      </c>
      <c r="E11" s="1">
        <f>'A2 - Transport'!Z125</f>
        <v>3.39329653269719E-4</v>
      </c>
      <c r="F11" s="1">
        <f>'C2''- Transport Secondary'!H65</f>
        <v>0</v>
      </c>
      <c r="G11" s="1">
        <f>'A3 - Production '!D213</f>
        <v>1.6358770818547918E-3</v>
      </c>
      <c r="H11" s="1">
        <f>'A4 - Transport'!B24</f>
        <v>7.3976784047999984E-5</v>
      </c>
      <c r="I11" s="1">
        <f>'A5 - Construction'!E146</f>
        <v>1.2222631600350229E-5</v>
      </c>
      <c r="J11" s="1">
        <f>'C1 - Deconstruction'!B94</f>
        <v>9.2749951830432911E-6</v>
      </c>
      <c r="K11" s="1">
        <f>'D- Benefits &amp; Burdens'!N168</f>
        <v>-8.9337221802916506E-4</v>
      </c>
      <c r="L11" s="1">
        <f t="shared" si="1"/>
        <v>2.3346119665751193E-3</v>
      </c>
      <c r="M11" s="1">
        <f t="shared" si="0"/>
        <v>2.4300863774065129E-3</v>
      </c>
      <c r="Q11" s="67"/>
    </row>
    <row r="12" spans="1:17" ht="29" x14ac:dyDescent="0.35">
      <c r="A12" s="39" t="s">
        <v>175</v>
      </c>
      <c r="B12" s="39" t="s">
        <v>176</v>
      </c>
      <c r="C12" s="1">
        <f>'A1 - Raw Material Supply'!Z122</f>
        <v>2.3555679930886111E-2</v>
      </c>
      <c r="D12" s="1">
        <f>'C3'' - Secondary Raw Material '!F328</f>
        <v>4.8220355792551409E-5</v>
      </c>
      <c r="E12" s="1">
        <f>'A2 - Transport'!Z126</f>
        <v>5.904365473747895E-3</v>
      </c>
      <c r="F12" s="1">
        <f>'C2''- Transport Secondary'!H66</f>
        <v>0</v>
      </c>
      <c r="G12" s="1">
        <f>'A3 - Production '!D214</f>
        <v>6.3128212528502405E-3</v>
      </c>
      <c r="H12" s="1">
        <f>'A4 - Transport'!B25</f>
        <v>1.0308707782399997E-3</v>
      </c>
      <c r="I12" s="1">
        <f>'A5 - Construction'!E147</f>
        <v>3.3426717195615875E-4</v>
      </c>
      <c r="J12" s="1">
        <f>'C1 - Deconstruction'!B95</f>
        <v>2.5365457383613185E-4</v>
      </c>
      <c r="K12" s="1">
        <f>'D- Benefits &amp; Burdens'!N169</f>
        <v>-3.0534706746921204E-2</v>
      </c>
      <c r="L12" s="1">
        <f t="shared" si="1"/>
        <v>3.5821087013276798E-2</v>
      </c>
      <c r="M12" s="1">
        <f t="shared" si="0"/>
        <v>3.7439879537309081E-2</v>
      </c>
      <c r="Q12" s="67"/>
    </row>
    <row r="13" spans="1:17" x14ac:dyDescent="0.35">
      <c r="A13" s="39" t="s">
        <v>177</v>
      </c>
      <c r="B13" s="39" t="s">
        <v>178</v>
      </c>
      <c r="C13" s="1">
        <f>'A1 - Raw Material Supply'!Z123</f>
        <v>0.28819903177484196</v>
      </c>
      <c r="D13" s="1">
        <f>'C3'' - Secondary Raw Material '!F329</f>
        <v>5.2421468666230769E-4</v>
      </c>
      <c r="E13" s="1">
        <f>'A2 - Transport'!Z127</f>
        <v>6.409803971192661E-2</v>
      </c>
      <c r="F13" s="1">
        <f>'C2''- Transport Secondary'!H67</f>
        <v>0</v>
      </c>
      <c r="G13" s="1">
        <f>'A3 - Production '!D215</f>
        <v>6.5286069532900046E-2</v>
      </c>
      <c r="H13" s="1">
        <f>'A4 - Transport'!B26</f>
        <v>1.1158243345599998E-2</v>
      </c>
      <c r="I13" s="1">
        <f>'A5 - Construction'!E148</f>
        <v>3.6338960575558604E-3</v>
      </c>
      <c r="J13" s="1">
        <f>'C1 - Deconstruction'!B96</f>
        <v>2.7575377816790978E-3</v>
      </c>
      <c r="K13" s="1">
        <f>'D- Benefits &amp; Burdens'!N170</f>
        <v>-0.35133963660123901</v>
      </c>
      <c r="L13" s="1">
        <f t="shared" si="1"/>
        <v>0.41810735570633095</v>
      </c>
      <c r="M13" s="1">
        <f t="shared" si="0"/>
        <v>0.43565703289116592</v>
      </c>
      <c r="Q13" s="67"/>
    </row>
    <row r="14" spans="1:17" x14ac:dyDescent="0.35">
      <c r="A14" s="39" t="s">
        <v>179</v>
      </c>
      <c r="B14" s="39" t="s">
        <v>180</v>
      </c>
      <c r="C14" s="1">
        <f>'A1 - Raw Material Supply'!Z124</f>
        <v>1.1413842047715849E-8</v>
      </c>
      <c r="D14" s="1">
        <f>'C3'' - Secondary Raw Material '!F330</f>
        <v>1.0192646894973112E-11</v>
      </c>
      <c r="E14" s="1">
        <f>'A2 - Transport'!Z128</f>
        <v>1.1996760395884469E-9</v>
      </c>
      <c r="F14" s="1">
        <f>'C2''- Transport Secondary'!H68</f>
        <v>0</v>
      </c>
      <c r="G14" s="1">
        <f>'A3 - Production '!D216</f>
        <v>2.7869378074802969E-9</v>
      </c>
      <c r="H14" s="1">
        <f>'A4 - Transport'!B27</f>
        <v>2.8110135023999995E-10</v>
      </c>
      <c r="I14" s="1">
        <f>'A5 - Construction'!E149</f>
        <v>7.0656203097876641E-11</v>
      </c>
      <c r="J14" s="1">
        <f>'C1 - Deconstruction'!B97</f>
        <v>5.3616599502692708E-11</v>
      </c>
      <c r="K14" s="1">
        <f>'D- Benefits &amp; Burdens'!N171</f>
        <v>-1.2884972172147104E-8</v>
      </c>
      <c r="L14" s="1">
        <f t="shared" si="1"/>
        <v>1.5410648541679567E-8</v>
      </c>
      <c r="M14" s="1">
        <f t="shared" si="0"/>
        <v>1.581602269452014E-8</v>
      </c>
      <c r="Q14" s="67"/>
    </row>
    <row r="15" spans="1:17" x14ac:dyDescent="0.35">
      <c r="A15" s="39" t="s">
        <v>181</v>
      </c>
      <c r="B15" s="39" t="s">
        <v>180</v>
      </c>
      <c r="C15" s="1">
        <f>'A1 - Raw Material Supply'!Z125</f>
        <v>3.2793346835422005E-7</v>
      </c>
      <c r="D15" s="1">
        <f>'C3'' - Secondary Raw Material '!F331</f>
        <v>2.7167563726420761E-10</v>
      </c>
      <c r="E15" s="1">
        <f>'A2 - Transport'!Z129</f>
        <v>9.4153469070519612E-8</v>
      </c>
      <c r="F15" s="1">
        <f>'C2''- Transport Secondary'!H69</f>
        <v>0</v>
      </c>
      <c r="G15" s="1">
        <f>'A3 - Production '!D217</f>
        <v>9.7298360997769909E-8</v>
      </c>
      <c r="H15" s="1">
        <f>'A4 - Transport'!B28</f>
        <v>2.2871788575999996E-8</v>
      </c>
      <c r="I15" s="1">
        <f>'A5 - Construction'!E150</f>
        <v>1.8832761696818848E-9</v>
      </c>
      <c r="J15" s="1">
        <f>'C1 - Deconstruction'!B98</f>
        <v>1.4291011930392459E-9</v>
      </c>
      <c r="K15" s="1">
        <f>'D- Benefits &amp; Burdens'!N172</f>
        <v>-4.1426936268459615E-7</v>
      </c>
      <c r="L15" s="1">
        <f t="shared" si="1"/>
        <v>5.196569740597737E-7</v>
      </c>
      <c r="M15" s="1">
        <f t="shared" si="0"/>
        <v>5.458411399984948E-7</v>
      </c>
      <c r="Q15" s="67"/>
    </row>
    <row r="16" spans="1:17" ht="29" x14ac:dyDescent="0.35">
      <c r="A16" s="39" t="s">
        <v>182</v>
      </c>
      <c r="B16" s="39" t="s">
        <v>183</v>
      </c>
      <c r="C16" s="1">
        <f>'A1 - Raw Material Supply'!Z126</f>
        <v>0.33845759964444444</v>
      </c>
      <c r="D16" s="1">
        <f>'C3'' - Secondary Raw Material '!F332</f>
        <v>6.6519868279014841E-4</v>
      </c>
      <c r="E16" s="1">
        <f>'A2 - Transport'!Z130</f>
        <v>9.3088779077719577E-2</v>
      </c>
      <c r="F16" s="1">
        <f>'C2''- Transport Secondary'!H70</f>
        <v>0</v>
      </c>
      <c r="G16" s="1">
        <f>'A3 - Production '!D218</f>
        <v>7.9252557809374578</v>
      </c>
      <c r="H16" s="1">
        <f>'A4 - Transport'!B29</f>
        <v>1.9355968835199997E-2</v>
      </c>
      <c r="I16" s="1">
        <f>'A5 - Construction'!E151</f>
        <v>4.6112078359980043E-3</v>
      </c>
      <c r="J16" s="1">
        <f>'C1 - Deconstruction'!B99</f>
        <v>3.4991589262714472E-3</v>
      </c>
      <c r="K16" s="1">
        <f>'D- Benefits &amp; Burdens'!N173</f>
        <v>-0.57315990609920897</v>
      </c>
      <c r="L16" s="1">
        <f t="shared" si="1"/>
        <v>8.3574673583424115</v>
      </c>
      <c r="M16" s="1">
        <f t="shared" si="0"/>
        <v>8.38493369393988</v>
      </c>
      <c r="Q16" s="67"/>
    </row>
    <row r="17" spans="1:17" x14ac:dyDescent="0.35">
      <c r="A17" s="39" t="s">
        <v>184</v>
      </c>
      <c r="B17" s="39" t="s">
        <v>185</v>
      </c>
      <c r="C17" s="1">
        <f>'A1 - Raw Material Supply'!Z127</f>
        <v>398.47087267496414</v>
      </c>
      <c r="D17" s="1">
        <f>'C3'' - Secondary Raw Material '!F333</f>
        <v>0.11390463257521803</v>
      </c>
      <c r="E17" s="1">
        <f>'A2 - Transport'!Z131</f>
        <v>14.470158607113843</v>
      </c>
      <c r="F17" s="1">
        <f>'C2''- Transport Secondary'!H71</f>
        <v>0</v>
      </c>
      <c r="G17" s="1">
        <f>'A3 - Production '!D219</f>
        <v>32.590120040292689</v>
      </c>
      <c r="H17" s="1">
        <f>'A4 - Transport'!B30</f>
        <v>2.6925271365087999</v>
      </c>
      <c r="I17" s="1">
        <f>'A5 - Construction'!E152</f>
        <v>0.78959557178350104</v>
      </c>
      <c r="J17" s="1">
        <f>'C1 - Deconstruction'!B100</f>
        <v>0.59917498655808599</v>
      </c>
      <c r="K17" s="1">
        <f>'D- Benefits &amp; Burdens'!N174</f>
        <v>-502.5424514786277</v>
      </c>
      <c r="L17" s="1">
        <f t="shared" si="1"/>
        <v>445.64505595494586</v>
      </c>
      <c r="M17" s="1">
        <f t="shared" si="0"/>
        <v>449.72635364979618</v>
      </c>
      <c r="Q17" s="67"/>
    </row>
    <row r="18" spans="1:17" ht="29" x14ac:dyDescent="0.35">
      <c r="A18" s="39" t="s">
        <v>186</v>
      </c>
      <c r="B18" s="39" t="s">
        <v>187</v>
      </c>
      <c r="C18" s="1">
        <f>'A1 - Raw Material Supply'!Z128</f>
        <v>7.9296255650518873E-6</v>
      </c>
      <c r="D18" s="1">
        <f>'C3'' - Secondary Raw Material '!F334</f>
        <v>2.6007934671855809E-8</v>
      </c>
      <c r="E18" s="1">
        <f>'A2 - Transport'!Z132</f>
        <v>1.4802557643616601E-5</v>
      </c>
      <c r="F18" s="1">
        <f>'C2''- Transport Secondary'!H72</f>
        <v>0</v>
      </c>
      <c r="G18" s="1">
        <f>'A3 - Production '!D220</f>
        <v>1.0092293637169677E-4</v>
      </c>
      <c r="H18" s="1">
        <f>'A4 - Transport'!B31</f>
        <v>3.4990971503999992E-6</v>
      </c>
      <c r="I18" s="1">
        <f>'A5 - Construction'!E153</f>
        <v>1.8028898020957092E-7</v>
      </c>
      <c r="J18" s="1">
        <f>'C1 - Deconstruction'!B101</f>
        <v>1.3681009766764487E-7</v>
      </c>
      <c r="K18" s="1">
        <f>'D- Benefits &amp; Burdens'!N175</f>
        <v>-1.8264331777012402E-5</v>
      </c>
      <c r="L18" s="1">
        <f t="shared" si="1"/>
        <v>1.236811275150371E-4</v>
      </c>
      <c r="M18" s="1">
        <f t="shared" si="0"/>
        <v>1.2749732374331432E-4</v>
      </c>
      <c r="Q18" s="67"/>
    </row>
    <row r="19" spans="1:17" x14ac:dyDescent="0.35">
      <c r="A19" s="39" t="s">
        <v>188</v>
      </c>
      <c r="B19" s="39" t="s">
        <v>189</v>
      </c>
      <c r="C19" s="1">
        <f>'A1 - Raw Material Supply'!Z129</f>
        <v>3.963239380086133E-8</v>
      </c>
      <c r="D19" s="1">
        <f>'C3'' - Secondary Raw Material '!F335</f>
        <v>3.7585564815097762E-9</v>
      </c>
      <c r="E19" s="1">
        <f>'A2 - Transport'!Z133</f>
        <v>2.9434095186503365E-7</v>
      </c>
      <c r="F19" s="1">
        <f>'C2''- Transport Secondary'!H73</f>
        <v>0</v>
      </c>
      <c r="G19" s="1">
        <f>'A3 - Production '!D221</f>
        <v>2.2393503698396324E-6</v>
      </c>
      <c r="H19" s="1">
        <f>'A4 - Transport'!B32</f>
        <v>7.0522979743999984E-8</v>
      </c>
      <c r="I19" s="1">
        <f>'A5 - Construction'!E154</f>
        <v>2.6054599246773572E-8</v>
      </c>
      <c r="J19" s="1">
        <f>'C1 - Deconstruction'!B102</f>
        <v>1.9771215431464347E-8</v>
      </c>
      <c r="K19" s="1">
        <f>'D- Benefits &amp; Burdens'!N176</f>
        <v>-2.3485348671074813E-7</v>
      </c>
      <c r="L19" s="1">
        <f t="shared" si="1"/>
        <v>2.5770822719870374E-6</v>
      </c>
      <c r="M19" s="1">
        <f t="shared" si="0"/>
        <v>2.693431066409275E-6</v>
      </c>
      <c r="Q19" s="67"/>
    </row>
    <row r="20" spans="1:17" x14ac:dyDescent="0.35">
      <c r="A20" s="39" t="s">
        <v>190</v>
      </c>
      <c r="B20" s="39" t="s">
        <v>191</v>
      </c>
      <c r="C20" s="1">
        <f>'A1 - Raw Material Supply'!Z130</f>
        <v>1.266426604241722E-6</v>
      </c>
      <c r="D20" s="1">
        <f>'C3'' - Secondary Raw Material '!F336</f>
        <v>1.6427613993186483E-9</v>
      </c>
      <c r="E20" s="1">
        <f>'A2 - Transport'!Z134</f>
        <v>8.073139730700643E-7</v>
      </c>
      <c r="F20" s="1">
        <f>'C2''- Transport Secondary'!H74</f>
        <v>0</v>
      </c>
      <c r="G20" s="1">
        <f>'A3 - Production '!D222</f>
        <v>1.473477448320874E-7</v>
      </c>
      <c r="H20" s="1">
        <f>'A4 - Transport'!B33</f>
        <v>1.9658673694399996E-7</v>
      </c>
      <c r="I20" s="1">
        <f>'A5 - Construction'!E155</f>
        <v>1.138774689907637E-8</v>
      </c>
      <c r="J20" s="1">
        <f>'C1 - Deconstruction'!B103</f>
        <v>8.6414530919530463E-9</v>
      </c>
      <c r="K20" s="1">
        <f>'D- Benefits &amp; Burdens'!N177</f>
        <v>-1.8308783692078523E-6</v>
      </c>
      <c r="L20" s="1">
        <f t="shared" si="1"/>
        <v>2.2227310835431922E-6</v>
      </c>
      <c r="M20" s="1">
        <f t="shared" si="0"/>
        <v>2.4393470204782217E-6</v>
      </c>
      <c r="Q20" s="67"/>
    </row>
    <row r="21" spans="1:17" ht="29" x14ac:dyDescent="0.35">
      <c r="A21" s="39" t="s">
        <v>192</v>
      </c>
      <c r="B21" s="39" t="s">
        <v>193</v>
      </c>
      <c r="C21" s="1">
        <f>'A1 - Raw Material Supply'!Z131</f>
        <v>8.8590077572174797E-2</v>
      </c>
      <c r="D21" s="1">
        <f>'C3'' - Secondary Raw Material '!F337</f>
        <v>4.1082738634614822E-4</v>
      </c>
      <c r="E21" s="1">
        <f>'A2 - Transport'!Z135</f>
        <v>3.8733832004745783E-2</v>
      </c>
      <c r="F21" s="1">
        <f>'C2''- Transport Secondary'!H75</f>
        <v>0</v>
      </c>
      <c r="G21" s="1">
        <f>'A3 - Production '!D223</f>
        <v>2.1588416360836665E-2</v>
      </c>
      <c r="H21" s="1">
        <f>'A4 - Transport'!B34</f>
        <v>8.2457355071999978E-3</v>
      </c>
      <c r="I21" s="1">
        <f>'A5 - Construction'!E156</f>
        <v>2.8478866723185801E-3</v>
      </c>
      <c r="J21" s="1">
        <f>'C1 - Deconstruction'!B104</f>
        <v>2.1610841291208631E-3</v>
      </c>
      <c r="K21" s="1">
        <f>'D- Benefits &amp; Burdens'!N178</f>
        <v>-0.12185160404238665</v>
      </c>
      <c r="L21" s="1">
        <f t="shared" si="1"/>
        <v>0.1493231533241034</v>
      </c>
      <c r="M21" s="1">
        <f t="shared" si="0"/>
        <v>0.16257785963274285</v>
      </c>
      <c r="Q21" s="67"/>
    </row>
    <row r="22" spans="1:17" ht="29" x14ac:dyDescent="0.35">
      <c r="A22" s="39" t="s">
        <v>194</v>
      </c>
      <c r="B22" s="39" t="s">
        <v>195</v>
      </c>
      <c r="C22" s="1">
        <f>'A1 - Raw Material Supply'!Z132</f>
        <v>3.9331068657040884</v>
      </c>
      <c r="D22" s="1">
        <f>'C3'' - Secondary Raw Material '!F338</f>
        <v>2.9984053368853725E-3</v>
      </c>
      <c r="E22" s="1">
        <f>'A2 - Transport'!Z136</f>
        <v>0.43572687617839589</v>
      </c>
      <c r="F22" s="1">
        <f>'C2''- Transport Secondary'!H76</f>
        <v>0</v>
      </c>
      <c r="G22" s="1">
        <f>'A3 - Production '!D224</f>
        <v>2.3708685139468568</v>
      </c>
      <c r="H22" s="1">
        <f>'A4 - Transport'!B35</f>
        <v>9.722256326879998E-2</v>
      </c>
      <c r="I22" s="1">
        <f>'A5 - Construction'!E157</f>
        <v>2.0785173727269492E-2</v>
      </c>
      <c r="J22" s="1">
        <f>'C1 - Deconstruction'!B105</f>
        <v>1.5772576029667661E-2</v>
      </c>
      <c r="K22" s="1">
        <f>'D- Benefits &amp; Burdens'!N179</f>
        <v>-4.8017550820813817</v>
      </c>
      <c r="L22" s="1">
        <f t="shared" si="1"/>
        <v>6.7427006611662268</v>
      </c>
      <c r="M22" s="1">
        <f t="shared" si="0"/>
        <v>6.8764809741919635</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8.3987539204221766E-5</v>
      </c>
      <c r="E28" s="1">
        <f t="shared" ref="E28" si="3">(D4/$B28)*$C28</f>
        <v>2.3778484406484672E-7</v>
      </c>
      <c r="F28" s="1">
        <f t="shared" ref="F28" si="4">(E4/$B28)*$C28</f>
        <v>2.5640965248824014E-5</v>
      </c>
      <c r="G28" s="1">
        <f t="shared" ref="G28" si="5">(F4/$B28)*$C28</f>
        <v>0</v>
      </c>
      <c r="H28" s="1">
        <f t="shared" ref="H28" si="6">(G4/$B28)*$C28</f>
        <v>2.9447725836028181E-5</v>
      </c>
      <c r="I28" s="1">
        <f t="shared" ref="I28" si="7">(H4/$B28)*$C28</f>
        <v>5.2739209228201429E-6</v>
      </c>
      <c r="J28" s="1">
        <f t="shared" ref="J28" si="8">(I4/$B28)*$C28</f>
        <v>1.6483426149226037E-6</v>
      </c>
      <c r="K28" s="1">
        <f t="shared" ref="K28" si="9">(J4/$B28)*$C28</f>
        <v>1.2508247252558979E-6</v>
      </c>
      <c r="L28" s="1">
        <f t="shared" ref="L28" si="10">(K4/$B28)*$C28</f>
        <v>-1.0725076551651943E-4</v>
      </c>
      <c r="M28" s="1">
        <f>SUM(D28:H28)*1000</f>
        <v>0.13931401513313879</v>
      </c>
      <c r="N28" s="1">
        <f>SUM(D28:K28)*1000</f>
        <v>0.14748710339613746</v>
      </c>
      <c r="O28" s="1">
        <f>SUM(D28:L28)*1000</f>
        <v>4.0236337879618028E-2</v>
      </c>
    </row>
    <row r="29" spans="1:17" x14ac:dyDescent="0.35">
      <c r="A29" s="39" t="s">
        <v>164</v>
      </c>
      <c r="B29" s="154">
        <v>8100</v>
      </c>
      <c r="C29" s="154">
        <v>0.21059999999999998</v>
      </c>
      <c r="D29" s="1">
        <f t="shared" ref="D29:D46" si="11">(C5/$B29)*$C29</f>
        <v>3.7224132786614958E-4</v>
      </c>
      <c r="E29" s="1">
        <f t="shared" ref="E29:E46" si="12">(D5/$B29)*$C29</f>
        <v>4.3365487867971042E-6</v>
      </c>
      <c r="F29" s="1">
        <f t="shared" ref="F29:F46" si="13">(E5/$B29)*$C29</f>
        <v>3.4604902552828995E-4</v>
      </c>
      <c r="G29" s="1">
        <f t="shared" ref="G29:G46" si="14">(F5/$B29)*$C29</f>
        <v>0</v>
      </c>
      <c r="H29" s="1">
        <f t="shared" ref="H29:H46" si="15">(G5/$B29)*$C29</f>
        <v>4.9065643571358599E-4</v>
      </c>
      <c r="I29" s="1">
        <f t="shared" ref="I29:I46" si="16">(H5/$B29)*$C29</f>
        <v>8.2461477460252767E-5</v>
      </c>
      <c r="J29" s="1">
        <f t="shared" ref="J29:J46" si="17">(I5/$B29)*$C29</f>
        <v>3.0061285844690778E-5</v>
      </c>
      <c r="K29" s="1">
        <f t="shared" ref="K29:K46" si="18">(J5/$B29)*$C29</f>
        <v>2.2811640776083373E-5</v>
      </c>
      <c r="L29" s="1">
        <f t="shared" ref="L29:L46" si="19">(K5/$B29)*$C29</f>
        <v>-6.2131397647429494E-4</v>
      </c>
      <c r="M29" s="1">
        <f>SUM(D29:H29)*1000</f>
        <v>1.2132833378948227</v>
      </c>
      <c r="N29" s="1">
        <f t="shared" ref="N29:N46" si="20">SUM(D29:K29)*1000</f>
        <v>1.3486177419758498</v>
      </c>
      <c r="O29" s="1">
        <f>SUM(D29:L29)*1000</f>
        <v>0.72730376550155484</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2.9112769912600543E-4</v>
      </c>
      <c r="E33" s="1">
        <f t="shared" si="12"/>
        <v>3.3135998232230473E-8</v>
      </c>
      <c r="F33" s="1">
        <f t="shared" si="13"/>
        <v>5.1699617450918227E-6</v>
      </c>
      <c r="G33" s="1">
        <f t="shared" si="14"/>
        <v>0</v>
      </c>
      <c r="H33" s="1">
        <f t="shared" si="15"/>
        <v>8.4925018806191604E-6</v>
      </c>
      <c r="I33" s="1">
        <f t="shared" si="16"/>
        <v>1.2248624378577834E-6</v>
      </c>
      <c r="J33" s="1">
        <f t="shared" si="17"/>
        <v>2.2970125866932963E-7</v>
      </c>
      <c r="K33" s="1">
        <f t="shared" si="18"/>
        <v>1.7430600359712764E-7</v>
      </c>
      <c r="L33" s="1">
        <f t="shared" si="19"/>
        <v>-3.0796571618964112E-4</v>
      </c>
      <c r="M33" s="1">
        <f t="shared" ref="M33:M46" si="21">SUM(D33:H33)*1000</f>
        <v>0.30482329874994868</v>
      </c>
      <c r="N33" s="1">
        <f t="shared" si="20"/>
        <v>0.30645216845007289</v>
      </c>
      <c r="O33" s="1">
        <f t="shared" ref="O33:O46" si="22">SUM(D33:L33)*1000</f>
        <v>-1.5135477395682444E-3</v>
      </c>
    </row>
    <row r="34" spans="1:15" x14ac:dyDescent="0.35">
      <c r="A34" s="39" t="s">
        <v>171</v>
      </c>
      <c r="B34" s="154">
        <v>65000</v>
      </c>
      <c r="C34" s="154">
        <v>7.5499999999999998E-2</v>
      </c>
      <c r="D34" s="1">
        <f t="shared" si="11"/>
        <v>1.2211526995384507E-3</v>
      </c>
      <c r="E34" s="1">
        <f t="shared" si="12"/>
        <v>2.5732973276371616E-6</v>
      </c>
      <c r="F34" s="1">
        <f t="shared" si="13"/>
        <v>2.0747110769528661E-4</v>
      </c>
      <c r="G34" s="1">
        <f t="shared" si="14"/>
        <v>0</v>
      </c>
      <c r="H34" s="1">
        <f t="shared" si="15"/>
        <v>5.1028960265782407E-4</v>
      </c>
      <c r="I34" s="1">
        <f t="shared" si="16"/>
        <v>4.9581866522930692E-5</v>
      </c>
      <c r="J34" s="1">
        <f t="shared" si="17"/>
        <v>1.7838292691413218E-5</v>
      </c>
      <c r="K34" s="1">
        <f t="shared" si="18"/>
        <v>1.3536371233002972E-5</v>
      </c>
      <c r="L34" s="1">
        <f t="shared" si="19"/>
        <v>-1.4264709325389024E-3</v>
      </c>
      <c r="M34" s="1">
        <f t="shared" si="21"/>
        <v>1.9414867072191986</v>
      </c>
      <c r="N34" s="1">
        <f t="shared" si="20"/>
        <v>2.0224432376665455</v>
      </c>
      <c r="O34" s="1">
        <f t="shared" si="22"/>
        <v>0.59597230512764299</v>
      </c>
    </row>
    <row r="35" spans="1:15" x14ac:dyDescent="0.35">
      <c r="A35" s="39" t="s">
        <v>173</v>
      </c>
      <c r="B35" s="154">
        <v>1.61</v>
      </c>
      <c r="C35" s="154">
        <v>2.7999999999999997E-2</v>
      </c>
      <c r="D35" s="1">
        <f t="shared" si="11"/>
        <v>6.2198614286602366E-6</v>
      </c>
      <c r="E35" s="1">
        <f t="shared" si="12"/>
        <v>3.0664335698171552E-8</v>
      </c>
      <c r="F35" s="1">
        <f t="shared" si="13"/>
        <v>5.9013852742559824E-6</v>
      </c>
      <c r="G35" s="1">
        <f t="shared" si="14"/>
        <v>0</v>
      </c>
      <c r="H35" s="1">
        <f t="shared" si="15"/>
        <v>2.8450036206170288E-5</v>
      </c>
      <c r="I35" s="1">
        <f t="shared" si="16"/>
        <v>1.2865527660521735E-6</v>
      </c>
      <c r="J35" s="1">
        <f t="shared" si="17"/>
        <v>2.1256750609304743E-7</v>
      </c>
      <c r="K35" s="1">
        <f t="shared" si="18"/>
        <v>1.6130426405292678E-7</v>
      </c>
      <c r="L35" s="1">
        <f t="shared" si="19"/>
        <v>-1.5536908139637649E-5</v>
      </c>
      <c r="M35" s="1">
        <f t="shared" si="21"/>
        <v>4.0601947244784678E-2</v>
      </c>
      <c r="N35" s="1">
        <f t="shared" si="20"/>
        <v>4.2262371780982827E-2</v>
      </c>
      <c r="O35" s="1">
        <f t="shared" si="22"/>
        <v>2.6725463641345176E-2</v>
      </c>
    </row>
    <row r="36" spans="1:15" x14ac:dyDescent="0.35">
      <c r="A36" s="39" t="s">
        <v>175</v>
      </c>
      <c r="B36" s="154">
        <v>19.5</v>
      </c>
      <c r="C36" s="154">
        <v>2.9600000000000001E-2</v>
      </c>
      <c r="D36" s="1">
        <f t="shared" si="11"/>
        <v>3.5756314151498924E-5</v>
      </c>
      <c r="E36" s="1">
        <f t="shared" si="12"/>
        <v>7.3196027254334448E-8</v>
      </c>
      <c r="F36" s="1">
        <f t="shared" si="13"/>
        <v>8.9625240011762916E-6</v>
      </c>
      <c r="G36" s="1">
        <f t="shared" si="14"/>
        <v>0</v>
      </c>
      <c r="H36" s="1">
        <f t="shared" si="15"/>
        <v>9.5825389274034439E-6</v>
      </c>
      <c r="I36" s="1">
        <f t="shared" si="16"/>
        <v>1.5648089762002047E-6</v>
      </c>
      <c r="J36" s="1">
        <f t="shared" si="17"/>
        <v>5.0740042512319476E-7</v>
      </c>
      <c r="K36" s="1">
        <f t="shared" si="18"/>
        <v>3.8503463515638476E-7</v>
      </c>
      <c r="L36" s="1">
        <f t="shared" si="19"/>
        <v>-4.6350118959429108E-5</v>
      </c>
      <c r="M36" s="1">
        <f t="shared" si="21"/>
        <v>5.4374573107332999E-2</v>
      </c>
      <c r="N36" s="1">
        <f t="shared" si="20"/>
        <v>5.6831817143812781E-2</v>
      </c>
      <c r="O36" s="1">
        <f t="shared" si="22"/>
        <v>1.0481698184383676E-2</v>
      </c>
    </row>
    <row r="37" spans="1:15" x14ac:dyDescent="0.35">
      <c r="A37" s="39" t="s">
        <v>177</v>
      </c>
      <c r="B37" s="154">
        <v>177</v>
      </c>
      <c r="C37" s="154">
        <v>3.7100000000000001E-2</v>
      </c>
      <c r="D37" s="1">
        <f t="shared" si="11"/>
        <v>6.0407819654500779E-5</v>
      </c>
      <c r="E37" s="1">
        <f t="shared" si="12"/>
        <v>1.0987776765633682E-7</v>
      </c>
      <c r="F37" s="1">
        <f t="shared" si="13"/>
        <v>1.3435238832273883E-5</v>
      </c>
      <c r="G37" s="1">
        <f t="shared" si="14"/>
        <v>0</v>
      </c>
      <c r="H37" s="1">
        <f t="shared" si="15"/>
        <v>1.3684255252376225E-5</v>
      </c>
      <c r="I37" s="1">
        <f t="shared" si="16"/>
        <v>2.3388182379760449E-6</v>
      </c>
      <c r="J37" s="1">
        <f t="shared" si="17"/>
        <v>7.6168103805266902E-7</v>
      </c>
      <c r="K37" s="1">
        <f t="shared" si="18"/>
        <v>5.7799238248753979E-7</v>
      </c>
      <c r="L37" s="1">
        <f t="shared" si="19"/>
        <v>-7.3642375807378351E-5</v>
      </c>
      <c r="M37" s="1">
        <f t="shared" si="21"/>
        <v>8.7637191506807224E-2</v>
      </c>
      <c r="N37" s="1">
        <f t="shared" si="20"/>
        <v>9.1315683165323486E-2</v>
      </c>
      <c r="O37" s="1">
        <f t="shared" si="22"/>
        <v>1.7673307357945131E-2</v>
      </c>
    </row>
    <row r="38" spans="1:15" x14ac:dyDescent="0.35">
      <c r="A38" s="39" t="s">
        <v>179</v>
      </c>
      <c r="B38" s="154">
        <v>1.6900000000000001E-5</v>
      </c>
      <c r="C38" s="154">
        <v>2.1299999999999999E-2</v>
      </c>
      <c r="D38" s="1">
        <f t="shared" si="11"/>
        <v>1.4385493231736541E-5</v>
      </c>
      <c r="E38" s="1">
        <f t="shared" si="12"/>
        <v>1.2846353778871438E-8</v>
      </c>
      <c r="F38" s="1">
        <f t="shared" si="13"/>
        <v>1.5120177303688708E-6</v>
      </c>
      <c r="G38" s="1">
        <f t="shared" si="14"/>
        <v>0</v>
      </c>
      <c r="H38" s="1">
        <f t="shared" si="15"/>
        <v>3.5125310828006106E-6</v>
      </c>
      <c r="I38" s="1">
        <f t="shared" si="16"/>
        <v>3.5428750059834308E-7</v>
      </c>
      <c r="J38" s="1">
        <f t="shared" si="17"/>
        <v>8.9051900945844519E-8</v>
      </c>
      <c r="K38" s="1">
        <f t="shared" si="18"/>
        <v>6.7575950852506183E-8</v>
      </c>
      <c r="L38" s="1">
        <f t="shared" si="19"/>
        <v>-1.6239639483238655E-5</v>
      </c>
      <c r="M38" s="1">
        <f t="shared" si="21"/>
        <v>1.9422888398684893E-2</v>
      </c>
      <c r="N38" s="1">
        <f t="shared" si="20"/>
        <v>1.9933803751081586E-2</v>
      </c>
      <c r="O38" s="1">
        <f t="shared" si="22"/>
        <v>3.6941642678429316E-3</v>
      </c>
    </row>
    <row r="39" spans="1:15" x14ac:dyDescent="0.35">
      <c r="A39" s="39" t="s">
        <v>181</v>
      </c>
      <c r="B39" s="154">
        <v>2.3000000000000001E-4</v>
      </c>
      <c r="C39" s="154">
        <v>1.84E-2</v>
      </c>
      <c r="D39" s="1">
        <f t="shared" si="11"/>
        <v>2.6234677468337603E-5</v>
      </c>
      <c r="E39" s="1">
        <f t="shared" si="12"/>
        <v>2.1734050981136607E-8</v>
      </c>
      <c r="F39" s="1">
        <f t="shared" si="13"/>
        <v>7.5322775256415686E-6</v>
      </c>
      <c r="G39" s="1">
        <f t="shared" si="14"/>
        <v>0</v>
      </c>
      <c r="H39" s="1">
        <f t="shared" si="15"/>
        <v>7.7838688798215919E-6</v>
      </c>
      <c r="I39" s="1">
        <f t="shared" si="16"/>
        <v>1.8297430860799996E-6</v>
      </c>
      <c r="J39" s="1">
        <f t="shared" si="17"/>
        <v>1.5066209357455078E-7</v>
      </c>
      <c r="K39" s="1">
        <f t="shared" si="18"/>
        <v>1.1432809544313966E-7</v>
      </c>
      <c r="L39" s="1">
        <f t="shared" si="19"/>
        <v>-3.3141549014767689E-5</v>
      </c>
      <c r="M39" s="1">
        <f t="shared" si="21"/>
        <v>4.15725579247819E-2</v>
      </c>
      <c r="N39" s="1">
        <f t="shared" si="20"/>
        <v>4.3667291199879589E-2</v>
      </c>
      <c r="O39" s="1">
        <f t="shared" si="22"/>
        <v>1.0525742185111903E-2</v>
      </c>
    </row>
    <row r="40" spans="1:15" x14ac:dyDescent="0.35">
      <c r="A40" s="39" t="s">
        <v>182</v>
      </c>
      <c r="B40" s="154">
        <v>4220</v>
      </c>
      <c r="C40" s="154">
        <v>5.0099999999999999E-2</v>
      </c>
      <c r="D40" s="1">
        <f t="shared" si="11"/>
        <v>4.0181814554944708E-6</v>
      </c>
      <c r="E40" s="1">
        <f t="shared" si="12"/>
        <v>7.8972639828877798E-9</v>
      </c>
      <c r="F40" s="1">
        <f t="shared" si="13"/>
        <v>1.1051535146430691E-6</v>
      </c>
      <c r="G40" s="1">
        <f t="shared" si="14"/>
        <v>0</v>
      </c>
      <c r="H40" s="1">
        <f t="shared" si="15"/>
        <v>9.4088937114921006E-5</v>
      </c>
      <c r="I40" s="1">
        <f t="shared" si="16"/>
        <v>2.2979479588709003E-7</v>
      </c>
      <c r="J40" s="1">
        <f t="shared" si="17"/>
        <v>5.4744434261492891E-8</v>
      </c>
      <c r="K40" s="1">
        <f t="shared" si="18"/>
        <v>4.1542147442227365E-8</v>
      </c>
      <c r="L40" s="1">
        <f t="shared" si="19"/>
        <v>-6.8045761363910835E-6</v>
      </c>
      <c r="M40" s="1">
        <f t="shared" si="21"/>
        <v>9.9220169349041432E-2</v>
      </c>
      <c r="N40" s="1">
        <f t="shared" si="20"/>
        <v>9.9546250726632243E-2</v>
      </c>
      <c r="O40" s="1">
        <f t="shared" si="22"/>
        <v>9.2741674590241158E-2</v>
      </c>
    </row>
    <row r="41" spans="1:15" x14ac:dyDescent="0.35">
      <c r="A41" s="39" t="s">
        <v>184</v>
      </c>
      <c r="B41" s="154">
        <v>819000</v>
      </c>
      <c r="C41" s="154">
        <v>7.9399999999999998E-2</v>
      </c>
      <c r="D41" s="1">
        <f t="shared" si="11"/>
        <v>3.8630753712322529E-5</v>
      </c>
      <c r="E41" s="1">
        <f t="shared" si="12"/>
        <v>1.1042769018891711E-8</v>
      </c>
      <c r="F41" s="1">
        <f t="shared" si="13"/>
        <v>1.402845657392966E-6</v>
      </c>
      <c r="G41" s="1">
        <f t="shared" si="14"/>
        <v>0</v>
      </c>
      <c r="H41" s="1">
        <f t="shared" si="15"/>
        <v>3.159530563124834E-6</v>
      </c>
      <c r="I41" s="1">
        <f t="shared" si="16"/>
        <v>2.6103376634773953E-7</v>
      </c>
      <c r="J41" s="1">
        <f t="shared" si="17"/>
        <v>7.6549314285238074E-8</v>
      </c>
      <c r="K41" s="1">
        <f t="shared" si="18"/>
        <v>5.8088515180356561E-8</v>
      </c>
      <c r="L41" s="1">
        <f t="shared" si="19"/>
        <v>-4.8720232780711896E-5</v>
      </c>
      <c r="M41" s="1">
        <f t="shared" si="21"/>
        <v>4.3204172701859223E-2</v>
      </c>
      <c r="N41" s="1">
        <f t="shared" si="20"/>
        <v>4.3599844297672559E-2</v>
      </c>
      <c r="O41" s="1">
        <f t="shared" si="22"/>
        <v>-5.1203884830393351E-3</v>
      </c>
    </row>
    <row r="42" spans="1:15" x14ac:dyDescent="0.35">
      <c r="A42" s="39" t="s">
        <v>186</v>
      </c>
      <c r="B42" s="154">
        <v>65000</v>
      </c>
      <c r="C42" s="154">
        <v>8.3199999999999996E-2</v>
      </c>
      <c r="D42" s="1">
        <f t="shared" si="11"/>
        <v>1.0149920723266416E-11</v>
      </c>
      <c r="E42" s="1">
        <f t="shared" si="12"/>
        <v>3.3290156379975435E-14</v>
      </c>
      <c r="F42" s="1">
        <f t="shared" si="13"/>
        <v>1.8947273783829249E-11</v>
      </c>
      <c r="G42" s="1">
        <f t="shared" si="14"/>
        <v>0</v>
      </c>
      <c r="H42" s="1">
        <f t="shared" si="15"/>
        <v>1.2918135855577186E-10</v>
      </c>
      <c r="I42" s="1">
        <f t="shared" si="16"/>
        <v>4.4788443525119993E-12</v>
      </c>
      <c r="J42" s="1">
        <f t="shared" si="17"/>
        <v>2.3076989466825078E-13</v>
      </c>
      <c r="K42" s="1">
        <f t="shared" si="18"/>
        <v>1.7511692501458543E-13</v>
      </c>
      <c r="L42" s="1">
        <f t="shared" si="19"/>
        <v>-2.3378344674575872E-11</v>
      </c>
      <c r="M42" s="1">
        <f t="shared" si="21"/>
        <v>1.5831184321924747E-7</v>
      </c>
      <c r="N42" s="1">
        <f t="shared" si="20"/>
        <v>1.6319657439144232E-7</v>
      </c>
      <c r="O42" s="1">
        <f t="shared" si="22"/>
        <v>1.3981822971686645E-7</v>
      </c>
    </row>
    <row r="43" spans="1:15" x14ac:dyDescent="0.35">
      <c r="A43" s="39" t="s">
        <v>188</v>
      </c>
      <c r="B43" s="154">
        <v>5.3600000000000002E-2</v>
      </c>
      <c r="C43" s="154">
        <v>6.3099999999999989E-2</v>
      </c>
      <c r="D43" s="1">
        <f t="shared" si="11"/>
        <v>4.6656791955864725E-8</v>
      </c>
      <c r="E43" s="1">
        <f t="shared" si="12"/>
        <v>4.4247185444639328E-9</v>
      </c>
      <c r="F43" s="1">
        <f t="shared" si="13"/>
        <v>3.4650959072170933E-7</v>
      </c>
      <c r="G43" s="1">
        <f t="shared" si="14"/>
        <v>0</v>
      </c>
      <c r="H43" s="1">
        <f t="shared" si="15"/>
        <v>2.6362501555388203E-6</v>
      </c>
      <c r="I43" s="1">
        <f t="shared" si="16"/>
        <v>8.3022388467283545E-8</v>
      </c>
      <c r="J43" s="1">
        <f t="shared" si="17"/>
        <v>3.0672485307302459E-8</v>
      </c>
      <c r="K43" s="1">
        <f t="shared" si="18"/>
        <v>2.3275442047115675E-8</v>
      </c>
      <c r="L43" s="1">
        <f t="shared" si="19"/>
        <v>-2.7647863827328738E-7</v>
      </c>
      <c r="M43" s="1">
        <f t="shared" si="21"/>
        <v>3.033841256760858E-3</v>
      </c>
      <c r="N43" s="1">
        <f t="shared" si="20"/>
        <v>3.1708115725825599E-3</v>
      </c>
      <c r="O43" s="1">
        <f t="shared" si="22"/>
        <v>2.8943329343092726E-3</v>
      </c>
    </row>
    <row r="44" spans="1:15" x14ac:dyDescent="0.35">
      <c r="A44" s="39" t="s">
        <v>190</v>
      </c>
      <c r="B44" s="154">
        <v>5.9500000000000004E-4</v>
      </c>
      <c r="C44" s="154">
        <v>8.9600000000000013E-2</v>
      </c>
      <c r="D44" s="1">
        <f t="shared" si="11"/>
        <v>1.9070894746228286E-4</v>
      </c>
      <c r="E44" s="1">
        <f t="shared" si="12"/>
        <v>2.4738054013269055E-7</v>
      </c>
      <c r="F44" s="1">
        <f t="shared" si="13"/>
        <v>1.2157198653290381E-4</v>
      </c>
      <c r="G44" s="1">
        <f t="shared" si="14"/>
        <v>0</v>
      </c>
      <c r="H44" s="1">
        <f t="shared" si="15"/>
        <v>2.2188836868831986E-5</v>
      </c>
      <c r="I44" s="1">
        <f t="shared" si="16"/>
        <v>2.9603649798625878E-5</v>
      </c>
      <c r="J44" s="1">
        <f t="shared" si="17"/>
        <v>1.7148607095079711E-6</v>
      </c>
      <c r="K44" s="1">
        <f t="shared" si="18"/>
        <v>1.3013011714941059E-6</v>
      </c>
      <c r="L44" s="1">
        <f t="shared" si="19"/>
        <v>-2.7570874265718249E-4</v>
      </c>
      <c r="M44" s="1">
        <f t="shared" si="21"/>
        <v>0.33471715140415131</v>
      </c>
      <c r="N44" s="1">
        <f t="shared" si="20"/>
        <v>0.36733696308377928</v>
      </c>
      <c r="O44" s="1">
        <f t="shared" si="22"/>
        <v>9.1628220426596796E-2</v>
      </c>
    </row>
    <row r="45" spans="1:15" x14ac:dyDescent="0.35">
      <c r="A45" s="39" t="s">
        <v>192</v>
      </c>
      <c r="B45" s="154">
        <v>40.6</v>
      </c>
      <c r="C45" s="154">
        <v>4.7800000000000002E-2</v>
      </c>
      <c r="D45" s="1">
        <f t="shared" si="11"/>
        <v>1.0430063320073782E-4</v>
      </c>
      <c r="E45" s="1">
        <f t="shared" si="12"/>
        <v>4.8368347456516961E-7</v>
      </c>
      <c r="F45" s="1">
        <f t="shared" si="13"/>
        <v>4.5602885956326316E-5</v>
      </c>
      <c r="G45" s="1">
        <f t="shared" si="14"/>
        <v>0</v>
      </c>
      <c r="H45" s="1">
        <f t="shared" si="15"/>
        <v>2.5416903991329864E-5</v>
      </c>
      <c r="I45" s="1">
        <f t="shared" si="16"/>
        <v>9.7080334296591103E-6</v>
      </c>
      <c r="J45" s="1">
        <f t="shared" si="17"/>
        <v>3.3529306142075896E-6</v>
      </c>
      <c r="K45" s="1">
        <f t="shared" si="18"/>
        <v>2.5443305756644643E-6</v>
      </c>
      <c r="L45" s="1">
        <f t="shared" si="19"/>
        <v>-1.4346075549817938E-4</v>
      </c>
      <c r="M45" s="1">
        <f t="shared" si="21"/>
        <v>0.17580410662295917</v>
      </c>
      <c r="N45" s="1">
        <f t="shared" si="20"/>
        <v>0.19140940124249031</v>
      </c>
      <c r="O45" s="1">
        <f t="shared" si="22"/>
        <v>4.7948645744310937E-2</v>
      </c>
    </row>
    <row r="46" spans="1:15" x14ac:dyDescent="0.35">
      <c r="A46" s="39" t="s">
        <v>194</v>
      </c>
      <c r="B46" s="154">
        <v>11500</v>
      </c>
      <c r="C46" s="154">
        <v>8.5099999999999995E-2</v>
      </c>
      <c r="D46" s="1">
        <f t="shared" si="11"/>
        <v>2.9104990806210255E-5</v>
      </c>
      <c r="E46" s="1">
        <f t="shared" si="12"/>
        <v>2.2188199492951758E-8</v>
      </c>
      <c r="F46" s="1">
        <f t="shared" si="13"/>
        <v>3.2243788837201294E-6</v>
      </c>
      <c r="G46" s="1">
        <f t="shared" si="14"/>
        <v>0</v>
      </c>
      <c r="H46" s="1">
        <f t="shared" si="15"/>
        <v>1.7544427003206739E-5</v>
      </c>
      <c r="I46" s="1">
        <f t="shared" si="16"/>
        <v>7.1944696818911987E-7</v>
      </c>
      <c r="J46" s="1">
        <f t="shared" si="17"/>
        <v>1.5381028558179424E-7</v>
      </c>
      <c r="K46" s="1">
        <f t="shared" si="18"/>
        <v>1.1671706261954069E-7</v>
      </c>
      <c r="L46" s="1">
        <f t="shared" si="19"/>
        <v>-3.5532987607402222E-5</v>
      </c>
      <c r="M46" s="1">
        <f t="shared" si="21"/>
        <v>4.9895984892630071E-2</v>
      </c>
      <c r="N46" s="1">
        <f t="shared" si="20"/>
        <v>5.0885959209020525E-2</v>
      </c>
      <c r="O46" s="1">
        <f t="shared" si="22"/>
        <v>1.5352971601618304E-2</v>
      </c>
    </row>
    <row r="47" spans="1:15" x14ac:dyDescent="0.35">
      <c r="A47" s="376" t="s">
        <v>200</v>
      </c>
      <c r="B47" s="377"/>
      <c r="C47" s="330">
        <f>SUM(C28:C46)</f>
        <v>1</v>
      </c>
      <c r="D47" s="88">
        <f>SUM(D28:D46)*1000</f>
        <v>2.4783236052484865</v>
      </c>
      <c r="E47" s="88">
        <f>SUM(E28:E46)*1000</f>
        <v>8.2057024911274066E-3</v>
      </c>
      <c r="F47" s="88">
        <f t="shared" ref="F47:L47" si="23">SUM(F28:F46)*1000</f>
        <v>0.79492828266419069</v>
      </c>
      <c r="G47" s="88">
        <f t="shared" si="23"/>
        <v>0</v>
      </c>
      <c r="H47" s="88">
        <f t="shared" si="23"/>
        <v>1.2669345113149411</v>
      </c>
      <c r="I47" s="88">
        <f t="shared" si="23"/>
        <v>0.18652132353678874</v>
      </c>
      <c r="J47" s="88">
        <f t="shared" si="23"/>
        <v>5.688255344740651E-2</v>
      </c>
      <c r="K47" s="88">
        <f t="shared" si="23"/>
        <v>4.3164633155496616E-2</v>
      </c>
      <c r="L47" s="88">
        <f t="shared" si="23"/>
        <v>-3.1584157788202951</v>
      </c>
      <c r="M47" s="1">
        <f>+SUM(M28:M46)</f>
        <v>4.5483921017187443</v>
      </c>
      <c r="N47" s="1">
        <f>+SUM(N28:N46)</f>
        <v>4.8349606118584383</v>
      </c>
      <c r="O47" s="1">
        <f>SUM(O28:O46)</f>
        <v>1.6765448330381434</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14.31697414869806</v>
      </c>
      <c r="D53" s="88">
        <f>'C3'' - Secondary Raw Material '!F321</f>
        <v>0.16679033795373477</v>
      </c>
      <c r="E53" s="88">
        <f>+'A2 - Transport'!Z119</f>
        <v>13.30957790493423</v>
      </c>
      <c r="F53" s="88">
        <f>+'C2''- Transport Secondary'!H59</f>
        <v>0</v>
      </c>
      <c r="G53" s="88">
        <f>'A3 - Production '!D207</f>
        <v>18.871401373599461</v>
      </c>
      <c r="H53" s="88">
        <f>'A4 - Transport'!B18</f>
        <v>3.1715952869327992</v>
      </c>
      <c r="I53" s="88">
        <f>'A5 - Construction'!E140</f>
        <v>1.1562033017188762</v>
      </c>
      <c r="J53" s="88">
        <f>'C1 - Deconstruction'!B88</f>
        <v>0.87737079908012983</v>
      </c>
      <c r="K53" s="1">
        <f>'D- Benefits &amp; Burdens'!N162</f>
        <v>-23.896691402857499</v>
      </c>
      <c r="L53" s="1">
        <f>SUM(C53:G53)</f>
        <v>46.664743765185484</v>
      </c>
      <c r="M53" s="1">
        <f>SUM(C53:J53)</f>
        <v>51.869913152917292</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2.2293018000920592</v>
      </c>
      <c r="D60" s="244">
        <f>'A2 - Transport'!L119</f>
        <v>11.898110690724449</v>
      </c>
      <c r="E60" s="245">
        <f>'A1 - Raw Material Supply'!O115</f>
        <v>11.7448</v>
      </c>
      <c r="F60" s="245">
        <f>'A2 - Transport'!B119</f>
        <v>0.92165995176527982</v>
      </c>
      <c r="G60" s="245">
        <f>'A1 - Raw Material Supply'!N115</f>
        <v>0.3428723486060043</v>
      </c>
      <c r="H60" s="245">
        <f>'A2 - Transport'!O119</f>
        <v>0</v>
      </c>
      <c r="I60" s="245">
        <f>'C3'' - Secondary Raw Material '!B321</f>
        <v>0.16679033795373477</v>
      </c>
      <c r="J60" s="245">
        <f>'C2''- Transport Secondary'!$D$59</f>
        <v>0</v>
      </c>
      <c r="K60" s="245">
        <f>'C3'' - Secondary Raw Material '!C321+'C3'' - Secondary Raw Material '!D321+'C3'' - Secondary Raw Material '!E321</f>
        <v>0</v>
      </c>
      <c r="L60" s="245">
        <f>'C2''- Transport Secondary'!$G$59</f>
        <v>0</v>
      </c>
      <c r="M60" s="245">
        <f>'A1 - Raw Material Supply'!Y$115</f>
        <v>0</v>
      </c>
      <c r="N60" s="245">
        <f>'A2 - Transport'!$Y$119</f>
        <v>0.48980726244449996</v>
      </c>
      <c r="O60" s="245">
        <f>'A3 - Production '!D207</f>
        <v>18.871401373599461</v>
      </c>
      <c r="P60" s="245">
        <f>'D- Benefits &amp; Burdens'!N162</f>
        <v>-23.896691402857499</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3.4579446276776338E-2</v>
      </c>
      <c r="D67" s="1">
        <f>'A2 - Transport'!L118</f>
        <v>2.0889361207576375E-2</v>
      </c>
      <c r="E67" s="62">
        <f>SUM(C67:D67)</f>
        <v>5.5468807484352713E-2</v>
      </c>
      <c r="F67" s="1">
        <f>'A1 - Raw Material Supply'!O114</f>
        <v>3.8115199999999995E-2</v>
      </c>
      <c r="G67" s="1">
        <f>'A2 - Transport'!B118</f>
        <v>1.3743889942399998E-3</v>
      </c>
      <c r="H67" s="62">
        <f>SUM(F67:G67)</f>
        <v>3.9489588994239995E-2</v>
      </c>
      <c r="I67" s="1">
        <f>'A1 - Raw Material Supply'!N114</f>
        <v>2.6232114612031879E-3</v>
      </c>
      <c r="J67" s="1">
        <f>'A2 - Transport'!O118</f>
        <v>0</v>
      </c>
      <c r="K67" s="62">
        <f>SUM(I67:J67)</f>
        <v>2.6232114612031879E-3</v>
      </c>
      <c r="L67" s="1">
        <f>'C3'' - Secondary Raw Material '!B320</f>
        <v>2.132393117742819E-4</v>
      </c>
      <c r="M67" s="1">
        <f>'C2''- Transport Secondary'!D58</f>
        <v>0</v>
      </c>
      <c r="N67" s="62">
        <f t="shared" ref="N67" si="25">SUM(L67:M67)</f>
        <v>2.132393117742819E-4</v>
      </c>
      <c r="O67" s="1">
        <f>'C3'' - Secondary Raw Material '!C320+'C3'' - Secondary Raw Material '!D320+'C3'' - Secondary Raw Material '!E320</f>
        <v>0</v>
      </c>
      <c r="P67" s="1">
        <f>'C2''- Transport Secondary'!G58</f>
        <v>0</v>
      </c>
      <c r="Q67" s="62">
        <f t="shared" ref="Q67" si="26">SUM(O67:P67)</f>
        <v>0</v>
      </c>
      <c r="R67" s="1">
        <f>'A1 - Raw Material Supply'!Y114</f>
        <v>0</v>
      </c>
      <c r="S67" s="1">
        <f>'A2 - Transport'!Y118</f>
        <v>7.3040573099999995E-4</v>
      </c>
      <c r="T67" s="62">
        <f>SUM(R67:S67)</f>
        <v>7.3040573099999995E-4</v>
      </c>
      <c r="U67" s="62">
        <f>'A3 - Production '!D206</f>
        <v>2.6407960588438178E-2</v>
      </c>
      <c r="V67" s="62">
        <f>'A4 - Transport'!B17</f>
        <v>4.7295161823999992E-3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0</v>
      </c>
      <c r="AC67" s="1">
        <f>'D- Benefits &amp; Burdens'!C161</f>
        <v>9.7208322691190062E-4</v>
      </c>
      <c r="AD67" s="62">
        <f>SUM(AB67:AC67)</f>
        <v>9.7208322691190062E-4</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0</v>
      </c>
      <c r="AK67" s="1">
        <f>'D- Benefits &amp; Burdens'!J161</f>
        <v>-1.5256923866726403E-2</v>
      </c>
      <c r="AL67" s="1">
        <f>'D- Benefits &amp; Burdens'!K161</f>
        <v>-8.1704102738400005E-3</v>
      </c>
      <c r="AM67" s="62">
        <f>SUM(AE67:AL67)</f>
        <v>-9.7151801980435784E-2</v>
      </c>
      <c r="AN67" s="62">
        <f>AD67+AM67</f>
        <v>-9.617971875352388E-2</v>
      </c>
    </row>
    <row r="68" spans="1:40" x14ac:dyDescent="0.35">
      <c r="A68" s="39" t="s">
        <v>164</v>
      </c>
      <c r="B68" s="39" t="s">
        <v>165</v>
      </c>
      <c r="C68" s="13">
        <f>'A1 - Raw Material Supply'!K115</f>
        <v>2.2293018000920592</v>
      </c>
      <c r="D68" s="1">
        <f>'A2 - Transport'!L119</f>
        <v>11.898110690724449</v>
      </c>
      <c r="E68" s="62">
        <f t="shared" ref="E68:E85" si="27">SUM(C68:D68)</f>
        <v>14.127412490816509</v>
      </c>
      <c r="F68" s="1">
        <f>'A1 - Raw Material Supply'!O115</f>
        <v>11.7448</v>
      </c>
      <c r="G68" s="1">
        <f>'A2 - Transport'!B119</f>
        <v>0.92165995176527982</v>
      </c>
      <c r="H68" s="62">
        <f t="shared" ref="H68:H85" si="28">SUM(F68:G68)</f>
        <v>12.66645995176528</v>
      </c>
      <c r="I68" s="1">
        <f>'A1 - Raw Material Supply'!N115</f>
        <v>0.3428723486060043</v>
      </c>
      <c r="J68" s="1">
        <f>'A2 - Transport'!O119</f>
        <v>0</v>
      </c>
      <c r="K68" s="62">
        <f t="shared" ref="K68:K85" si="29">SUM(I68:J68)</f>
        <v>0.3428723486060043</v>
      </c>
      <c r="L68" s="1">
        <f>'C3'' - Secondary Raw Material '!B321</f>
        <v>0.16679033795373477</v>
      </c>
      <c r="M68" s="1">
        <f>'C2''- Transport Secondary'!D59</f>
        <v>0</v>
      </c>
      <c r="N68" s="62">
        <f t="shared" ref="N68:N85" si="30">SUM(L68:M68)</f>
        <v>0.16679033795373477</v>
      </c>
      <c r="O68" s="1">
        <f>'C3'' - Secondary Raw Material '!C321+'C3'' - Secondary Raw Material '!D321+'C3'' - Secondary Raw Material '!E321</f>
        <v>0</v>
      </c>
      <c r="P68" s="1">
        <f>'C2''- Transport Secondary'!G59</f>
        <v>0</v>
      </c>
      <c r="Q68" s="62">
        <f t="shared" ref="Q68:Q85" si="31">SUM(O68:P68)</f>
        <v>0</v>
      </c>
      <c r="R68" s="1">
        <f>'A1 - Raw Material Supply'!Y115</f>
        <v>0</v>
      </c>
      <c r="S68" s="1">
        <f>'A2 - Transport'!Y119</f>
        <v>0.48980726244449996</v>
      </c>
      <c r="T68" s="62">
        <f t="shared" ref="T68:T85" si="32">SUM(R68:S68)</f>
        <v>0.48980726244449996</v>
      </c>
      <c r="U68" s="62">
        <f>'A3 - Production '!D207</f>
        <v>18.871401373599461</v>
      </c>
      <c r="V68" s="62">
        <f>'A4 - Transport'!B18</f>
        <v>3.1715952869327992</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0</v>
      </c>
      <c r="AC68" s="1">
        <f>'D- Benefits &amp; Burdens'!C162</f>
        <v>0.76033864762898462</v>
      </c>
      <c r="AD68" s="62">
        <f t="shared" ref="AD68:AD85" si="34">SUM(AB68:AC68)</f>
        <v>0.76033864762898462</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0</v>
      </c>
      <c r="AK68" s="1">
        <f>'D- Benefits &amp; Burdens'!J162</f>
        <v>-5.5769424122953737</v>
      </c>
      <c r="AL68" s="1">
        <f>'D- Benefits &amp; Burdens'!K162</f>
        <v>-2.9865723903496799</v>
      </c>
      <c r="AM68" s="62">
        <f t="shared" ref="AM68:AM85" si="35">SUM(AE68:AL68)</f>
        <v>-24.657030050486483</v>
      </c>
      <c r="AN68" s="62">
        <f t="shared" ref="AN68:AN85" si="36">AD68+AM68</f>
        <v>-23.896691402857499</v>
      </c>
    </row>
    <row r="69" spans="1:40" x14ac:dyDescent="0.35">
      <c r="A69" s="39" t="s">
        <v>166</v>
      </c>
      <c r="B69" s="39" t="s">
        <v>165</v>
      </c>
      <c r="C69" s="13">
        <f>'A1 - Raw Material Supply'!K116</f>
        <v>4.2202219772539571E-3</v>
      </c>
      <c r="D69" s="1">
        <f>'A2 - Transport'!L120</f>
        <v>5.4777179657291069E-3</v>
      </c>
      <c r="E69" s="62">
        <f t="shared" si="27"/>
        <v>9.6979399429830641E-3</v>
      </c>
      <c r="F69" s="1">
        <f>'A1 - Raw Material Supply'!O116</f>
        <v>4.6536000000000001E-2</v>
      </c>
      <c r="G69" s="1">
        <f>'A2 - Transport'!B120</f>
        <v>4.30742946576E-4</v>
      </c>
      <c r="H69" s="62">
        <f t="shared" si="28"/>
        <v>4.6966742946576004E-2</v>
      </c>
      <c r="I69" s="1">
        <f>'A1 - Raw Material Supply'!N116</f>
        <v>5.3472108386883287E-3</v>
      </c>
      <c r="J69" s="1">
        <f>'A2 - Transport'!O120</f>
        <v>0</v>
      </c>
      <c r="K69" s="62">
        <f t="shared" si="29"/>
        <v>5.3472108386883287E-3</v>
      </c>
      <c r="L69" s="1">
        <f>'C3'' - Secondary Raw Material '!B322</f>
        <v>3.4471332246079752E-5</v>
      </c>
      <c r="M69" s="1">
        <f>'C2''- Transport Secondary'!D60</f>
        <v>0</v>
      </c>
      <c r="N69" s="62">
        <f t="shared" si="30"/>
        <v>3.4471332246079752E-5</v>
      </c>
      <c r="O69" s="1">
        <f>'C3'' - Secondary Raw Material '!C322+'C3'' - Secondary Raw Material '!D322+'C3'' - Secondary Raw Material '!E322</f>
        <v>0</v>
      </c>
      <c r="P69" s="1">
        <f>'C2''- Transport Secondary'!G60</f>
        <v>0</v>
      </c>
      <c r="Q69" s="62">
        <f t="shared" si="31"/>
        <v>0</v>
      </c>
      <c r="R69" s="1">
        <f>'A1 - Raw Material Supply'!Y116</f>
        <v>0</v>
      </c>
      <c r="S69" s="1">
        <f>'A2 - Transport'!Y120</f>
        <v>2.2891417065E-4</v>
      </c>
      <c r="T69" s="62">
        <f t="shared" si="32"/>
        <v>2.2891417065E-4</v>
      </c>
      <c r="U69" s="62">
        <f>'A3 - Production '!D208</f>
        <v>6.28795666966626E-2</v>
      </c>
      <c r="V69" s="62">
        <f>'A4 - Transport'!B19</f>
        <v>1.4822628417599998E-3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0</v>
      </c>
      <c r="AC69" s="1">
        <f>'D- Benefits &amp; Burdens'!C163</f>
        <v>1.5714271260259654E-4</v>
      </c>
      <c r="AD69" s="62">
        <f t="shared" si="34"/>
        <v>1.5714271260259654E-4</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0</v>
      </c>
      <c r="AK69" s="1">
        <f>'D- Benefits &amp; Burdens'!J163</f>
        <v>-2.5776015939993602E-3</v>
      </c>
      <c r="AL69" s="1">
        <f>'D- Benefits &amp; Burdens'!K163</f>
        <v>-1.380360990816E-3</v>
      </c>
      <c r="AM69" s="62">
        <f t="shared" si="35"/>
        <v>-7.0351086189031853E-2</v>
      </c>
      <c r="AN69" s="62">
        <f t="shared" si="36"/>
        <v>-7.0193943476429252E-2</v>
      </c>
    </row>
    <row r="70" spans="1:40" x14ac:dyDescent="0.35">
      <c r="A70" s="39" t="s">
        <v>167</v>
      </c>
      <c r="B70" s="39" t="s">
        <v>165</v>
      </c>
      <c r="C70" s="13">
        <f>'A1 - Raw Material Supply'!K117</f>
        <v>2.2245012281158112</v>
      </c>
      <c r="D70" s="1">
        <f>'A2 - Transport'!L121</f>
        <v>11.891320172751344</v>
      </c>
      <c r="E70" s="62">
        <f t="shared" si="27"/>
        <v>14.115821400867155</v>
      </c>
      <c r="F70" s="1">
        <f>'A1 - Raw Material Supply'!O117</f>
        <v>11.700479999999999</v>
      </c>
      <c r="G70" s="1">
        <f>'A2 - Transport'!B121</f>
        <v>0.92115589920863994</v>
      </c>
      <c r="H70" s="62">
        <f t="shared" si="28"/>
        <v>12.621635899208639</v>
      </c>
      <c r="I70" s="1">
        <f>'A1 - Raw Material Supply'!N117</f>
        <v>0.3369456631463485</v>
      </c>
      <c r="J70" s="1">
        <f>'A2 - Transport'!O121</f>
        <v>0</v>
      </c>
      <c r="K70" s="62">
        <f t="shared" si="29"/>
        <v>0.3369456631463485</v>
      </c>
      <c r="L70" s="1">
        <f>'C3'' - Secondary Raw Material '!B323</f>
        <v>0.16674849071700243</v>
      </c>
      <c r="M70" s="1">
        <f>'C2''- Transport Secondary'!D61</f>
        <v>0</v>
      </c>
      <c r="N70" s="62">
        <f t="shared" si="30"/>
        <v>0.16674849071700243</v>
      </c>
      <c r="O70" s="1">
        <f>'C3'' - Secondary Raw Material '!C323+'C3'' - Secondary Raw Material '!D323+'C3'' - Secondary Raw Material '!E323</f>
        <v>0</v>
      </c>
      <c r="P70" s="1">
        <f>'C2''- Transport Secondary'!G61</f>
        <v>0</v>
      </c>
      <c r="Q70" s="62">
        <f t="shared" si="31"/>
        <v>0</v>
      </c>
      <c r="R70" s="1">
        <f>'A1 - Raw Material Supply'!Y117</f>
        <v>0</v>
      </c>
      <c r="S70" s="1">
        <f>'A2 - Transport'!Y121</f>
        <v>0.48953938859099999</v>
      </c>
      <c r="T70" s="62">
        <f t="shared" si="32"/>
        <v>0.48953938859099999</v>
      </c>
      <c r="U70" s="62">
        <f>'A3 - Production '!D209</f>
        <v>18.798454610649674</v>
      </c>
      <c r="V70" s="62">
        <f>'A4 - Transport'!B20</f>
        <v>3.1698607527263993</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0</v>
      </c>
      <c r="AC70" s="1">
        <f>'D- Benefits &amp; Burdens'!C164</f>
        <v>0.76014788075498918</v>
      </c>
      <c r="AD70" s="62">
        <f t="shared" si="34"/>
        <v>0.76014788075498918</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0</v>
      </c>
      <c r="AK70" s="1">
        <f>'D- Benefits &amp; Burdens'!J164</f>
        <v>-5.5739262943641608</v>
      </c>
      <c r="AL70" s="1">
        <f>'D- Benefits &amp; Burdens'!K164</f>
        <v>-2.9849571944459998</v>
      </c>
      <c r="AM70" s="62">
        <f t="shared" si="35"/>
        <v>-24.5862728806947</v>
      </c>
      <c r="AN70" s="62">
        <f t="shared" si="36"/>
        <v>-23.826124999939712</v>
      </c>
    </row>
    <row r="71" spans="1:40" x14ac:dyDescent="0.35">
      <c r="A71" s="39" t="s">
        <v>168</v>
      </c>
      <c r="B71" s="39" t="s">
        <v>165</v>
      </c>
      <c r="C71" s="13">
        <f>'A1 - Raw Material Supply'!K118</f>
        <v>5.8034999899390319E-4</v>
      </c>
      <c r="D71" s="1">
        <f>'A2 - Transport'!L122</f>
        <v>1.3127855615765957E-3</v>
      </c>
      <c r="E71" s="62">
        <f t="shared" si="27"/>
        <v>1.8931355605704989E-3</v>
      </c>
      <c r="F71" s="1">
        <f>'A1 - Raw Material Supply'!O118</f>
        <v>5.8723999999999998E-3</v>
      </c>
      <c r="G71" s="1">
        <f>'A2 - Transport'!B122</f>
        <v>7.3308448880000007E-5</v>
      </c>
      <c r="H71" s="62">
        <f t="shared" si="28"/>
        <v>5.9457084488800001E-3</v>
      </c>
      <c r="I71" s="1">
        <f>'A1 - Raw Material Supply'!N118</f>
        <v>5.7947462096743238E-4</v>
      </c>
      <c r="J71" s="1">
        <f>'A2 - Transport'!O122</f>
        <v>0</v>
      </c>
      <c r="K71" s="62">
        <f t="shared" si="29"/>
        <v>5.7947462096743238E-4</v>
      </c>
      <c r="L71" s="1">
        <f>'C3'' - Secondary Raw Material '!B324</f>
        <v>7.375904486254632E-6</v>
      </c>
      <c r="M71" s="1">
        <f>'C2''- Transport Secondary'!D62</f>
        <v>0</v>
      </c>
      <c r="N71" s="62">
        <f t="shared" si="30"/>
        <v>7.375904486254632E-6</v>
      </c>
      <c r="O71" s="1">
        <f>'C3'' - Secondary Raw Material '!C324+'C3'' - Secondary Raw Material '!D324+'C3'' - Secondary Raw Material '!E324</f>
        <v>0</v>
      </c>
      <c r="P71" s="1">
        <f>'C2''- Transport Secondary'!G62</f>
        <v>0</v>
      </c>
      <c r="Q71" s="62">
        <f t="shared" si="31"/>
        <v>0</v>
      </c>
      <c r="R71" s="1">
        <f>'A1 - Raw Material Supply'!Y118</f>
        <v>0</v>
      </c>
      <c r="S71" s="1">
        <f>'A2 - Transport'!Y122</f>
        <v>3.8959065749999999E-5</v>
      </c>
      <c r="T71" s="62">
        <f t="shared" si="32"/>
        <v>3.8959065749999999E-5</v>
      </c>
      <c r="U71" s="62">
        <f>'A3 - Production '!D210</f>
        <v>1.0067196253125181E-2</v>
      </c>
      <c r="V71" s="62">
        <f>'A4 - Transport'!B21</f>
        <v>2.5226736879999995E-4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0</v>
      </c>
      <c r="AC71" s="1">
        <f>'D- Benefits &amp; Burdens'!C165</f>
        <v>3.3624161392820239E-5</v>
      </c>
      <c r="AD71" s="62">
        <f t="shared" si="34"/>
        <v>3.3624161392820239E-5</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0</v>
      </c>
      <c r="AK71" s="1">
        <f>'D- Benefits &amp; Burdens'!J165</f>
        <v>-4.3850599907328006E-4</v>
      </c>
      <c r="AL71" s="1">
        <f>'D- Benefits &amp; Burdens'!K165</f>
        <v>-2.3482937656799999E-4</v>
      </c>
      <c r="AM71" s="62">
        <f t="shared" si="35"/>
        <v>-8.9326118921906877E-3</v>
      </c>
      <c r="AN71" s="62">
        <f t="shared" si="36"/>
        <v>-8.8989877307978672E-3</v>
      </c>
    </row>
    <row r="72" spans="1:40" x14ac:dyDescent="0.35">
      <c r="A72" s="39" t="s">
        <v>169</v>
      </c>
      <c r="B72" s="39" t="s">
        <v>170</v>
      </c>
      <c r="C72" s="13">
        <f>'A1 - Raw Material Supply'!K119</f>
        <v>14.825596162836254</v>
      </c>
      <c r="D72" s="1">
        <f>'A2 - Transport'!L123</f>
        <v>10.285488190993922</v>
      </c>
      <c r="E72" s="62">
        <f t="shared" si="27"/>
        <v>25.111084353830176</v>
      </c>
      <c r="F72" s="1">
        <f>'A1 - Raw Material Supply'!O119</f>
        <v>631.55999999999995</v>
      </c>
      <c r="G72" s="1">
        <f>'A2 - Transport'!B123</f>
        <v>0.79160206037808001</v>
      </c>
      <c r="H72" s="62">
        <f t="shared" si="28"/>
        <v>632.35160206037801</v>
      </c>
      <c r="I72" s="1">
        <f>'A1 - Raw Material Supply'!N119</f>
        <v>1.0702763726030411</v>
      </c>
      <c r="J72" s="1">
        <f>'A2 - Transport'!O123</f>
        <v>0</v>
      </c>
      <c r="K72" s="62">
        <f t="shared" si="29"/>
        <v>1.0702763726030411</v>
      </c>
      <c r="L72" s="1">
        <f>'C3'' - Secondary Raw Material '!B325</f>
        <v>7.3693079401887573E-2</v>
      </c>
      <c r="M72" s="1">
        <f>'C2''- Transport Secondary'!D63</f>
        <v>0</v>
      </c>
      <c r="N72" s="62">
        <f t="shared" si="30"/>
        <v>7.3693079401887573E-2</v>
      </c>
      <c r="O72" s="1">
        <f>'C3'' - Secondary Raw Material '!C325+'C3'' - Secondary Raw Material '!D325+'C3'' - Secondary Raw Material '!E325</f>
        <v>0</v>
      </c>
      <c r="P72" s="1">
        <f>'C2''- Transport Secondary'!G63</f>
        <v>0</v>
      </c>
      <c r="Q72" s="62">
        <f t="shared" si="31"/>
        <v>0</v>
      </c>
      <c r="R72" s="1">
        <f>'A1 - Raw Material Supply'!Y119</f>
        <v>0</v>
      </c>
      <c r="S72" s="1">
        <f>'A2 - Transport'!Y123</f>
        <v>0.42068925463950002</v>
      </c>
      <c r="T72" s="62">
        <f t="shared" si="32"/>
        <v>0.42068925463950002</v>
      </c>
      <c r="U72" s="62">
        <f>'A3 - Production '!D211</f>
        <v>18.886970328251991</v>
      </c>
      <c r="V72" s="62">
        <f>'A4 - Transport'!B22</f>
        <v>2.7240430258607997</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0</v>
      </c>
      <c r="AC72" s="1">
        <f>'D- Benefits &amp; Burdens'!C166</f>
        <v>0.33594090053099462</v>
      </c>
      <c r="AD72" s="62">
        <f t="shared" si="34"/>
        <v>0.33594090053099462</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0</v>
      </c>
      <c r="AK72" s="1">
        <f>'D- Benefits &amp; Burdens'!J166</f>
        <v>-4.7395833500860425</v>
      </c>
      <c r="AL72" s="1">
        <f>'D- Benefits &amp; Burdens'!K166</f>
        <v>-2.53814863569696</v>
      </c>
      <c r="AM72" s="62">
        <f t="shared" si="35"/>
        <v>-685.23886180145166</v>
      </c>
      <c r="AN72" s="62">
        <f t="shared" si="36"/>
        <v>-684.90292090092066</v>
      </c>
    </row>
    <row r="73" spans="1:40" ht="29" x14ac:dyDescent="0.35">
      <c r="A73" s="39" t="s">
        <v>171</v>
      </c>
      <c r="B73" s="39" t="s">
        <v>172</v>
      </c>
      <c r="C73" s="13">
        <f>'A1 - Raw Material Supply'!K120</f>
        <v>30.653943865945653</v>
      </c>
      <c r="D73" s="1">
        <f>'A2 - Transport'!L124</f>
        <v>159.62062869206028</v>
      </c>
      <c r="E73" s="62">
        <f t="shared" si="27"/>
        <v>190.27457255800593</v>
      </c>
      <c r="F73" s="1">
        <f>'A1 - Raw Material Supply'!O120</f>
        <v>1014.928</v>
      </c>
      <c r="G73" s="1">
        <f>'A2 - Transport'!B124</f>
        <v>12.4045847292992</v>
      </c>
      <c r="H73" s="62">
        <f t="shared" si="28"/>
        <v>1027.3325847292992</v>
      </c>
      <c r="I73" s="1">
        <f>'A1 - Raw Material Supply'!N120</f>
        <v>5.7415722929854773</v>
      </c>
      <c r="J73" s="1">
        <f>'A2 - Transport'!O124</f>
        <v>0</v>
      </c>
      <c r="K73" s="62">
        <f t="shared" si="29"/>
        <v>5.7415722929854773</v>
      </c>
      <c r="L73" s="1">
        <f>'C3'' - Secondary Raw Material '!B326</f>
        <v>2.2154215403498743</v>
      </c>
      <c r="M73" s="1">
        <f>'C2''- Transport Secondary'!D64</f>
        <v>0</v>
      </c>
      <c r="N73" s="62">
        <f t="shared" si="30"/>
        <v>2.2154215403498743</v>
      </c>
      <c r="O73" s="1">
        <f>'C3'' - Secondary Raw Material '!C326+'C3'' - Secondary Raw Material '!D326+'C3'' - Secondary Raw Material '!E326</f>
        <v>0</v>
      </c>
      <c r="P73" s="1">
        <f>'C2''- Transport Secondary'!G64</f>
        <v>0</v>
      </c>
      <c r="Q73" s="62">
        <f t="shared" si="31"/>
        <v>0</v>
      </c>
      <c r="R73" s="1">
        <f>'A1 - Raw Material Supply'!Y120</f>
        <v>0</v>
      </c>
      <c r="S73" s="1">
        <f>'A2 - Transport'!Y124</f>
        <v>6.5922965149800001</v>
      </c>
      <c r="T73" s="62">
        <f t="shared" si="32"/>
        <v>6.5922965149800001</v>
      </c>
      <c r="U73" s="62">
        <f>'A3 - Production '!D212</f>
        <v>439.32217447362336</v>
      </c>
      <c r="V73" s="62">
        <f>'A4 - Transport'!B23</f>
        <v>42.686375152191985</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0</v>
      </c>
      <c r="AC73" s="1">
        <f>'D- Benefits &amp; Burdens'!C167</f>
        <v>10.099329724872872</v>
      </c>
      <c r="AD73" s="62">
        <f t="shared" si="34"/>
        <v>10.099329724872872</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0</v>
      </c>
      <c r="AK73" s="1">
        <f>'D- Benefits &amp; Burdens'!J167</f>
        <v>-74.983895559585804</v>
      </c>
      <c r="AL73" s="1">
        <f>'D- Benefits &amp; Burdens'!K167</f>
        <v>-40.155485863615191</v>
      </c>
      <c r="AM73" s="62">
        <f t="shared" si="35"/>
        <v>-1238.186887539822</v>
      </c>
      <c r="AN73" s="62">
        <f t="shared" si="36"/>
        <v>-1228.0875578149492</v>
      </c>
    </row>
    <row r="74" spans="1:40" ht="29" x14ac:dyDescent="0.35">
      <c r="A74" s="39" t="s">
        <v>173</v>
      </c>
      <c r="B74" s="39" t="s">
        <v>174</v>
      </c>
      <c r="C74" s="13">
        <f>'A1 - Raw Material Supply'!K121</f>
        <v>1.4175507165429532E-4</v>
      </c>
      <c r="D74" s="1">
        <f>'A2 - Transport'!L125</f>
        <v>3.0640748134991904E-4</v>
      </c>
      <c r="E74" s="62">
        <f t="shared" si="27"/>
        <v>4.4816255300421436E-4</v>
      </c>
      <c r="F74" s="1">
        <f>'A1 - Raw Material Supply'!O121</f>
        <v>9.8611999999999997E-6</v>
      </c>
      <c r="G74" s="1">
        <f>'A2 - Transport'!B125</f>
        <v>2.1497521924799997E-5</v>
      </c>
      <c r="H74" s="62">
        <f t="shared" si="28"/>
        <v>3.1358721924799997E-5</v>
      </c>
      <c r="I74" s="1">
        <f>'A1 - Raw Material Supply'!N121</f>
        <v>2.0602576049366829E-4</v>
      </c>
      <c r="J74" s="1">
        <f>'A2 - Transport'!O125</f>
        <v>0</v>
      </c>
      <c r="K74" s="62">
        <f t="shared" si="29"/>
        <v>2.0602576049366829E-4</v>
      </c>
      <c r="L74" s="1">
        <f>'C3'' - Secondary Raw Material '!B327</f>
        <v>1.7631993026448645E-6</v>
      </c>
      <c r="M74" s="1">
        <f>'C2''- Transport Secondary'!D65</f>
        <v>0</v>
      </c>
      <c r="N74" s="62">
        <f t="shared" si="30"/>
        <v>1.7631993026448645E-6</v>
      </c>
      <c r="O74" s="1">
        <f>'C3'' - Secondary Raw Material '!C327+'C3'' - Secondary Raw Material '!D327+'C3'' - Secondary Raw Material '!E327</f>
        <v>0</v>
      </c>
      <c r="P74" s="1">
        <f>'C2''- Transport Secondary'!G65</f>
        <v>0</v>
      </c>
      <c r="Q74" s="62">
        <f t="shared" si="31"/>
        <v>0</v>
      </c>
      <c r="R74" s="1">
        <f>'A1 - Raw Material Supply'!Y121</f>
        <v>0</v>
      </c>
      <c r="S74" s="1">
        <f>'A2 - Transport'!Y125</f>
        <v>1.1424649995000001E-5</v>
      </c>
      <c r="T74" s="62">
        <f t="shared" si="32"/>
        <v>1.1424649995000001E-5</v>
      </c>
      <c r="U74" s="62">
        <f>'A3 - Production '!D213</f>
        <v>1.6358770818547918E-3</v>
      </c>
      <c r="V74" s="62">
        <f>'A4 - Transport'!B24</f>
        <v>7.3976784047999984E-5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0</v>
      </c>
      <c r="AC74" s="1">
        <f>'D- Benefits &amp; Burdens'!C168</f>
        <v>8.0378071638972046E-6</v>
      </c>
      <c r="AD74" s="62">
        <f t="shared" si="34"/>
        <v>8.0378071638972046E-6</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0</v>
      </c>
      <c r="AK74" s="1">
        <f>'D- Benefits &amp; Burdens'!J168</f>
        <v>-1.2829631938560002E-4</v>
      </c>
      <c r="AL74" s="1">
        <f>'D- Benefits &amp; Burdens'!K168</f>
        <v>-6.8705433359999999E-5</v>
      </c>
      <c r="AM74" s="62">
        <f t="shared" si="35"/>
        <v>-9.0141002519306221E-4</v>
      </c>
      <c r="AN74" s="62">
        <f t="shared" si="36"/>
        <v>-8.9337221802916506E-4</v>
      </c>
    </row>
    <row r="75" spans="1:40" ht="29" x14ac:dyDescent="0.35">
      <c r="A75" s="39" t="s">
        <v>175</v>
      </c>
      <c r="B75" s="39" t="s">
        <v>176</v>
      </c>
      <c r="C75" s="13">
        <f>'A1 - Raw Material Supply'!K122</f>
        <v>1.3122559859339928E-2</v>
      </c>
      <c r="D75" s="1">
        <f>'A2 - Transport'!L126</f>
        <v>5.4455930977238953E-3</v>
      </c>
      <c r="E75" s="62">
        <f t="shared" si="27"/>
        <v>1.8568152957063822E-2</v>
      </c>
      <c r="F75" s="1">
        <f>'A1 - Raw Material Supply'!O122</f>
        <v>9.8390400000000003E-3</v>
      </c>
      <c r="G75" s="1">
        <f>'A2 - Transport'!B126</f>
        <v>2.99569215424E-4</v>
      </c>
      <c r="H75" s="62">
        <f t="shared" si="28"/>
        <v>1.0138609215424E-2</v>
      </c>
      <c r="I75" s="1">
        <f>'A1 - Raw Material Supply'!N122</f>
        <v>5.9408007154618291E-4</v>
      </c>
      <c r="J75" s="1">
        <f>'A2 - Transport'!O126</f>
        <v>0</v>
      </c>
      <c r="K75" s="62">
        <f t="shared" si="29"/>
        <v>5.9408007154618291E-4</v>
      </c>
      <c r="L75" s="1">
        <f>'C3'' - Secondary Raw Material '!B328</f>
        <v>4.8220355792551409E-5</v>
      </c>
      <c r="M75" s="1">
        <f>'C2''- Transport Secondary'!D66</f>
        <v>0</v>
      </c>
      <c r="N75" s="62">
        <f t="shared" si="30"/>
        <v>4.8220355792551409E-5</v>
      </c>
      <c r="O75" s="1">
        <f>'C3'' - Secondary Raw Material '!C328+'C3'' - Secondary Raw Material '!D328+'C3'' - Secondary Raw Material '!E328</f>
        <v>0</v>
      </c>
      <c r="P75" s="1">
        <f>'C2''- Transport Secondary'!G66</f>
        <v>0</v>
      </c>
      <c r="Q75" s="62">
        <f t="shared" si="31"/>
        <v>0</v>
      </c>
      <c r="R75" s="1">
        <f>'A1 - Raw Material Supply'!Y122</f>
        <v>0</v>
      </c>
      <c r="S75" s="1">
        <f>'A2 - Transport'!Y126</f>
        <v>1.592031606E-4</v>
      </c>
      <c r="T75" s="62">
        <f t="shared" si="32"/>
        <v>1.592031606E-4</v>
      </c>
      <c r="U75" s="62">
        <f>'A3 - Production '!D214</f>
        <v>6.3128212528502405E-3</v>
      </c>
      <c r="V75" s="62">
        <f>'A4 - Transport'!B25</f>
        <v>1.0308707782399997E-3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0</v>
      </c>
      <c r="AC75" s="1">
        <f>'D- Benefits &amp; Burdens'!C169</f>
        <v>2.1981968836628309E-4</v>
      </c>
      <c r="AD75" s="62">
        <f t="shared" si="34"/>
        <v>2.1981968836628309E-4</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0</v>
      </c>
      <c r="AK75" s="1">
        <f>'D- Benefits &amp; Burdens'!J169</f>
        <v>-5.4741830565888001E-3</v>
      </c>
      <c r="AL75" s="1">
        <f>'D- Benefits &amp; Burdens'!K169</f>
        <v>-2.9315425492799996E-3</v>
      </c>
      <c r="AM75" s="62">
        <f t="shared" si="35"/>
        <v>-3.0754526435287487E-2</v>
      </c>
      <c r="AN75" s="62">
        <f t="shared" si="36"/>
        <v>-3.0534706746921204E-2</v>
      </c>
    </row>
    <row r="76" spans="1:40" x14ac:dyDescent="0.35">
      <c r="A76" s="39" t="s">
        <v>177</v>
      </c>
      <c r="B76" s="39" t="s">
        <v>178</v>
      </c>
      <c r="C76" s="13">
        <f>'A1 - Raw Material Supply'!K123</f>
        <v>0.17345992955546041</v>
      </c>
      <c r="D76" s="1">
        <f>'A2 - Transport'!L127</f>
        <v>5.9132243881866609E-2</v>
      </c>
      <c r="E76" s="62">
        <f t="shared" si="27"/>
        <v>0.23259217343732702</v>
      </c>
      <c r="F76" s="1">
        <f>'A1 - Raw Material Supply'!O123</f>
        <v>0.1076976</v>
      </c>
      <c r="G76" s="1">
        <f>'A2 - Transport'!B127</f>
        <v>3.2425656785599996E-3</v>
      </c>
      <c r="H76" s="62">
        <f t="shared" si="28"/>
        <v>0.11094016567856001</v>
      </c>
      <c r="I76" s="1">
        <f>'A1 - Raw Material Supply'!N123</f>
        <v>7.0415022193815388E-3</v>
      </c>
      <c r="J76" s="1">
        <f>'A2 - Transport'!O127</f>
        <v>0</v>
      </c>
      <c r="K76" s="62">
        <f t="shared" si="29"/>
        <v>7.0415022193815388E-3</v>
      </c>
      <c r="L76" s="1">
        <f>'C3'' - Secondary Raw Material '!B329</f>
        <v>5.2421468666230769E-4</v>
      </c>
      <c r="M76" s="1">
        <f>'C2''- Transport Secondary'!D67</f>
        <v>0</v>
      </c>
      <c r="N76" s="62">
        <f t="shared" si="30"/>
        <v>5.2421468666230769E-4</v>
      </c>
      <c r="O76" s="1">
        <f>'C3'' - Secondary Raw Material '!C329+'C3'' - Secondary Raw Material '!D329+'C3'' - Secondary Raw Material '!E329</f>
        <v>0</v>
      </c>
      <c r="P76" s="1">
        <f>'C2''- Transport Secondary'!G67</f>
        <v>0</v>
      </c>
      <c r="Q76" s="62">
        <f t="shared" si="31"/>
        <v>0</v>
      </c>
      <c r="R76" s="1">
        <f>'A1 - Raw Material Supply'!Y123</f>
        <v>0</v>
      </c>
      <c r="S76" s="1">
        <f>'A2 - Transport'!Y127</f>
        <v>1.7232301514999999E-3</v>
      </c>
      <c r="T76" s="62">
        <f t="shared" si="32"/>
        <v>1.7232301514999999E-3</v>
      </c>
      <c r="U76" s="62">
        <f>'A3 - Production '!D215</f>
        <v>6.5286069532900046E-2</v>
      </c>
      <c r="V76" s="62">
        <f>'A4 - Transport'!B26</f>
        <v>1.1158243345599998E-2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0</v>
      </c>
      <c r="AC76" s="1">
        <f>'D- Benefits &amp; Burdens'!C170</f>
        <v>2.3897108838200898E-3</v>
      </c>
      <c r="AD76" s="62">
        <f t="shared" si="34"/>
        <v>2.3897108838200898E-3</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0</v>
      </c>
      <c r="AK76" s="1">
        <f>'D- Benefits &amp; Burdens'!J170</f>
        <v>-5.9714992889856003E-2</v>
      </c>
      <c r="AL76" s="1">
        <f>'D- Benefits &amp; Burdens'!K170</f>
        <v>-3.1978660683599995E-2</v>
      </c>
      <c r="AM76" s="62">
        <f t="shared" si="35"/>
        <v>-0.35372934748505913</v>
      </c>
      <c r="AN76" s="62">
        <f t="shared" si="36"/>
        <v>-0.35133963660123901</v>
      </c>
    </row>
    <row r="77" spans="1:40" x14ac:dyDescent="0.35">
      <c r="A77" s="39" t="s">
        <v>179</v>
      </c>
      <c r="B77" s="39" t="s">
        <v>180</v>
      </c>
      <c r="C77" s="13">
        <f>'A1 - Raw Material Supply'!K124</f>
        <v>3.518272857503888E-10</v>
      </c>
      <c r="D77" s="1">
        <f>'A2 - Transport'!L128</f>
        <v>1.0745764276144469E-9</v>
      </c>
      <c r="E77" s="62">
        <f t="shared" si="27"/>
        <v>1.4264037133648356E-9</v>
      </c>
      <c r="F77" s="1">
        <f>'A1 - Raw Material Supply'!O124</f>
        <v>1.099136E-8</v>
      </c>
      <c r="G77" s="1">
        <f>'A2 - Transport'!B128</f>
        <v>8.168755262399998E-11</v>
      </c>
      <c r="H77" s="62">
        <f t="shared" si="28"/>
        <v>1.1073047552623999E-8</v>
      </c>
      <c r="I77" s="1">
        <f>'A1 - Raw Material Supply'!N124</f>
        <v>7.0654761965459657E-11</v>
      </c>
      <c r="J77" s="1">
        <f>'A2 - Transport'!O128</f>
        <v>0</v>
      </c>
      <c r="K77" s="62">
        <f t="shared" si="29"/>
        <v>7.0654761965459657E-11</v>
      </c>
      <c r="L77" s="1">
        <f>'C3'' - Secondary Raw Material '!B330</f>
        <v>1.0192646894973112E-11</v>
      </c>
      <c r="M77" s="1">
        <f>'C2''- Transport Secondary'!D68</f>
        <v>0</v>
      </c>
      <c r="N77" s="62">
        <f t="shared" si="30"/>
        <v>1.0192646894973112E-11</v>
      </c>
      <c r="O77" s="1">
        <f>'C3'' - Secondary Raw Material '!C330+'C3'' - Secondary Raw Material '!D330+'C3'' - Secondary Raw Material '!E330</f>
        <v>0</v>
      </c>
      <c r="P77" s="1">
        <f>'C2''- Transport Secondary'!G68</f>
        <v>0</v>
      </c>
      <c r="Q77" s="62">
        <f t="shared" si="31"/>
        <v>0</v>
      </c>
      <c r="R77" s="1">
        <f>'A1 - Raw Material Supply'!Y124</f>
        <v>0</v>
      </c>
      <c r="S77" s="1">
        <f>'A2 - Transport'!Y128</f>
        <v>4.3412059349999997E-11</v>
      </c>
      <c r="T77" s="62">
        <f t="shared" si="32"/>
        <v>4.3412059349999997E-11</v>
      </c>
      <c r="U77" s="62">
        <f>'A3 - Production '!D216</f>
        <v>2.7869378074802969E-9</v>
      </c>
      <c r="V77" s="62">
        <f>'A4 - Transport'!B27</f>
        <v>2.8110135023999995E-10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0</v>
      </c>
      <c r="AC77" s="1">
        <f>'D- Benefits &amp; Burdens'!C171</f>
        <v>4.6464702038275903E-11</v>
      </c>
      <c r="AD77" s="62">
        <f t="shared" si="34"/>
        <v>4.6464702038275903E-11</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0</v>
      </c>
      <c r="AK77" s="1">
        <f>'D- Benefits &amp; Burdens'!J171</f>
        <v>-5.2128693338112003E-10</v>
      </c>
      <c r="AL77" s="1">
        <f>'D- Benefits &amp; Burdens'!K171</f>
        <v>-2.7916034407200001E-10</v>
      </c>
      <c r="AM77" s="62">
        <f t="shared" si="35"/>
        <v>-1.2931436874185379E-8</v>
      </c>
      <c r="AN77" s="62">
        <f t="shared" si="36"/>
        <v>-1.2884972172147104E-8</v>
      </c>
    </row>
    <row r="78" spans="1:40" x14ac:dyDescent="0.35">
      <c r="A78" s="39" t="s">
        <v>181</v>
      </c>
      <c r="B78" s="39" t="s">
        <v>180</v>
      </c>
      <c r="C78" s="13">
        <f>'A1 - Raw Material Supply'!K125</f>
        <v>8.3608539655003408E-9</v>
      </c>
      <c r="D78" s="1">
        <f>'A2 - Transport'!L129</f>
        <v>8.3974749282919604E-8</v>
      </c>
      <c r="E78" s="62">
        <f t="shared" si="27"/>
        <v>9.2335603248419943E-8</v>
      </c>
      <c r="F78" s="1">
        <f>'A1 - Raw Material Supply'!O125</f>
        <v>3.1688799999999997E-7</v>
      </c>
      <c r="G78" s="1">
        <f>'A2 - Transport'!B129</f>
        <v>6.6465010976000005E-9</v>
      </c>
      <c r="H78" s="62">
        <f t="shared" si="28"/>
        <v>3.2353450109759996E-7</v>
      </c>
      <c r="I78" s="1">
        <f>'A1 - Raw Material Supply'!N125</f>
        <v>2.6846143887197546E-9</v>
      </c>
      <c r="J78" s="1">
        <f>'A2 - Transport'!O129</f>
        <v>0</v>
      </c>
      <c r="K78" s="62">
        <f t="shared" si="29"/>
        <v>2.6846143887197546E-9</v>
      </c>
      <c r="L78" s="1">
        <f>'C3'' - Secondary Raw Material '!B331</f>
        <v>2.7167563726420761E-10</v>
      </c>
      <c r="M78" s="1">
        <f>'C2''- Transport Secondary'!D69</f>
        <v>0</v>
      </c>
      <c r="N78" s="62">
        <f t="shared" si="30"/>
        <v>2.7167563726420761E-10</v>
      </c>
      <c r="O78" s="1">
        <f>'C3'' - Secondary Raw Material '!C331+'C3'' - Secondary Raw Material '!D331+'C3'' - Secondary Raw Material '!E331</f>
        <v>0</v>
      </c>
      <c r="P78" s="1">
        <f>'C2''- Transport Secondary'!G69</f>
        <v>0</v>
      </c>
      <c r="Q78" s="62">
        <f t="shared" si="31"/>
        <v>0</v>
      </c>
      <c r="R78" s="1">
        <f>'A1 - Raw Material Supply'!Y125</f>
        <v>0</v>
      </c>
      <c r="S78" s="1">
        <f>'A2 - Transport'!Y129</f>
        <v>3.5322186900000002E-9</v>
      </c>
      <c r="T78" s="62">
        <f t="shared" si="32"/>
        <v>3.5322186900000002E-9</v>
      </c>
      <c r="U78" s="62">
        <f>'A3 - Production '!D217</f>
        <v>9.7298360997769909E-8</v>
      </c>
      <c r="V78" s="62">
        <f>'A4 - Transport'!B28</f>
        <v>2.2871788575999996E-8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0</v>
      </c>
      <c r="AC78" s="1">
        <f>'D- Benefits &amp; Burdens'!C172</f>
        <v>1.2384739377919393E-9</v>
      </c>
      <c r="AD78" s="62">
        <f t="shared" si="34"/>
        <v>1.2384739377919393E-9</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0</v>
      </c>
      <c r="AK78" s="1">
        <f>'D- Benefits &amp; Burdens'!J172</f>
        <v>-3.9968972881920007E-8</v>
      </c>
      <c r="AL78" s="1">
        <f>'D- Benefits &amp; Burdens'!K172</f>
        <v>-2.1404243052E-8</v>
      </c>
      <c r="AM78" s="62">
        <f t="shared" si="35"/>
        <v>-4.1550783662238809E-7</v>
      </c>
      <c r="AN78" s="62">
        <f t="shared" si="36"/>
        <v>-4.1426936268459615E-7</v>
      </c>
    </row>
    <row r="79" spans="1:40" ht="29" x14ac:dyDescent="0.35">
      <c r="A79" s="39" t="s">
        <v>182</v>
      </c>
      <c r="B79" s="39" t="s">
        <v>183</v>
      </c>
      <c r="C79" s="13">
        <f>'A1 - Raw Material Supply'!K126</f>
        <v>6.0930489631163806E-2</v>
      </c>
      <c r="D79" s="1">
        <f>'A2 - Transport'!L130</f>
        <v>8.4474718033199586E-2</v>
      </c>
      <c r="E79" s="62">
        <f t="shared" si="27"/>
        <v>0.14540520766436338</v>
      </c>
      <c r="F79" s="1">
        <f>'A1 - Raw Material Supply'!O126</f>
        <v>0.16730799999999998</v>
      </c>
      <c r="G79" s="1">
        <f>'A2 - Transport'!B130</f>
        <v>5.6248101315199998E-3</v>
      </c>
      <c r="H79" s="62">
        <f t="shared" si="28"/>
        <v>0.17293281013151998</v>
      </c>
      <c r="I79" s="1">
        <f>'A1 - Raw Material Supply'!N126</f>
        <v>0.11021911001328061</v>
      </c>
      <c r="J79" s="1">
        <f>'A2 - Transport'!O130</f>
        <v>0</v>
      </c>
      <c r="K79" s="62">
        <f t="shared" si="29"/>
        <v>0.11021911001328061</v>
      </c>
      <c r="L79" s="1">
        <f>'C3'' - Secondary Raw Material '!B332</f>
        <v>6.6519868279014841E-4</v>
      </c>
      <c r="M79" s="1">
        <f>'C2''- Transport Secondary'!D70</f>
        <v>0</v>
      </c>
      <c r="N79" s="62">
        <f t="shared" si="30"/>
        <v>6.6519868279014841E-4</v>
      </c>
      <c r="O79" s="1">
        <f>'C3'' - Secondary Raw Material '!C332+'C3'' - Secondary Raw Material '!D332+'C3'' - Secondary Raw Material '!E332</f>
        <v>0</v>
      </c>
      <c r="P79" s="1">
        <f>'C2''- Transport Secondary'!G70</f>
        <v>0</v>
      </c>
      <c r="Q79" s="62">
        <f t="shared" si="31"/>
        <v>0</v>
      </c>
      <c r="R79" s="1">
        <f>'A1 - Raw Material Supply'!Y126</f>
        <v>0</v>
      </c>
      <c r="S79" s="1">
        <f>'A2 - Transport'!Y130</f>
        <v>2.989250913E-3</v>
      </c>
      <c r="T79" s="62">
        <f t="shared" si="32"/>
        <v>2.989250913E-3</v>
      </c>
      <c r="U79" s="62">
        <f>'A3 - Production '!D218</f>
        <v>7.9252557809374578</v>
      </c>
      <c r="V79" s="62">
        <f>'A4 - Transport'!B29</f>
        <v>1.9355968835199997E-2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0</v>
      </c>
      <c r="AC79" s="1">
        <f>'D- Benefits &amp; Burdens'!C173</f>
        <v>3.0324074708544474E-3</v>
      </c>
      <c r="AD79" s="62">
        <f t="shared" si="34"/>
        <v>3.0324074708544474E-3</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0</v>
      </c>
      <c r="AK79" s="1">
        <f>'D- Benefits &amp; Burdens'!J173</f>
        <v>-3.3758438562201599E-2</v>
      </c>
      <c r="AL79" s="1">
        <f>'D- Benefits &amp; Burdens'!K173</f>
        <v>-1.8078368592959998E-2</v>
      </c>
      <c r="AM79" s="62">
        <f t="shared" si="35"/>
        <v>-0.5761923135700634</v>
      </c>
      <c r="AN79" s="62">
        <f t="shared" si="36"/>
        <v>-0.57315990609920897</v>
      </c>
    </row>
    <row r="80" spans="1:40" x14ac:dyDescent="0.35">
      <c r="A80" s="39" t="s">
        <v>184</v>
      </c>
      <c r="B80" s="39" t="s">
        <v>185</v>
      </c>
      <c r="C80" s="13">
        <f>'A1 - Raw Material Supply'!K127</f>
        <v>390.87227002753411</v>
      </c>
      <c r="D80" s="1">
        <f>'A2 - Transport'!L131</f>
        <v>13.271892929203963</v>
      </c>
      <c r="E80" s="62">
        <f t="shared" si="27"/>
        <v>404.14416295673806</v>
      </c>
      <c r="F80" s="1">
        <f>'A1 - Raw Material Supply'!O127</f>
        <v>5.8280799999999999</v>
      </c>
      <c r="G80" s="1">
        <f>'A2 - Transport'!B131</f>
        <v>0.78244359896287996</v>
      </c>
      <c r="H80" s="62">
        <f t="shared" si="28"/>
        <v>6.6105235989628799</v>
      </c>
      <c r="I80" s="1">
        <f>'A1 - Raw Material Supply'!N127</f>
        <v>1.7705226474300351</v>
      </c>
      <c r="J80" s="1">
        <f>'A2 - Transport'!O131</f>
        <v>0</v>
      </c>
      <c r="K80" s="62">
        <f t="shared" si="29"/>
        <v>1.7705226474300351</v>
      </c>
      <c r="L80" s="1">
        <f>'C3'' - Secondary Raw Material '!B333</f>
        <v>0.11390463257521803</v>
      </c>
      <c r="M80" s="1">
        <f>'C2''- Transport Secondary'!D71</f>
        <v>0</v>
      </c>
      <c r="N80" s="62">
        <f t="shared" si="30"/>
        <v>0.11390463257521803</v>
      </c>
      <c r="O80" s="1">
        <f>'C3'' - Secondary Raw Material '!C333+'C3'' - Secondary Raw Material '!D333+'C3'' - Secondary Raw Material '!E333</f>
        <v>0</v>
      </c>
      <c r="P80" s="1">
        <f>'C2''- Transport Secondary'!G71</f>
        <v>0</v>
      </c>
      <c r="Q80" s="62">
        <f t="shared" si="31"/>
        <v>0</v>
      </c>
      <c r="R80" s="1">
        <f>'A1 - Raw Material Supply'!Y127</f>
        <v>0</v>
      </c>
      <c r="S80" s="1">
        <f>'A2 - Transport'!Y131</f>
        <v>0.41582207894700002</v>
      </c>
      <c r="T80" s="62">
        <f t="shared" si="32"/>
        <v>0.41582207894700002</v>
      </c>
      <c r="U80" s="62">
        <f>'A3 - Production '!D219</f>
        <v>32.590120040292689</v>
      </c>
      <c r="V80" s="62">
        <f>'A4 - Transport'!B30</f>
        <v>2.6925271365087999</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0</v>
      </c>
      <c r="AC80" s="1">
        <f>'D- Benefits &amp; Burdens'!C174</f>
        <v>0.51925126691056267</v>
      </c>
      <c r="AD80" s="62">
        <f t="shared" si="34"/>
        <v>0.51925126691056267</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0</v>
      </c>
      <c r="AK80" s="1">
        <f>'D- Benefits &amp; Burdens'!J174</f>
        <v>-4.7052955987476484</v>
      </c>
      <c r="AL80" s="1">
        <f>'D- Benefits &amp; Burdens'!K174</f>
        <v>-2.5197868087487998</v>
      </c>
      <c r="AM80" s="62">
        <f t="shared" si="35"/>
        <v>-503.06170274553824</v>
      </c>
      <c r="AN80" s="62">
        <f t="shared" si="36"/>
        <v>-502.5424514786277</v>
      </c>
    </row>
    <row r="81" spans="1:40" ht="29" x14ac:dyDescent="0.35">
      <c r="A81" s="39" t="s">
        <v>186</v>
      </c>
      <c r="B81" s="39" t="s">
        <v>187</v>
      </c>
      <c r="C81" s="13">
        <f>'A1 - Raw Material Supply'!K128</f>
        <v>4.6607130496736109E-6</v>
      </c>
      <c r="D81" s="1">
        <f>'A2 - Transport'!L132</f>
        <v>1.32453410190766E-5</v>
      </c>
      <c r="E81" s="62">
        <f t="shared" si="27"/>
        <v>1.7906054068750211E-5</v>
      </c>
      <c r="F81" s="1">
        <f>'A1 - Raw Material Supply'!O128</f>
        <v>2.2603199999999999E-6</v>
      </c>
      <c r="G81" s="1">
        <f>'A2 - Transport'!B132</f>
        <v>1.0168314110399999E-6</v>
      </c>
      <c r="H81" s="62">
        <f t="shared" si="28"/>
        <v>3.27715141104E-6</v>
      </c>
      <c r="I81" s="1">
        <f>'A1 - Raw Material Supply'!N128</f>
        <v>1.0085925153782763E-6</v>
      </c>
      <c r="J81" s="1">
        <f>'A2 - Transport'!O132</f>
        <v>0</v>
      </c>
      <c r="K81" s="62">
        <f t="shared" si="29"/>
        <v>1.0085925153782763E-6</v>
      </c>
      <c r="L81" s="1">
        <f>'C3'' - Secondary Raw Material '!B334</f>
        <v>2.6007934671855809E-8</v>
      </c>
      <c r="M81" s="1">
        <f>'C2''- Transport Secondary'!D72</f>
        <v>0</v>
      </c>
      <c r="N81" s="62">
        <f t="shared" si="30"/>
        <v>2.6007934671855809E-8</v>
      </c>
      <c r="O81" s="1">
        <f>'C3'' - Secondary Raw Material '!C334+'C3'' - Secondary Raw Material '!D334+'C3'' - Secondary Raw Material '!E334</f>
        <v>0</v>
      </c>
      <c r="P81" s="1">
        <f>'C2''- Transport Secondary'!G72</f>
        <v>0</v>
      </c>
      <c r="Q81" s="62">
        <f t="shared" si="31"/>
        <v>0</v>
      </c>
      <c r="R81" s="1">
        <f>'A1 - Raw Material Supply'!Y128</f>
        <v>0</v>
      </c>
      <c r="S81" s="1">
        <f>'A2 - Transport'!Y132</f>
        <v>5.4038521350000004E-7</v>
      </c>
      <c r="T81" s="62">
        <f t="shared" si="32"/>
        <v>5.4038521350000004E-7</v>
      </c>
      <c r="U81" s="62">
        <f>'A3 - Production '!D220</f>
        <v>1.0092293637169677E-4</v>
      </c>
      <c r="V81" s="62">
        <f>'A4 - Transport'!B31</f>
        <v>3.4990971503999992E-6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0</v>
      </c>
      <c r="AC81" s="1">
        <f>'D- Benefits &amp; Burdens'!C175</f>
        <v>1.1856105166899467E-7</v>
      </c>
      <c r="AD81" s="62">
        <f t="shared" si="34"/>
        <v>1.1856105166899467E-7</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0</v>
      </c>
      <c r="AK81" s="1">
        <f>'D- Benefits &amp; Burdens'!J175</f>
        <v>-6.0450896166912004E-6</v>
      </c>
      <c r="AL81" s="1">
        <f>'D- Benefits &amp; Burdens'!K175</f>
        <v>-3.2372752687199996E-6</v>
      </c>
      <c r="AM81" s="62">
        <f t="shared" si="35"/>
        <v>-1.8382892828681397E-5</v>
      </c>
      <c r="AN81" s="62">
        <f t="shared" si="36"/>
        <v>-1.8264331777012402E-5</v>
      </c>
    </row>
    <row r="82" spans="1:40" x14ac:dyDescent="0.35">
      <c r="A82" s="39" t="s">
        <v>188</v>
      </c>
      <c r="B82" s="39" t="s">
        <v>189</v>
      </c>
      <c r="C82" s="13">
        <f>'A1 - Raw Material Supply'!K129</f>
        <v>3.5235955999964389E-8</v>
      </c>
      <c r="D82" s="1">
        <f>'A2 - Transport'!L133</f>
        <v>2.6295583972063362E-7</v>
      </c>
      <c r="E82" s="62">
        <f t="shared" si="27"/>
        <v>2.9819179572059803E-7</v>
      </c>
      <c r="F82" s="1">
        <f>'A1 - Raw Material Supply'!O129</f>
        <v>7.3571199999999993E-12</v>
      </c>
      <c r="G82" s="1">
        <f>'A2 - Transport'!B133</f>
        <v>2.0493852534400002E-8</v>
      </c>
      <c r="H82" s="62">
        <f t="shared" si="28"/>
        <v>2.0501209654400003E-8</v>
      </c>
      <c r="I82" s="1">
        <f>'A1 - Raw Material Supply'!N129</f>
        <v>4.3890806808969467E-9</v>
      </c>
      <c r="J82" s="1">
        <f>'A2 - Transport'!O133</f>
        <v>0</v>
      </c>
      <c r="K82" s="62">
        <f t="shared" si="29"/>
        <v>4.3890806808969467E-9</v>
      </c>
      <c r="L82" s="1">
        <f>'C3'' - Secondary Raw Material '!B335</f>
        <v>3.7585564815097762E-9</v>
      </c>
      <c r="M82" s="1">
        <f>'C2''- Transport Secondary'!D73</f>
        <v>0</v>
      </c>
      <c r="N82" s="62">
        <f t="shared" si="30"/>
        <v>3.7585564815097762E-9</v>
      </c>
      <c r="O82" s="1">
        <f>'C3'' - Secondary Raw Material '!C335+'C3'' - Secondary Raw Material '!D335+'C3'' - Secondary Raw Material '!E335</f>
        <v>0</v>
      </c>
      <c r="P82" s="1">
        <f>'C2''- Transport Secondary'!G73</f>
        <v>0</v>
      </c>
      <c r="Q82" s="62">
        <f t="shared" si="31"/>
        <v>0</v>
      </c>
      <c r="R82" s="1">
        <f>'A1 - Raw Material Supply'!Y129</f>
        <v>0</v>
      </c>
      <c r="S82" s="1">
        <f>'A2 - Transport'!Y133</f>
        <v>1.089125961E-8</v>
      </c>
      <c r="T82" s="62">
        <f t="shared" si="32"/>
        <v>1.089125961E-8</v>
      </c>
      <c r="U82" s="62">
        <f>'A3 - Production '!D221</f>
        <v>2.2393503698396324E-6</v>
      </c>
      <c r="V82" s="62">
        <f>'A4 - Transport'!B32</f>
        <v>7.0522979743999984E-8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0</v>
      </c>
      <c r="AC82" s="1">
        <f>'D- Benefits &amp; Burdens'!C176</f>
        <v>1.7133940654170295E-8</v>
      </c>
      <c r="AD82" s="62">
        <f t="shared" si="34"/>
        <v>1.7133940654170295E-8</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0</v>
      </c>
      <c r="AK82" s="1">
        <f>'D- Benefits &amp; Burdens'!J176</f>
        <v>-1.2405285745459201E-7</v>
      </c>
      <c r="AL82" s="1">
        <f>'D- Benefits &amp; Burdens'!K176</f>
        <v>-6.643296839519999E-8</v>
      </c>
      <c r="AM82" s="62">
        <f t="shared" si="35"/>
        <v>-2.5198742736491842E-7</v>
      </c>
      <c r="AN82" s="62">
        <f t="shared" si="36"/>
        <v>-2.3485348671074813E-7</v>
      </c>
    </row>
    <row r="83" spans="1:40" x14ac:dyDescent="0.35">
      <c r="A83" s="39" t="s">
        <v>190</v>
      </c>
      <c r="B83" s="39" t="s">
        <v>191</v>
      </c>
      <c r="C83" s="13">
        <f>'A1 - Raw Material Supply'!K130</f>
        <v>6.4478729242085712E-7</v>
      </c>
      <c r="D83" s="1">
        <f>'A2 - Transport'!L134</f>
        <v>7.1982622358066429E-7</v>
      </c>
      <c r="E83" s="62">
        <f t="shared" si="27"/>
        <v>1.3646135160015214E-6</v>
      </c>
      <c r="F83" s="1">
        <f>'A1 - Raw Material Supply'!O130</f>
        <v>5.9388800000000003E-7</v>
      </c>
      <c r="G83" s="1">
        <f>'A2 - Transport'!B134</f>
        <v>5.7127756254399995E-8</v>
      </c>
      <c r="H83" s="62">
        <f t="shared" si="28"/>
        <v>6.5101575625440007E-7</v>
      </c>
      <c r="I83" s="1">
        <f>'A1 - Raw Material Supply'!N130</f>
        <v>2.7751311820864848E-8</v>
      </c>
      <c r="J83" s="1">
        <f>'A2 - Transport'!O134</f>
        <v>0</v>
      </c>
      <c r="K83" s="62">
        <f t="shared" si="29"/>
        <v>2.7751311820864848E-8</v>
      </c>
      <c r="L83" s="1">
        <f>'C3'' - Secondary Raw Material '!B336</f>
        <v>1.6427613993186483E-9</v>
      </c>
      <c r="M83" s="1">
        <f>'C2''- Transport Secondary'!D74</f>
        <v>0</v>
      </c>
      <c r="N83" s="62">
        <f t="shared" si="30"/>
        <v>1.6427613993186483E-9</v>
      </c>
      <c r="O83" s="1">
        <f>'C3'' - Secondary Raw Material '!C336+'C3'' - Secondary Raw Material '!D336+'C3'' - Secondary Raw Material '!E336</f>
        <v>0</v>
      </c>
      <c r="P83" s="1">
        <f>'C2''- Transport Secondary'!G74</f>
        <v>0</v>
      </c>
      <c r="Q83" s="62">
        <f t="shared" si="31"/>
        <v>0</v>
      </c>
      <c r="R83" s="1">
        <f>'A1 - Raw Material Supply'!Y130</f>
        <v>0</v>
      </c>
      <c r="S83" s="1">
        <f>'A2 - Transport'!Y134</f>
        <v>3.0359993234999997E-8</v>
      </c>
      <c r="T83" s="62">
        <f t="shared" si="32"/>
        <v>3.0359993234999997E-8</v>
      </c>
      <c r="U83" s="62">
        <f>'A3 - Production '!D222</f>
        <v>1.473477448320874E-7</v>
      </c>
      <c r="V83" s="62">
        <f>'A4 - Transport'!B33</f>
        <v>1.9658673694399996E-7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0</v>
      </c>
      <c r="AC83" s="1">
        <f>'D- Benefits &amp; Burdens'!C177</f>
        <v>7.4887730072320456E-9</v>
      </c>
      <c r="AD83" s="62">
        <f t="shared" si="34"/>
        <v>7.4887730072320456E-9</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0</v>
      </c>
      <c r="AK83" s="1">
        <f>'D- Benefits &amp; Burdens'!J177</f>
        <v>-3.7710089256960008E-7</v>
      </c>
      <c r="AL83" s="1">
        <f>'D- Benefits &amp; Burdens'!K177</f>
        <v>-2.0194562376E-7</v>
      </c>
      <c r="AM83" s="62">
        <f t="shared" si="35"/>
        <v>-1.8383671422150844E-6</v>
      </c>
      <c r="AN83" s="62">
        <f t="shared" si="36"/>
        <v>-1.8308783692078523E-6</v>
      </c>
    </row>
    <row r="84" spans="1:40" ht="29" x14ac:dyDescent="0.35">
      <c r="A84" s="39" t="s">
        <v>192</v>
      </c>
      <c r="B84" s="39" t="s">
        <v>193</v>
      </c>
      <c r="C84" s="13">
        <f>'A1 - Raw Material Supply'!K131</f>
        <v>4.174544758673622E-2</v>
      </c>
      <c r="D84" s="1">
        <f>'A2 - Transport'!L135</f>
        <v>3.5064200708025781E-2</v>
      </c>
      <c r="E84" s="62">
        <f t="shared" si="27"/>
        <v>7.6809648294762001E-2</v>
      </c>
      <c r="F84" s="1">
        <f>'A1 - Raw Material Supply'!O131</f>
        <v>4.4984799999999991E-2</v>
      </c>
      <c r="G84" s="1">
        <f>'A2 - Transport'!B135</f>
        <v>2.3961960787199999E-3</v>
      </c>
      <c r="H84" s="62">
        <f t="shared" si="28"/>
        <v>4.738099607871999E-2</v>
      </c>
      <c r="I84" s="1">
        <f>'A1 - Raw Material Supply'!N131</f>
        <v>1.8598299854385759E-3</v>
      </c>
      <c r="J84" s="1">
        <f>'A2 - Transport'!O135</f>
        <v>0</v>
      </c>
      <c r="K84" s="62">
        <f t="shared" si="29"/>
        <v>1.8598299854385759E-3</v>
      </c>
      <c r="L84" s="1">
        <f>'C3'' - Secondary Raw Material '!B337</f>
        <v>4.1082738634614822E-4</v>
      </c>
      <c r="M84" s="1">
        <f>'C2''- Transport Secondary'!D75</f>
        <v>0</v>
      </c>
      <c r="N84" s="62">
        <f t="shared" si="30"/>
        <v>4.1082738634614822E-4</v>
      </c>
      <c r="O84" s="1">
        <f>'C3'' - Secondary Raw Material '!C337+'C3'' - Secondary Raw Material '!D337+'C3'' - Secondary Raw Material '!E337</f>
        <v>0</v>
      </c>
      <c r="P84" s="1">
        <f>'C2''- Transport Secondary'!G75</f>
        <v>0</v>
      </c>
      <c r="Q84" s="62">
        <f t="shared" si="31"/>
        <v>0</v>
      </c>
      <c r="R84" s="1">
        <f>'A1 - Raw Material Supply'!Y131</f>
        <v>0</v>
      </c>
      <c r="S84" s="1">
        <f>'A2 - Transport'!Y135</f>
        <v>1.2734352179999998E-3</v>
      </c>
      <c r="T84" s="62">
        <f t="shared" si="32"/>
        <v>1.2734352179999998E-3</v>
      </c>
      <c r="U84" s="62">
        <f>'A3 - Production '!D223</f>
        <v>2.1588416360836665E-2</v>
      </c>
      <c r="V84" s="62">
        <f>'A4 - Transport'!B34</f>
        <v>8.2457355071999978E-3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0</v>
      </c>
      <c r="AC84" s="1">
        <f>'D- Benefits &amp; Burdens'!C178</f>
        <v>1.872817953219971E-3</v>
      </c>
      <c r="AD84" s="62">
        <f t="shared" si="34"/>
        <v>1.872817953219971E-3</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0</v>
      </c>
      <c r="AK84" s="1">
        <f>'D- Benefits &amp; Burdens'!J178</f>
        <v>-2.4020840964096003E-2</v>
      </c>
      <c r="AL84" s="1">
        <f>'D- Benefits &amp; Burdens'!K178</f>
        <v>-1.2863676027599998E-2</v>
      </c>
      <c r="AM84" s="62">
        <f t="shared" si="35"/>
        <v>-0.12372442199560663</v>
      </c>
      <c r="AN84" s="62">
        <f t="shared" si="36"/>
        <v>-0.12185160404238665</v>
      </c>
    </row>
    <row r="85" spans="1:40" ht="29" x14ac:dyDescent="0.35">
      <c r="A85" s="39" t="s">
        <v>194</v>
      </c>
      <c r="B85" s="39" t="s">
        <v>195</v>
      </c>
      <c r="C85" s="13">
        <f>'A1 - Raw Material Supply'!K132</f>
        <v>3.057724396773855</v>
      </c>
      <c r="D85" s="1">
        <f>'A2 - Transport'!L136</f>
        <v>0.39245954598001587</v>
      </c>
      <c r="E85" s="62">
        <f t="shared" si="27"/>
        <v>3.450183942753871</v>
      </c>
      <c r="F85" s="1">
        <f>'A1 - Raw Material Supply'!O132</f>
        <v>0.15977359999999999</v>
      </c>
      <c r="G85" s="1">
        <f>'A2 - Transport'!B136</f>
        <v>2.825270403888E-2</v>
      </c>
      <c r="H85" s="62">
        <f t="shared" si="28"/>
        <v>0.18802630403887999</v>
      </c>
      <c r="I85" s="1">
        <f>'A1 - Raw Material Supply'!N132</f>
        <v>0.71560886893023357</v>
      </c>
      <c r="J85" s="1">
        <f>'A2 - Transport'!O136</f>
        <v>0</v>
      </c>
      <c r="K85" s="62">
        <f t="shared" si="29"/>
        <v>0.71560886893023357</v>
      </c>
      <c r="L85" s="1">
        <f>'C3'' - Secondary Raw Material '!B338</f>
        <v>2.9984053368853725E-3</v>
      </c>
      <c r="M85" s="1">
        <f>'C2''- Transport Secondary'!D76</f>
        <v>0</v>
      </c>
      <c r="N85" s="62">
        <f t="shared" si="30"/>
        <v>2.9984053368853725E-3</v>
      </c>
      <c r="O85" s="1">
        <f>'C3'' - Secondary Raw Material '!C338+'C3'' - Secondary Raw Material '!D338+'C3'' - Secondary Raw Material '!E338</f>
        <v>0</v>
      </c>
      <c r="P85" s="1">
        <f>'C2''- Transport Secondary'!G76</f>
        <v>0</v>
      </c>
      <c r="Q85" s="62">
        <f t="shared" si="31"/>
        <v>0</v>
      </c>
      <c r="R85" s="1">
        <f>'A1 - Raw Material Supply'!Y132</f>
        <v>0</v>
      </c>
      <c r="S85" s="1">
        <f>'A2 - Transport'!Y136</f>
        <v>1.50146261595E-2</v>
      </c>
      <c r="T85" s="62">
        <f t="shared" si="32"/>
        <v>1.50146261595E-2</v>
      </c>
      <c r="U85" s="62">
        <f>'A3 - Production '!D224</f>
        <v>2.3708685139468568</v>
      </c>
      <c r="V85" s="62">
        <f>'A4 - Transport'!B35</f>
        <v>9.722256326879998E-2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v>
      </c>
      <c r="AC85" s="1">
        <f>'D- Benefits &amp; Burdens'!C179</f>
        <v>1.366867821518138E-2</v>
      </c>
      <c r="AD85" s="62">
        <f t="shared" si="34"/>
        <v>1.366867821518138E-2</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0</v>
      </c>
      <c r="AK85" s="1">
        <f>'D- Benefits &amp; Burdens'!J179</f>
        <v>-0.1692436938522624</v>
      </c>
      <c r="AL85" s="1">
        <f>'D- Benefits &amp; Burdens'!K179</f>
        <v>-9.0633631465439984E-2</v>
      </c>
      <c r="AM85" s="62">
        <f t="shared" si="35"/>
        <v>-4.8154237602965635</v>
      </c>
      <c r="AN85" s="62">
        <f t="shared" si="36"/>
        <v>-4.8017550820813817</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1.6125607527210578E-5</v>
      </c>
      <c r="E92" s="1">
        <f>((D4/$B92)*$C92)*Input!$C$31</f>
        <v>4.5654690060450572E-8</v>
      </c>
      <c r="F92" s="1">
        <f>((E4/$B92)*$C92)*Input!$C$31</f>
        <v>4.9230653277742106E-6</v>
      </c>
      <c r="G92" s="1">
        <f>((F4/$B92)*$C92)*Input!$C$31</f>
        <v>0</v>
      </c>
      <c r="H92" s="1">
        <f>((G4/$B92)*$C92)*Input!$C$31</f>
        <v>5.6539633605174106E-6</v>
      </c>
      <c r="I92" s="1">
        <f>((H4/$B92)*$C92)*Input!$C$31</f>
        <v>1.0125928171814674E-6</v>
      </c>
      <c r="J92" s="1">
        <f>((I4/$B92)*$C92)*Input!$C$31</f>
        <v>3.164817820651399E-7</v>
      </c>
      <c r="K92" s="1">
        <f>((J4/$B92)*$C92)*Input!$C$31</f>
        <v>2.4015834724913239E-7</v>
      </c>
      <c r="L92" s="1">
        <f>((K4/$B92)*$C92)*Input!$C$31</f>
        <v>-2.0592146979171732E-5</v>
      </c>
      <c r="M92" s="1">
        <f>(SUM(D92:H92))*1000</f>
        <v>2.674829090556265E-2</v>
      </c>
      <c r="N92" s="1">
        <f>SUM(D92:K92)*1000</f>
        <v>2.831752385205839E-2</v>
      </c>
      <c r="O92" s="1">
        <f>SUM(D92:L92)*1000</f>
        <v>7.7253768728866596E-3</v>
      </c>
    </row>
    <row r="93" spans="1:40" x14ac:dyDescent="0.35">
      <c r="A93" s="39" t="s">
        <v>164</v>
      </c>
      <c r="B93" s="154">
        <v>8100</v>
      </c>
      <c r="C93" s="154">
        <v>0.21059999999999998</v>
      </c>
      <c r="D93" s="1">
        <f>((C5/$B93)*$C93)*Input!$C$31</f>
        <v>7.1470334950300723E-5</v>
      </c>
      <c r="E93" s="1">
        <f>((D5/$B93)*$C93)*Input!$C$31</f>
        <v>8.3261736706504406E-7</v>
      </c>
      <c r="F93" s="1">
        <f>((E5/$B93)*$C93)*Input!$C$31</f>
        <v>6.644141290143167E-5</v>
      </c>
      <c r="G93" s="1">
        <f>((F5/$B93)*$C93)*Input!$C$31</f>
        <v>0</v>
      </c>
      <c r="H93" s="1">
        <f>((G5/$B93)*$C93)*Input!$C$31</f>
        <v>9.4206035657008513E-5</v>
      </c>
      <c r="I93" s="1">
        <f>((H5/$B93)*$C93)*Input!$C$31</f>
        <v>1.5832603672368533E-5</v>
      </c>
      <c r="J93" s="1">
        <f>((I5/$B93)*$C93)*Input!$C$31</f>
        <v>5.7717668821806292E-6</v>
      </c>
      <c r="K93" s="1">
        <f>((J5/$B93)*$C93)*Input!$C$31</f>
        <v>4.3798350290080077E-6</v>
      </c>
      <c r="L93" s="1">
        <f>((K5/$B93)*$C93)*Input!$C$31</f>
        <v>-1.1929228348306463E-4</v>
      </c>
      <c r="M93" s="1">
        <f>(SUM(D93:H93))*1000</f>
        <v>0.23295040087580593</v>
      </c>
      <c r="N93" s="1">
        <f>SUM(D93:K93)*1000</f>
        <v>0.25893460645936311</v>
      </c>
      <c r="O93" s="1">
        <f>SUM(D93:L93)*1000</f>
        <v>0.13964232297629853</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5.5896518232193041E-5</v>
      </c>
      <c r="E97" s="1">
        <f>((D9/$B97)*$C97)*Input!$C$31</f>
        <v>6.3621116605882512E-9</v>
      </c>
      <c r="F97" s="1">
        <f>((E9/$B97)*$C97)*Input!$C$31</f>
        <v>9.9263265505763002E-7</v>
      </c>
      <c r="G97" s="1">
        <f>((F9/$B97)*$C97)*Input!$C$31</f>
        <v>0</v>
      </c>
      <c r="H97" s="1">
        <f>((G9/$B97)*$C97)*Input!$C$31</f>
        <v>1.6305603610788789E-6</v>
      </c>
      <c r="I97" s="1">
        <f>((H9/$B97)*$C97)*Input!$C$31</f>
        <v>2.3517358806869442E-7</v>
      </c>
      <c r="J97" s="1">
        <f>((I9/$B97)*$C97)*Input!$C$31</f>
        <v>4.4102641664511286E-8</v>
      </c>
      <c r="K97" s="1">
        <f>((J9/$B97)*$C97)*Input!$C$31</f>
        <v>3.3466752690648508E-8</v>
      </c>
      <c r="L97" s="1">
        <f>((K9/$B97)*$C97)*Input!$C$31</f>
        <v>-5.9129417508411093E-5</v>
      </c>
      <c r="M97" s="1">
        <f t="shared" ref="M97:M110" si="37">(SUM(D97:H97))*1000</f>
        <v>5.8526073359990133E-2</v>
      </c>
      <c r="N97" s="1">
        <f t="shared" ref="N97:N110" si="38">SUM(D97:K97)*1000</f>
        <v>5.8838816342413988E-2</v>
      </c>
      <c r="O97" s="1">
        <f t="shared" ref="O97:O110" si="39">SUM(D97:L97)*1000</f>
        <v>-2.9060116599710189E-4</v>
      </c>
    </row>
    <row r="98" spans="1:18" x14ac:dyDescent="0.35">
      <c r="A98" s="39" t="s">
        <v>171</v>
      </c>
      <c r="B98" s="154">
        <v>65000</v>
      </c>
      <c r="C98" s="154">
        <v>7.5499999999999998E-2</v>
      </c>
      <c r="D98" s="1">
        <f>((C10/$B98)*$C98)*Input!$C$31</f>
        <v>2.3446131831138253E-4</v>
      </c>
      <c r="E98" s="1">
        <f>((D10/$B98)*$C98)*Input!$C$31</f>
        <v>4.9407308690633505E-7</v>
      </c>
      <c r="F98" s="1">
        <f>((E10/$B98)*$C98)*Input!$C$31</f>
        <v>3.9834452677495029E-5</v>
      </c>
      <c r="G98" s="1">
        <f>((F10/$B98)*$C98)*Input!$C$31</f>
        <v>0</v>
      </c>
      <c r="H98" s="1">
        <f>((G10/$B98)*$C98)*Input!$C$31</f>
        <v>9.7975603710302218E-5</v>
      </c>
      <c r="I98" s="1">
        <f>((H10/$B98)*$C98)*Input!$C$31</f>
        <v>9.5197183724026928E-6</v>
      </c>
      <c r="J98" s="1">
        <f>((I10/$B98)*$C98)*Input!$C$31</f>
        <v>3.4249521967513378E-6</v>
      </c>
      <c r="K98" s="1">
        <f>((J10/$B98)*$C98)*Input!$C$31</f>
        <v>2.5989832767365709E-6</v>
      </c>
      <c r="L98" s="1">
        <f>((K10/$B98)*$C98)*Input!$C$31</f>
        <v>-2.7388241904746928E-4</v>
      </c>
      <c r="M98" s="1">
        <f t="shared" si="37"/>
        <v>0.37276544778608611</v>
      </c>
      <c r="N98" s="1">
        <f t="shared" si="38"/>
        <v>0.38830910163197668</v>
      </c>
      <c r="O98" s="1">
        <f t="shared" si="39"/>
        <v>0.1144266825845074</v>
      </c>
    </row>
    <row r="99" spans="1:18" x14ac:dyDescent="0.35">
      <c r="A99" s="39" t="s">
        <v>173</v>
      </c>
      <c r="B99" s="154">
        <v>1.61</v>
      </c>
      <c r="C99" s="154">
        <v>2.7999999999999997E-2</v>
      </c>
      <c r="D99" s="1">
        <f>((C11/$B99)*$C99)*Input!$C$31</f>
        <v>1.1942133943027654E-6</v>
      </c>
      <c r="E99" s="1">
        <f>((D11/$B99)*$C99)*Input!$C$31</f>
        <v>5.8875524540489382E-9</v>
      </c>
      <c r="F99" s="1">
        <f>((E11/$B99)*$C99)*Input!$C$31</f>
        <v>1.1330659726571487E-6</v>
      </c>
      <c r="G99" s="1">
        <f>((F11/$B99)*$C99)*Input!$C$31</f>
        <v>0</v>
      </c>
      <c r="H99" s="1">
        <f>((G11/$B99)*$C99)*Input!$C$31</f>
        <v>5.4624069515846957E-6</v>
      </c>
      <c r="I99" s="1">
        <f>((H11/$B99)*$C99)*Input!$C$31</f>
        <v>2.4701813108201729E-7</v>
      </c>
      <c r="J99" s="1">
        <f>((I11/$B99)*$C99)*Input!$C$31</f>
        <v>4.0812961169865106E-8</v>
      </c>
      <c r="K99" s="1">
        <f>((J11/$B99)*$C99)*Input!$C$31</f>
        <v>3.0970418698161943E-8</v>
      </c>
      <c r="L99" s="1">
        <f>((K11/$B99)*$C99)*Input!$C$31</f>
        <v>-2.9830863628104286E-6</v>
      </c>
      <c r="M99" s="1">
        <f t="shared" si="37"/>
        <v>7.7955738709986587E-3</v>
      </c>
      <c r="N99" s="1">
        <f t="shared" si="38"/>
        <v>8.1143753819487019E-3</v>
      </c>
      <c r="O99" s="1">
        <f t="shared" si="39"/>
        <v>5.1312890191382732E-3</v>
      </c>
    </row>
    <row r="100" spans="1:18" x14ac:dyDescent="0.35">
      <c r="A100" s="39" t="s">
        <v>175</v>
      </c>
      <c r="B100" s="154">
        <v>19.5</v>
      </c>
      <c r="C100" s="154">
        <v>2.9600000000000001E-2</v>
      </c>
      <c r="D100" s="1">
        <f>((C12/$B100)*$C100)*Input!$C$31</f>
        <v>6.8652123170877937E-6</v>
      </c>
      <c r="E100" s="1">
        <f>((D12/$B100)*$C100)*Input!$C$31</f>
        <v>1.4053637232832214E-8</v>
      </c>
      <c r="F100" s="1">
        <f>((E12/$B100)*$C100)*Input!$C$31</f>
        <v>1.7208046082258481E-6</v>
      </c>
      <c r="G100" s="1">
        <f>((F12/$B100)*$C100)*Input!$C$31</f>
        <v>0</v>
      </c>
      <c r="H100" s="1">
        <f>((G12/$B100)*$C100)*Input!$C$31</f>
        <v>1.8398474740614613E-6</v>
      </c>
      <c r="I100" s="1">
        <f>((H12/$B100)*$C100)*Input!$C$31</f>
        <v>3.0044332343043932E-7</v>
      </c>
      <c r="J100" s="1">
        <f>((I12/$B100)*$C100)*Input!$C$31</f>
        <v>9.7420881623653393E-8</v>
      </c>
      <c r="K100" s="1">
        <f>((J12/$B100)*$C100)*Input!$C$31</f>
        <v>7.3926649950025875E-8</v>
      </c>
      <c r="L100" s="1">
        <f>((K12/$B100)*$C100)*Input!$C$31</f>
        <v>-8.8992228402103896E-6</v>
      </c>
      <c r="M100" s="1">
        <f t="shared" si="37"/>
        <v>1.0439918036607935E-2</v>
      </c>
      <c r="N100" s="1">
        <f t="shared" si="38"/>
        <v>1.0911708891612054E-2</v>
      </c>
      <c r="O100" s="1">
        <f t="shared" si="39"/>
        <v>2.0124860514016641E-3</v>
      </c>
    </row>
    <row r="101" spans="1:18" x14ac:dyDescent="0.35">
      <c r="A101" s="39" t="s">
        <v>177</v>
      </c>
      <c r="B101" s="154">
        <v>177</v>
      </c>
      <c r="C101" s="154">
        <v>3.7100000000000001E-2</v>
      </c>
      <c r="D101" s="1">
        <f>((C13/$B101)*$C101)*Input!$C$31</f>
        <v>1.1598301373664149E-5</v>
      </c>
      <c r="E101" s="1">
        <f>((D13/$B101)*$C101)*Input!$C$31</f>
        <v>2.1096531390016671E-8</v>
      </c>
      <c r="F101" s="1">
        <f>((E13/$B101)*$C101)*Input!$C$31</f>
        <v>2.5795658557965855E-6</v>
      </c>
      <c r="G101" s="1">
        <f>((F13/$B101)*$C101)*Input!$C$31</f>
        <v>0</v>
      </c>
      <c r="H101" s="1">
        <f>((G13/$B101)*$C101)*Input!$C$31</f>
        <v>2.6273770084562353E-6</v>
      </c>
      <c r="I101" s="1">
        <f>((H13/$B101)*$C101)*Input!$C$31</f>
        <v>4.4905310169140064E-7</v>
      </c>
      <c r="J101" s="1">
        <f>((I13/$B101)*$C101)*Input!$C$31</f>
        <v>1.4624275930611246E-7</v>
      </c>
      <c r="K101" s="1">
        <f>((J13/$B101)*$C101)*Input!$C$31</f>
        <v>1.1097453743760765E-7</v>
      </c>
      <c r="L101" s="1">
        <f>((K13/$B101)*$C101)*Input!$C$31</f>
        <v>-1.4139336155016644E-5</v>
      </c>
      <c r="M101" s="1">
        <f t="shared" si="37"/>
        <v>1.6826340769306988E-2</v>
      </c>
      <c r="N101" s="1">
        <f t="shared" si="38"/>
        <v>1.7532611167742112E-2</v>
      </c>
      <c r="O101" s="1">
        <f t="shared" si="39"/>
        <v>3.3932750127254672E-3</v>
      </c>
      <c r="R101" s="87">
        <f>+Results!B23+Results!B54+Results!B61+Results!B86+Results!B112+Results!B119+Results!B126+Results!B152+Results!B160</f>
        <v>3.4106051316484809E-13</v>
      </c>
    </row>
    <row r="102" spans="1:18" x14ac:dyDescent="0.35">
      <c r="A102" s="39" t="s">
        <v>179</v>
      </c>
      <c r="B102" s="154">
        <v>1.6900000000000001E-5</v>
      </c>
      <c r="C102" s="154">
        <v>2.1299999999999999E-2</v>
      </c>
      <c r="D102" s="1">
        <f>((C14/$B102)*$C102)*Input!$C$31</f>
        <v>2.7620147004934161E-6</v>
      </c>
      <c r="E102" s="1">
        <f>((D14/$B102)*$C102)*Input!$C$31</f>
        <v>2.4664999255433163E-9</v>
      </c>
      <c r="F102" s="1">
        <f>((E14/$B102)*$C102)*Input!$C$31</f>
        <v>2.9030740423082322E-7</v>
      </c>
      <c r="G102" s="1">
        <f>((F14/$B102)*$C102)*Input!$C$31</f>
        <v>0</v>
      </c>
      <c r="H102" s="1">
        <f>((G14/$B102)*$C102)*Input!$C$31</f>
        <v>6.7440596789771728E-7</v>
      </c>
      <c r="I102" s="1">
        <f>((H14/$B102)*$C102)*Input!$C$31</f>
        <v>6.8023200114881872E-8</v>
      </c>
      <c r="J102" s="1">
        <f>((I14/$B102)*$C102)*Input!$C$31</f>
        <v>1.7097964981602147E-8</v>
      </c>
      <c r="K102" s="1">
        <f>((J14/$B102)*$C102)*Input!$C$31</f>
        <v>1.2974582563681187E-8</v>
      </c>
      <c r="L102" s="1">
        <f>((K14/$B102)*$C102)*Input!$C$31</f>
        <v>-3.1180107807818218E-6</v>
      </c>
      <c r="M102" s="1">
        <f t="shared" si="37"/>
        <v>3.7291945725474998E-3</v>
      </c>
      <c r="N102" s="1">
        <f t="shared" si="38"/>
        <v>3.8272903202076648E-3</v>
      </c>
      <c r="O102" s="1">
        <f t="shared" si="39"/>
        <v>7.0927953942584302E-4</v>
      </c>
    </row>
    <row r="103" spans="1:18" x14ac:dyDescent="0.35">
      <c r="A103" s="39" t="s">
        <v>181</v>
      </c>
      <c r="B103" s="154">
        <v>2.3000000000000001E-4</v>
      </c>
      <c r="C103" s="154">
        <v>1.84E-2</v>
      </c>
      <c r="D103" s="1">
        <f>((C15/$B103)*$C103)*Input!$C$31</f>
        <v>5.03705807392082E-6</v>
      </c>
      <c r="E103" s="1">
        <f>((D15/$B103)*$C103)*Input!$C$31</f>
        <v>4.1729377883782286E-9</v>
      </c>
      <c r="F103" s="1">
        <f>((E15/$B103)*$C103)*Input!$C$31</f>
        <v>1.4461972849231811E-6</v>
      </c>
      <c r="G103" s="1">
        <f>((F15/$B103)*$C103)*Input!$C$31</f>
        <v>0</v>
      </c>
      <c r="H103" s="1">
        <f>((G15/$B103)*$C103)*Input!$C$31</f>
        <v>1.4945028249257457E-6</v>
      </c>
      <c r="I103" s="1">
        <f>((H15/$B103)*$C103)*Input!$C$31</f>
        <v>3.513106725273599E-7</v>
      </c>
      <c r="J103" s="1">
        <f>((I15/$B103)*$C103)*Input!$C$31</f>
        <v>2.8927121966313752E-8</v>
      </c>
      <c r="K103" s="1">
        <f>((J15/$B103)*$C103)*Input!$C$31</f>
        <v>2.1950994325082815E-8</v>
      </c>
      <c r="L103" s="1">
        <f>((K15/$B103)*$C103)*Input!$C$31</f>
        <v>-6.3631774108353967E-6</v>
      </c>
      <c r="M103" s="1">
        <f t="shared" si="37"/>
        <v>7.9819311215581241E-3</v>
      </c>
      <c r="N103" s="1">
        <f t="shared" si="38"/>
        <v>8.3841199103768804E-3</v>
      </c>
      <c r="O103" s="1">
        <f t="shared" si="39"/>
        <v>2.0209424995414832E-3</v>
      </c>
    </row>
    <row r="104" spans="1:18" x14ac:dyDescent="0.35">
      <c r="A104" s="39" t="s">
        <v>182</v>
      </c>
      <c r="B104" s="154">
        <v>4220</v>
      </c>
      <c r="C104" s="154">
        <v>5.0099999999999999E-2</v>
      </c>
      <c r="D104" s="1">
        <f>((C16/$B104)*$C104)*Input!$C$31</f>
        <v>7.7149083945493839E-7</v>
      </c>
      <c r="E104" s="1">
        <f>((D16/$B104)*$C104)*Input!$C$31</f>
        <v>1.5162746847144538E-9</v>
      </c>
      <c r="F104" s="1">
        <f>((E16/$B104)*$C104)*Input!$C$31</f>
        <v>2.1218947481146926E-7</v>
      </c>
      <c r="G104" s="1">
        <f>((F16/$B104)*$C104)*Input!$C$31</f>
        <v>0</v>
      </c>
      <c r="H104" s="1">
        <f>((G16/$B104)*$C104)*Input!$C$31</f>
        <v>1.8065075926064834E-5</v>
      </c>
      <c r="I104" s="1">
        <f>((H16/$B104)*$C104)*Input!$C$31</f>
        <v>4.4120600810321289E-8</v>
      </c>
      <c r="J104" s="1">
        <f>((I16/$B104)*$C104)*Input!$C$31</f>
        <v>1.0510931378206635E-8</v>
      </c>
      <c r="K104" s="1">
        <f>((J16/$B104)*$C104)*Input!$C$31</f>
        <v>7.9760923089076543E-9</v>
      </c>
      <c r="L104" s="1">
        <f>((K16/$B104)*$C104)*Input!$C$31</f>
        <v>-1.306478618187088E-6</v>
      </c>
      <c r="M104" s="1">
        <f t="shared" si="37"/>
        <v>1.9050272515015957E-2</v>
      </c>
      <c r="N104" s="1">
        <f t="shared" si="38"/>
        <v>1.9112880139513393E-2</v>
      </c>
      <c r="O104" s="1">
        <f t="shared" si="39"/>
        <v>1.7806401521326305E-2</v>
      </c>
    </row>
    <row r="105" spans="1:18" x14ac:dyDescent="0.35">
      <c r="A105" s="39" t="s">
        <v>184</v>
      </c>
      <c r="B105" s="154">
        <v>819000</v>
      </c>
      <c r="C105" s="154">
        <v>7.9399999999999998E-2</v>
      </c>
      <c r="D105" s="1">
        <f>((C17/$B105)*$C105)*Input!$C$31</f>
        <v>7.417104712765926E-6</v>
      </c>
      <c r="E105" s="1">
        <f>((D17/$B105)*$C105)*Input!$C$31</f>
        <v>2.1202116516272084E-9</v>
      </c>
      <c r="F105" s="1">
        <f>((E17/$B105)*$C105)*Input!$C$31</f>
        <v>2.6934636621944947E-7</v>
      </c>
      <c r="G105" s="1">
        <f>((F17/$B105)*$C105)*Input!$C$31</f>
        <v>0</v>
      </c>
      <c r="H105" s="1">
        <f>((G17/$B105)*$C105)*Input!$C$31</f>
        <v>6.0662986811996811E-7</v>
      </c>
      <c r="I105" s="1">
        <f>((H17/$B105)*$C105)*Input!$C$31</f>
        <v>5.0118483138765991E-8</v>
      </c>
      <c r="J105" s="1">
        <f>((I17/$B105)*$C105)*Input!$C$31</f>
        <v>1.469746834276571E-8</v>
      </c>
      <c r="K105" s="1">
        <f>((J17/$B105)*$C105)*Input!$C$31</f>
        <v>1.115299491462846E-8</v>
      </c>
      <c r="L105" s="1">
        <f>((K17/$B105)*$C105)*Input!$C$31</f>
        <v>-9.3542846938966841E-6</v>
      </c>
      <c r="M105" s="1">
        <f t="shared" si="37"/>
        <v>8.2952011587569697E-3</v>
      </c>
      <c r="N105" s="1">
        <f t="shared" si="38"/>
        <v>8.37117010515313E-3</v>
      </c>
      <c r="O105" s="1">
        <f t="shared" si="39"/>
        <v>-9.8311458874355434E-4</v>
      </c>
    </row>
    <row r="106" spans="1:18" x14ac:dyDescent="0.35">
      <c r="A106" s="39" t="s">
        <v>186</v>
      </c>
      <c r="B106" s="154">
        <v>65000</v>
      </c>
      <c r="C106" s="154">
        <v>8.3199999999999996E-2</v>
      </c>
      <c r="D106" s="1">
        <f>((C18/$B106)*$C106)*Input!$C$31</f>
        <v>1.9487847788671518E-12</v>
      </c>
      <c r="E106" s="1">
        <f>((D18/$B106)*$C106)*Input!$C$31</f>
        <v>6.3917100249552833E-15</v>
      </c>
      <c r="F106" s="1">
        <f>((E18/$B106)*$C106)*Input!$C$31</f>
        <v>3.637876566495216E-12</v>
      </c>
      <c r="G106" s="1">
        <f>((F18/$B106)*$C106)*Input!$C$31</f>
        <v>0</v>
      </c>
      <c r="H106" s="1">
        <f>((G18/$B106)*$C106)*Input!$C$31</f>
        <v>2.4802820842708199E-11</v>
      </c>
      <c r="I106" s="1">
        <f>((H18/$B106)*$C106)*Input!$C$31</f>
        <v>8.5993811568230386E-13</v>
      </c>
      <c r="J106" s="1">
        <f>((I18/$B106)*$C106)*Input!$C$31</f>
        <v>4.4307819776304149E-14</v>
      </c>
      <c r="K106" s="1">
        <f>((J18/$B106)*$C106)*Input!$C$31</f>
        <v>3.36224496028004E-14</v>
      </c>
      <c r="L106" s="1">
        <f>((K18/$B106)*$C106)*Input!$C$31</f>
        <v>-4.4886421775185672E-12</v>
      </c>
      <c r="M106" s="1">
        <f t="shared" si="37"/>
        <v>3.039587389809552E-8</v>
      </c>
      <c r="N106" s="1">
        <f t="shared" si="38"/>
        <v>3.1333742283156925E-8</v>
      </c>
      <c r="O106" s="1">
        <f t="shared" si="39"/>
        <v>2.6845100105638355E-8</v>
      </c>
    </row>
    <row r="107" spans="1:18" x14ac:dyDescent="0.35">
      <c r="A107" s="39" t="s">
        <v>188</v>
      </c>
      <c r="B107" s="154">
        <v>5.3600000000000002E-2</v>
      </c>
      <c r="C107" s="154">
        <v>6.3099999999999989E-2</v>
      </c>
      <c r="D107" s="1">
        <f>((C19/$B107)*$C107)*Input!$C$31</f>
        <v>8.9581040555260272E-9</v>
      </c>
      <c r="E107" s="1">
        <f>((D19/$B107)*$C107)*Input!$C$31</f>
        <v>8.4954596053707516E-10</v>
      </c>
      <c r="F107" s="1">
        <f>((E19/$B107)*$C107)*Input!$C$31</f>
        <v>6.6529841418568193E-8</v>
      </c>
      <c r="G107" s="1">
        <f>((F19/$B107)*$C107)*Input!$C$31</f>
        <v>0</v>
      </c>
      <c r="H107" s="1">
        <f>((G19/$B107)*$C107)*Input!$C$31</f>
        <v>5.061600298634535E-7</v>
      </c>
      <c r="I107" s="1">
        <f>((H19/$B107)*$C107)*Input!$C$31</f>
        <v>1.5940298585718441E-8</v>
      </c>
      <c r="J107" s="1">
        <f>((I19/$B107)*$C107)*Input!$C$31</f>
        <v>5.8891171790020722E-9</v>
      </c>
      <c r="K107" s="1">
        <f>((J19/$B107)*$C107)*Input!$C$31</f>
        <v>4.4688848730462096E-9</v>
      </c>
      <c r="L107" s="1">
        <f>((K19/$B107)*$C107)*Input!$C$31</f>
        <v>-5.3083898548471179E-8</v>
      </c>
      <c r="M107" s="1">
        <f t="shared" si="37"/>
        <v>5.8249752129808485E-4</v>
      </c>
      <c r="N107" s="1">
        <f t="shared" si="38"/>
        <v>6.0879582193585139E-4</v>
      </c>
      <c r="O107" s="1">
        <f t="shared" si="39"/>
        <v>5.557119233873802E-4</v>
      </c>
    </row>
    <row r="108" spans="1:18" x14ac:dyDescent="0.35">
      <c r="A108" s="39" t="s">
        <v>190</v>
      </c>
      <c r="B108" s="154">
        <v>5.9500000000000004E-4</v>
      </c>
      <c r="C108" s="154">
        <v>8.9600000000000013E-2</v>
      </c>
      <c r="D108" s="1">
        <f>((C20/$B108)*$C108)*Input!$C$31</f>
        <v>3.6616117912758309E-5</v>
      </c>
      <c r="E108" s="1">
        <f>((D20/$B108)*$C108)*Input!$C$31</f>
        <v>4.7497063705476585E-8</v>
      </c>
      <c r="F108" s="1">
        <f>((E20/$B108)*$C108)*Input!$C$31</f>
        <v>2.3341821414317531E-5</v>
      </c>
      <c r="G108" s="1">
        <f>((F20/$B108)*$C108)*Input!$C$31</f>
        <v>0</v>
      </c>
      <c r="H108" s="1">
        <f>((G20/$B108)*$C108)*Input!$C$31</f>
        <v>4.2602566788157413E-6</v>
      </c>
      <c r="I108" s="1">
        <f>((H20/$B108)*$C108)*Input!$C$31</f>
        <v>5.6839007613361683E-6</v>
      </c>
      <c r="J108" s="1">
        <f>((I20/$B108)*$C108)*Input!$C$31</f>
        <v>3.2925325622553048E-7</v>
      </c>
      <c r="K108" s="1">
        <f>((J20/$B108)*$C108)*Input!$C$31</f>
        <v>2.4984982492686832E-7</v>
      </c>
      <c r="L108" s="1">
        <f>((K20/$B108)*$C108)*Input!$C$31</f>
        <v>-5.2936078590179038E-5</v>
      </c>
      <c r="M108" s="1">
        <f t="shared" si="37"/>
        <v>6.4265693069597063E-2</v>
      </c>
      <c r="N108" s="1">
        <f t="shared" si="38"/>
        <v>7.0528696912085631E-2</v>
      </c>
      <c r="O108" s="1">
        <f t="shared" si="39"/>
        <v>1.7592618321906592E-2</v>
      </c>
    </row>
    <row r="109" spans="1:18" x14ac:dyDescent="0.35">
      <c r="A109" s="39" t="s">
        <v>192</v>
      </c>
      <c r="B109" s="154">
        <v>40.6</v>
      </c>
      <c r="C109" s="154">
        <v>4.7800000000000002E-2</v>
      </c>
      <c r="D109" s="1">
        <f>((C21/$B109)*$C109)*Input!$C$31</f>
        <v>2.002572157454166E-5</v>
      </c>
      <c r="E109" s="1">
        <f>((D21/$B109)*$C109)*Input!$C$31</f>
        <v>9.2867227116512568E-8</v>
      </c>
      <c r="F109" s="1">
        <f>((E21/$B109)*$C109)*Input!$C$31</f>
        <v>8.755754103614653E-6</v>
      </c>
      <c r="G109" s="1">
        <f>((F21/$B109)*$C109)*Input!$C$31</f>
        <v>0</v>
      </c>
      <c r="H109" s="1">
        <f>((G21/$B109)*$C109)*Input!$C$31</f>
        <v>4.8800455663353338E-6</v>
      </c>
      <c r="I109" s="1">
        <f>((H21/$B109)*$C109)*Input!$C$31</f>
        <v>1.8639424184945493E-6</v>
      </c>
      <c r="J109" s="1">
        <f>((I21/$B109)*$C109)*Input!$C$31</f>
        <v>6.4376267792785716E-7</v>
      </c>
      <c r="K109" s="1">
        <f>((J21/$B109)*$C109)*Input!$C$31</f>
        <v>4.8851147052757718E-7</v>
      </c>
      <c r="L109" s="1">
        <f>((K21/$B109)*$C109)*Input!$C$31</f>
        <v>-2.7544465055650442E-5</v>
      </c>
      <c r="M109" s="1">
        <f t="shared" si="37"/>
        <v>3.3754388471608165E-2</v>
      </c>
      <c r="N109" s="1">
        <f t="shared" si="38"/>
        <v>3.6750605038558148E-2</v>
      </c>
      <c r="O109" s="1">
        <f t="shared" si="39"/>
        <v>9.2061399829077052E-3</v>
      </c>
    </row>
    <row r="110" spans="1:18" x14ac:dyDescent="0.35">
      <c r="A110" s="39" t="s">
        <v>194</v>
      </c>
      <c r="B110" s="154">
        <v>11500</v>
      </c>
      <c r="C110" s="154">
        <v>8.5099999999999995E-2</v>
      </c>
      <c r="D110" s="1">
        <f>((C22/$B110)*$C110)*Input!$C$31</f>
        <v>5.5881582347923689E-6</v>
      </c>
      <c r="E110" s="1">
        <f>((D22/$B110)*$C110)*Input!$C$31</f>
        <v>4.2601343026467376E-9</v>
      </c>
      <c r="F110" s="1">
        <f>((E22/$B110)*$C110)*Input!$C$31</f>
        <v>6.1908074567426487E-7</v>
      </c>
      <c r="G110" s="1">
        <f>((F22/$B110)*$C110)*Input!$C$31</f>
        <v>0</v>
      </c>
      <c r="H110" s="1">
        <f>((G22/$B110)*$C110)*Input!$C$31</f>
        <v>3.3685299846156942E-6</v>
      </c>
      <c r="I110" s="1">
        <f>((H22/$B110)*$C110)*Input!$C$31</f>
        <v>1.3813381789231102E-7</v>
      </c>
      <c r="J110" s="1">
        <f>((I22/$B110)*$C110)*Input!$C$31</f>
        <v>2.9531574831704496E-8</v>
      </c>
      <c r="K110" s="1">
        <f>((J22/$B110)*$C110)*Input!$C$31</f>
        <v>2.2409676022951813E-8</v>
      </c>
      <c r="L110" s="1">
        <f>((K22/$B110)*$C110)*Input!$C$31</f>
        <v>-6.822333620621227E-6</v>
      </c>
      <c r="M110" s="1">
        <f t="shared" si="37"/>
        <v>9.5800290993849745E-3</v>
      </c>
      <c r="N110" s="1">
        <f t="shared" si="38"/>
        <v>9.7701041681319423E-3</v>
      </c>
      <c r="O110" s="1">
        <f t="shared" si="39"/>
        <v>2.9477705475107157E-3</v>
      </c>
    </row>
    <row r="111" spans="1:18" x14ac:dyDescent="0.35">
      <c r="A111" s="376" t="s">
        <v>200</v>
      </c>
      <c r="B111" s="377"/>
      <c r="C111" s="330">
        <f>SUM(C92:C110)</f>
        <v>1</v>
      </c>
      <c r="D111" s="13">
        <f>SUM(D92:D110)*1000</f>
        <v>0.47583813220770937</v>
      </c>
      <c r="E111" s="13">
        <f t="shared" ref="E111:L111" si="40">SUM(E92:E110)*1000</f>
        <v>1.575494878296462E-3</v>
      </c>
      <c r="F111" s="13">
        <f t="shared" si="40"/>
        <v>0.15262623027152464</v>
      </c>
      <c r="G111" s="13">
        <f>SUM(G92:G110)*1000</f>
        <v>0</v>
      </c>
      <c r="H111" s="13">
        <f t="shared" si="40"/>
        <v>0.24325142617246875</v>
      </c>
      <c r="I111" s="13">
        <f t="shared" si="40"/>
        <v>3.5812094119063428E-2</v>
      </c>
      <c r="J111" s="13">
        <f t="shared" si="40"/>
        <v>1.0921450261902051E-2</v>
      </c>
      <c r="K111" s="13">
        <f t="shared" si="40"/>
        <v>8.2876095658553448E-3</v>
      </c>
      <c r="L111" s="13">
        <f t="shared" si="40"/>
        <v>-0.60641582953349649</v>
      </c>
      <c r="M111" s="1">
        <f>SUM(M92:M110)</f>
        <v>0.87329128352999907</v>
      </c>
      <c r="N111" s="1">
        <f>SUM(N92:N110)</f>
        <v>0.92831243747681991</v>
      </c>
      <c r="O111" s="1">
        <f>SUM(O92:O110)</f>
        <v>0.32189660794332342</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2.7488590365500283</v>
      </c>
      <c r="D118" s="1">
        <f>'C3'' - Secondary Raw Material '!$F$321*Input!$C$31</f>
        <v>3.2023744887117074E-2</v>
      </c>
      <c r="E118" s="1">
        <f>'A2 - Transport'!$Z$119*Input!$C$31</f>
        <v>2.5554389577473722</v>
      </c>
      <c r="F118" s="1">
        <f>('C2''- Transport Secondary'!$D$59+'C2''- Transport Secondary'!$G$59)*Input!$C$31</f>
        <v>0</v>
      </c>
      <c r="G118" s="1">
        <f>'A3 - Production '!$D$207*Input!$C$31</f>
        <v>3.6233090637310967</v>
      </c>
      <c r="H118" s="1">
        <f>'A4 - Transport'!$B$18*Input!$C$31</f>
        <v>0.60894629509109743</v>
      </c>
      <c r="I118" s="1">
        <f>'A5 - Construction'!$E$140*Input!$C$31</f>
        <v>0.22199103393002423</v>
      </c>
      <c r="J118" s="1">
        <f>'C1 - Deconstruction'!$B$88*Input!$C$31</f>
        <v>0.16845519342338494</v>
      </c>
      <c r="K118" s="1">
        <f>'D- Benefits &amp; Burdens'!$N$162*Input!$C$31</f>
        <v>-4.5881647493486399</v>
      </c>
      <c r="L118" s="1">
        <f>SUM(C118:G118)</f>
        <v>8.9596308029156155</v>
      </c>
      <c r="M118" s="1">
        <f>SUM(C118:J118)</f>
        <v>9.959023325360123</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0.42802594561767537</v>
      </c>
      <c r="D125" s="1">
        <f>D68*Input!$C$31</f>
        <v>2.2844372526190941</v>
      </c>
      <c r="E125" s="1">
        <f>F68*Input!$C$31</f>
        <v>2.2550015999999999</v>
      </c>
      <c r="F125" s="1">
        <f>G68*Input!$C$31</f>
        <v>0.17695871073893374</v>
      </c>
      <c r="G125" s="1">
        <f>I68*Input!$C$31</f>
        <v>6.5831490932352826E-2</v>
      </c>
      <c r="H125" s="1">
        <f>J68*Input!$C$31</f>
        <v>0</v>
      </c>
      <c r="I125" s="1">
        <f>L68*Input!C31</f>
        <v>3.2023744887117074E-2</v>
      </c>
      <c r="J125" s="1">
        <f>M68*Input!C31</f>
        <v>0</v>
      </c>
      <c r="K125" s="1">
        <f>O68*Input!$C$31</f>
        <v>0</v>
      </c>
      <c r="L125" s="1">
        <f>P68*Input!$C$31</f>
        <v>0</v>
      </c>
      <c r="M125" s="1">
        <f>R68*Input!$C$31</f>
        <v>0</v>
      </c>
      <c r="N125" s="1">
        <f>S68*Input!$C$31</f>
        <v>9.4042994389343992E-2</v>
      </c>
      <c r="O125" s="1">
        <f>U68*Input!$C$31</f>
        <v>3.6233090637310967</v>
      </c>
      <c r="P125" s="1">
        <f>V68*Input!$C$31</f>
        <v>0.60894629509109743</v>
      </c>
      <c r="Q125" s="1">
        <f>Z68*Input!$C$31</f>
        <v>0.22199103393002423</v>
      </c>
      <c r="R125" s="1">
        <f>AA68*Input!$C$31</f>
        <v>0.16845519342338494</v>
      </c>
      <c r="S125" s="1">
        <f>$AC$68*Input!$C$31</f>
        <v>0.14598502034476504</v>
      </c>
      <c r="T125" s="1">
        <f>$AB$68*Input!$C$31</f>
        <v>0</v>
      </c>
      <c r="U125" s="1">
        <f>AE68*Input!$C$31</f>
        <v>-2.3771543040000003</v>
      </c>
      <c r="V125" s="1">
        <f>AF68*Input!$C$31</f>
        <v>-0.1818962319197579</v>
      </c>
      <c r="W125" s="1">
        <f>AG68*Input!$C$31</f>
        <v>-0.14622850590868589</v>
      </c>
      <c r="X125" s="1">
        <f>AH68*Input!$C$31</f>
        <v>-0.19449897264521324</v>
      </c>
      <c r="Y125" s="1">
        <f>AI68*Input!$C$31</f>
        <v>-0.19017691311189797</v>
      </c>
      <c r="Z125" s="1">
        <f>AJ68*Input!$C$31</f>
        <v>0</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6.6392536851410571E-3</v>
      </c>
      <c r="D133" s="1">
        <f>D67*Input!$C$31</f>
        <v>4.0107573518546637E-3</v>
      </c>
      <c r="E133" s="62">
        <f>E67*Input!$C$31</f>
        <v>1.0650011036995722E-2</v>
      </c>
      <c r="F133" s="1">
        <f>F67*Input!$C$31</f>
        <v>7.3181183999999995E-3</v>
      </c>
      <c r="G133" s="1">
        <f>G67*Input!$C$31</f>
        <v>2.6388268689407998E-4</v>
      </c>
      <c r="H133" s="62">
        <f>H67*Input!$C$31</f>
        <v>7.5820010868940793E-3</v>
      </c>
      <c r="I133" s="1">
        <f>I67*Input!$C$31</f>
        <v>5.0365660055101214E-4</v>
      </c>
      <c r="J133" s="1">
        <f>J67*Input!$C$31</f>
        <v>0</v>
      </c>
      <c r="K133" s="62">
        <f>K67*Input!$C$31</f>
        <v>5.0365660055101214E-4</v>
      </c>
      <c r="L133" s="1">
        <f>L67*Input!$C$31</f>
        <v>4.0941947860662124E-5</v>
      </c>
      <c r="M133" s="1">
        <f>M67*Input!$C$31</f>
        <v>0</v>
      </c>
      <c r="N133" s="62">
        <f>N67*Input!$C$31</f>
        <v>4.0941947860662124E-5</v>
      </c>
      <c r="O133" s="1">
        <f>O67*Input!$C$31</f>
        <v>0</v>
      </c>
      <c r="P133" s="1">
        <f>P67*Input!$C$31</f>
        <v>0</v>
      </c>
      <c r="Q133" s="62">
        <f>Q67*Input!$C$31</f>
        <v>0</v>
      </c>
      <c r="R133" s="1">
        <f>R67*Input!$C$31</f>
        <v>0</v>
      </c>
      <c r="S133" s="1">
        <f>S67*Input!$C$31</f>
        <v>1.4023790035199999E-4</v>
      </c>
      <c r="T133" s="62">
        <f>T67*Input!$C$31</f>
        <v>1.4023790035199999E-4</v>
      </c>
      <c r="U133" s="62">
        <f>U67*Input!$C$31</f>
        <v>5.0703284329801299E-3</v>
      </c>
      <c r="V133" s="62">
        <f>V67*Input!$C$31</f>
        <v>9.0806710702079991E-4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0</v>
      </c>
      <c r="AC133" s="89">
        <f>AC67*Input!$C$31</f>
        <v>1.8663997956708492E-4</v>
      </c>
      <c r="AD133" s="250">
        <f>AD67*Input!$C$31</f>
        <v>1.8663997956708492E-4</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0</v>
      </c>
      <c r="AK133" s="89">
        <f>AK67*Input!$C$31</f>
        <v>-2.9293293824114693E-3</v>
      </c>
      <c r="AL133" s="89">
        <f>AL67*Input!$C$31</f>
        <v>-1.5687187725772801E-3</v>
      </c>
      <c r="AM133" s="250">
        <f>AM67*Input!$C$31</f>
        <v>-1.865314598024367E-2</v>
      </c>
      <c r="AN133" s="250">
        <f>AN67*Input!$C$31</f>
        <v>-1.8466506000676584E-2</v>
      </c>
    </row>
    <row r="134" spans="1:40" x14ac:dyDescent="0.35">
      <c r="A134" s="39" t="s">
        <v>164</v>
      </c>
      <c r="B134" s="39" t="s">
        <v>165</v>
      </c>
      <c r="C134" s="1">
        <f>C68*Input!$C$31</f>
        <v>0.42802594561767537</v>
      </c>
      <c r="D134" s="1">
        <f>D68*Input!$C$31</f>
        <v>2.2844372526190941</v>
      </c>
      <c r="E134" s="62">
        <f>E68*Input!$C$31</f>
        <v>2.7124631982367697</v>
      </c>
      <c r="F134" s="1">
        <f>F68*Input!$C$31</f>
        <v>2.2550015999999999</v>
      </c>
      <c r="G134" s="1">
        <f>G68*Input!$C$31</f>
        <v>0.17695871073893374</v>
      </c>
      <c r="H134" s="62">
        <f>H68*Input!$C$31</f>
        <v>2.4319603107389338</v>
      </c>
      <c r="I134" s="1">
        <f>I68*Input!$C$31</f>
        <v>6.5831490932352826E-2</v>
      </c>
      <c r="J134" s="1">
        <f>J68*Input!$C$31</f>
        <v>0</v>
      </c>
      <c r="K134" s="62">
        <f>K68*Input!$C$31</f>
        <v>6.5831490932352826E-2</v>
      </c>
      <c r="L134" s="1">
        <f>L68*Input!$C$31</f>
        <v>3.2023744887117074E-2</v>
      </c>
      <c r="M134" s="1">
        <f>M68*Input!$C$31</f>
        <v>0</v>
      </c>
      <c r="N134" s="62">
        <f>N68*Input!$C$31</f>
        <v>3.2023744887117074E-2</v>
      </c>
      <c r="O134" s="1">
        <f>O68*Input!$C$31</f>
        <v>0</v>
      </c>
      <c r="P134" s="1">
        <f>P68*Input!$C$31</f>
        <v>0</v>
      </c>
      <c r="Q134" s="62">
        <f>Q68*Input!$C$31</f>
        <v>0</v>
      </c>
      <c r="R134" s="1">
        <f>R68*Input!$C$31</f>
        <v>0</v>
      </c>
      <c r="S134" s="1">
        <f>S68*Input!$C$31</f>
        <v>9.4042994389343992E-2</v>
      </c>
      <c r="T134" s="62">
        <f>T68*Input!$C$31</f>
        <v>9.4042994389343992E-2</v>
      </c>
      <c r="U134" s="62">
        <f>U68*Input!$C$31</f>
        <v>3.6233090637310967</v>
      </c>
      <c r="V134" s="62">
        <f>V68*Input!$C$31</f>
        <v>0.60894629509109743</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0</v>
      </c>
      <c r="AC134" s="1">
        <f>AC68*Input!$C$31</f>
        <v>0.14598502034476504</v>
      </c>
      <c r="AD134" s="62">
        <f>AD68*Input!$C$31</f>
        <v>0.14598502034476504</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v>
      </c>
      <c r="AK134" s="1">
        <f>AK68*Input!$C$31</f>
        <v>-1.0707729431607118</v>
      </c>
      <c r="AL134" s="1">
        <f>AL68*Input!$C$31</f>
        <v>-0.57342189894713858</v>
      </c>
      <c r="AM134" s="62">
        <f>AM68*Input!$C$31</f>
        <v>-4.7341497696934045</v>
      </c>
      <c r="AN134" s="62">
        <f>AN68*Input!$C$31</f>
        <v>-4.5881647493486399</v>
      </c>
    </row>
    <row r="135" spans="1:40" x14ac:dyDescent="0.35">
      <c r="A135" s="39" t="s">
        <v>166</v>
      </c>
      <c r="B135" s="39" t="s">
        <v>165</v>
      </c>
      <c r="C135" s="1">
        <f>C69*Input!$C$31</f>
        <v>8.1028261963275977E-4</v>
      </c>
      <c r="D135" s="1">
        <f>D69*Input!$C$31</f>
        <v>1.0517218494199886E-3</v>
      </c>
      <c r="E135" s="62">
        <f>E69*Input!$C$31</f>
        <v>1.8620044690527483E-3</v>
      </c>
      <c r="F135" s="1">
        <f>F69*Input!$C$31</f>
        <v>8.9349119999999997E-3</v>
      </c>
      <c r="G135" s="1">
        <f>G69*Input!$C$31</f>
        <v>8.2702645742592002E-5</v>
      </c>
      <c r="H135" s="62">
        <f>H69*Input!$C$31</f>
        <v>9.0176146457425933E-3</v>
      </c>
      <c r="I135" s="1">
        <f>I69*Input!$C$31</f>
        <v>1.0266644810281592E-3</v>
      </c>
      <c r="J135" s="1">
        <f>J69*Input!$C$31</f>
        <v>0</v>
      </c>
      <c r="K135" s="62">
        <f>K69*Input!$C$31</f>
        <v>1.0266644810281592E-3</v>
      </c>
      <c r="L135" s="1">
        <f>L69*Input!$C$31</f>
        <v>6.6184957912473123E-6</v>
      </c>
      <c r="M135" s="1">
        <f>M69*Input!$C$31</f>
        <v>0</v>
      </c>
      <c r="N135" s="62">
        <f>N69*Input!$C$31</f>
        <v>6.6184957912473123E-6</v>
      </c>
      <c r="O135" s="1">
        <f>O69*Input!$C$31</f>
        <v>0</v>
      </c>
      <c r="P135" s="1">
        <f>P69*Input!$C$31</f>
        <v>0</v>
      </c>
      <c r="Q135" s="62">
        <f>Q69*Input!$C$31</f>
        <v>0</v>
      </c>
      <c r="R135" s="1">
        <f>R69*Input!$C$31</f>
        <v>0</v>
      </c>
      <c r="S135" s="1">
        <f>S69*Input!$C$31</f>
        <v>4.3951520764800003E-5</v>
      </c>
      <c r="T135" s="62">
        <f>T69*Input!$C$31</f>
        <v>4.3951520764800003E-5</v>
      </c>
      <c r="U135" s="62">
        <f>U69*Input!$C$31</f>
        <v>1.207287680575922E-2</v>
      </c>
      <c r="V135" s="62">
        <f>V69*Input!$C$31</f>
        <v>2.8459446561791997E-4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0</v>
      </c>
      <c r="AC135" s="1">
        <f>AC69*Input!$C$31</f>
        <v>3.0171400819698537E-5</v>
      </c>
      <c r="AD135" s="62">
        <f>AD69*Input!$C$31</f>
        <v>3.0171400819698537E-5</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0</v>
      </c>
      <c r="AK135" s="1">
        <f>AK69*Input!$C$31</f>
        <v>-4.9489950604787714E-4</v>
      </c>
      <c r="AL135" s="1">
        <f>AL69*Input!$C$31</f>
        <v>-2.6502931023667198E-4</v>
      </c>
      <c r="AM135" s="62">
        <f>AM69*Input!$C$31</f>
        <v>-1.3507408548294115E-2</v>
      </c>
      <c r="AN135" s="62">
        <f>AN69*Input!$C$31</f>
        <v>-1.3477237147474416E-2</v>
      </c>
    </row>
    <row r="136" spans="1:40" x14ac:dyDescent="0.35">
      <c r="A136" s="39" t="s">
        <v>167</v>
      </c>
      <c r="B136" s="39" t="s">
        <v>165</v>
      </c>
      <c r="C136" s="1">
        <f>C70*Input!$C$31</f>
        <v>0.42710423579823575</v>
      </c>
      <c r="D136" s="1">
        <f>D70*Input!$C$31</f>
        <v>2.2831334731682582</v>
      </c>
      <c r="E136" s="62">
        <f>E70*Input!$C$31</f>
        <v>2.7102377089664937</v>
      </c>
      <c r="F136" s="1">
        <f>F70*Input!$C$31</f>
        <v>2.2464921599999998</v>
      </c>
      <c r="G136" s="1">
        <f>G70*Input!$C$31</f>
        <v>0.17686193264805888</v>
      </c>
      <c r="H136" s="62">
        <f>H70*Input!$C$31</f>
        <v>2.4233540926480588</v>
      </c>
      <c r="I136" s="1">
        <f>I70*Input!$C$31</f>
        <v>6.4693567324098908E-2</v>
      </c>
      <c r="J136" s="1">
        <f>J70*Input!$C$31</f>
        <v>0</v>
      </c>
      <c r="K136" s="62">
        <f>K70*Input!$C$31</f>
        <v>6.4693567324098908E-2</v>
      </c>
      <c r="L136" s="1">
        <f>L70*Input!$C$31</f>
        <v>3.2015710217664466E-2</v>
      </c>
      <c r="M136" s="1">
        <f>M70*Input!$C$31</f>
        <v>0</v>
      </c>
      <c r="N136" s="62">
        <f>N70*Input!$C$31</f>
        <v>3.2015710217664466E-2</v>
      </c>
      <c r="O136" s="1">
        <f>O70*Input!$C$31</f>
        <v>0</v>
      </c>
      <c r="P136" s="1">
        <f>P70*Input!$C$31</f>
        <v>0</v>
      </c>
      <c r="Q136" s="62">
        <f>Q70*Input!$C$31</f>
        <v>0</v>
      </c>
      <c r="R136" s="1">
        <f>R70*Input!$C$31</f>
        <v>0</v>
      </c>
      <c r="S136" s="1">
        <f>S70*Input!$C$31</f>
        <v>9.3991562609472001E-2</v>
      </c>
      <c r="T136" s="62">
        <f>T70*Input!$C$31</f>
        <v>9.3991562609472001E-2</v>
      </c>
      <c r="U136" s="62">
        <f>U70*Input!$C$31</f>
        <v>3.6093032852447378</v>
      </c>
      <c r="V136" s="62">
        <f>V70*Input!$C$31</f>
        <v>0.60861326452346864</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0</v>
      </c>
      <c r="AC136" s="1">
        <f>AC70*Input!$C$31</f>
        <v>0.14594839310495791</v>
      </c>
      <c r="AD136" s="62">
        <f>AD70*Input!$C$31</f>
        <v>0.14594839310495791</v>
      </c>
      <c r="AE136" s="1">
        <f>AE70*Input!$C$31</f>
        <v>-2.3681839104</v>
      </c>
      <c r="AF136" s="1">
        <f>AF70*Input!$C$31</f>
        <v>-0.17875208291716863</v>
      </c>
      <c r="AG136" s="1">
        <f>AG70*Input!$C$31</f>
        <v>-0.14572970826516521</v>
      </c>
      <c r="AH136" s="1">
        <f>AH70*Input!$C$31</f>
        <v>-0.19451899988715718</v>
      </c>
      <c r="AI136" s="1">
        <f>AI70*Input!$C$31</f>
        <v>-0.19007406177234049</v>
      </c>
      <c r="AJ136" s="1">
        <f>AJ70*Input!$C$31</f>
        <v>0</v>
      </c>
      <c r="AK136" s="1">
        <f>AK70*Input!$C$31</f>
        <v>-1.070193848517919</v>
      </c>
      <c r="AL136" s="1">
        <f>AL70*Input!$C$31</f>
        <v>-0.57311178133363194</v>
      </c>
      <c r="AM136" s="62">
        <f>AM70*Input!$C$31</f>
        <v>-4.7205643930933823</v>
      </c>
      <c r="AN136" s="62">
        <f>AN70*Input!$C$31</f>
        <v>-4.5746159999884251</v>
      </c>
    </row>
    <row r="137" spans="1:40" x14ac:dyDescent="0.35">
      <c r="A137" s="39" t="s">
        <v>168</v>
      </c>
      <c r="B137" s="39" t="s">
        <v>165</v>
      </c>
      <c r="C137" s="1">
        <f>C71*Input!$C$31</f>
        <v>1.1142719980682941E-4</v>
      </c>
      <c r="D137" s="1">
        <f>D71*Input!$C$31</f>
        <v>2.5205482782270636E-4</v>
      </c>
      <c r="E137" s="62">
        <f>E71*Input!$C$31</f>
        <v>3.634820276295358E-4</v>
      </c>
      <c r="F137" s="1">
        <f>F71*Input!$C$31</f>
        <v>1.1275008000000001E-3</v>
      </c>
      <c r="G137" s="1">
        <f>G71*Input!$C$31</f>
        <v>1.4075222184960002E-5</v>
      </c>
      <c r="H137" s="62">
        <f>H71*Input!$C$31</f>
        <v>1.1415760221849601E-3</v>
      </c>
      <c r="I137" s="1">
        <f>I71*Input!$C$31</f>
        <v>1.1125912722574701E-4</v>
      </c>
      <c r="J137" s="1">
        <f>J71*Input!$C$31</f>
        <v>0</v>
      </c>
      <c r="K137" s="62">
        <f>K71*Input!$C$31</f>
        <v>1.1125912722574701E-4</v>
      </c>
      <c r="L137" s="1">
        <f>L71*Input!$C$31</f>
        <v>1.4161736613608893E-6</v>
      </c>
      <c r="M137" s="1">
        <f>M71*Input!$C$31</f>
        <v>0</v>
      </c>
      <c r="N137" s="62">
        <f>N71*Input!$C$31</f>
        <v>1.4161736613608893E-6</v>
      </c>
      <c r="O137" s="1">
        <f>O71*Input!$C$31</f>
        <v>0</v>
      </c>
      <c r="P137" s="1">
        <f>P71*Input!$C$31</f>
        <v>0</v>
      </c>
      <c r="Q137" s="62">
        <f>Q71*Input!$C$31</f>
        <v>0</v>
      </c>
      <c r="R137" s="1">
        <f>R71*Input!$C$31</f>
        <v>0</v>
      </c>
      <c r="S137" s="1">
        <f>S71*Input!$C$31</f>
        <v>7.4801406239999997E-6</v>
      </c>
      <c r="T137" s="62">
        <f>T71*Input!$C$31</f>
        <v>7.4801406239999997E-6</v>
      </c>
      <c r="U137" s="62">
        <f>U71*Input!$C$31</f>
        <v>1.9329016806000348E-3</v>
      </c>
      <c r="V137" s="62">
        <f>V71*Input!$C$31</f>
        <v>4.8435334809599993E-5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0</v>
      </c>
      <c r="AC137" s="1">
        <f>AC71*Input!$C$31</f>
        <v>6.4558389874214863E-6</v>
      </c>
      <c r="AD137" s="62">
        <f>AD71*Input!$C$31</f>
        <v>6.4558389874214863E-6</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0</v>
      </c>
      <c r="AK137" s="1">
        <f>AK71*Input!$C$31</f>
        <v>-8.4193151822069766E-5</v>
      </c>
      <c r="AL137" s="1">
        <f>AL71*Input!$C$31</f>
        <v>-4.5087240301056001E-5</v>
      </c>
      <c r="AM137" s="62">
        <f>AM71*Input!$C$31</f>
        <v>-1.7150614833006121E-3</v>
      </c>
      <c r="AN137" s="62">
        <f>AN71*Input!$C$31</f>
        <v>-1.7086056443131905E-3</v>
      </c>
    </row>
    <row r="138" spans="1:40" x14ac:dyDescent="0.35">
      <c r="A138" s="39" t="s">
        <v>169</v>
      </c>
      <c r="B138" s="39" t="s">
        <v>170</v>
      </c>
      <c r="C138" s="1">
        <f>C72*Input!$C$31</f>
        <v>2.8465144632645609</v>
      </c>
      <c r="D138" s="1">
        <f>D72*Input!$C$31</f>
        <v>1.974813732670833</v>
      </c>
      <c r="E138" s="62">
        <f>E72*Input!$C$31</f>
        <v>4.8213281959353935</v>
      </c>
      <c r="F138" s="1">
        <f>F72*Input!$C$31</f>
        <v>121.25951999999999</v>
      </c>
      <c r="G138" s="1">
        <f>G72*Input!$C$31</f>
        <v>0.15198759559259137</v>
      </c>
      <c r="H138" s="62">
        <f>H72*Input!$C$31</f>
        <v>121.41150759559258</v>
      </c>
      <c r="I138" s="1">
        <f>I72*Input!$C$31</f>
        <v>0.20549306353978389</v>
      </c>
      <c r="J138" s="1">
        <f>J72*Input!$C$31</f>
        <v>0</v>
      </c>
      <c r="K138" s="62">
        <f>K72*Input!$C$31</f>
        <v>0.20549306353978389</v>
      </c>
      <c r="L138" s="1">
        <f>L72*Input!$C$31</f>
        <v>1.4149071245162414E-2</v>
      </c>
      <c r="M138" s="1">
        <f>M72*Input!$C$31</f>
        <v>0</v>
      </c>
      <c r="N138" s="62">
        <f>N72*Input!$C$31</f>
        <v>1.4149071245162414E-2</v>
      </c>
      <c r="O138" s="1">
        <f>O72*Input!$C$31</f>
        <v>0</v>
      </c>
      <c r="P138" s="1">
        <f>P72*Input!$C$31</f>
        <v>0</v>
      </c>
      <c r="Q138" s="62">
        <f>Q72*Input!$C$31</f>
        <v>0</v>
      </c>
      <c r="R138" s="1">
        <f>R72*Input!$C$31</f>
        <v>0</v>
      </c>
      <c r="S138" s="1">
        <f>S72*Input!$C$31</f>
        <v>8.0772336890784002E-2</v>
      </c>
      <c r="T138" s="62">
        <f>T72*Input!$C$31</f>
        <v>8.0772336890784002E-2</v>
      </c>
      <c r="U138" s="62">
        <f>U72*Input!$C$31</f>
        <v>3.6262983030243823</v>
      </c>
      <c r="V138" s="62">
        <f>V72*Input!$C$31</f>
        <v>0.52301626096527354</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v>
      </c>
      <c r="AC138" s="1">
        <f>AC72*Input!$C$31</f>
        <v>6.4500652901950964E-2</v>
      </c>
      <c r="AD138" s="62">
        <f>AD72*Input!$C$31</f>
        <v>6.4500652901950964E-2</v>
      </c>
      <c r="AE138" s="1">
        <f>AE72*Input!$C$31</f>
        <v>-127.8281088</v>
      </c>
      <c r="AF138" s="1">
        <f>AF72*Input!$C$31</f>
        <v>-0.56778926641572514</v>
      </c>
      <c r="AG138" s="1">
        <f>AG72*Input!$C$31</f>
        <v>-1.4449064597919234</v>
      </c>
      <c r="AH138" s="1">
        <f>AH72*Input!$C$31</f>
        <v>-0.16610990630386485</v>
      </c>
      <c r="AI138" s="1">
        <f>AI72*Input!$C$31</f>
        <v>-0.1616224920968706</v>
      </c>
      <c r="AJ138" s="1">
        <f>AJ72*Input!$C$31</f>
        <v>0</v>
      </c>
      <c r="AK138" s="1">
        <f>AK72*Input!$C$31</f>
        <v>-0.91000000321652019</v>
      </c>
      <c r="AL138" s="1">
        <f>AL72*Input!$C$31</f>
        <v>-0.48732453805381631</v>
      </c>
      <c r="AM138" s="62">
        <f>AM72*Input!$C$31</f>
        <v>-131.56586146587873</v>
      </c>
      <c r="AN138" s="62">
        <f>AN72*Input!$C$31</f>
        <v>-131.50136081297677</v>
      </c>
    </row>
    <row r="139" spans="1:40" ht="29" x14ac:dyDescent="0.35">
      <c r="A139" s="39" t="s">
        <v>171</v>
      </c>
      <c r="B139" s="39" t="s">
        <v>172</v>
      </c>
      <c r="C139" s="1">
        <f>C73*Input!$C$31</f>
        <v>5.8855572222615651</v>
      </c>
      <c r="D139" s="1">
        <f>D73*Input!$C$31</f>
        <v>30.647160708875575</v>
      </c>
      <c r="E139" s="62">
        <f>E73*Input!$C$31</f>
        <v>36.532717931137142</v>
      </c>
      <c r="F139" s="1">
        <f>F73*Input!$C$31</f>
        <v>194.866176</v>
      </c>
      <c r="G139" s="1">
        <f>G73*Input!$C$31</f>
        <v>2.3816802680254465</v>
      </c>
      <c r="H139" s="62">
        <f>H73*Input!$C$31</f>
        <v>197.24785626802546</v>
      </c>
      <c r="I139" s="1">
        <f>I73*Input!$C$31</f>
        <v>1.1023818802532117</v>
      </c>
      <c r="J139" s="1">
        <f>J73*Input!$C$31</f>
        <v>0</v>
      </c>
      <c r="K139" s="62">
        <f>K73*Input!$C$31</f>
        <v>1.1023818802532117</v>
      </c>
      <c r="L139" s="1">
        <f>L73*Input!$C$31</f>
        <v>0.42536093574717587</v>
      </c>
      <c r="M139" s="1">
        <f>M73*Input!$C$31</f>
        <v>0</v>
      </c>
      <c r="N139" s="62">
        <f>N73*Input!$C$31</f>
        <v>0.42536093574717587</v>
      </c>
      <c r="O139" s="1">
        <f>O73*Input!$C$31</f>
        <v>0</v>
      </c>
      <c r="P139" s="1">
        <f>P73*Input!$C$31</f>
        <v>0</v>
      </c>
      <c r="Q139" s="62">
        <f>Q73*Input!$C$31</f>
        <v>0</v>
      </c>
      <c r="R139" s="1">
        <f>R73*Input!$C$31</f>
        <v>0</v>
      </c>
      <c r="S139" s="1">
        <f>S73*Input!$C$31</f>
        <v>1.2657209308761601</v>
      </c>
      <c r="T139" s="62">
        <f>T73*Input!$C$31</f>
        <v>1.2657209308761601</v>
      </c>
      <c r="U139" s="62">
        <f>U73*Input!$C$31</f>
        <v>84.349857498935691</v>
      </c>
      <c r="V139" s="62">
        <f>V73*Input!$C$31</f>
        <v>8.1957840292208619</v>
      </c>
      <c r="W139" s="1">
        <f>W73*Input!$C$31</f>
        <v>1.0398912984946673</v>
      </c>
      <c r="X139" s="1">
        <f>X73*Input!$C$31</f>
        <v>1.3983556416476195</v>
      </c>
      <c r="Y139" s="1">
        <f>Y73*Input!$C$31</f>
        <v>0.51038740143171268</v>
      </c>
      <c r="Z139" s="250">
        <f>Z73*Input!$C$31</f>
        <v>2.9486343415739995</v>
      </c>
      <c r="AA139" s="250">
        <f>AA73*Input!$C$31</f>
        <v>2.2375352713626104</v>
      </c>
      <c r="AB139" s="89">
        <f>AB73*Input!$C$31</f>
        <v>0</v>
      </c>
      <c r="AC139" s="1">
        <f>AC73*Input!$C$31</f>
        <v>1.9390713071755914</v>
      </c>
      <c r="AD139" s="62">
        <f>AD73*Input!$C$31</f>
        <v>1.9390713071755914</v>
      </c>
      <c r="AE139" s="1">
        <f>AE73*Input!$C$31</f>
        <v>-205.42201344</v>
      </c>
      <c r="AF139" s="1">
        <f>AF73*Input!$C$31</f>
        <v>-3.0459451444100898</v>
      </c>
      <c r="AG139" s="1">
        <f>AG73*Input!$C$31</f>
        <v>-2.0720206123821234</v>
      </c>
      <c r="AH139" s="1">
        <f>AH73*Input!$C$31</f>
        <v>-2.5281484251485127</v>
      </c>
      <c r="AI139" s="1">
        <f>AI73*Input!$C$31</f>
        <v>-2.556993552450495</v>
      </c>
      <c r="AJ139" s="1">
        <f>AJ73*Input!$C$31</f>
        <v>0</v>
      </c>
      <c r="AK139" s="1">
        <f>AK73*Input!$C$31</f>
        <v>-14.396907947440475</v>
      </c>
      <c r="AL139" s="1">
        <f>AL73*Input!$C$31</f>
        <v>-7.7098532858141171</v>
      </c>
      <c r="AM139" s="62">
        <f>AM73*Input!$C$31</f>
        <v>-237.73188240764583</v>
      </c>
      <c r="AN139" s="62">
        <f>AN73*Input!$C$31</f>
        <v>-235.79281110047023</v>
      </c>
    </row>
    <row r="140" spans="1:40" ht="29" x14ac:dyDescent="0.35">
      <c r="A140" s="39" t="s">
        <v>173</v>
      </c>
      <c r="B140" s="39" t="s">
        <v>174</v>
      </c>
      <c r="C140" s="1">
        <f>C74*Input!$C$31</f>
        <v>2.7216973757624703E-5</v>
      </c>
      <c r="D140" s="1">
        <f>D74*Input!$C$31</f>
        <v>5.8830236419184459E-5</v>
      </c>
      <c r="E140" s="62">
        <f>E74*Input!$C$31</f>
        <v>8.6047210176809155E-5</v>
      </c>
      <c r="F140" s="1">
        <f>F74*Input!$C$31</f>
        <v>1.8933504E-6</v>
      </c>
      <c r="G140" s="1">
        <f>G74*Input!$C$31</f>
        <v>4.1275242095615997E-6</v>
      </c>
      <c r="H140" s="62">
        <f>H74*Input!$C$31</f>
        <v>6.0208746095615997E-6</v>
      </c>
      <c r="I140" s="1">
        <f>I74*Input!$C$31</f>
        <v>3.9556946014784309E-5</v>
      </c>
      <c r="J140" s="1">
        <f>J74*Input!$C$31</f>
        <v>0</v>
      </c>
      <c r="K140" s="62">
        <f>K74*Input!$C$31</f>
        <v>3.9556946014784309E-5</v>
      </c>
      <c r="L140" s="1">
        <f>L74*Input!$C$31</f>
        <v>3.3853426610781397E-7</v>
      </c>
      <c r="M140" s="1">
        <f>M74*Input!$C$31</f>
        <v>0</v>
      </c>
      <c r="N140" s="62">
        <f>N74*Input!$C$31</f>
        <v>3.3853426610781397E-7</v>
      </c>
      <c r="O140" s="1">
        <f>O74*Input!$C$31</f>
        <v>0</v>
      </c>
      <c r="P140" s="1">
        <f>P74*Input!$C$31</f>
        <v>0</v>
      </c>
      <c r="Q140" s="62">
        <f>Q74*Input!$C$31</f>
        <v>0</v>
      </c>
      <c r="R140" s="1">
        <f>R74*Input!$C$31</f>
        <v>0</v>
      </c>
      <c r="S140" s="1">
        <f>S74*Input!$C$31</f>
        <v>2.1935327990400002E-6</v>
      </c>
      <c r="T140" s="62">
        <f>T74*Input!$C$31</f>
        <v>2.1935327990400002E-6</v>
      </c>
      <c r="U140" s="62">
        <f>U74*Input!$C$31</f>
        <v>3.1408839971612003E-4</v>
      </c>
      <c r="V140" s="62">
        <f>V74*Input!$C$31</f>
        <v>1.4203542537215997E-5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0</v>
      </c>
      <c r="AC140" s="1">
        <f>AC74*Input!$C$31</f>
        <v>1.5432589754682634E-6</v>
      </c>
      <c r="AD140" s="62">
        <f>AD74*Input!$C$31</f>
        <v>1.5432589754682634E-6</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0</v>
      </c>
      <c r="AK140" s="1">
        <f>AK74*Input!$C$31</f>
        <v>-2.4632893322035205E-5</v>
      </c>
      <c r="AL140" s="1">
        <f>AL74*Input!$C$31</f>
        <v>-1.319144320512E-5</v>
      </c>
      <c r="AM140" s="62">
        <f>AM74*Input!$C$31</f>
        <v>-1.7307072483706794E-4</v>
      </c>
      <c r="AN140" s="62">
        <f>AN74*Input!$C$31</f>
        <v>-1.7152746586159969E-4</v>
      </c>
    </row>
    <row r="141" spans="1:40" ht="29" x14ac:dyDescent="0.35">
      <c r="A141" s="39" t="s">
        <v>175</v>
      </c>
      <c r="B141" s="39" t="s">
        <v>176</v>
      </c>
      <c r="C141" s="1">
        <f>C75*Input!$C$31</f>
        <v>2.5195314929932662E-3</v>
      </c>
      <c r="D141" s="1">
        <f>D75*Input!$C$31</f>
        <v>1.0455538747629878E-3</v>
      </c>
      <c r="E141" s="62">
        <f>E75*Input!$C$31</f>
        <v>3.5650853677562538E-3</v>
      </c>
      <c r="F141" s="1">
        <f>F75*Input!$C$31</f>
        <v>1.88909568E-3</v>
      </c>
      <c r="G141" s="1">
        <f>G75*Input!$C$31</f>
        <v>5.7517289361408002E-5</v>
      </c>
      <c r="H141" s="62">
        <f>H75*Input!$C$31</f>
        <v>1.9466129693614079E-3</v>
      </c>
      <c r="I141" s="1">
        <f>I75*Input!$C$31</f>
        <v>1.1406337373686712E-4</v>
      </c>
      <c r="J141" s="1">
        <f>J75*Input!$C$31</f>
        <v>0</v>
      </c>
      <c r="K141" s="62">
        <f>K75*Input!$C$31</f>
        <v>1.1406337373686712E-4</v>
      </c>
      <c r="L141" s="1">
        <f>L75*Input!$C$31</f>
        <v>9.2583083121698704E-6</v>
      </c>
      <c r="M141" s="1">
        <f>M75*Input!$C$31</f>
        <v>0</v>
      </c>
      <c r="N141" s="62">
        <f>N75*Input!$C$31</f>
        <v>9.2583083121698704E-6</v>
      </c>
      <c r="O141" s="1">
        <f>O75*Input!$C$31</f>
        <v>0</v>
      </c>
      <c r="P141" s="1">
        <f>P75*Input!$C$31</f>
        <v>0</v>
      </c>
      <c r="Q141" s="62">
        <f>Q75*Input!$C$31</f>
        <v>0</v>
      </c>
      <c r="R141" s="1">
        <f>R75*Input!$C$31</f>
        <v>0</v>
      </c>
      <c r="S141" s="1">
        <f>S75*Input!$C$31</f>
        <v>3.0567006835200002E-5</v>
      </c>
      <c r="T141" s="62">
        <f>T75*Input!$C$31</f>
        <v>3.0567006835200002E-5</v>
      </c>
      <c r="U141" s="62">
        <f>U75*Input!$C$31</f>
        <v>1.2120616805472461E-3</v>
      </c>
      <c r="V141" s="62">
        <f>V75*Input!$C$31</f>
        <v>1.9792718942207994E-4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0</v>
      </c>
      <c r="AC141" s="1">
        <f>AC75*Input!$C$31</f>
        <v>4.220538016632635E-5</v>
      </c>
      <c r="AD141" s="62">
        <f>AD75*Input!$C$31</f>
        <v>4.220538016632635E-5</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0</v>
      </c>
      <c r="AK141" s="1">
        <f>AK75*Input!$C$31</f>
        <v>-1.0510431468650496E-3</v>
      </c>
      <c r="AL141" s="1">
        <f>AL75*Input!$C$31</f>
        <v>-5.6285616946175998E-4</v>
      </c>
      <c r="AM141" s="62">
        <f>AM75*Input!$C$31</f>
        <v>-5.9048690755751981E-3</v>
      </c>
      <c r="AN141" s="62">
        <f>AN75*Input!$C$31</f>
        <v>-5.8626636954088708E-3</v>
      </c>
    </row>
    <row r="142" spans="1:40" x14ac:dyDescent="0.35">
      <c r="A142" s="39" t="s">
        <v>177</v>
      </c>
      <c r="B142" s="39" t="s">
        <v>178</v>
      </c>
      <c r="C142" s="1">
        <f>C76*Input!$C$31</f>
        <v>3.3304306474648403E-2</v>
      </c>
      <c r="D142" s="1">
        <f>D76*Input!$C$31</f>
        <v>1.135339082531839E-2</v>
      </c>
      <c r="E142" s="62">
        <f>E76*Input!$C$31</f>
        <v>4.4657697299966791E-2</v>
      </c>
      <c r="F142" s="1">
        <f>F76*Input!$C$31</f>
        <v>2.0677939200000002E-2</v>
      </c>
      <c r="G142" s="1">
        <f>G76*Input!$C$31</f>
        <v>6.2257261028351996E-4</v>
      </c>
      <c r="H142" s="62">
        <f>H76*Input!$C$31</f>
        <v>2.1300511810283522E-2</v>
      </c>
      <c r="I142" s="1">
        <f>I76*Input!$C$31</f>
        <v>1.3519684261212555E-3</v>
      </c>
      <c r="J142" s="1">
        <f>J76*Input!$C$31</f>
        <v>0</v>
      </c>
      <c r="K142" s="62">
        <f>K76*Input!$C$31</f>
        <v>1.3519684261212555E-3</v>
      </c>
      <c r="L142" s="1">
        <f>L76*Input!$C$31</f>
        <v>1.0064921983916307E-4</v>
      </c>
      <c r="M142" s="1">
        <f>M76*Input!$C$31</f>
        <v>0</v>
      </c>
      <c r="N142" s="62">
        <f>N76*Input!$C$31</f>
        <v>1.0064921983916307E-4</v>
      </c>
      <c r="O142" s="1">
        <f>O76*Input!$C$31</f>
        <v>0</v>
      </c>
      <c r="P142" s="1">
        <f>P76*Input!$C$31</f>
        <v>0</v>
      </c>
      <c r="Q142" s="62">
        <f>Q76*Input!$C$31</f>
        <v>0</v>
      </c>
      <c r="R142" s="1">
        <f>R76*Input!$C$31</f>
        <v>0</v>
      </c>
      <c r="S142" s="1">
        <f>S76*Input!$C$31</f>
        <v>3.3086018908799996E-4</v>
      </c>
      <c r="T142" s="62">
        <f>T76*Input!$C$31</f>
        <v>3.3086018908799996E-4</v>
      </c>
      <c r="U142" s="62">
        <f>U76*Input!$C$31</f>
        <v>1.2534925350316809E-2</v>
      </c>
      <c r="V142" s="62">
        <f>V76*Input!$C$31</f>
        <v>2.1423827223551995E-3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0</v>
      </c>
      <c r="AC142" s="1">
        <f>AC76*Input!$C$31</f>
        <v>4.5882448969345726E-4</v>
      </c>
      <c r="AD142" s="62">
        <f>AD76*Input!$C$31</f>
        <v>4.5882448969345726E-4</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0</v>
      </c>
      <c r="AK142" s="1">
        <f>AK76*Input!$C$31</f>
        <v>-1.1465278634852354E-2</v>
      </c>
      <c r="AL142" s="1">
        <f>AL76*Input!$C$31</f>
        <v>-6.1399028512511989E-3</v>
      </c>
      <c r="AM142" s="62">
        <f>AM76*Input!$C$31</f>
        <v>-6.7916034717131354E-2</v>
      </c>
      <c r="AN142" s="62">
        <f>AN76*Input!$C$31</f>
        <v>-6.7457210227437892E-2</v>
      </c>
    </row>
    <row r="143" spans="1:40" x14ac:dyDescent="0.35">
      <c r="A143" s="39" t="s">
        <v>179</v>
      </c>
      <c r="B143" s="39" t="s">
        <v>180</v>
      </c>
      <c r="C143" s="1">
        <f>C77*Input!$C$31</f>
        <v>6.7550838864074646E-11</v>
      </c>
      <c r="D143" s="1">
        <f>D77*Input!$C$31</f>
        <v>2.0631867410197381E-10</v>
      </c>
      <c r="E143" s="62">
        <f>E77*Input!$C$31</f>
        <v>2.7386951296604845E-10</v>
      </c>
      <c r="F143" s="1">
        <f>F77*Input!$C$31</f>
        <v>2.11034112E-9</v>
      </c>
      <c r="G143" s="1">
        <f>G77*Input!$C$31</f>
        <v>1.5684010103807996E-11</v>
      </c>
      <c r="H143" s="62">
        <f>H77*Input!$C$31</f>
        <v>2.1260251301038078E-9</v>
      </c>
      <c r="I143" s="1">
        <f>I77*Input!$C$31</f>
        <v>1.3565714297368255E-11</v>
      </c>
      <c r="J143" s="1">
        <f>J77*Input!$C$31</f>
        <v>0</v>
      </c>
      <c r="K143" s="62">
        <f>K77*Input!$C$31</f>
        <v>1.3565714297368255E-11</v>
      </c>
      <c r="L143" s="1">
        <f>L77*Input!$C$31</f>
        <v>1.9569882038348375E-12</v>
      </c>
      <c r="M143" s="1">
        <f>M77*Input!$C$31</f>
        <v>0</v>
      </c>
      <c r="N143" s="62">
        <f>N77*Input!$C$31</f>
        <v>1.9569882038348375E-12</v>
      </c>
      <c r="O143" s="1">
        <f>O77*Input!$C$31</f>
        <v>0</v>
      </c>
      <c r="P143" s="1">
        <f>P77*Input!$C$31</f>
        <v>0</v>
      </c>
      <c r="Q143" s="62">
        <f>Q77*Input!$C$31</f>
        <v>0</v>
      </c>
      <c r="R143" s="1">
        <f>R77*Input!$C$31</f>
        <v>0</v>
      </c>
      <c r="S143" s="1">
        <f>S77*Input!$C$31</f>
        <v>8.3351153952000001E-12</v>
      </c>
      <c r="T143" s="62">
        <f>T77*Input!$C$31</f>
        <v>8.3351153952000001E-12</v>
      </c>
      <c r="U143" s="62">
        <f>U77*Input!$C$31</f>
        <v>5.3509205903621706E-10</v>
      </c>
      <c r="V143" s="62">
        <f>V77*Input!$C$31</f>
        <v>5.3971459246079994E-11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0</v>
      </c>
      <c r="AC143" s="1">
        <f>AC77*Input!$C$31</f>
        <v>8.9212227913489734E-12</v>
      </c>
      <c r="AD143" s="62">
        <f>AD77*Input!$C$31</f>
        <v>8.9212227913489734E-12</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0</v>
      </c>
      <c r="AK143" s="1">
        <f>AK77*Input!$C$31</f>
        <v>-1.0008709120917505E-10</v>
      </c>
      <c r="AL143" s="1">
        <f>AL77*Input!$C$31</f>
        <v>-5.3598786061824001E-11</v>
      </c>
      <c r="AM143" s="62">
        <f>AM77*Input!$C$31</f>
        <v>-2.4828358798435929E-9</v>
      </c>
      <c r="AN143" s="62">
        <f>AN77*Input!$C$31</f>
        <v>-2.4739146570522441E-9</v>
      </c>
    </row>
    <row r="144" spans="1:40" x14ac:dyDescent="0.35">
      <c r="A144" s="39" t="s">
        <v>181</v>
      </c>
      <c r="B144" s="39" t="s">
        <v>180</v>
      </c>
      <c r="C144" s="1">
        <f>C78*Input!$C$31</f>
        <v>1.6052839613760655E-9</v>
      </c>
      <c r="D144" s="1">
        <f>D78*Input!$C$31</f>
        <v>1.6123151862320565E-8</v>
      </c>
      <c r="E144" s="62">
        <f>E78*Input!$C$31</f>
        <v>1.7728435823696628E-8</v>
      </c>
      <c r="F144" s="1">
        <f>F78*Input!$C$31</f>
        <v>6.0842495999999996E-8</v>
      </c>
      <c r="G144" s="1">
        <f>G78*Input!$C$31</f>
        <v>1.2761282107392001E-9</v>
      </c>
      <c r="H144" s="62">
        <f>H78*Input!$C$31</f>
        <v>6.2118624210739191E-8</v>
      </c>
      <c r="I144" s="1">
        <f>I78*Input!$C$31</f>
        <v>5.1544596263419286E-10</v>
      </c>
      <c r="J144" s="1">
        <f>J78*Input!$C$31</f>
        <v>0</v>
      </c>
      <c r="K144" s="62">
        <f>K78*Input!$C$31</f>
        <v>5.1544596263419286E-10</v>
      </c>
      <c r="L144" s="1">
        <f>L78*Input!$C$31</f>
        <v>5.2161722354727859E-11</v>
      </c>
      <c r="M144" s="1">
        <f>M78*Input!$C$31</f>
        <v>0</v>
      </c>
      <c r="N144" s="62">
        <f>N78*Input!$C$31</f>
        <v>5.2161722354727859E-11</v>
      </c>
      <c r="O144" s="1">
        <f>O78*Input!$C$31</f>
        <v>0</v>
      </c>
      <c r="P144" s="1">
        <f>P78*Input!$C$31</f>
        <v>0</v>
      </c>
      <c r="Q144" s="62">
        <f>Q78*Input!$C$31</f>
        <v>0</v>
      </c>
      <c r="R144" s="1">
        <f>R78*Input!$C$31</f>
        <v>0</v>
      </c>
      <c r="S144" s="1">
        <f>S78*Input!$C$31</f>
        <v>6.7818598848000003E-10</v>
      </c>
      <c r="T144" s="62">
        <f>T78*Input!$C$31</f>
        <v>6.7818598848000003E-10</v>
      </c>
      <c r="U144" s="62">
        <f>U78*Input!$C$31</f>
        <v>1.8681285311571824E-8</v>
      </c>
      <c r="V144" s="62">
        <f>V78*Input!$C$31</f>
        <v>4.3913834065919992E-9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0</v>
      </c>
      <c r="AC144" s="1">
        <f>AC78*Input!$C$31</f>
        <v>2.3778699605605235E-10</v>
      </c>
      <c r="AD144" s="62">
        <f>AD78*Input!$C$31</f>
        <v>2.3778699605605235E-10</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0</v>
      </c>
      <c r="AK144" s="1">
        <f>AK78*Input!$C$31</f>
        <v>-7.6740427933286413E-9</v>
      </c>
      <c r="AL144" s="1">
        <f>AL78*Input!$C$31</f>
        <v>-4.1096146659840002E-9</v>
      </c>
      <c r="AM144" s="62">
        <f>AM78*Input!$C$31</f>
        <v>-7.9777504631498521E-8</v>
      </c>
      <c r="AN144" s="62">
        <f>AN78*Input!$C$31</f>
        <v>-7.9539717635442465E-8</v>
      </c>
    </row>
    <row r="145" spans="1:40" ht="29" x14ac:dyDescent="0.35">
      <c r="A145" s="39" t="s">
        <v>182</v>
      </c>
      <c r="B145" s="39" t="s">
        <v>183</v>
      </c>
      <c r="C145" s="1">
        <f>C79*Input!$C$31</f>
        <v>1.169865400918345E-2</v>
      </c>
      <c r="D145" s="1">
        <f>D79*Input!$C$31</f>
        <v>1.6219145862374322E-2</v>
      </c>
      <c r="E145" s="62">
        <f>E79*Input!$C$31</f>
        <v>2.791779987155777E-2</v>
      </c>
      <c r="F145" s="1">
        <f>F79*Input!$C$31</f>
        <v>3.2123135999999997E-2</v>
      </c>
      <c r="G145" s="1">
        <f>G79*Input!$C$31</f>
        <v>1.07996354525184E-3</v>
      </c>
      <c r="H145" s="62">
        <f>H79*Input!$C$31</f>
        <v>3.3203099545251837E-2</v>
      </c>
      <c r="I145" s="1">
        <f>I79*Input!$C$31</f>
        <v>2.1162069122549879E-2</v>
      </c>
      <c r="J145" s="1">
        <f>J79*Input!$C$31</f>
        <v>0</v>
      </c>
      <c r="K145" s="62">
        <f>K79*Input!$C$31</f>
        <v>2.1162069122549879E-2</v>
      </c>
      <c r="L145" s="1">
        <f>L79*Input!$C$31</f>
        <v>1.277181470957085E-4</v>
      </c>
      <c r="M145" s="1">
        <f>M79*Input!$C$31</f>
        <v>0</v>
      </c>
      <c r="N145" s="62">
        <f>N79*Input!$C$31</f>
        <v>1.277181470957085E-4</v>
      </c>
      <c r="O145" s="1">
        <f>O79*Input!$C$31</f>
        <v>0</v>
      </c>
      <c r="P145" s="1">
        <f>P79*Input!$C$31</f>
        <v>0</v>
      </c>
      <c r="Q145" s="62">
        <f>Q79*Input!$C$31</f>
        <v>0</v>
      </c>
      <c r="R145" s="1">
        <f>R79*Input!$C$31</f>
        <v>0</v>
      </c>
      <c r="S145" s="1">
        <f>S79*Input!$C$31</f>
        <v>5.7393617529599998E-4</v>
      </c>
      <c r="T145" s="62">
        <f>T79*Input!$C$31</f>
        <v>5.7393617529599998E-4</v>
      </c>
      <c r="U145" s="62">
        <f>U79*Input!$C$31</f>
        <v>1.521649109939992</v>
      </c>
      <c r="V145" s="62">
        <f>V79*Input!$C$31</f>
        <v>3.7163460163583996E-3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0</v>
      </c>
      <c r="AC145" s="1">
        <f>AC79*Input!$C$31</f>
        <v>5.8222223440405397E-4</v>
      </c>
      <c r="AD145" s="62">
        <f>AD79*Input!$C$31</f>
        <v>5.8222223440405397E-4</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0</v>
      </c>
      <c r="AK145" s="1">
        <f>AK79*Input!$C$31</f>
        <v>-6.4816202039427069E-3</v>
      </c>
      <c r="AL145" s="1">
        <f>AL79*Input!$C$31</f>
        <v>-3.4710467698483198E-3</v>
      </c>
      <c r="AM145" s="62">
        <f>AM79*Input!$C$31</f>
        <v>-0.11062892420545217</v>
      </c>
      <c r="AN145" s="62">
        <f>AN79*Input!$C$31</f>
        <v>-0.11004670197104813</v>
      </c>
    </row>
    <row r="146" spans="1:40" x14ac:dyDescent="0.35">
      <c r="A146" s="39" t="s">
        <v>184</v>
      </c>
      <c r="B146" s="39" t="s">
        <v>185</v>
      </c>
      <c r="C146" s="1">
        <f>C80*Input!$C$31</f>
        <v>75.047475845286556</v>
      </c>
      <c r="D146" s="1">
        <f>D80*Input!$C$31</f>
        <v>2.5482034424071611</v>
      </c>
      <c r="E146" s="62">
        <f>E80*Input!$C$31</f>
        <v>77.595679287693713</v>
      </c>
      <c r="F146" s="1">
        <f>F80*Input!$C$31</f>
        <v>1.1189913600000001</v>
      </c>
      <c r="G146" s="1">
        <f>G80*Input!$C$31</f>
        <v>0.15022917100087296</v>
      </c>
      <c r="H146" s="62">
        <f>H80*Input!$C$31</f>
        <v>1.2692205310008731</v>
      </c>
      <c r="I146" s="1">
        <f>I80*Input!$C$31</f>
        <v>0.33994034830656672</v>
      </c>
      <c r="J146" s="1">
        <f>J80*Input!$C$31</f>
        <v>0</v>
      </c>
      <c r="K146" s="62">
        <f>K80*Input!$C$31</f>
        <v>0.33994034830656672</v>
      </c>
      <c r="L146" s="1">
        <f>L80*Input!$C$31</f>
        <v>2.1869689454441864E-2</v>
      </c>
      <c r="M146" s="1">
        <f>M80*Input!$C$31</f>
        <v>0</v>
      </c>
      <c r="N146" s="62">
        <f>N80*Input!$C$31</f>
        <v>2.1869689454441864E-2</v>
      </c>
      <c r="O146" s="1">
        <f>O80*Input!$C$31</f>
        <v>0</v>
      </c>
      <c r="P146" s="1">
        <f>P80*Input!$C$31</f>
        <v>0</v>
      </c>
      <c r="Q146" s="62">
        <f>Q80*Input!$C$31</f>
        <v>0</v>
      </c>
      <c r="R146" s="1">
        <f>R80*Input!$C$31</f>
        <v>0</v>
      </c>
      <c r="S146" s="1">
        <f>S80*Input!$C$31</f>
        <v>7.9837839157824012E-2</v>
      </c>
      <c r="T146" s="62">
        <f>T80*Input!$C$31</f>
        <v>7.9837839157824012E-2</v>
      </c>
      <c r="U146" s="62">
        <f>U80*Input!$C$31</f>
        <v>6.2573030477361966</v>
      </c>
      <c r="V146" s="62">
        <f>V80*Input!$C$31</f>
        <v>0.51696521020968955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v>
      </c>
      <c r="AC146" s="1">
        <f>AC80*Input!$C$31</f>
        <v>9.9696243246828034E-2</v>
      </c>
      <c r="AD146" s="62">
        <f>AD80*Input!$C$31</f>
        <v>9.9696243246828034E-2</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v>
      </c>
      <c r="AK146" s="1">
        <f>AK80*Input!$C$31</f>
        <v>-0.90341675495954854</v>
      </c>
      <c r="AL146" s="1">
        <f>AL80*Input!$C$31</f>
        <v>-0.48379906727976957</v>
      </c>
      <c r="AM146" s="62">
        <f>AM80*Input!$C$31</f>
        <v>-96.587846927143346</v>
      </c>
      <c r="AN146" s="62">
        <f>AN80*Input!$C$31</f>
        <v>-96.488150683896521</v>
      </c>
    </row>
    <row r="147" spans="1:40" ht="29" x14ac:dyDescent="0.35">
      <c r="A147" s="39" t="s">
        <v>186</v>
      </c>
      <c r="B147" s="39" t="s">
        <v>187</v>
      </c>
      <c r="C147" s="1">
        <f>C81*Input!$C$31</f>
        <v>8.948569055373333E-7</v>
      </c>
      <c r="D147" s="1">
        <f>D81*Input!$C$31</f>
        <v>2.5431054756627075E-6</v>
      </c>
      <c r="E147" s="62">
        <f>E81*Input!$C$31</f>
        <v>3.4379623812000406E-6</v>
      </c>
      <c r="F147" s="1">
        <f>F81*Input!$C$31</f>
        <v>4.3398144000000001E-7</v>
      </c>
      <c r="G147" s="1">
        <f>G81*Input!$C$31</f>
        <v>1.9523163091967999E-7</v>
      </c>
      <c r="H147" s="62">
        <f>H81*Input!$C$31</f>
        <v>6.2921307091968003E-7</v>
      </c>
      <c r="I147" s="1">
        <f>I81*Input!$C$31</f>
        <v>1.9364976295262905E-7</v>
      </c>
      <c r="J147" s="1">
        <f>J81*Input!$C$31</f>
        <v>0</v>
      </c>
      <c r="K147" s="62">
        <f>K81*Input!$C$31</f>
        <v>1.9364976295262905E-7</v>
      </c>
      <c r="L147" s="1">
        <f>L81*Input!$C$31</f>
        <v>4.9935234569963153E-9</v>
      </c>
      <c r="M147" s="1">
        <f>M81*Input!$C$31</f>
        <v>0</v>
      </c>
      <c r="N147" s="62">
        <f>N81*Input!$C$31</f>
        <v>4.9935234569963153E-9</v>
      </c>
      <c r="O147" s="1">
        <f>O81*Input!$C$31</f>
        <v>0</v>
      </c>
      <c r="P147" s="1">
        <f>P81*Input!$C$31</f>
        <v>0</v>
      </c>
      <c r="Q147" s="62">
        <f>Q81*Input!$C$31</f>
        <v>0</v>
      </c>
      <c r="R147" s="1">
        <f>R81*Input!$C$31</f>
        <v>0</v>
      </c>
      <c r="S147" s="1">
        <f>S81*Input!$C$31</f>
        <v>1.0375396099200001E-7</v>
      </c>
      <c r="T147" s="62">
        <f>T81*Input!$C$31</f>
        <v>1.0375396099200001E-7</v>
      </c>
      <c r="U147" s="62">
        <f>U81*Input!$C$31</f>
        <v>1.937720378336578E-5</v>
      </c>
      <c r="V147" s="62">
        <f>V81*Input!$C$31</f>
        <v>6.7182665287679989E-7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0</v>
      </c>
      <c r="AC147" s="1">
        <f>AC81*Input!$C$31</f>
        <v>2.2763721920446975E-8</v>
      </c>
      <c r="AD147" s="62">
        <f>AD81*Input!$C$31</f>
        <v>2.2763721920446975E-8</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0</v>
      </c>
      <c r="AK147" s="1">
        <f>AK81*Input!$C$31</f>
        <v>-1.1606572064047106E-6</v>
      </c>
      <c r="AL147" s="1">
        <f>AL81*Input!$C$31</f>
        <v>-6.2155685159423996E-7</v>
      </c>
      <c r="AM147" s="62">
        <f>AM81*Input!$C$31</f>
        <v>-3.5295154231068282E-6</v>
      </c>
      <c r="AN147" s="62">
        <f>AN81*Input!$C$31</f>
        <v>-3.5067517011863812E-6</v>
      </c>
    </row>
    <row r="148" spans="1:40" x14ac:dyDescent="0.35">
      <c r="A148" s="39" t="s">
        <v>188</v>
      </c>
      <c r="B148" s="39" t="s">
        <v>189</v>
      </c>
      <c r="C148" s="1">
        <f>C82*Input!$C$31</f>
        <v>6.7653035519931625E-9</v>
      </c>
      <c r="D148" s="1">
        <f>D82*Input!$C$31</f>
        <v>5.0487521226361659E-8</v>
      </c>
      <c r="E148" s="62">
        <f>E82*Input!$C$31</f>
        <v>5.7252824778354821E-8</v>
      </c>
      <c r="F148" s="1">
        <f>F82*Input!$C$31</f>
        <v>1.4125670399999999E-12</v>
      </c>
      <c r="G148" s="1">
        <f>G82*Input!$C$31</f>
        <v>3.9348196866048007E-9</v>
      </c>
      <c r="H148" s="62">
        <f>H82*Input!$C$31</f>
        <v>3.936232253644801E-9</v>
      </c>
      <c r="I148" s="1">
        <f>I82*Input!$C$31</f>
        <v>8.427034907322138E-10</v>
      </c>
      <c r="J148" s="1">
        <f>J82*Input!$C$31</f>
        <v>0</v>
      </c>
      <c r="K148" s="62">
        <f>K82*Input!$C$31</f>
        <v>8.427034907322138E-10</v>
      </c>
      <c r="L148" s="1">
        <f>L82*Input!$C$31</f>
        <v>7.2164284444987708E-10</v>
      </c>
      <c r="M148" s="1">
        <f>M82*Input!$C$31</f>
        <v>0</v>
      </c>
      <c r="N148" s="62">
        <f>N82*Input!$C$31</f>
        <v>7.2164284444987708E-10</v>
      </c>
      <c r="O148" s="1">
        <f>O82*Input!$C$31</f>
        <v>0</v>
      </c>
      <c r="P148" s="1">
        <f>P82*Input!$C$31</f>
        <v>0</v>
      </c>
      <c r="Q148" s="62">
        <f>Q82*Input!$C$31</f>
        <v>0</v>
      </c>
      <c r="R148" s="1">
        <f>R82*Input!$C$31</f>
        <v>0</v>
      </c>
      <c r="S148" s="1">
        <f>S82*Input!$C$31</f>
        <v>2.0911218451199999E-9</v>
      </c>
      <c r="T148" s="62">
        <f>T82*Input!$C$31</f>
        <v>2.0911218451199999E-9</v>
      </c>
      <c r="U148" s="62">
        <f>U82*Input!$C$31</f>
        <v>4.2995527100920944E-7</v>
      </c>
      <c r="V148" s="62">
        <f>V82*Input!$C$31</f>
        <v>1.3540412110847997E-8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0</v>
      </c>
      <c r="AC148" s="1">
        <f>AC82*Input!$C$31</f>
        <v>3.2897166056006967E-9</v>
      </c>
      <c r="AD148" s="62">
        <f>AD82*Input!$C$31</f>
        <v>3.2897166056006967E-9</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0</v>
      </c>
      <c r="AK148" s="1">
        <f>AK82*Input!$C$31</f>
        <v>-2.3818148631281668E-8</v>
      </c>
      <c r="AL148" s="1">
        <f>AL82*Input!$C$31</f>
        <v>-1.2755129931878398E-8</v>
      </c>
      <c r="AM148" s="62">
        <f>AM82*Input!$C$31</f>
        <v>-4.8381586054064336E-8</v>
      </c>
      <c r="AN148" s="62">
        <f>AN82*Input!$C$31</f>
        <v>-4.5091869448463644E-8</v>
      </c>
    </row>
    <row r="149" spans="1:40" x14ac:dyDescent="0.35">
      <c r="A149" s="39" t="s">
        <v>190</v>
      </c>
      <c r="B149" s="39" t="s">
        <v>191</v>
      </c>
      <c r="C149" s="1">
        <f>C83*Input!$C$31</f>
        <v>1.2379916014480458E-7</v>
      </c>
      <c r="D149" s="1">
        <f>D83*Input!$C$31</f>
        <v>1.3820663492748754E-7</v>
      </c>
      <c r="E149" s="62">
        <f>E83*Input!$C$31</f>
        <v>2.6200579507229214E-7</v>
      </c>
      <c r="F149" s="1">
        <f>F83*Input!$C$31</f>
        <v>1.14026496E-7</v>
      </c>
      <c r="G149" s="1">
        <f>G83*Input!$C$31</f>
        <v>1.0968529200844799E-8</v>
      </c>
      <c r="H149" s="62">
        <f>H83*Input!$C$31</f>
        <v>1.2499502520084483E-7</v>
      </c>
      <c r="I149" s="1">
        <f>I83*Input!$C$31</f>
        <v>5.3282518696060506E-9</v>
      </c>
      <c r="J149" s="1">
        <f>J83*Input!$C$31</f>
        <v>0</v>
      </c>
      <c r="K149" s="62">
        <f>K83*Input!$C$31</f>
        <v>5.3282518696060506E-9</v>
      </c>
      <c r="L149" s="1">
        <f>L83*Input!$C$31</f>
        <v>3.1541018866918046E-10</v>
      </c>
      <c r="M149" s="1">
        <f>M83*Input!$C$31</f>
        <v>0</v>
      </c>
      <c r="N149" s="62">
        <f>N83*Input!$C$31</f>
        <v>3.1541018866918046E-10</v>
      </c>
      <c r="O149" s="1">
        <f>O83*Input!$C$31</f>
        <v>0</v>
      </c>
      <c r="P149" s="1">
        <f>P83*Input!$C$31</f>
        <v>0</v>
      </c>
      <c r="Q149" s="62">
        <f>Q83*Input!$C$31</f>
        <v>0</v>
      </c>
      <c r="R149" s="1">
        <f>R83*Input!$C$31</f>
        <v>0</v>
      </c>
      <c r="S149" s="1">
        <f>S83*Input!$C$31</f>
        <v>5.8291187011199995E-9</v>
      </c>
      <c r="T149" s="62">
        <f>T83*Input!$C$31</f>
        <v>5.8291187011199995E-9</v>
      </c>
      <c r="U149" s="62">
        <f>U83*Input!$C$31</f>
        <v>2.8290767007760781E-8</v>
      </c>
      <c r="V149" s="62">
        <f>V83*Input!$C$31</f>
        <v>3.7744653493247995E-8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0</v>
      </c>
      <c r="AC149" s="1">
        <f>AC83*Input!$C$31</f>
        <v>1.4378444173885529E-9</v>
      </c>
      <c r="AD149" s="62">
        <f>AD83*Input!$C$31</f>
        <v>1.4378444173885529E-9</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0</v>
      </c>
      <c r="AK149" s="1">
        <f>AK83*Input!$C$31</f>
        <v>-7.2403371373363215E-8</v>
      </c>
      <c r="AL149" s="1">
        <f>AL83*Input!$C$31</f>
        <v>-3.8773559761920002E-8</v>
      </c>
      <c r="AM149" s="62">
        <f>AM83*Input!$C$31</f>
        <v>-3.5296649130529624E-7</v>
      </c>
      <c r="AN149" s="62">
        <f>AN83*Input!$C$31</f>
        <v>-3.5152864688790762E-7</v>
      </c>
    </row>
    <row r="150" spans="1:40" ht="29" x14ac:dyDescent="0.35">
      <c r="A150" s="39" t="s">
        <v>192</v>
      </c>
      <c r="B150" s="39" t="s">
        <v>193</v>
      </c>
      <c r="C150" s="1">
        <f>C84*Input!$C$31</f>
        <v>8.0151259366533553E-3</v>
      </c>
      <c r="D150" s="1">
        <f>D84*Input!$C$31</f>
        <v>6.7323265359409499E-3</v>
      </c>
      <c r="E150" s="62">
        <f>E84*Input!$C$31</f>
        <v>1.4747452472594305E-2</v>
      </c>
      <c r="F150" s="1">
        <f>F84*Input!$C$31</f>
        <v>8.6370815999999989E-3</v>
      </c>
      <c r="G150" s="1">
        <f>G84*Input!$C$31</f>
        <v>4.6006964711423998E-4</v>
      </c>
      <c r="H150" s="62">
        <f>H84*Input!$C$31</f>
        <v>9.0971512471142383E-3</v>
      </c>
      <c r="I150" s="1">
        <f>I84*Input!$C$31</f>
        <v>3.5708735720420661E-4</v>
      </c>
      <c r="J150" s="1">
        <f>J84*Input!$C$31</f>
        <v>0</v>
      </c>
      <c r="K150" s="62">
        <f>K84*Input!$C$31</f>
        <v>3.5708735720420661E-4</v>
      </c>
      <c r="L150" s="1">
        <f>L84*Input!$C$31</f>
        <v>7.8878858178460463E-5</v>
      </c>
      <c r="M150" s="1">
        <f>M84*Input!$C$31</f>
        <v>0</v>
      </c>
      <c r="N150" s="62">
        <f>N84*Input!$C$31</f>
        <v>7.8878858178460463E-5</v>
      </c>
      <c r="O150" s="1">
        <f>O84*Input!$C$31</f>
        <v>0</v>
      </c>
      <c r="P150" s="1">
        <f>P84*Input!$C$31</f>
        <v>0</v>
      </c>
      <c r="Q150" s="62">
        <f>Q84*Input!$C$31</f>
        <v>0</v>
      </c>
      <c r="R150" s="1">
        <f>R84*Input!$C$31</f>
        <v>0</v>
      </c>
      <c r="S150" s="1">
        <f>S84*Input!$C$31</f>
        <v>2.4449956185599995E-4</v>
      </c>
      <c r="T150" s="62">
        <f>T84*Input!$C$31</f>
        <v>2.4449956185599995E-4</v>
      </c>
      <c r="U150" s="62">
        <f>U84*Input!$C$31</f>
        <v>4.1449759412806398E-3</v>
      </c>
      <c r="V150" s="62">
        <f>V84*Input!$C$31</f>
        <v>1.5831812173823995E-3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0</v>
      </c>
      <c r="AC150" s="1">
        <f>AC84*Input!$C$31</f>
        <v>3.5958104701823445E-4</v>
      </c>
      <c r="AD150" s="62">
        <f>AD84*Input!$C$31</f>
        <v>3.5958104701823445E-4</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0</v>
      </c>
      <c r="AK150" s="1">
        <f>AK84*Input!$C$31</f>
        <v>-4.6120014651064327E-3</v>
      </c>
      <c r="AL150" s="1">
        <f>AL84*Input!$C$31</f>
        <v>-2.4698257972991995E-3</v>
      </c>
      <c r="AM150" s="62">
        <f>AM84*Input!$C$31</f>
        <v>-2.3755089023156473E-2</v>
      </c>
      <c r="AN150" s="62">
        <f>AN84*Input!$C$31</f>
        <v>-2.3395507976138239E-2</v>
      </c>
    </row>
    <row r="151" spans="1:40" ht="29" x14ac:dyDescent="0.35">
      <c r="A151" s="39" t="s">
        <v>194</v>
      </c>
      <c r="B151" s="39" t="s">
        <v>195</v>
      </c>
      <c r="C151" s="1">
        <f>C85*Input!$C$31</f>
        <v>0.58708308418058019</v>
      </c>
      <c r="D151" s="1">
        <f>D85*Input!$C$31</f>
        <v>7.5352232828163043E-2</v>
      </c>
      <c r="E151" s="62">
        <f>E85*Input!$C$31</f>
        <v>0.66243531700874325</v>
      </c>
      <c r="F151" s="1">
        <f>F85*Input!$C$31</f>
        <v>3.0676531199999999E-2</v>
      </c>
      <c r="G151" s="1">
        <f>G85*Input!$C$31</f>
        <v>5.4245191754649603E-3</v>
      </c>
      <c r="H151" s="62">
        <f>H85*Input!$C$31</f>
        <v>3.610105037546496E-2</v>
      </c>
      <c r="I151" s="1">
        <f>I85*Input!$C$31</f>
        <v>0.13739690283460484</v>
      </c>
      <c r="J151" s="1">
        <f>J85*Input!$C$31</f>
        <v>0</v>
      </c>
      <c r="K151" s="62">
        <f>K85*Input!$C$31</f>
        <v>0.13739690283460484</v>
      </c>
      <c r="L151" s="1">
        <f>L85*Input!$C$31</f>
        <v>5.7569382468199148E-4</v>
      </c>
      <c r="M151" s="1">
        <f>M85*Input!$C$31</f>
        <v>0</v>
      </c>
      <c r="N151" s="62">
        <f>N85*Input!$C$31</f>
        <v>5.7569382468199148E-4</v>
      </c>
      <c r="O151" s="1">
        <f>O85*Input!$C$31</f>
        <v>0</v>
      </c>
      <c r="P151" s="1">
        <f>P85*Input!$C$31</f>
        <v>0</v>
      </c>
      <c r="Q151" s="62">
        <f>Q85*Input!$C$31</f>
        <v>0</v>
      </c>
      <c r="R151" s="1">
        <f>R85*Input!$C$31</f>
        <v>0</v>
      </c>
      <c r="S151" s="1">
        <f>S85*Input!$C$31</f>
        <v>2.8828082226240001E-3</v>
      </c>
      <c r="T151" s="62">
        <f>T85*Input!$C$31</f>
        <v>2.8828082226240001E-3</v>
      </c>
      <c r="U151" s="62">
        <f>U85*Input!$C$31</f>
        <v>0.45520675467779653</v>
      </c>
      <c r="V151" s="62">
        <f>V85*Input!$C$31</f>
        <v>1.8666732147609597E-2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0</v>
      </c>
      <c r="AC151" s="1">
        <f>AC85*Input!$C$31</f>
        <v>2.6243862173148248E-3</v>
      </c>
      <c r="AD151" s="62">
        <f>AD85*Input!$C$31</f>
        <v>2.6243862173148248E-3</v>
      </c>
      <c r="AE151" s="1">
        <f>AE85*Input!$C$31</f>
        <v>-3.2338268928E-2</v>
      </c>
      <c r="AF151" s="1">
        <f>AF85*Input!$C$31</f>
        <v>-0.37963562041669396</v>
      </c>
      <c r="AG151" s="1">
        <f>AG85*Input!$C$31</f>
        <v>-0.20808748758658296</v>
      </c>
      <c r="AH151" s="1">
        <f>AH85*Input!$C$31</f>
        <v>-0.24883223221622869</v>
      </c>
      <c r="AI151" s="1">
        <f>AI85*Input!$C$31</f>
        <v>-5.7713063684355073E-3</v>
      </c>
      <c r="AJ151" s="1">
        <f>AJ85*Input!$C$31</f>
        <v>0</v>
      </c>
      <c r="AK151" s="1">
        <f>AK85*Input!$C$31</f>
        <v>-3.2494789219634383E-2</v>
      </c>
      <c r="AL151" s="1">
        <f>AL85*Input!$C$31</f>
        <v>-1.7401657241364478E-2</v>
      </c>
      <c r="AM151" s="62">
        <f>AM85*Input!$C$31</f>
        <v>-0.92456136197694017</v>
      </c>
      <c r="AN151" s="62">
        <f>AN85*Input!$C$31</f>
        <v>-0.9219369757596253</v>
      </c>
    </row>
    <row r="152" spans="1:40" x14ac:dyDescent="0.35">
      <c r="A152" s="148" t="s">
        <v>58</v>
      </c>
      <c r="B152" s="338">
        <f>+SUM(E133:E151,H133:H151,K133:K151,N133:N151,Q133:Q151,T133:T151,U133:V151,Z133:Z151,AA133:AA151,AD133:AD151,AM133:AM151)-SUM(C4:K22)*Input!$C$31</f>
        <v>3.4106051316484809E-13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2.2293018000920592</v>
      </c>
      <c r="D159" s="1">
        <f>+D125/Input!$C$31</f>
        <v>11.898110690724449</v>
      </c>
      <c r="E159" s="1">
        <f>+E125/Input!$C$31</f>
        <v>11.7448</v>
      </c>
      <c r="F159" s="1">
        <f>+F125/Input!$C$31</f>
        <v>0.92165995176527982</v>
      </c>
      <c r="G159" s="1">
        <f>+G125/Input!$C$31</f>
        <v>0.3428723486060043</v>
      </c>
      <c r="H159" s="1">
        <f>+H125/Input!$C$31</f>
        <v>0</v>
      </c>
      <c r="I159" s="1">
        <f>+I125/Input!$C$31</f>
        <v>0.16679033795373477</v>
      </c>
      <c r="J159" s="1">
        <f>+J125/Input!$C$31</f>
        <v>0</v>
      </c>
      <c r="K159" s="1">
        <f>+K125/Input!$C$31</f>
        <v>0</v>
      </c>
      <c r="L159" s="1">
        <f>+L125/Input!$C$31</f>
        <v>0</v>
      </c>
      <c r="M159" s="1">
        <f>+M125/Input!$C$31</f>
        <v>0</v>
      </c>
      <c r="N159" s="1">
        <f>+N125/Input!$C$31</f>
        <v>0.48980726244449996</v>
      </c>
      <c r="O159" s="1">
        <f>+O125/Input!$C$31</f>
        <v>18.871401373599461</v>
      </c>
      <c r="P159" s="1">
        <f>+P125/Input!$C$31</f>
        <v>3.1715952869327992</v>
      </c>
      <c r="Q159" s="1">
        <f>+Q125/Input!$C$31</f>
        <v>1.1562033017188762</v>
      </c>
      <c r="R159" s="1">
        <f>+R125/Input!$C$31</f>
        <v>0.87737079908012994</v>
      </c>
      <c r="S159" s="1">
        <f>+S125/Input!$C$31</f>
        <v>0.76033864762898462</v>
      </c>
      <c r="T159" s="1">
        <f>+T125/Input!$C$31</f>
        <v>0</v>
      </c>
      <c r="U159" s="1">
        <f>+U125/Input!$C$31</f>
        <v>-12.381012000000002</v>
      </c>
      <c r="V159" s="1">
        <f>+V125/Input!$C$31</f>
        <v>-0.94737620791540567</v>
      </c>
      <c r="W159" s="1">
        <f>+W125/Input!$C$31</f>
        <v>-0.76160680160773897</v>
      </c>
      <c r="X159" s="1">
        <f>+X125/Input!$C$31</f>
        <v>-1.0130154825271522</v>
      </c>
      <c r="Y159" s="1">
        <f>+Y125/Input!$C$31</f>
        <v>-0.99050475579113517</v>
      </c>
      <c r="Z159" s="1">
        <f>+Z125/Input!$C$31</f>
        <v>0</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4.7295161823999992E-3</v>
      </c>
      <c r="C8" s="154">
        <f>$B$2*B8</f>
        <v>9.4590323647999991E-2</v>
      </c>
    </row>
    <row r="9" spans="1:3" x14ac:dyDescent="0.35">
      <c r="A9" s="1" t="s">
        <v>164</v>
      </c>
      <c r="B9" s="154">
        <f>'A4 - Transport'!$B$18</f>
        <v>3.1715952869327992</v>
      </c>
      <c r="C9" s="154">
        <f t="shared" ref="C9:C26" si="0">$B$2*B9</f>
        <v>63.431905738655985</v>
      </c>
    </row>
    <row r="10" spans="1:3" x14ac:dyDescent="0.35">
      <c r="A10" s="1" t="s">
        <v>166</v>
      </c>
      <c r="B10" s="154">
        <f>'A4 - Transport'!$B$19</f>
        <v>1.4822628417599998E-3</v>
      </c>
      <c r="C10" s="154">
        <f t="shared" si="0"/>
        <v>2.9645256835199998E-2</v>
      </c>
    </row>
    <row r="11" spans="1:3" x14ac:dyDescent="0.35">
      <c r="A11" s="1" t="s">
        <v>167</v>
      </c>
      <c r="B11" s="154">
        <f>'A4 - Transport'!$B$20</f>
        <v>3.1698607527263993</v>
      </c>
      <c r="C11" s="154">
        <f t="shared" si="0"/>
        <v>63.39721505452799</v>
      </c>
    </row>
    <row r="12" spans="1:3" x14ac:dyDescent="0.35">
      <c r="A12" s="1" t="s">
        <v>168</v>
      </c>
      <c r="B12" s="154">
        <f>'A4 - Transport'!$B$21</f>
        <v>2.5226736879999995E-4</v>
      </c>
      <c r="C12" s="154">
        <f t="shared" si="0"/>
        <v>5.0453473759999989E-3</v>
      </c>
    </row>
    <row r="13" spans="1:3" x14ac:dyDescent="0.35">
      <c r="A13" s="1" t="s">
        <v>169</v>
      </c>
      <c r="B13" s="154">
        <f>'A4 - Transport'!$B$22</f>
        <v>2.7240430258607997</v>
      </c>
      <c r="C13" s="154">
        <f t="shared" si="0"/>
        <v>54.480860517215994</v>
      </c>
    </row>
    <row r="14" spans="1:3" x14ac:dyDescent="0.35">
      <c r="A14" s="1" t="s">
        <v>171</v>
      </c>
      <c r="B14" s="154">
        <f>'A4 - Transport'!$B$23</f>
        <v>42.686375152191985</v>
      </c>
      <c r="C14" s="154">
        <f t="shared" si="0"/>
        <v>853.72750304383976</v>
      </c>
    </row>
    <row r="15" spans="1:3" x14ac:dyDescent="0.35">
      <c r="A15" s="1" t="s">
        <v>173</v>
      </c>
      <c r="B15" s="154">
        <f>'A4 - Transport'!$B$24</f>
        <v>7.3976784047999984E-5</v>
      </c>
      <c r="C15" s="154">
        <f t="shared" si="0"/>
        <v>1.4795356809599997E-3</v>
      </c>
    </row>
    <row r="16" spans="1:3" x14ac:dyDescent="0.35">
      <c r="A16" s="1" t="s">
        <v>175</v>
      </c>
      <c r="B16" s="154">
        <f>'A4 - Transport'!$B$25</f>
        <v>1.0308707782399997E-3</v>
      </c>
      <c r="C16" s="154">
        <f t="shared" si="0"/>
        <v>2.0617415564799995E-2</v>
      </c>
    </row>
    <row r="17" spans="1:3" x14ac:dyDescent="0.35">
      <c r="A17" s="1" t="s">
        <v>177</v>
      </c>
      <c r="B17" s="154">
        <f>'A4 - Transport'!$B$26</f>
        <v>1.1158243345599998E-2</v>
      </c>
      <c r="C17" s="154">
        <f t="shared" si="0"/>
        <v>0.22316486691199997</v>
      </c>
    </row>
    <row r="18" spans="1:3" x14ac:dyDescent="0.35">
      <c r="A18" s="1" t="s">
        <v>179</v>
      </c>
      <c r="B18" s="154">
        <f>'A4 - Transport'!$B$27</f>
        <v>2.8110135023999995E-10</v>
      </c>
      <c r="C18" s="154">
        <f t="shared" si="0"/>
        <v>5.6220270047999994E-9</v>
      </c>
    </row>
    <row r="19" spans="1:3" x14ac:dyDescent="0.35">
      <c r="A19" s="1" t="s">
        <v>181</v>
      </c>
      <c r="B19" s="154">
        <f>'A4 - Transport'!$B$28</f>
        <v>2.2871788575999996E-8</v>
      </c>
      <c r="C19" s="154">
        <f t="shared" si="0"/>
        <v>4.5743577151999994E-7</v>
      </c>
    </row>
    <row r="20" spans="1:3" x14ac:dyDescent="0.35">
      <c r="A20" s="1" t="s">
        <v>182</v>
      </c>
      <c r="B20" s="154">
        <f>'A4 - Transport'!$B$29</f>
        <v>1.9355968835199997E-2</v>
      </c>
      <c r="C20" s="154">
        <f t="shared" si="0"/>
        <v>0.38711937670399993</v>
      </c>
    </row>
    <row r="21" spans="1:3" x14ac:dyDescent="0.35">
      <c r="A21" s="1" t="s">
        <v>184</v>
      </c>
      <c r="B21" s="154">
        <f>'A4 - Transport'!$B$30</f>
        <v>2.6925271365087999</v>
      </c>
      <c r="C21" s="154">
        <f t="shared" si="0"/>
        <v>53.850542730176002</v>
      </c>
    </row>
    <row r="22" spans="1:3" x14ac:dyDescent="0.35">
      <c r="A22" s="1" t="s">
        <v>186</v>
      </c>
      <c r="B22" s="154">
        <f>'A4 - Transport'!$B$31</f>
        <v>3.4990971503999992E-6</v>
      </c>
      <c r="C22" s="154">
        <f t="shared" si="0"/>
        <v>6.9981943007999981E-5</v>
      </c>
    </row>
    <row r="23" spans="1:3" x14ac:dyDescent="0.35">
      <c r="A23" s="1" t="s">
        <v>188</v>
      </c>
      <c r="B23" s="154">
        <f>'A4 - Transport'!$B$32</f>
        <v>7.0522979743999984E-8</v>
      </c>
      <c r="C23" s="154">
        <f t="shared" si="0"/>
        <v>1.4104595948799997E-6</v>
      </c>
    </row>
    <row r="24" spans="1:3" x14ac:dyDescent="0.35">
      <c r="A24" s="1" t="s">
        <v>190</v>
      </c>
      <c r="B24" s="154">
        <f>'A4 - Transport'!$B$33</f>
        <v>1.9658673694399996E-7</v>
      </c>
      <c r="C24" s="154">
        <f t="shared" si="0"/>
        <v>3.931734738879999E-6</v>
      </c>
    </row>
    <row r="25" spans="1:3" x14ac:dyDescent="0.35">
      <c r="A25" s="1" t="s">
        <v>192</v>
      </c>
      <c r="B25" s="154">
        <f>'A4 - Transport'!$B$34</f>
        <v>8.2457355071999978E-3</v>
      </c>
      <c r="C25" s="154">
        <f t="shared" si="0"/>
        <v>0.16491471014399994</v>
      </c>
    </row>
    <row r="26" spans="1:3" x14ac:dyDescent="0.35">
      <c r="A26" s="1" t="s">
        <v>194</v>
      </c>
      <c r="B26" s="154">
        <f>'A4 - Transport'!$B$35</f>
        <v>9.722256326879998E-2</v>
      </c>
      <c r="C26" s="154">
        <f t="shared" si="0"/>
        <v>1.9444512653759995</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5.2739209228201429E-3</v>
      </c>
      <c r="C30" s="177">
        <f>$B$2*B30</f>
        <v>0.10547841845640285</v>
      </c>
    </row>
    <row r="31" spans="1:3" x14ac:dyDescent="0.35">
      <c r="A31" s="1" t="s">
        <v>164</v>
      </c>
      <c r="B31" s="154">
        <f>Results!$I$29*1000</f>
        <v>8.2461477460252772E-2</v>
      </c>
      <c r="C31" s="177">
        <f t="shared" ref="C31:C45" si="1">$B$2*B31</f>
        <v>1.6492295492050555</v>
      </c>
    </row>
    <row r="32" spans="1:3" x14ac:dyDescent="0.35">
      <c r="A32" s="1" t="s">
        <v>169</v>
      </c>
      <c r="B32" s="154">
        <f>Results!$I$33*1000</f>
        <v>1.2248624378577834E-3</v>
      </c>
      <c r="C32" s="177">
        <f t="shared" si="1"/>
        <v>2.4497248757155667E-2</v>
      </c>
    </row>
    <row r="33" spans="1:3" x14ac:dyDescent="0.35">
      <c r="A33" s="1" t="s">
        <v>171</v>
      </c>
      <c r="B33" s="154">
        <f>Results!$I$34*1000</f>
        <v>4.9581866522930694E-2</v>
      </c>
      <c r="C33" s="177">
        <f t="shared" si="1"/>
        <v>0.99163733045861391</v>
      </c>
    </row>
    <row r="34" spans="1:3" x14ac:dyDescent="0.35">
      <c r="A34" s="1" t="s">
        <v>173</v>
      </c>
      <c r="B34" s="154">
        <f>Results!$I$35*1000</f>
        <v>1.2865527660521736E-3</v>
      </c>
      <c r="C34" s="177">
        <f t="shared" si="1"/>
        <v>2.5731055321043472E-2</v>
      </c>
    </row>
    <row r="35" spans="1:3" x14ac:dyDescent="0.35">
      <c r="A35" s="1" t="s">
        <v>175</v>
      </c>
      <c r="B35" s="154">
        <f>Results!$I$36*1000</f>
        <v>1.5648089762002047E-3</v>
      </c>
      <c r="C35" s="177">
        <f t="shared" si="1"/>
        <v>3.129617952400409E-2</v>
      </c>
    </row>
    <row r="36" spans="1:3" x14ac:dyDescent="0.35">
      <c r="A36" s="1" t="s">
        <v>177</v>
      </c>
      <c r="B36" s="154">
        <f>Results!$I$37*1000</f>
        <v>2.338818237976045E-3</v>
      </c>
      <c r="C36" s="177">
        <f t="shared" si="1"/>
        <v>4.6776364759520898E-2</v>
      </c>
    </row>
    <row r="37" spans="1:3" x14ac:dyDescent="0.35">
      <c r="A37" s="1" t="s">
        <v>179</v>
      </c>
      <c r="B37" s="154">
        <f>Results!$I$38*1000</f>
        <v>3.5428750059834306E-4</v>
      </c>
      <c r="C37" s="177">
        <f t="shared" si="1"/>
        <v>7.0857500119668616E-3</v>
      </c>
    </row>
    <row r="38" spans="1:3" x14ac:dyDescent="0.35">
      <c r="A38" s="1" t="s">
        <v>181</v>
      </c>
      <c r="B38" s="154">
        <f>Results!$I$39*1000</f>
        <v>1.8297430860799995E-3</v>
      </c>
      <c r="C38" s="177">
        <f t="shared" si="1"/>
        <v>3.6594861721599987E-2</v>
      </c>
    </row>
    <row r="39" spans="1:3" x14ac:dyDescent="0.35">
      <c r="A39" s="1" t="s">
        <v>182</v>
      </c>
      <c r="B39" s="154">
        <f>Results!$I$40*1000</f>
        <v>2.2979479588709003E-4</v>
      </c>
      <c r="C39" s="177">
        <f t="shared" si="1"/>
        <v>4.5958959177418001E-3</v>
      </c>
    </row>
    <row r="40" spans="1:3" x14ac:dyDescent="0.35">
      <c r="A40" s="1" t="s">
        <v>184</v>
      </c>
      <c r="B40" s="154">
        <f>Results!$I$41*1000</f>
        <v>2.6103376634773953E-4</v>
      </c>
      <c r="C40" s="177">
        <f t="shared" si="1"/>
        <v>5.2206753269547906E-3</v>
      </c>
    </row>
    <row r="41" spans="1:3" x14ac:dyDescent="0.35">
      <c r="A41" s="1" t="s">
        <v>186</v>
      </c>
      <c r="B41" s="154">
        <f>Results!$I$42*1000</f>
        <v>4.4788443525119994E-9</v>
      </c>
      <c r="C41" s="177">
        <f t="shared" si="1"/>
        <v>8.9576887050239982E-8</v>
      </c>
    </row>
    <row r="42" spans="1:3" x14ac:dyDescent="0.35">
      <c r="A42" s="1" t="s">
        <v>188</v>
      </c>
      <c r="B42" s="154">
        <f>Results!$I$43*1000</f>
        <v>8.3022388467283547E-5</v>
      </c>
      <c r="C42" s="177">
        <f t="shared" si="1"/>
        <v>1.6604477693456709E-3</v>
      </c>
    </row>
    <row r="43" spans="1:3" x14ac:dyDescent="0.35">
      <c r="A43" s="1" t="s">
        <v>190</v>
      </c>
      <c r="B43" s="154">
        <f>Results!$I$44*1000</f>
        <v>2.9603649798625876E-2</v>
      </c>
      <c r="C43" s="177">
        <f t="shared" si="1"/>
        <v>0.5920729959725175</v>
      </c>
    </row>
    <row r="44" spans="1:3" x14ac:dyDescent="0.35">
      <c r="A44" s="1" t="s">
        <v>192</v>
      </c>
      <c r="B44" s="154">
        <f>Results!$I$45*1000</f>
        <v>9.70803342965911E-3</v>
      </c>
      <c r="C44" s="177">
        <f t="shared" si="1"/>
        <v>0.19416066859318221</v>
      </c>
    </row>
    <row r="45" spans="1:3" x14ac:dyDescent="0.35">
      <c r="A45" s="1" t="s">
        <v>194</v>
      </c>
      <c r="B45" s="154">
        <f>Results!$I$46*1000</f>
        <v>7.1944696818911991E-4</v>
      </c>
      <c r="C45" s="177">
        <f t="shared" si="1"/>
        <v>1.4388939363782398E-2</v>
      </c>
    </row>
    <row r="46" spans="1:3" x14ac:dyDescent="0.35">
      <c r="A46" s="1" t="s">
        <v>1038</v>
      </c>
      <c r="B46" s="154">
        <f>SUM(B30:B45)</f>
        <v>0.18652132353678871</v>
      </c>
      <c r="C46" s="177">
        <f>SUM(C30:C45)</f>
        <v>3.7304264707357748</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5.0999999999999997E-2</v>
      </c>
      <c r="D5" s="158"/>
      <c r="E5" s="158">
        <f>INDEX(LCI!H$2:H$130,MATCH('A1 - Raw Material Supply'!$B5,LCI!$D$2:$D$130,0))*$C5</f>
        <v>2.7762888003827727E-3</v>
      </c>
      <c r="F5" s="158">
        <f>INDEX(LCI!I$2:I$130,MATCH('A1 - Raw Material Supply'!$B5,LCI!$D$2:$D$130,0))*$C5</f>
        <v>0.14427457329700158</v>
      </c>
      <c r="G5" s="158">
        <f>INDEX(LCI!J$2:J$130,MATCH('A1 - Raw Material Supply'!$B5,LCI!$D$2:$D$130,0))*$C5</f>
        <v>4.4470544623162093E-4</v>
      </c>
      <c r="H5" s="158">
        <f>INDEX(LCI!K$2:K$130,MATCH('A1 - Raw Material Supply'!$B5,LCI!$D$2:$D$130,0))*$C5</f>
        <v>0.1437824406807699</v>
      </c>
      <c r="I5" s="158">
        <f>INDEX(LCI!L$2:L$130,MATCH('A1 - Raw Material Supply'!$B5,LCI!$D$2:$D$130,0))*$C5</f>
        <v>4.7427170000057053E-5</v>
      </c>
      <c r="J5" s="158">
        <f>INDEX(LCI!M$2:M$130,MATCH('A1 - Raw Material Supply'!$B5,LCI!$D$2:$D$130,0))*$C5</f>
        <v>1.4255993497652113</v>
      </c>
      <c r="K5" s="158">
        <f>INDEX(LCI!N$2:N$130,MATCH('A1 - Raw Material Supply'!$B5,LCI!$D$2:$D$130,0))*$C5</f>
        <v>2.0443338859025153</v>
      </c>
      <c r="L5" s="158">
        <f>INDEX(LCI!O$2:O$130,MATCH('A1 - Raw Material Supply'!$B5,LCI!$D$2:$D$130,0))*$C5</f>
        <v>1.0660465212399542E-5</v>
      </c>
      <c r="M5" s="158">
        <f>INDEX(LCI!P$2:P$130,MATCH('A1 - Raw Material Supply'!$B5,LCI!$D$2:$D$130,0))*$C5</f>
        <v>9.972599357606375E-4</v>
      </c>
      <c r="N5" s="158">
        <f>INDEX(LCI!Q$2:Q$130,MATCH('A1 - Raw Material Supply'!$B5,LCI!$D$2:$D$130,0))*$C5</f>
        <v>1.390958618979826E-2</v>
      </c>
      <c r="O5" s="158">
        <f>INDEX(LCI!R$2:R$130,MATCH('A1 - Raw Material Supply'!$B5,LCI!$D$2:$D$130,0))*$C5</f>
        <v>2.6000581287052966E-11</v>
      </c>
      <c r="P5" s="158">
        <f>INDEX(LCI!S$2:S$130,MATCH('A1 - Raw Material Supply'!$B5,LCI!$D$2:$D$130,0))*$C5</f>
        <v>6.902076259265248E-10</v>
      </c>
      <c r="Q5" s="158">
        <f>INDEX(LCI!T$2:T$130,MATCH('A1 - Raw Material Supply'!$B5,LCI!$D$2:$D$130,0))*$C5</f>
        <v>5.4541080388755677E-3</v>
      </c>
      <c r="R5" s="158">
        <f>INDEX(LCI!U$2:U$130,MATCH('A1 - Raw Material Supply'!$B5,LCI!$D$2:$D$130,0))*$C5</f>
        <v>1.6814307822017627</v>
      </c>
      <c r="S5" s="158">
        <f>INDEX(LCI!V$2:V$130,MATCH('A1 - Raw Material Supply'!$B5,LCI!$D$2:$D$130,0))*$C5</f>
        <v>4.1816560518549485E-7</v>
      </c>
      <c r="T5" s="158">
        <f>INDEX(LCI!W$2:W$130,MATCH('A1 - Raw Material Supply'!$B5,LCI!$D$2:$D$130,0))*$C5</f>
        <v>2.3781486814152874E-9</v>
      </c>
      <c r="U5" s="158">
        <f>INDEX(LCI!X$2:X$130,MATCH('A1 - Raw Material Supply'!$B5,LCI!$D$2:$D$130,0))*$C5</f>
        <v>4.4963622028629042E-8</v>
      </c>
      <c r="V5" s="158">
        <f>INDEX(LCI!Y$2:Y$130,MATCH('A1 - Raw Material Supply'!$B5,LCI!$D$2:$D$130,0))*$C5</f>
        <v>3.1413938742966838E-3</v>
      </c>
      <c r="W5" s="158">
        <f>INDEX(LCI!Z$2:Z$130,MATCH('A1 - Raw Material Supply'!$B5,LCI!$D$2:$D$130,0))*$C5</f>
        <v>0.20530698370635614</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0.01</v>
      </c>
      <c r="D15" s="158" t="str">
        <f>Input!$C$50</f>
        <v>Limestone_residue</v>
      </c>
      <c r="E15" s="158" cm="1">
        <f t="array" ref="E15">INDEX(LCI!H$2:H$130,MATCH('A1 - Raw Material Supply'!$B$15&amp;'A1 - Raw Material Supply'!$D$15,LCI!$B$2:$B$130&amp;LCI!$D$2:$D$130,0))*$C15</f>
        <v>1.6923944910988309E-3</v>
      </c>
      <c r="F15" s="158" cm="1">
        <f t="array" ref="F15">INDEX(LCI!I$2:I$130,MATCH('A1 - Raw Material Supply'!$B$15&amp;'A1 - Raw Material Supply'!$D$15,LCI!$B$2:$B$130&amp;LCI!$D$2:$D$130,0))*$C15</f>
        <v>0.22120796684258343</v>
      </c>
      <c r="G15" s="158" cm="1">
        <f t="array" ref="G15">INDEX(LCI!J$2:J$130,MATCH('A1 - Raw Material Supply'!$B$15&amp;'A1 - Raw Material Supply'!$D$15,LCI!$B$2:$B$130&amp;LCI!$D$2:$D$130,0))*$C15</f>
        <v>3.4498134443150508E-3</v>
      </c>
      <c r="H15" s="158" cm="1">
        <f t="array" ref="H15">INDEX(LCI!K$2:K$130,MATCH('A1 - Raw Material Supply'!$B$15&amp;'A1 - Raw Material Supply'!$D$15,LCI!$B$2:$B$130&amp;LCI!$D$2:$D$130,0))*$C15</f>
        <v>0.21738429880409579</v>
      </c>
      <c r="I15" s="158" cm="1">
        <f t="array" ref="I15">INDEX(LCI!L$2:L$130,MATCH('A1 - Raw Material Supply'!$B$15&amp;'A1 - Raw Material Supply'!$D$15,LCI!$B$2:$B$130&amp;LCI!$D$2:$D$130,0))*$C15</f>
        <v>3.7385459417253698E-4</v>
      </c>
      <c r="J15" s="158" cm="1">
        <f t="array" ref="J15">INDEX(LCI!M$2:M$130,MATCH('A1 - Raw Material Supply'!$B$15&amp;'A1 - Raw Material Supply'!$D$15,LCI!$B$2:$B$130&amp;LCI!$D$2:$D$130,0))*$C15</f>
        <v>0.69050088555034905</v>
      </c>
      <c r="K15" s="158" cm="1">
        <f t="array" ref="K15">INDEX(LCI!N$2:N$130,MATCH('A1 - Raw Material Supply'!$B$15&amp;'A1 - Raw Material Supply'!$D$15,LCI!$B$2:$B$130&amp;LCI!$D$2:$D$130,0))*$C15</f>
        <v>3.7042401890228884</v>
      </c>
      <c r="L15" s="158" cm="1">
        <f t="array" ref="L15">INDEX(LCI!O$2:O$130,MATCH('A1 - Raw Material Supply'!$B$15&amp;'A1 - Raw Material Supply'!$D$15,LCI!$B$2:$B$130&amp;LCI!$D$2:$D$130,0))*$C15</f>
        <v>1.3291984547978599E-4</v>
      </c>
      <c r="M15" s="158" cm="1">
        <f t="array" ref="M15">INDEX(LCI!P$2:P$130,MATCH('A1 - Raw Material Supply'!$B$15&amp;'A1 - Raw Material Supply'!$D$15,LCI!$B$2:$B$130&amp;LCI!$D$2:$D$130,0))*$C15</f>
        <v>3.8327746551366642E-4</v>
      </c>
      <c r="N15" s="158" cm="1">
        <f t="array" ref="N15">INDEX(LCI!Q$2:Q$130,MATCH('A1 - Raw Material Supply'!$B$15&amp;'A1 - Raw Material Supply'!$D$15,LCI!$B$2:$B$130&amp;LCI!$D$2:$D$130,0))*$C15</f>
        <v>4.5429046576655092E-3</v>
      </c>
      <c r="O15" s="158" cm="1">
        <f t="array" ref="O15">INDEX(LCI!R$2:R$130,MATCH('A1 - Raw Material Supply'!$B$15&amp;'A1 - Raw Material Supply'!$D$15,LCI!$B$2:$B$130&amp;LCI!$D$2:$D$130,0))*$C15</f>
        <v>4.5583717397070746E-11</v>
      </c>
      <c r="P15" s="158" cm="1">
        <f t="array" ref="P15">INDEX(LCI!S$2:S$130,MATCH('A1 - Raw Material Supply'!$B$15&amp;'A1 - Raw Material Supply'!$D$15,LCI!$B$2:$B$130&amp;LCI!$D$2:$D$130,0))*$C15</f>
        <v>1.732009283045003E-9</v>
      </c>
      <c r="Q15" s="158" cm="1">
        <f t="array" ref="Q15">INDEX(LCI!T$2:T$130,MATCH('A1 - Raw Material Supply'!$B$15&amp;'A1 - Raw Material Supply'!$D$15,LCI!$B$2:$B$130&amp;LCI!$D$2:$D$130,0))*$C15</f>
        <v>7.1109103234374582E-2</v>
      </c>
      <c r="R15" s="158" cm="1">
        <f t="array" ref="R15">INDEX(LCI!U$2:U$130,MATCH('A1 - Raw Material Supply'!$B$15&amp;'A1 - Raw Material Supply'!$D$15,LCI!$B$2:$B$130&amp;LCI!$D$2:$D$130,0))*$C15</f>
        <v>1.1422726757613131</v>
      </c>
      <c r="S15" s="158" cm="1">
        <f t="array" ref="S15">INDEX(LCI!V$2:V$130,MATCH('A1 - Raw Material Supply'!$B$15&amp;'A1 - Raw Material Supply'!$D$15,LCI!$B$2:$B$130&amp;LCI!$D$2:$D$130,0))*$C15</f>
        <v>6.5070484863114593E-7</v>
      </c>
      <c r="T15" s="158" cm="1">
        <f t="array" ref="T15">INDEX(LCI!W$2:W$130,MATCH('A1 - Raw Material Supply'!$B$15&amp;'A1 - Raw Material Supply'!$D$15,LCI!$B$2:$B$130&amp;LCI!$D$2:$D$130,0))*$C15</f>
        <v>2.831664955417385E-9</v>
      </c>
      <c r="U15" s="158" cm="1">
        <f t="array" ref="U15">INDEX(LCI!X$2:X$130,MATCH('A1 - Raw Material Supply'!$B$15&amp;'A1 - Raw Material Supply'!$D$15,LCI!$B$2:$B$130&amp;LCI!$D$2:$D$130,0))*$C15</f>
        <v>1.790407214249345E-8</v>
      </c>
      <c r="V15" s="158" cm="1">
        <f t="array" ref="V15">INDEX(LCI!Y$2:Y$130,MATCH('A1 - Raw Material Supply'!$B$15&amp;'A1 - Raw Material Supply'!$D$15,LCI!$B$2:$B$130&amp;LCI!$D$2:$D$130,0))*$C15</f>
        <v>1.1998903131861781E-3</v>
      </c>
      <c r="W15" s="158" cm="1">
        <f t="array" ref="W15">INDEX(LCI!Z$2:Z$130,MATCH('A1 - Raw Material Supply'!$B$15&amp;'A1 - Raw Material Supply'!$D$15,LCI!$B$2:$B$130&amp;LCI!$D$2:$D$130,0))*$C15</f>
        <v>0.46168314124531201</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2E-3</v>
      </c>
      <c r="D20" s="158" t="str">
        <f>Input!$C$55</f>
        <v>No_additives</v>
      </c>
      <c r="E20" s="158" cm="1">
        <f t="array" ref="E20">INDEX(LCI!H$2:H$130,MATCH('A1 - Raw Material Supply'!$B$20&amp;'A1 - Raw Material Supply'!$D$20,LCI!$B$2:$B$130&amp;LCI!$D$2:$D$130,0))*$C$20</f>
        <v>0</v>
      </c>
      <c r="F20" s="158" cm="1">
        <f t="array" ref="F20">INDEX(LCI!I$2:I$130,MATCH('A1 - Raw Material Supply'!$B$20&amp;'A1 - Raw Material Supply'!$D$20,LCI!$B$2:$B$130&amp;LCI!$D$2:$D$130,0))*$C$20</f>
        <v>0</v>
      </c>
      <c r="G20" s="158" cm="1">
        <f t="array" ref="G20">INDEX(LCI!J$2:J$130,MATCH('A1 - Raw Material Supply'!$B$20&amp;'A1 - Raw Material Supply'!$D$20,LCI!$B$2:$B$130&amp;LCI!$D$2:$D$130,0))*$C$20</f>
        <v>0</v>
      </c>
      <c r="H20" s="158" cm="1">
        <f t="array" ref="H20">INDEX(LCI!K$2:K$130,MATCH('A1 - Raw Material Supply'!$B$20&amp;'A1 - Raw Material Supply'!$D$20,LCI!$B$2:$B$130&amp;LCI!$D$2:$D$130,0))*$C$20</f>
        <v>0</v>
      </c>
      <c r="I20" s="158" cm="1">
        <f t="array" ref="I20">INDEX(LCI!L$2:L$130,MATCH('A1 - Raw Material Supply'!$B$20&amp;'A1 - Raw Material Supply'!$D$20,LCI!$B$2:$B$130&amp;LCI!$D$2:$D$130,0))*$C$20</f>
        <v>0</v>
      </c>
      <c r="J20" s="158" cm="1">
        <f t="array" ref="J20">INDEX(LCI!M$2:M$130,MATCH('A1 - Raw Material Supply'!$B$20&amp;'A1 - Raw Material Supply'!$D$20,LCI!$B$2:$B$130&amp;LCI!$D$2:$D$130,0))*$C$20</f>
        <v>0</v>
      </c>
      <c r="K20" s="158" cm="1">
        <f t="array" ref="K20">INDEX(LCI!N$2:N$130,MATCH('A1 - Raw Material Supply'!$B$20&amp;'A1 - Raw Material Supply'!$D$20,LCI!$B$2:$B$130&amp;LCI!$D$2:$D$130,0))*$C$20</f>
        <v>0</v>
      </c>
      <c r="L20" s="158" cm="1">
        <f t="array" ref="L20">INDEX(LCI!O$2:O$130,MATCH('A1 - Raw Material Supply'!$B$20&amp;'A1 - Raw Material Supply'!$D$20,LCI!$B$2:$B$130&amp;LCI!$D$2:$D$130,0))*$C$20</f>
        <v>0</v>
      </c>
      <c r="M20" s="158" cm="1">
        <f t="array" ref="M20">INDEX(LCI!P$2:P$130,MATCH('A1 - Raw Material Supply'!$B$20&amp;'A1 - Raw Material Supply'!$D$20,LCI!$B$2:$B$130&amp;LCI!$D$2:$D$130,0))*$C$20</f>
        <v>0</v>
      </c>
      <c r="N20" s="158" cm="1">
        <f t="array" ref="N20">INDEX(LCI!Q$2:Q$130,MATCH('A1 - Raw Material Supply'!$B$20&amp;'A1 - Raw Material Supply'!$D$20,LCI!$B$2:$B$130&amp;LCI!$D$2:$D$130,0))*$C$20</f>
        <v>0</v>
      </c>
      <c r="O20" s="158" cm="1">
        <f t="array" ref="O20">INDEX(LCI!R$2:R$130,MATCH('A1 - Raw Material Supply'!$B$20&amp;'A1 - Raw Material Supply'!$D$20,LCI!$B$2:$B$130&amp;LCI!$D$2:$D$130,0))*$C$20</f>
        <v>0</v>
      </c>
      <c r="P20" s="158" cm="1">
        <f t="array" ref="P20">INDEX(LCI!S$2:S$130,MATCH('A1 - Raw Material Supply'!$B$20&amp;'A1 - Raw Material Supply'!$D$20,LCI!$B$2:$B$130&amp;LCI!$D$2:$D$130,0))*$C$20</f>
        <v>0</v>
      </c>
      <c r="Q20" s="158" cm="1">
        <f t="array" ref="Q20">INDEX(LCI!T$2:T$130,MATCH('A1 - Raw Material Supply'!$B$20&amp;'A1 - Raw Material Supply'!$D$20,LCI!$B$2:$B$130&amp;LCI!$D$2:$D$130,0))*$C$20</f>
        <v>0</v>
      </c>
      <c r="R20" s="158" cm="1">
        <f t="array" ref="R20">INDEX(LCI!U$2:U$130,MATCH('A1 - Raw Material Supply'!$B$20&amp;'A1 - Raw Material Supply'!$D$20,LCI!$B$2:$B$130&amp;LCI!$D$2:$D$130,0))*$C$20</f>
        <v>0</v>
      </c>
      <c r="S20" s="158" cm="1">
        <f t="array" ref="S20">INDEX(LCI!V$2:V$130,MATCH('A1 - Raw Material Supply'!$B$20&amp;'A1 - Raw Material Supply'!$D$20,LCI!$B$2:$B$130&amp;LCI!$D$2:$D$130,0))*$C$20</f>
        <v>0</v>
      </c>
      <c r="T20" s="158" cm="1">
        <f t="array" ref="T20">INDEX(LCI!W$2:W$130,MATCH('A1 - Raw Material Supply'!$B$20&amp;'A1 - Raw Material Supply'!$D$20,LCI!$B$2:$B$130&amp;LCI!$D$2:$D$130,0))*$C$20</f>
        <v>0</v>
      </c>
      <c r="U20" s="158" cm="1">
        <f t="array" ref="U20">INDEX(LCI!X$2:X$130,MATCH('A1 - Raw Material Supply'!$B$20&amp;'A1 - Raw Material Supply'!$D$20,LCI!$B$2:$B$130&amp;LCI!$D$2:$D$130,0))*$C$20</f>
        <v>0</v>
      </c>
      <c r="V20" s="158" cm="1">
        <f t="array" ref="V20">INDEX(LCI!Y$2:Y$130,MATCH('A1 - Raw Material Supply'!$B$20&amp;'A1 - Raw Material Supply'!$D$20,LCI!$B$2:$B$130&amp;LCI!$D$2:$D$130,0))*$C$20</f>
        <v>0</v>
      </c>
      <c r="W20" s="158" cm="1">
        <f t="array" ref="W20">INDEX(LCI!Z$2:Z$130,MATCH('A1 - Raw Material Supply'!$B$20&amp;'A1 - Raw Material Supply'!$D$20,LCI!$B$2:$B$130&amp;LCI!$D$2:$D$130,0))*$C$20</f>
        <v>0</v>
      </c>
    </row>
    <row r="21" spans="1:23" x14ac:dyDescent="0.35">
      <c r="A21" s="401"/>
      <c r="B21" s="158" t="str">
        <f>Input!A56</f>
        <v>Additive 2</v>
      </c>
      <c r="C21" s="154">
        <f>+Input!B56*(1-Input!E56)</f>
        <v>2.9999999999999997E-4</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0.69895999999999991</v>
      </c>
      <c r="D23" s="158"/>
      <c r="E23" s="158">
        <f>SUM(E4:E22)</f>
        <v>7.5317857737979527E-2</v>
      </c>
      <c r="F23" s="158">
        <f t="shared" ref="F23:W23" si="0">SUM(F4:F22)</f>
        <v>14.31697414869806</v>
      </c>
      <c r="G23" s="158">
        <f t="shared" si="0"/>
        <v>5.6103432815942288E-2</v>
      </c>
      <c r="H23" s="158">
        <f t="shared" si="0"/>
        <v>14.26192689126216</v>
      </c>
      <c r="I23" s="158">
        <f t="shared" si="0"/>
        <v>7.0322246199613341E-3</v>
      </c>
      <c r="J23" s="158">
        <f t="shared" si="0"/>
        <v>647.4558725354392</v>
      </c>
      <c r="K23" s="158">
        <f t="shared" si="0"/>
        <v>1051.3235161589309</v>
      </c>
      <c r="L23" s="158">
        <f t="shared" si="0"/>
        <v>3.5764203214796357E-4</v>
      </c>
      <c r="M23" s="158">
        <f t="shared" si="0"/>
        <v>2.3555679930886111E-2</v>
      </c>
      <c r="N23" s="158">
        <f t="shared" si="0"/>
        <v>0.28819903177484196</v>
      </c>
      <c r="O23" s="158">
        <f t="shared" si="0"/>
        <v>1.1413842047715847E-8</v>
      </c>
      <c r="P23" s="158">
        <f t="shared" si="0"/>
        <v>3.2793346835422011E-7</v>
      </c>
      <c r="Q23" s="158">
        <f t="shared" si="0"/>
        <v>0.33845759964444438</v>
      </c>
      <c r="R23" s="158">
        <f t="shared" si="0"/>
        <v>398.47087267496414</v>
      </c>
      <c r="S23" s="158">
        <f t="shared" si="0"/>
        <v>7.9296255650518856E-6</v>
      </c>
      <c r="T23" s="158">
        <f t="shared" si="0"/>
        <v>3.963239380086133E-8</v>
      </c>
      <c r="U23" s="158">
        <f t="shared" si="0"/>
        <v>1.2664266042417218E-6</v>
      </c>
      <c r="V23" s="158">
        <f t="shared" si="0"/>
        <v>8.8590077572174797E-2</v>
      </c>
      <c r="W23" s="158">
        <f t="shared" si="0"/>
        <v>3.9331068657040884</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7.5317857737979527E-2</v>
      </c>
      <c r="F54" s="154">
        <f t="shared" ref="F54:W54" si="2">F23+F47</f>
        <v>14.31697414869806</v>
      </c>
      <c r="G54" s="154">
        <f t="shared" si="2"/>
        <v>5.6103432815942288E-2</v>
      </c>
      <c r="H54" s="154">
        <f t="shared" si="2"/>
        <v>14.26192689126216</v>
      </c>
      <c r="I54" s="154">
        <f t="shared" si="2"/>
        <v>7.0322246199613341E-3</v>
      </c>
      <c r="J54" s="154">
        <f t="shared" si="2"/>
        <v>647.4558725354392</v>
      </c>
      <c r="K54" s="154">
        <f t="shared" si="2"/>
        <v>1051.3235161589309</v>
      </c>
      <c r="L54" s="154">
        <f t="shared" si="2"/>
        <v>3.5764203214796357E-4</v>
      </c>
      <c r="M54" s="154">
        <f t="shared" si="2"/>
        <v>2.3555679930886111E-2</v>
      </c>
      <c r="N54" s="154">
        <f t="shared" si="2"/>
        <v>0.28819903177484196</v>
      </c>
      <c r="O54" s="154">
        <f t="shared" si="2"/>
        <v>1.1413842047715847E-8</v>
      </c>
      <c r="P54" s="154">
        <f t="shared" si="2"/>
        <v>3.2793346835422011E-7</v>
      </c>
      <c r="Q54" s="154">
        <f t="shared" si="2"/>
        <v>0.33845759964444438</v>
      </c>
      <c r="R54" s="154">
        <f t="shared" si="2"/>
        <v>398.47087267496414</v>
      </c>
      <c r="S54" s="154">
        <f t="shared" si="2"/>
        <v>7.9296255650518856E-6</v>
      </c>
      <c r="T54" s="154">
        <f t="shared" si="2"/>
        <v>3.963239380086133E-8</v>
      </c>
      <c r="U54" s="154">
        <f t="shared" si="2"/>
        <v>1.2664266042417218E-6</v>
      </c>
      <c r="V54" s="154">
        <f t="shared" si="2"/>
        <v>8.8590077572174797E-2</v>
      </c>
      <c r="W54" s="154">
        <f t="shared" si="2"/>
        <v>3.9331068657040884</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2.7762888003827727E-3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3.4579446276776338E-2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1.6923944910988309E-3</v>
      </c>
      <c r="N65" s="154">
        <f>L65+M65</f>
        <v>2.6232114612031879E-3</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0</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0</v>
      </c>
    </row>
    <row r="66" spans="1:25" x14ac:dyDescent="0.35">
      <c r="A66" s="1" t="s">
        <v>280</v>
      </c>
      <c r="B66" s="158">
        <f>INDEX(LCI!I$2:I$130,MATCH('A1 - Raw Material Supply'!$B5,LCI!$D$2:$D$130,0))*$C5</f>
        <v>0.14427457329700158</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2.2293018000920592</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0.22120796684258343</v>
      </c>
      <c r="N66" s="154">
        <f t="shared" ref="N66:N83" si="4">L66+M66</f>
        <v>0.3428723486060043</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v>
      </c>
    </row>
    <row r="67" spans="1:25" x14ac:dyDescent="0.35">
      <c r="A67" s="1" t="s">
        <v>281</v>
      </c>
      <c r="B67" s="158">
        <f>INDEX(LCI!J$2:J$130,MATCH('A1 - Raw Material Supply'!$B5,LCI!$D$2:$D$130,0))*$C5</f>
        <v>4.4470544623162093E-4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4.2202219772539571E-3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3.4498134443150508E-3</v>
      </c>
      <c r="N67" s="154">
        <f t="shared" si="4"/>
        <v>5.3472108386883287E-3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v>
      </c>
    </row>
    <row r="68" spans="1:25" x14ac:dyDescent="0.35">
      <c r="A68" s="1" t="s">
        <v>282</v>
      </c>
      <c r="B68" s="158">
        <f>INDEX(LCI!K$2:K$130,MATCH('A1 - Raw Material Supply'!$B5,LCI!$D$2:$D$130,0))*$C5</f>
        <v>0.1437824406807699</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2.2245012281158112</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0.21738429880409579</v>
      </c>
      <c r="N68" s="154">
        <f t="shared" si="4"/>
        <v>0.3369456631463485</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v>
      </c>
    </row>
    <row r="69" spans="1:25" x14ac:dyDescent="0.35">
      <c r="A69" s="1" t="s">
        <v>283</v>
      </c>
      <c r="B69" s="158">
        <f>INDEX(LCI!L$2:L$130,MATCH('A1 - Raw Material Supply'!$B5,LCI!$D$2:$D$130,0))*$C5</f>
        <v>4.7427170000057053E-5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5.8034999899390319E-4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3.7385459417253698E-4</v>
      </c>
      <c r="N69" s="154">
        <f t="shared" si="4"/>
        <v>5.7947462096743238E-4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0</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0</v>
      </c>
    </row>
    <row r="70" spans="1:25" x14ac:dyDescent="0.35">
      <c r="A70" s="1" t="s">
        <v>284</v>
      </c>
      <c r="B70" s="158">
        <f>INDEX(LCI!M$2:M$130,MATCH('A1 - Raw Material Supply'!$B5,LCI!$D$2:$D$130,0))*$C5</f>
        <v>1.4255993497652113</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14.825596162836254</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0.69050088555034905</v>
      </c>
      <c r="N70" s="154">
        <f t="shared" si="4"/>
        <v>1.0702763726030411</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0</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0</v>
      </c>
    </row>
    <row r="71" spans="1:25" x14ac:dyDescent="0.35">
      <c r="A71" s="1" t="s">
        <v>285</v>
      </c>
      <c r="B71" s="158">
        <f>INDEX(LCI!N$2:N$130,MATCH('A1 - Raw Material Supply'!$B5,LCI!$D$2:$D$130,0))*$C5</f>
        <v>2.0443338859025153</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30.653943865945653</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3.7042401890228884</v>
      </c>
      <c r="N71" s="154">
        <f t="shared" si="4"/>
        <v>5.7415722929854773</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0</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0</v>
      </c>
    </row>
    <row r="72" spans="1:25" x14ac:dyDescent="0.35">
      <c r="A72" s="1" t="s">
        <v>286</v>
      </c>
      <c r="B72" s="158">
        <f>INDEX(LCI!O$2:O$130,MATCH('A1 - Raw Material Supply'!$B5,LCI!$D$2:$D$130,0))*$C5</f>
        <v>1.0660465212399542E-5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1.4175507165429532E-4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1.3291984547978599E-4</v>
      </c>
      <c r="N72" s="154">
        <f t="shared" si="4"/>
        <v>2.0602576049366829E-4</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0</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0</v>
      </c>
    </row>
    <row r="73" spans="1:25" x14ac:dyDescent="0.35">
      <c r="A73" s="1" t="s">
        <v>287</v>
      </c>
      <c r="B73" s="158">
        <f>INDEX(LCI!P$2:P$130,MATCH('A1 - Raw Material Supply'!$B5,LCI!$D$2:$D$130,0))*$C5</f>
        <v>9.972599357606375E-4</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1.3122559859339928E-2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3.8327746551366642E-4</v>
      </c>
      <c r="N73" s="154">
        <f t="shared" si="4"/>
        <v>5.9408007154618291E-4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0</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0</v>
      </c>
    </row>
    <row r="74" spans="1:25" x14ac:dyDescent="0.35">
      <c r="A74" s="1" t="s">
        <v>288</v>
      </c>
      <c r="B74" s="158">
        <f>INDEX(LCI!Q$2:Q$130,MATCH('A1 - Raw Material Supply'!$B5,LCI!$D$2:$D$130,0))*$C5</f>
        <v>1.390958618979826E-2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0.17345992955546041</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4.5429046576655092E-3</v>
      </c>
      <c r="N74" s="154">
        <f t="shared" si="4"/>
        <v>7.0415022193815388E-3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0</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0</v>
      </c>
    </row>
    <row r="75" spans="1:25" x14ac:dyDescent="0.35">
      <c r="A75" s="1" t="s">
        <v>289</v>
      </c>
      <c r="B75" s="158">
        <f>INDEX(LCI!R$2:R$130,MATCH('A1 - Raw Material Supply'!$B5,LCI!$D$2:$D$130,0))*$C5</f>
        <v>2.6000581287052966E-11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3.518272857503888E-10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4.5583717397070746E-11</v>
      </c>
      <c r="N75" s="154">
        <f t="shared" si="4"/>
        <v>7.0654761965459657E-11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0</v>
      </c>
    </row>
    <row r="76" spans="1:25" x14ac:dyDescent="0.35">
      <c r="A76" s="1" t="s">
        <v>319</v>
      </c>
      <c r="B76" s="158">
        <f>INDEX(LCI!S$2:S$130,MATCH('A1 - Raw Material Supply'!$B5,LCI!$D$2:$D$130,0))*$C5</f>
        <v>6.902076259265248E-10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8.3608539655003408E-9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1.732009283045003E-9</v>
      </c>
      <c r="N76" s="154">
        <f t="shared" si="4"/>
        <v>2.6846143887197546E-9</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0</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0</v>
      </c>
    </row>
    <row r="77" spans="1:25" x14ac:dyDescent="0.35">
      <c r="A77" s="1" t="s">
        <v>291</v>
      </c>
      <c r="B77" s="158">
        <f>INDEX(LCI!T$2:T$130,MATCH('A1 - Raw Material Supply'!$B5,LCI!$D$2:$D$130,0))*$C5</f>
        <v>5.4541080388755677E-3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6.0930489631163806E-2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7.1109103234374582E-2</v>
      </c>
      <c r="N77" s="154">
        <f t="shared" si="4"/>
        <v>0.11021911001328061</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v>
      </c>
    </row>
    <row r="78" spans="1:25" x14ac:dyDescent="0.35">
      <c r="A78" s="1" t="s">
        <v>292</v>
      </c>
      <c r="B78" s="158">
        <f>INDEX(LCI!U$2:U$130,MATCH('A1 - Raw Material Supply'!$B5,LCI!$D$2:$D$130,0))*$C5</f>
        <v>1.6814307822017627</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390.87227002753411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1.1422726757613131</v>
      </c>
      <c r="N78" s="154">
        <f t="shared" si="4"/>
        <v>1.7705226474300351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0</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0</v>
      </c>
    </row>
    <row r="79" spans="1:25" x14ac:dyDescent="0.35">
      <c r="A79" s="1" t="s">
        <v>293</v>
      </c>
      <c r="B79" s="158">
        <f>INDEX(LCI!V$2:V$130,MATCH('A1 - Raw Material Supply'!$B5,LCI!$D$2:$D$130,0))*$C5</f>
        <v>4.1816560518549485E-7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4.6607130496736109E-6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6.5070484863114593E-7</v>
      </c>
      <c r="N79" s="154">
        <f t="shared" si="4"/>
        <v>1.0085925153782763E-6</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0</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0</v>
      </c>
    </row>
    <row r="80" spans="1:25" x14ac:dyDescent="0.35">
      <c r="A80" s="1" t="s">
        <v>294</v>
      </c>
      <c r="B80" s="158">
        <f>INDEX(LCI!W$2:W$130,MATCH('A1 - Raw Material Supply'!$B5,LCI!$D$2:$D$130,0))*$C5</f>
        <v>2.3781486814152874E-9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3.5235955999964389E-8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2.831664955417385E-9</v>
      </c>
      <c r="N80" s="154">
        <f t="shared" si="4"/>
        <v>4.3890806808969467E-9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0</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0</v>
      </c>
    </row>
    <row r="81" spans="1:25" x14ac:dyDescent="0.35">
      <c r="A81" s="1" t="s">
        <v>295</v>
      </c>
      <c r="B81" s="158">
        <f>INDEX(LCI!X$2:X$130,MATCH('A1 - Raw Material Supply'!$B5,LCI!$D$2:$D$130,0))*$C5</f>
        <v>4.4963622028629042E-8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6.4478729242085712E-7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1.790407214249345E-8</v>
      </c>
      <c r="N81" s="154">
        <f t="shared" si="4"/>
        <v>2.7751311820864848E-8</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0</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0</v>
      </c>
    </row>
    <row r="82" spans="1:25" x14ac:dyDescent="0.35">
      <c r="A82" s="1" t="s">
        <v>296</v>
      </c>
      <c r="B82" s="158">
        <f>INDEX(LCI!Y$2:Y$130,MATCH('A1 - Raw Material Supply'!$B5,LCI!$D$2:$D$130,0))*$C5</f>
        <v>3.1413938742966838E-3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4.174544758673622E-2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1.1998903131861781E-3</v>
      </c>
      <c r="N82" s="154">
        <f t="shared" si="4"/>
        <v>1.8598299854385759E-3</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0</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0</v>
      </c>
    </row>
    <row r="83" spans="1:25" x14ac:dyDescent="0.35">
      <c r="A83" s="1" t="s">
        <v>297</v>
      </c>
      <c r="B83" s="158">
        <f>INDEX(LCI!Z$2:Z$130,MATCH('A1 - Raw Material Supply'!$B5,LCI!$D$2:$D$130,0))*$C5</f>
        <v>0.20530698370635614</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3.057724396773855</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0.46168314124531201</v>
      </c>
      <c r="N83" s="154">
        <f t="shared" si="4"/>
        <v>0.71560886893023357</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v>
      </c>
    </row>
    <row r="84" spans="1:25" x14ac:dyDescent="0.35">
      <c r="K84">
        <f>+SUM(K65:K83)</f>
        <v>444.19212303070401</v>
      </c>
      <c r="N84">
        <f>+SUM(N65:N83)</f>
        <v>10.106269682160319</v>
      </c>
      <c r="O84">
        <f>+SUM(O65:O83)</f>
        <v>1676.3414996832948</v>
      </c>
      <c r="R84">
        <f>+SUM(R65:R83)</f>
        <v>0</v>
      </c>
      <c r="U84">
        <f>+SUM(U65:U83)</f>
        <v>0</v>
      </c>
      <c r="Y84">
        <f>+SUM(Y65:Y83)</f>
        <v>0</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2.7762888003827727E-3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3.4579446276776338E-2</v>
      </c>
      <c r="L114" s="154">
        <f t="shared" si="6"/>
        <v>9.3081697010435698E-4</v>
      </c>
      <c r="M114" s="154">
        <f t="shared" ref="M114:Y114" si="7">M65+M89</f>
        <v>1.6923944910988309E-3</v>
      </c>
      <c r="N114" s="251">
        <f t="shared" si="7"/>
        <v>2.6232114612031879E-3</v>
      </c>
      <c r="O114" s="251">
        <f t="shared" si="7"/>
        <v>3.8115199999999995E-2</v>
      </c>
      <c r="P114" s="154"/>
      <c r="Q114" s="154"/>
      <c r="R114" s="251"/>
      <c r="S114" s="154"/>
      <c r="T114" s="154"/>
      <c r="U114" s="251"/>
      <c r="V114" s="154">
        <f t="shared" si="7"/>
        <v>0</v>
      </c>
      <c r="W114" s="154">
        <f t="shared" si="7"/>
        <v>0</v>
      </c>
      <c r="X114" s="154">
        <f t="shared" si="7"/>
        <v>0</v>
      </c>
      <c r="Y114" s="251">
        <f t="shared" si="7"/>
        <v>0</v>
      </c>
      <c r="Z114" s="251">
        <f>K114+N114+O114+Y114</f>
        <v>7.5317857737979527E-2</v>
      </c>
    </row>
    <row r="115" spans="1:26" x14ac:dyDescent="0.35">
      <c r="A115" s="1" t="s">
        <v>280</v>
      </c>
      <c r="B115" s="154">
        <f t="shared" ref="B115:K132" si="8">B66+B90</f>
        <v>0.14427457329700158</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2.2293018000920592</v>
      </c>
      <c r="L115" s="154">
        <f t="shared" ref="L115:Y115" si="9">L66+L90</f>
        <v>0.12166438176342087</v>
      </c>
      <c r="M115" s="154">
        <f t="shared" si="9"/>
        <v>0.22120796684258343</v>
      </c>
      <c r="N115" s="251">
        <f t="shared" si="9"/>
        <v>0.3428723486060043</v>
      </c>
      <c r="O115" s="251">
        <f t="shared" si="9"/>
        <v>11.7448</v>
      </c>
      <c r="P115" s="154"/>
      <c r="Q115" s="154"/>
      <c r="R115" s="251"/>
      <c r="S115" s="154"/>
      <c r="T115" s="154"/>
      <c r="U115" s="251"/>
      <c r="V115" s="154">
        <f t="shared" si="9"/>
        <v>0</v>
      </c>
      <c r="W115" s="154">
        <f t="shared" si="9"/>
        <v>0</v>
      </c>
      <c r="X115" s="154">
        <f t="shared" si="9"/>
        <v>0</v>
      </c>
      <c r="Y115" s="251">
        <f t="shared" si="9"/>
        <v>0</v>
      </c>
      <c r="Z115" s="251">
        <f t="shared" ref="Z115:Z132" si="10">K115+N115+O115+Y115</f>
        <v>14.316974148698064</v>
      </c>
    </row>
    <row r="116" spans="1:26" x14ac:dyDescent="0.35">
      <c r="A116" s="1" t="s">
        <v>281</v>
      </c>
      <c r="B116" s="154">
        <f t="shared" si="8"/>
        <v>4.4470544623162093E-4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4.2202219772539571E-3</v>
      </c>
      <c r="L116" s="154">
        <f t="shared" ref="L116:Y116" si="11">L67+L91</f>
        <v>1.8973973943732778E-3</v>
      </c>
      <c r="M116" s="154">
        <f t="shared" si="11"/>
        <v>3.4498134443150508E-3</v>
      </c>
      <c r="N116" s="251">
        <f t="shared" si="11"/>
        <v>5.3472108386883287E-3</v>
      </c>
      <c r="O116" s="251">
        <f t="shared" si="11"/>
        <v>4.6536000000000001E-2</v>
      </c>
      <c r="P116" s="154"/>
      <c r="Q116" s="154"/>
      <c r="R116" s="251"/>
      <c r="S116" s="154"/>
      <c r="T116" s="154"/>
      <c r="U116" s="251"/>
      <c r="V116" s="154">
        <f t="shared" si="11"/>
        <v>0</v>
      </c>
      <c r="W116" s="154">
        <f t="shared" si="11"/>
        <v>0</v>
      </c>
      <c r="X116" s="154">
        <f t="shared" si="11"/>
        <v>0</v>
      </c>
      <c r="Y116" s="251">
        <f t="shared" si="11"/>
        <v>0</v>
      </c>
      <c r="Z116" s="251">
        <f t="shared" si="10"/>
        <v>5.6103432815942288E-2</v>
      </c>
    </row>
    <row r="117" spans="1:26" x14ac:dyDescent="0.35">
      <c r="A117" s="1" t="s">
        <v>282</v>
      </c>
      <c r="B117" s="154">
        <f t="shared" si="8"/>
        <v>0.1437824406807699</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2.2245012281158112</v>
      </c>
      <c r="L117" s="154">
        <f t="shared" ref="L117:Y117" si="12">L68+L92</f>
        <v>0.11956136434225269</v>
      </c>
      <c r="M117" s="154">
        <f t="shared" si="12"/>
        <v>0.21738429880409579</v>
      </c>
      <c r="N117" s="251">
        <f t="shared" si="12"/>
        <v>0.3369456631463485</v>
      </c>
      <c r="O117" s="251">
        <f t="shared" si="12"/>
        <v>11.700479999999999</v>
      </c>
      <c r="P117" s="154"/>
      <c r="Q117" s="154"/>
      <c r="R117" s="251"/>
      <c r="S117" s="154"/>
      <c r="T117" s="154"/>
      <c r="U117" s="251"/>
      <c r="V117" s="154">
        <f t="shared" si="12"/>
        <v>0</v>
      </c>
      <c r="W117" s="154">
        <f t="shared" si="12"/>
        <v>0</v>
      </c>
      <c r="X117" s="154">
        <f t="shared" si="12"/>
        <v>0</v>
      </c>
      <c r="Y117" s="251">
        <f t="shared" si="12"/>
        <v>0</v>
      </c>
      <c r="Z117" s="251">
        <f t="shared" si="10"/>
        <v>14.261926891262158</v>
      </c>
    </row>
    <row r="118" spans="1:26" x14ac:dyDescent="0.35">
      <c r="A118" s="1" t="s">
        <v>283</v>
      </c>
      <c r="B118" s="154">
        <f t="shared" si="8"/>
        <v>4.7427170000057053E-5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5.8034999899390319E-4</v>
      </c>
      <c r="L118" s="154">
        <f t="shared" ref="L118:Y118" si="13">L69+L93</f>
        <v>2.0562002679489535E-4</v>
      </c>
      <c r="M118" s="154">
        <f t="shared" si="13"/>
        <v>3.7385459417253698E-4</v>
      </c>
      <c r="N118" s="251">
        <f t="shared" si="13"/>
        <v>5.7947462096743238E-4</v>
      </c>
      <c r="O118" s="251">
        <f t="shared" si="13"/>
        <v>5.8723999999999998E-3</v>
      </c>
      <c r="P118" s="154"/>
      <c r="Q118" s="154"/>
      <c r="R118" s="251"/>
      <c r="S118" s="154"/>
      <c r="T118" s="154"/>
      <c r="U118" s="251"/>
      <c r="V118" s="154">
        <f t="shared" si="13"/>
        <v>0</v>
      </c>
      <c r="W118" s="154">
        <f t="shared" si="13"/>
        <v>0</v>
      </c>
      <c r="X118" s="154">
        <f t="shared" si="13"/>
        <v>0</v>
      </c>
      <c r="Y118" s="251">
        <f t="shared" si="13"/>
        <v>0</v>
      </c>
      <c r="Z118" s="251">
        <f t="shared" si="10"/>
        <v>7.0322246199613359E-3</v>
      </c>
    </row>
    <row r="119" spans="1:26" x14ac:dyDescent="0.35">
      <c r="A119" s="1" t="s">
        <v>284</v>
      </c>
      <c r="B119" s="154">
        <f t="shared" si="8"/>
        <v>1.4255993497652113</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14.825596162836254</v>
      </c>
      <c r="L119" s="154">
        <f t="shared" ref="L119:Y119" si="14">L70+L94</f>
        <v>0.37977548705269193</v>
      </c>
      <c r="M119" s="154">
        <f t="shared" si="14"/>
        <v>0.69050088555034905</v>
      </c>
      <c r="N119" s="251">
        <f t="shared" si="14"/>
        <v>1.0702763726030411</v>
      </c>
      <c r="O119" s="251">
        <f t="shared" si="14"/>
        <v>631.55999999999995</v>
      </c>
      <c r="P119" s="154"/>
      <c r="Q119" s="154"/>
      <c r="R119" s="251"/>
      <c r="S119" s="154"/>
      <c r="T119" s="154"/>
      <c r="U119" s="251"/>
      <c r="V119" s="154">
        <f t="shared" si="14"/>
        <v>0</v>
      </c>
      <c r="W119" s="154">
        <f t="shared" si="14"/>
        <v>0</v>
      </c>
      <c r="X119" s="154">
        <f t="shared" si="14"/>
        <v>0</v>
      </c>
      <c r="Y119" s="251">
        <f t="shared" si="14"/>
        <v>0</v>
      </c>
      <c r="Z119" s="251">
        <f t="shared" si="10"/>
        <v>647.4558725354392</v>
      </c>
    </row>
    <row r="120" spans="1:26" x14ac:dyDescent="0.35">
      <c r="A120" s="1" t="s">
        <v>285</v>
      </c>
      <c r="B120" s="154">
        <f t="shared" si="8"/>
        <v>2.0443338859025153</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30.653943865945653</v>
      </c>
      <c r="L120" s="154">
        <f t="shared" ref="L120:Y120" si="15">L71+L95</f>
        <v>2.0373321039625885</v>
      </c>
      <c r="M120" s="154">
        <f t="shared" si="15"/>
        <v>3.7042401890228884</v>
      </c>
      <c r="N120" s="251">
        <f t="shared" si="15"/>
        <v>5.7415722929854773</v>
      </c>
      <c r="O120" s="251">
        <f t="shared" si="15"/>
        <v>1014.928</v>
      </c>
      <c r="P120" s="154"/>
      <c r="Q120" s="154"/>
      <c r="R120" s="251"/>
      <c r="S120" s="154"/>
      <c r="T120" s="154"/>
      <c r="U120" s="251"/>
      <c r="V120" s="154">
        <f t="shared" si="15"/>
        <v>0</v>
      </c>
      <c r="W120" s="154">
        <f t="shared" si="15"/>
        <v>0</v>
      </c>
      <c r="X120" s="154">
        <f t="shared" si="15"/>
        <v>0</v>
      </c>
      <c r="Y120" s="251">
        <f t="shared" si="15"/>
        <v>0</v>
      </c>
      <c r="Z120" s="251">
        <f t="shared" si="10"/>
        <v>1051.3235161589312</v>
      </c>
    </row>
    <row r="121" spans="1:26" x14ac:dyDescent="0.35">
      <c r="A121" s="1" t="s">
        <v>286</v>
      </c>
      <c r="B121" s="154">
        <f t="shared" si="8"/>
        <v>1.0660465212399542E-5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1.4175507165429532E-4</v>
      </c>
      <c r="L121" s="154">
        <f t="shared" ref="L121:Y121" si="16">L72+L96</f>
        <v>7.3105915013882289E-5</v>
      </c>
      <c r="M121" s="154">
        <f t="shared" si="16"/>
        <v>1.3291984547978599E-4</v>
      </c>
      <c r="N121" s="251">
        <f t="shared" si="16"/>
        <v>2.0602576049366829E-4</v>
      </c>
      <c r="O121" s="251">
        <f t="shared" si="16"/>
        <v>9.8611999999999997E-6</v>
      </c>
      <c r="P121" s="154"/>
      <c r="Q121" s="154"/>
      <c r="R121" s="251"/>
      <c r="S121" s="154"/>
      <c r="T121" s="154"/>
      <c r="U121" s="251"/>
      <c r="V121" s="154">
        <f t="shared" si="16"/>
        <v>0</v>
      </c>
      <c r="W121" s="154">
        <f t="shared" si="16"/>
        <v>0</v>
      </c>
      <c r="X121" s="154">
        <f t="shared" si="16"/>
        <v>0</v>
      </c>
      <c r="Y121" s="251">
        <f t="shared" si="16"/>
        <v>0</v>
      </c>
      <c r="Z121" s="251">
        <f t="shared" si="10"/>
        <v>3.5764203214796363E-4</v>
      </c>
    </row>
    <row r="122" spans="1:26" x14ac:dyDescent="0.35">
      <c r="A122" s="1" t="s">
        <v>287</v>
      </c>
      <c r="B122" s="154">
        <f t="shared" si="8"/>
        <v>9.972599357606375E-4</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1.3122559859339928E-2</v>
      </c>
      <c r="L122" s="154">
        <f t="shared" ref="L122:Y122" si="17">L73+L97</f>
        <v>2.1080260603251652E-4</v>
      </c>
      <c r="M122" s="154">
        <f t="shared" si="17"/>
        <v>3.8327746551366642E-4</v>
      </c>
      <c r="N122" s="251">
        <f t="shared" si="17"/>
        <v>5.9408007154618291E-4</v>
      </c>
      <c r="O122" s="251">
        <f t="shared" si="17"/>
        <v>9.8390400000000003E-3</v>
      </c>
      <c r="P122" s="154"/>
      <c r="Q122" s="154"/>
      <c r="R122" s="251"/>
      <c r="S122" s="154"/>
      <c r="T122" s="154"/>
      <c r="U122" s="251"/>
      <c r="V122" s="154">
        <f t="shared" si="17"/>
        <v>0</v>
      </c>
      <c r="W122" s="154">
        <f t="shared" si="17"/>
        <v>0</v>
      </c>
      <c r="X122" s="154">
        <f t="shared" si="17"/>
        <v>0</v>
      </c>
      <c r="Y122" s="251">
        <f t="shared" si="17"/>
        <v>0</v>
      </c>
      <c r="Z122" s="251">
        <f t="shared" si="10"/>
        <v>2.3555679930886111E-2</v>
      </c>
    </row>
    <row r="123" spans="1:26" x14ac:dyDescent="0.35">
      <c r="A123" s="1" t="s">
        <v>288</v>
      </c>
      <c r="B123" s="154">
        <f t="shared" si="8"/>
        <v>1.390958618979826E-2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0.17345992955546041</v>
      </c>
      <c r="L123" s="154">
        <f t="shared" ref="L123:Y123" si="18">L74+L98</f>
        <v>2.49859756171603E-3</v>
      </c>
      <c r="M123" s="154">
        <f t="shared" si="18"/>
        <v>4.5429046576655092E-3</v>
      </c>
      <c r="N123" s="251">
        <f t="shared" si="18"/>
        <v>7.0415022193815388E-3</v>
      </c>
      <c r="O123" s="251">
        <f t="shared" si="18"/>
        <v>0.1076976</v>
      </c>
      <c r="P123" s="154"/>
      <c r="Q123" s="154"/>
      <c r="R123" s="251"/>
      <c r="S123" s="154"/>
      <c r="T123" s="154"/>
      <c r="U123" s="251"/>
      <c r="V123" s="154">
        <f t="shared" si="18"/>
        <v>0</v>
      </c>
      <c r="W123" s="154">
        <f t="shared" si="18"/>
        <v>0</v>
      </c>
      <c r="X123" s="154">
        <f t="shared" si="18"/>
        <v>0</v>
      </c>
      <c r="Y123" s="251">
        <f t="shared" si="18"/>
        <v>0</v>
      </c>
      <c r="Z123" s="251">
        <f t="shared" si="10"/>
        <v>0.28819903177484196</v>
      </c>
    </row>
    <row r="124" spans="1:26" x14ac:dyDescent="0.35">
      <c r="A124" s="1" t="s">
        <v>289</v>
      </c>
      <c r="B124" s="154">
        <f t="shared" si="8"/>
        <v>2.6000581287052966E-11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3.518272857503888E-10</v>
      </c>
      <c r="L124" s="154">
        <f t="shared" ref="L124:Y124" si="19">L75+L99</f>
        <v>2.5071044568388908E-11</v>
      </c>
      <c r="M124" s="154">
        <f t="shared" si="19"/>
        <v>4.5583717397070746E-11</v>
      </c>
      <c r="N124" s="251">
        <f t="shared" si="19"/>
        <v>7.0654761965459657E-11</v>
      </c>
      <c r="O124" s="251">
        <f t="shared" si="19"/>
        <v>1.099136E-8</v>
      </c>
      <c r="P124" s="154"/>
      <c r="Q124" s="154"/>
      <c r="R124" s="251"/>
      <c r="S124" s="154"/>
      <c r="T124" s="154"/>
      <c r="U124" s="251"/>
      <c r="V124" s="154">
        <f t="shared" si="19"/>
        <v>0</v>
      </c>
      <c r="W124" s="154">
        <f t="shared" si="19"/>
        <v>0</v>
      </c>
      <c r="X124" s="154">
        <f t="shared" si="19"/>
        <v>0</v>
      </c>
      <c r="Y124" s="251">
        <f t="shared" si="19"/>
        <v>0</v>
      </c>
      <c r="Z124" s="251">
        <f t="shared" si="10"/>
        <v>1.1413842047715849E-8</v>
      </c>
    </row>
    <row r="125" spans="1:26" x14ac:dyDescent="0.35">
      <c r="A125" s="1" t="s">
        <v>319</v>
      </c>
      <c r="B125" s="154">
        <f t="shared" si="8"/>
        <v>6.902076259265248E-10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8.3608539655003408E-9</v>
      </c>
      <c r="L125" s="154">
        <f t="shared" ref="L125:Y125" si="20">L76+L100</f>
        <v>9.5260510567475159E-10</v>
      </c>
      <c r="M125" s="154">
        <f t="shared" si="20"/>
        <v>1.732009283045003E-9</v>
      </c>
      <c r="N125" s="251">
        <f t="shared" si="20"/>
        <v>2.6846143887197546E-9</v>
      </c>
      <c r="O125" s="251">
        <f t="shared" si="20"/>
        <v>3.1688799999999997E-7</v>
      </c>
      <c r="P125" s="154"/>
      <c r="Q125" s="154"/>
      <c r="R125" s="251"/>
      <c r="S125" s="154"/>
      <c r="T125" s="154"/>
      <c r="U125" s="251"/>
      <c r="V125" s="154">
        <f t="shared" si="20"/>
        <v>0</v>
      </c>
      <c r="W125" s="154">
        <f t="shared" si="20"/>
        <v>0</v>
      </c>
      <c r="X125" s="154">
        <f t="shared" si="20"/>
        <v>0</v>
      </c>
      <c r="Y125" s="251">
        <f t="shared" si="20"/>
        <v>0</v>
      </c>
      <c r="Z125" s="251">
        <f t="shared" si="10"/>
        <v>3.2793346835422005E-7</v>
      </c>
    </row>
    <row r="126" spans="1:26" x14ac:dyDescent="0.35">
      <c r="A126" s="1" t="s">
        <v>291</v>
      </c>
      <c r="B126" s="154">
        <f t="shared" si="8"/>
        <v>5.4541080388755677E-3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6.0930489631163806E-2</v>
      </c>
      <c r="L126" s="154">
        <f t="shared" ref="L126:Y126" si="21">L77+L101</f>
        <v>3.9110006778906019E-2</v>
      </c>
      <c r="M126" s="154">
        <f t="shared" si="21"/>
        <v>7.1109103234374582E-2</v>
      </c>
      <c r="N126" s="251">
        <f t="shared" si="21"/>
        <v>0.11021911001328061</v>
      </c>
      <c r="O126" s="251">
        <f t="shared" si="21"/>
        <v>0.16730799999999998</v>
      </c>
      <c r="P126" s="154"/>
      <c r="Q126" s="154"/>
      <c r="R126" s="251"/>
      <c r="S126" s="154"/>
      <c r="T126" s="154"/>
      <c r="U126" s="251"/>
      <c r="V126" s="154">
        <f t="shared" si="21"/>
        <v>0</v>
      </c>
      <c r="W126" s="154">
        <f t="shared" si="21"/>
        <v>0</v>
      </c>
      <c r="X126" s="154">
        <f t="shared" si="21"/>
        <v>0</v>
      </c>
      <c r="Y126" s="251">
        <f t="shared" si="21"/>
        <v>0</v>
      </c>
      <c r="Z126" s="251">
        <f t="shared" si="10"/>
        <v>0.33845759964444444</v>
      </c>
    </row>
    <row r="127" spans="1:26" x14ac:dyDescent="0.35">
      <c r="A127" s="1" t="s">
        <v>292</v>
      </c>
      <c r="B127" s="154">
        <f t="shared" si="8"/>
        <v>1.6814307822017627</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390.87227002753411</v>
      </c>
      <c r="L127" s="154">
        <f t="shared" ref="L127:Y127" si="22">L78+L102</f>
        <v>0.6282499716687221</v>
      </c>
      <c r="M127" s="154">
        <f t="shared" si="22"/>
        <v>1.1422726757613131</v>
      </c>
      <c r="N127" s="251">
        <f t="shared" si="22"/>
        <v>1.7705226474300351</v>
      </c>
      <c r="O127" s="251">
        <f t="shared" si="22"/>
        <v>5.8280799999999999</v>
      </c>
      <c r="P127" s="154"/>
      <c r="Q127" s="154"/>
      <c r="R127" s="251"/>
      <c r="S127" s="154"/>
      <c r="T127" s="154"/>
      <c r="U127" s="251"/>
      <c r="V127" s="154">
        <f t="shared" si="22"/>
        <v>0</v>
      </c>
      <c r="W127" s="154">
        <f t="shared" si="22"/>
        <v>0</v>
      </c>
      <c r="X127" s="154">
        <f t="shared" si="22"/>
        <v>0</v>
      </c>
      <c r="Y127" s="251">
        <f t="shared" si="22"/>
        <v>0</v>
      </c>
      <c r="Z127" s="251">
        <f t="shared" si="10"/>
        <v>398.47087267496414</v>
      </c>
    </row>
    <row r="128" spans="1:26" x14ac:dyDescent="0.35">
      <c r="A128" s="1" t="s">
        <v>293</v>
      </c>
      <c r="B128" s="154">
        <f t="shared" si="8"/>
        <v>4.1816560518549485E-7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4.6607130496736109E-6</v>
      </c>
      <c r="L128" s="154">
        <f t="shared" ref="L128:Y128" si="23">L79+L103</f>
        <v>3.5788766674713027E-7</v>
      </c>
      <c r="M128" s="154">
        <f t="shared" si="23"/>
        <v>6.5070484863114593E-7</v>
      </c>
      <c r="N128" s="251">
        <f t="shared" si="23"/>
        <v>1.0085925153782763E-6</v>
      </c>
      <c r="O128" s="251">
        <f t="shared" si="23"/>
        <v>2.2603199999999999E-6</v>
      </c>
      <c r="P128" s="154"/>
      <c r="Q128" s="154"/>
      <c r="R128" s="251"/>
      <c r="S128" s="154"/>
      <c r="T128" s="154"/>
      <c r="U128" s="251"/>
      <c r="V128" s="154">
        <f t="shared" si="23"/>
        <v>0</v>
      </c>
      <c r="W128" s="154">
        <f t="shared" si="23"/>
        <v>0</v>
      </c>
      <c r="X128" s="154">
        <f t="shared" si="23"/>
        <v>0</v>
      </c>
      <c r="Y128" s="251">
        <f t="shared" si="23"/>
        <v>0</v>
      </c>
      <c r="Z128" s="251">
        <f t="shared" si="10"/>
        <v>7.9296255650518873E-6</v>
      </c>
    </row>
    <row r="129" spans="1:26" x14ac:dyDescent="0.35">
      <c r="A129" s="1" t="s">
        <v>294</v>
      </c>
      <c r="B129" s="154">
        <f t="shared" si="8"/>
        <v>2.3781486814152874E-9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3.5235955999964389E-8</v>
      </c>
      <c r="L129" s="154">
        <f t="shared" ref="L129:Y129" si="24">L80+L104</f>
        <v>1.5574157254795618E-9</v>
      </c>
      <c r="M129" s="154">
        <f t="shared" si="24"/>
        <v>2.831664955417385E-9</v>
      </c>
      <c r="N129" s="251">
        <f t="shared" si="24"/>
        <v>4.3890806808969467E-9</v>
      </c>
      <c r="O129" s="251">
        <f t="shared" si="24"/>
        <v>7.3571199999999993E-12</v>
      </c>
      <c r="P129" s="154"/>
      <c r="Q129" s="154"/>
      <c r="R129" s="251"/>
      <c r="S129" s="154"/>
      <c r="T129" s="154"/>
      <c r="U129" s="251"/>
      <c r="V129" s="154">
        <f t="shared" si="24"/>
        <v>0</v>
      </c>
      <c r="W129" s="154">
        <f t="shared" si="24"/>
        <v>0</v>
      </c>
      <c r="X129" s="154">
        <f t="shared" si="24"/>
        <v>0</v>
      </c>
      <c r="Y129" s="251">
        <f t="shared" si="24"/>
        <v>0</v>
      </c>
      <c r="Z129" s="251">
        <f t="shared" si="10"/>
        <v>3.963239380086133E-8</v>
      </c>
    </row>
    <row r="130" spans="1:26" x14ac:dyDescent="0.35">
      <c r="A130" s="1" t="s">
        <v>295</v>
      </c>
      <c r="B130" s="154">
        <f t="shared" si="8"/>
        <v>4.4963622028629042E-8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6.4478729242085712E-7</v>
      </c>
      <c r="L130" s="154">
        <f t="shared" ref="L130:Y130" si="25">L81+L105</f>
        <v>9.8472396783713966E-9</v>
      </c>
      <c r="M130" s="154">
        <f t="shared" si="25"/>
        <v>1.790407214249345E-8</v>
      </c>
      <c r="N130" s="251">
        <f t="shared" si="25"/>
        <v>2.7751311820864848E-8</v>
      </c>
      <c r="O130" s="251">
        <f t="shared" si="25"/>
        <v>5.9388800000000003E-7</v>
      </c>
      <c r="P130" s="154"/>
      <c r="Q130" s="154"/>
      <c r="R130" s="251"/>
      <c r="S130" s="154"/>
      <c r="T130" s="154"/>
      <c r="U130" s="251"/>
      <c r="V130" s="154">
        <f t="shared" si="25"/>
        <v>0</v>
      </c>
      <c r="W130" s="154">
        <f t="shared" si="25"/>
        <v>0</v>
      </c>
      <c r="X130" s="154">
        <f t="shared" si="25"/>
        <v>0</v>
      </c>
      <c r="Y130" s="251">
        <f t="shared" si="25"/>
        <v>0</v>
      </c>
      <c r="Z130" s="251">
        <f t="shared" si="10"/>
        <v>1.266426604241722E-6</v>
      </c>
    </row>
    <row r="131" spans="1:26" x14ac:dyDescent="0.35">
      <c r="A131" s="1" t="s">
        <v>296</v>
      </c>
      <c r="B131" s="154">
        <f t="shared" si="8"/>
        <v>3.1413938742966838E-3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4.174544758673622E-2</v>
      </c>
      <c r="L131" s="154">
        <f t="shared" ref="L131:Y131" si="26">L82+L106</f>
        <v>6.5993967225239786E-4</v>
      </c>
      <c r="M131" s="154">
        <f t="shared" si="26"/>
        <v>1.1998903131861781E-3</v>
      </c>
      <c r="N131" s="251">
        <f t="shared" si="26"/>
        <v>1.8598299854385759E-3</v>
      </c>
      <c r="O131" s="251">
        <f t="shared" si="26"/>
        <v>4.4984799999999991E-2</v>
      </c>
      <c r="P131" s="154"/>
      <c r="Q131" s="154"/>
      <c r="R131" s="251"/>
      <c r="S131" s="154"/>
      <c r="T131" s="154"/>
      <c r="U131" s="251"/>
      <c r="V131" s="154">
        <f t="shared" si="26"/>
        <v>0</v>
      </c>
      <c r="W131" s="154">
        <f t="shared" si="26"/>
        <v>0</v>
      </c>
      <c r="X131" s="154">
        <f t="shared" si="26"/>
        <v>0</v>
      </c>
      <c r="Y131" s="251">
        <f t="shared" si="26"/>
        <v>0</v>
      </c>
      <c r="Z131" s="251">
        <f t="shared" si="10"/>
        <v>8.8590077572174797E-2</v>
      </c>
    </row>
    <row r="132" spans="1:26" x14ac:dyDescent="0.35">
      <c r="A132" s="1" t="s">
        <v>297</v>
      </c>
      <c r="B132" s="154">
        <f t="shared" si="8"/>
        <v>0.20530698370635614</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3.057724396773855</v>
      </c>
      <c r="L132" s="154">
        <f t="shared" ref="L132:Y132" si="27">L83+L107</f>
        <v>0.25392572768492161</v>
      </c>
      <c r="M132" s="154">
        <f t="shared" si="27"/>
        <v>0.46168314124531201</v>
      </c>
      <c r="N132" s="251">
        <f t="shared" si="27"/>
        <v>0.71560886893023357</v>
      </c>
      <c r="O132" s="251">
        <f t="shared" si="27"/>
        <v>0.15977359999999999</v>
      </c>
      <c r="P132" s="154"/>
      <c r="Q132" s="154"/>
      <c r="R132" s="251"/>
      <c r="S132" s="154"/>
      <c r="T132" s="154"/>
      <c r="U132" s="251"/>
      <c r="V132" s="154">
        <f t="shared" si="27"/>
        <v>0</v>
      </c>
      <c r="W132" s="154">
        <f t="shared" si="27"/>
        <v>0</v>
      </c>
      <c r="X132" s="154">
        <f t="shared" si="27"/>
        <v>0</v>
      </c>
      <c r="Y132" s="251">
        <f t="shared" si="27"/>
        <v>0</v>
      </c>
      <c r="Z132" s="251">
        <f t="shared" si="10"/>
        <v>3.9331068657040884</v>
      </c>
    </row>
    <row r="133" spans="1:26" x14ac:dyDescent="0.35">
      <c r="K133">
        <f>+SUM(K114:K132)</f>
        <v>444.19212303070401</v>
      </c>
      <c r="N133">
        <f>+SUM(N114:N132)</f>
        <v>10.106269682160319</v>
      </c>
      <c r="O133">
        <f>+SUM(O114:O132)</f>
        <v>1676.3414996832948</v>
      </c>
      <c r="R133">
        <f>+SUM(R114:R132)</f>
        <v>0</v>
      </c>
      <c r="U133">
        <f>+SUM(U114:U132)</f>
        <v>0</v>
      </c>
      <c r="Y133">
        <f>+SUM(Y114:Y132)</f>
        <v>0</v>
      </c>
      <c r="Z133">
        <f>+SUM(Z114:Z132)</f>
        <v>2130.6398923961601</v>
      </c>
    </row>
    <row r="136" spans="1:26" x14ac:dyDescent="0.35">
      <c r="B136" s="205" t="s">
        <v>324</v>
      </c>
      <c r="C136" s="205" t="s">
        <v>325</v>
      </c>
      <c r="D136" s="205" t="s">
        <v>200</v>
      </c>
    </row>
    <row r="137" spans="1:26" x14ac:dyDescent="0.35">
      <c r="A137" s="95" t="s">
        <v>326</v>
      </c>
      <c r="B137" s="1">
        <f>+SUM(E4:W22)</f>
        <v>2130.6398923961592</v>
      </c>
      <c r="C137" s="1">
        <f>+SUM(E28:W46)</f>
        <v>0</v>
      </c>
      <c r="D137" s="1">
        <f>+SUM(E54:W54)</f>
        <v>2130.6398923961597</v>
      </c>
    </row>
    <row r="138" spans="1:26" x14ac:dyDescent="0.35">
      <c r="A138" s="95" t="s">
        <v>327</v>
      </c>
      <c r="B138" s="1">
        <f>+SUM(B65:J83,L65:M83,O65:O83,P65:Q83,S65:T83,V65:X83)</f>
        <v>2130.6398923961583</v>
      </c>
      <c r="C138" s="1">
        <f>+SUM(B89:J107,L89:M107,O89:O107,P89:Q107,S89:T107,V89:X107)</f>
        <v>0</v>
      </c>
      <c r="D138" s="1">
        <f>+SUM(B114:G132,H114:J132,L114:M132,O114:O132,P114:Q132,S114:T132,V114:X132)</f>
        <v>2130.6398923961583</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5.0999999999999997E-2</v>
      </c>
      <c r="D16" s="158">
        <f>Input!$L40</f>
        <v>115</v>
      </c>
      <c r="E16" s="158" t="str">
        <f>Input!$J40</f>
        <v>Truck</v>
      </c>
      <c r="F16" s="158" t="str">
        <f>Input!$K40</f>
        <v>Diesel_Euro6</v>
      </c>
      <c r="G16" s="158" cm="1">
        <f t="array" ref="G16">INDEX(LCI!H$2:H$73, MATCH($E16&amp;$F16, LCI!$B$2:$B$73&amp;LCI!$D$2:$D$73, 0))* IF(AND($E16="Truck", OR($F16="Electric", $F16="Electric_green")), $B$6, 1)* $C16* $D16</f>
        <v>1.38837453E-3</v>
      </c>
      <c r="H16" s="158" cm="1">
        <f t="array" ref="H16">INDEX(LCI!I$2:I$73, MATCH($E16&amp;$F16, LCI!$B$2:$B$73&amp;LCI!$D$2:$D$73, 0))* IF(AND($E16="Truck", OR($F16="Electric", $F16="Electric_green")), $B$6, 1)* $C16* $D16</f>
        <v>0.931038598035</v>
      </c>
      <c r="I16" s="158" cm="1">
        <f t="array" ref="I16">INDEX(LCI!J$2:J$73, MATCH($E16&amp;$F16, LCI!$B$2:$B$73&amp;LCI!$D$2:$D$73, 0))* IF(AND($E16="Truck", OR($F16="Electric", $F16="Electric_green")), $B$6, 1)* $C16* $D16</f>
        <v>4.3512610949999998E-4</v>
      </c>
      <c r="J16" s="158" cm="1">
        <f t="array" ref="J16">INDEX(LCI!K$2:K$73, MATCH($E16&amp;$F16, LCI!$B$2:$B$73&amp;LCI!$D$2:$D$73, 0))* IF(AND($E16="Truck", OR($F16="Electric", $F16="Electric_green")), $B$6, 1)* $C16* $D16</f>
        <v>0.93052941632999997</v>
      </c>
      <c r="K16" s="158" cm="1">
        <f t="array" ref="K16">INDEX(LCI!L$2:L$73, MATCH($E16&amp;$F16, LCI!$B$2:$B$73&amp;LCI!$D$2:$D$73, 0))* IF(AND($E16="Truck", OR($F16="Electric", $F16="Electric_green")), $B$6, 1)* $C16* $D16</f>
        <v>7.4054422499999985E-5</v>
      </c>
      <c r="L16" s="158" cm="1">
        <f t="array" ref="L16">INDEX(LCI!M$2:M$73, MATCH($E16&amp;$F16, LCI!$B$2:$B$73&amp;LCI!$D$2:$D$73, 0))* IF(AND($E16="Truck", OR($F16="Electric", $F16="Electric_green")), $B$6, 1)* $C16* $D16</f>
        <v>0.79965726088499989</v>
      </c>
      <c r="M16" s="158" cm="1">
        <f t="array" ref="M16">INDEX(LCI!N$2:N$73, MATCH($E16&amp;$F16, LCI!$B$2:$B$73&amp;LCI!$D$2:$D$73, 0))* IF(AND($E16="Truck", OR($F16="Electric", $F16="Electric_green")), $B$6, 1)* $C16* $D16</f>
        <v>12.530811557399998</v>
      </c>
      <c r="N16" s="158" cm="1">
        <f t="array" ref="N16">INDEX(LCI!O$2:O$73, MATCH($E16&amp;$F16, LCI!$B$2:$B$73&amp;LCI!$D$2:$D$73, 0))* IF(AND($E16="Truck", OR($F16="Electric", $F16="Electric_green")), $B$6, 1)* $C16* $D16</f>
        <v>2.1716276849999997E-5</v>
      </c>
      <c r="O16" s="158" cm="1">
        <f t="array" ref="O16">INDEX(LCI!P$2:P$73, MATCH($E16&amp;$F16, LCI!$B$2:$B$73&amp;LCI!$D$2:$D$73, 0))* IF(AND($E16="Truck", OR($F16="Electric", $F16="Electric_green")), $B$6, 1)* $C16* $D16</f>
        <v>3.02617578E-4</v>
      </c>
      <c r="P16" s="158" cm="1">
        <f t="array" ref="P16">INDEX(LCI!Q$2:Q$73, MATCH($E16&amp;$F16, LCI!$B$2:$B$73&amp;LCI!$D$2:$D$73, 0))* IF(AND($E16="Truck", OR($F16="Electric", $F16="Electric_green")), $B$6, 1)* $C16* $D16</f>
        <v>3.2755614449999997E-3</v>
      </c>
      <c r="Q16" s="158" cm="1">
        <f t="array" ref="Q16">INDEX(LCI!R$2:R$73, MATCH($E16&amp;$F16, LCI!$B$2:$B$73&amp;LCI!$D$2:$D$73, 0))* IF(AND($E16="Truck", OR($F16="Electric", $F16="Electric_green")), $B$6, 1)* $C16* $D16</f>
        <v>8.2518790499999987E-11</v>
      </c>
      <c r="R16" s="158" cm="1">
        <f t="array" ref="R16">INDEX(LCI!S$2:S$73, MATCH($E16&amp;$F16, LCI!$B$2:$B$73&amp;LCI!$D$2:$D$73, 0))* IF(AND($E16="Truck", OR($F16="Electric", $F16="Electric_green")), $B$6, 1)* $C16* $D16</f>
        <v>6.7141346999999997E-9</v>
      </c>
      <c r="S16" s="158" cm="1">
        <f t="array" ref="S16">INDEX(LCI!T$2:T$73, MATCH($E16&amp;$F16, LCI!$B$2:$B$73&amp;LCI!$D$2:$D$73, 0))* IF(AND($E16="Truck", OR($F16="Electric", $F16="Electric_green")), $B$6, 1)* $C16* $D16</f>
        <v>5.6820471900000001E-3</v>
      </c>
      <c r="T16" s="158" cm="1">
        <f t="array" ref="T16">INDEX(LCI!U$2:U$73, MATCH($E16&amp;$F16, LCI!$B$2:$B$73&amp;LCI!$D$2:$D$73, 0))* IF(AND($E16="Truck", OR($F16="Electric", $F16="Electric_green")), $B$6, 1)* $C16* $D16</f>
        <v>0.79040560460999998</v>
      </c>
      <c r="U16" s="158" cm="1">
        <f t="array" ref="U16">INDEX(LCI!V$2:V$73, MATCH($E16&amp;$F16, LCI!$B$2:$B$73&amp;LCI!$D$2:$D$73, 0))* IF(AND($E16="Truck", OR($F16="Electric", $F16="Electric_green")), $B$6, 1)* $C16* $D16</f>
        <v>1.0271785049999999E-6</v>
      </c>
      <c r="V16" s="158" cm="1">
        <f t="array" ref="V16">INDEX(LCI!W$2:W$73, MATCH($E16&amp;$F16, LCI!$B$2:$B$73&amp;LCI!$D$2:$D$73, 0))* IF(AND($E16="Truck", OR($F16="Electric", $F16="Electric_green")), $B$6, 1)* $C16* $D16</f>
        <v>2.0702394300000001E-8</v>
      </c>
      <c r="W16" s="158" cm="1">
        <f t="array" ref="W16">INDEX(LCI!X$2:X$73, MATCH($E16&amp;$F16, LCI!$B$2:$B$73&amp;LCI!$D$2:$D$73, 0))* IF(AND($E16="Truck", OR($F16="Electric", $F16="Electric_green")), $B$6, 1)* $C16* $D16</f>
        <v>5.7709078049999987E-8</v>
      </c>
      <c r="X16" s="158" cm="1">
        <f t="array" ref="X16">INDEX(LCI!Y$2:Y$73, MATCH($E16&amp;$F16, LCI!$B$2:$B$73&amp;LCI!$D$2:$D$73, 0))* IF(AND($E16="Truck", OR($F16="Electric", $F16="Electric_green")), $B$6, 1)* $C16* $D16</f>
        <v>2.4205793399999995E-3</v>
      </c>
      <c r="Y16" s="158" cm="1">
        <f t="array" ref="Y16">INDEX(LCI!Z$2:Z$73, MATCH($E16&amp;$F16, LCI!$B$2:$B$73&amp;LCI!$D$2:$D$73, 0))* IF(AND($E16="Truck", OR($F16="Electric", $F16="Electric_green")), $B$6, 1)* $C16* $D16</f>
        <v>2.8540198485000001E-2</v>
      </c>
    </row>
    <row r="17" spans="1:25" ht="14" customHeight="1" x14ac:dyDescent="0.35">
      <c r="A17" s="396"/>
      <c r="B17" s="158" t="str">
        <f>Input!A41</f>
        <v>Virgin crushed coarse aggregate 2 (&gt;2 mm)</v>
      </c>
      <c r="C17" s="158">
        <f>+Input!B41</f>
        <v>0.10199999999999999</v>
      </c>
      <c r="D17" s="158">
        <f>Input!$L41</f>
        <v>36</v>
      </c>
      <c r="E17" s="158" t="str">
        <f>Input!$J41</f>
        <v>Barge</v>
      </c>
      <c r="F17" s="158" t="str">
        <f>Input!$K41</f>
        <v>Diesel</v>
      </c>
      <c r="G17" s="158" cm="1">
        <f t="array" ref="G17">INDEX(LCI!H$2:H$73, MATCH($E17&amp;$F17, LCI!$B$2:$B$73&amp;LCI!$D$2:$D$73, 0))* IF(AND($E17="Truck", OR($F17="Electric", $F17="Electric_green")), $B$6, 1)* $C17* $D17</f>
        <v>1.6247862298184473E-3</v>
      </c>
      <c r="H17" s="158" cm="1">
        <f t="array" ref="H17">INDEX(LCI!I$2:I$73, MATCH($E17&amp;$F17, LCI!$B$2:$B$73&amp;LCI!$D$2:$D$73, 0))* IF(AND($E17="Truck", OR($F17="Electric", $F17="Electric_green")), $B$6, 1)* $C17* $D17</f>
        <v>0.18519783000576473</v>
      </c>
      <c r="I17" s="158" cm="1">
        <f t="array" ref="I17">INDEX(LCI!J$2:J$73, MATCH($E17&amp;$F17, LCI!$B$2:$B$73&amp;LCI!$D$2:$D$73, 0))* IF(AND($E17="Truck", OR($F17="Electric", $F17="Electric_green")), $B$6, 1)* $C17* $D17</f>
        <v>5.1011480155331941E-5</v>
      </c>
      <c r="J17" s="158" cm="1">
        <f t="array" ref="J17">INDEX(LCI!K$2:K$73, MATCH($E17&amp;$F17, LCI!$B$2:$B$73&amp;LCI!$D$2:$D$73, 0))* IF(AND($E17="Truck", OR($F17="Electric", $F17="Electric_green")), $B$6, 1)* $C17* $D17</f>
        <v>0.18497505305714801</v>
      </c>
      <c r="K17" s="158" cm="1">
        <f t="array" ref="K17">INDEX(LCI!L$2:L$73, MATCH($E17&amp;$F17, LCI!$B$2:$B$73&amp;LCI!$D$2:$D$73, 0))* IF(AND($E17="Truck", OR($F17="Electric", $F17="Electric_green")), $B$6, 1)* $C17* $D17</f>
        <v>1.7176546846139814E-4</v>
      </c>
      <c r="L17" s="158" cm="1">
        <f t="array" ref="L17">INDEX(LCI!M$2:M$73, MATCH($E17&amp;$F17, LCI!$B$2:$B$73&amp;LCI!$D$2:$D$73, 0))* IF(AND($E17="Truck", OR($F17="Electric", $F17="Electric_green")), $B$6, 1)* $C17* $D17</f>
        <v>0.18750047085982435</v>
      </c>
      <c r="M17" s="158" cm="1">
        <f t="array" ref="M17">INDEX(LCI!N$2:N$73, MATCH($E17&amp;$F17, LCI!$B$2:$B$73&amp;LCI!$D$2:$D$73, 0))* IF(AND($E17="Truck", OR($F17="Electric", $F17="Electric_green")), $B$6, 1)* $C17* $D17</f>
        <v>2.2716112020086956</v>
      </c>
      <c r="N17" s="158" cm="1">
        <f t="array" ref="N17">INDEX(LCI!O$2:O$73, MATCH($E17&amp;$F17, LCI!$B$2:$B$73&amp;LCI!$D$2:$D$73, 0))* IF(AND($E17="Truck", OR($F17="Electric", $F17="Electric_green")), $B$6, 1)* $C17* $D17</f>
        <v>1.6699665145679604E-5</v>
      </c>
      <c r="O17" s="158" cm="1">
        <f t="array" ref="O17">INDEX(LCI!P$2:P$73, MATCH($E17&amp;$F17, LCI!$B$2:$B$73&amp;LCI!$D$2:$D$73, 0))* IF(AND($E17="Truck", OR($F17="Electric", $F17="Electric_green")), $B$6, 1)* $C17* $D17</f>
        <v>7.3661954525309809E-4</v>
      </c>
      <c r="P17" s="158" cm="1">
        <f t="array" ref="P17">INDEX(LCI!Q$2:Q$73, MATCH($E17&amp;$F17, LCI!$B$2:$B$73&amp;LCI!$D$2:$D$73, 0))* IF(AND($E17="Truck", OR($F17="Electric", $F17="Electric_green")), $B$6, 1)* $C17* $D17</f>
        <v>8.0540798506571181E-3</v>
      </c>
      <c r="Q17" s="158" cm="1">
        <f t="array" ref="Q17">INDEX(LCI!R$2:R$73, MATCH($E17&amp;$F17, LCI!$B$2:$B$73&amp;LCI!$D$2:$D$73, 0))* IF(AND($E17="Truck", OR($F17="Electric", $F17="Electric_green")), $B$6, 1)* $C17* $D17</f>
        <v>2.5001171277620217E-11</v>
      </c>
      <c r="R17" s="158" cm="1">
        <f t="array" ref="R17">INDEX(LCI!S$2:S$73, MATCH($E17&amp;$F17, LCI!$B$2:$B$73&amp;LCI!$D$2:$D$73, 0))* IF(AND($E17="Truck", OR($F17="Electric", $F17="Electric_green")), $B$6, 1)* $C17* $D17</f>
        <v>5.5218628410840448E-10</v>
      </c>
      <c r="S17" s="158" cm="1">
        <f t="array" ref="S17">INDEX(LCI!T$2:T$73, MATCH($E17&amp;$F17, LCI!$B$2:$B$73&amp;LCI!$D$2:$D$73, 0))* IF(AND($E17="Truck", OR($F17="Electric", $F17="Electric_green")), $B$6, 1)* $C17* $D17</f>
        <v>6.213784053942675E-3</v>
      </c>
      <c r="T17" s="158" cm="1">
        <f t="array" ref="T17">INDEX(LCI!U$2:U$73, MATCH($E17&amp;$F17, LCI!$B$2:$B$73&amp;LCI!$D$2:$D$73, 0))* IF(AND($E17="Truck", OR($F17="Electric", $F17="Electric_green")), $B$6, 1)* $C17* $D17</f>
        <v>1.5162181669276988</v>
      </c>
      <c r="U17" s="158" cm="1">
        <f t="array" ref="U17">INDEX(LCI!V$2:V$73, MATCH($E17&amp;$F17, LCI!$B$2:$B$73&amp;LCI!$D$2:$D$73, 0))* IF(AND($E17="Truck", OR($F17="Electric", $F17="Electric_green")), $B$6, 1)* $C17* $D17</f>
        <v>2.5515884831854344E-7</v>
      </c>
      <c r="V17" s="158" cm="1">
        <f t="array" ref="V17">INDEX(LCI!W$2:W$73, MATCH($E17&amp;$F17, LCI!$B$2:$B$73&amp;LCI!$D$2:$D$73, 0))* IF(AND($E17="Truck", OR($F17="Electric", $F17="Electric_green")), $B$6, 1)* $C17* $D17</f>
        <v>3.4287732602715654E-9</v>
      </c>
      <c r="W17" s="158" cm="1">
        <f t="array" ref="W17">INDEX(LCI!X$2:X$73, MATCH($E17&amp;$F17, LCI!$B$2:$B$73&amp;LCI!$D$2:$D$73, 0))* IF(AND($E17="Truck", OR($F17="Electric", $F17="Electric_green")), $B$6, 1)* $C17* $D17</f>
        <v>3.9102523074275609E-9</v>
      </c>
      <c r="X17" s="158" cm="1">
        <f t="array" ref="X17">INDEX(LCI!Y$2:Y$73, MATCH($E17&amp;$F17, LCI!$B$2:$B$73&amp;LCI!$D$2:$D$73, 0))* IF(AND($E17="Truck", OR($F17="Electric", $F17="Electric_green")), $B$6, 1)* $C17* $D17</f>
        <v>2.251772890296766E-3</v>
      </c>
      <c r="Y17" s="158" cm="1">
        <f t="array" ref="Y17">INDEX(LCI!Z$2:Z$73, MATCH($E17&amp;$F17, LCI!$B$2:$B$73&amp;LCI!$D$2:$D$73, 0))* IF(AND($E17="Truck", OR($F17="Electric", $F17="Electric_green")), $B$6, 1)* $C17* $D17</f>
        <v>1.7562677442435389E-2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32</v>
      </c>
      <c r="E22" s="158" t="str">
        <f>Input!$J46</f>
        <v>Barge</v>
      </c>
      <c r="F22" s="158" t="str">
        <f>Input!$K46</f>
        <v>Diesel</v>
      </c>
      <c r="G22" s="158" cm="1">
        <f t="array" ref="G22">INDEX(LCI!H$2:H$73, MATCH($E22&amp;$F22, LCI!$B$2:$B$73&amp;LCI!$D$2:$D$73, 0))* IF(AND($E22="Truck", OR($F22="Electric", $F22="Electric_green")), $B$6, 1)* $C22* $D22</f>
        <v>2.16638163975793E-3</v>
      </c>
      <c r="H22" s="158" cm="1">
        <f t="array" ref="H22">INDEX(LCI!I$2:I$73, MATCH($E22&amp;$F22, LCI!$B$2:$B$73&amp;LCI!$D$2:$D$73, 0))* IF(AND($E22="Truck", OR($F22="Electric", $F22="Electric_green")), $B$6, 1)* $C22* $D22</f>
        <v>0.24693044000768632</v>
      </c>
      <c r="I22" s="158" cm="1">
        <f t="array" ref="I22">INDEX(LCI!J$2:J$73, MATCH($E22&amp;$F22, LCI!$B$2:$B$73&amp;LCI!$D$2:$D$73, 0))* IF(AND($E22="Truck", OR($F22="Electric", $F22="Electric_green")), $B$6, 1)* $C22* $D22</f>
        <v>6.8015306873775921E-5</v>
      </c>
      <c r="J22" s="158" cm="1">
        <f t="array" ref="J22">INDEX(LCI!K$2:K$73, MATCH($E22&amp;$F22, LCI!$B$2:$B$73&amp;LCI!$D$2:$D$73, 0))* IF(AND($E22="Truck", OR($F22="Electric", $F22="Electric_green")), $B$6, 1)* $C22* $D22</f>
        <v>0.24663340407619738</v>
      </c>
      <c r="K22" s="158" cm="1">
        <f t="array" ref="K22">INDEX(LCI!L$2:L$73, MATCH($E22&amp;$F22, LCI!$B$2:$B$73&amp;LCI!$D$2:$D$73, 0))* IF(AND($E22="Truck", OR($F22="Electric", $F22="Electric_green")), $B$6, 1)* $C22* $D22</f>
        <v>2.2902062461519754E-4</v>
      </c>
      <c r="L22" s="158" cm="1">
        <f t="array" ref="L22">INDEX(LCI!M$2:M$73, MATCH($E22&amp;$F22, LCI!$B$2:$B$73&amp;LCI!$D$2:$D$73, 0))* IF(AND($E22="Truck", OR($F22="Electric", $F22="Electric_green")), $B$6, 1)* $C22* $D22</f>
        <v>0.25000062781309912</v>
      </c>
      <c r="M22" s="158" cm="1">
        <f t="array" ref="M22">INDEX(LCI!N$2:N$73, MATCH($E22&amp;$F22, LCI!$B$2:$B$73&amp;LCI!$D$2:$D$73, 0))* IF(AND($E22="Truck", OR($F22="Electric", $F22="Electric_green")), $B$6, 1)* $C22* $D22</f>
        <v>3.0288149360115946</v>
      </c>
      <c r="N22" s="158" cm="1">
        <f t="array" ref="N22">INDEX(LCI!O$2:O$73, MATCH($E22&amp;$F22, LCI!$B$2:$B$73&amp;LCI!$D$2:$D$73, 0))* IF(AND($E22="Truck", OR($F22="Electric", $F22="Electric_green")), $B$6, 1)* $C22* $D22</f>
        <v>2.2266220194239469E-5</v>
      </c>
      <c r="O22" s="158" cm="1">
        <f t="array" ref="O22">INDEX(LCI!P$2:P$73, MATCH($E22&amp;$F22, LCI!$B$2:$B$73&amp;LCI!$D$2:$D$73, 0))* IF(AND($E22="Truck", OR($F22="Electric", $F22="Electric_green")), $B$6, 1)* $C22* $D22</f>
        <v>9.8215939367079738E-4</v>
      </c>
      <c r="P22" s="158" cm="1">
        <f t="array" ref="P22">INDEX(LCI!Q$2:Q$73, MATCH($E22&amp;$F22, LCI!$B$2:$B$73&amp;LCI!$D$2:$D$73, 0))* IF(AND($E22="Truck", OR($F22="Electric", $F22="Electric_green")), $B$6, 1)* $C22* $D22</f>
        <v>1.0738773134209489E-2</v>
      </c>
      <c r="Q22" s="158" cm="1">
        <f t="array" ref="Q22">INDEX(LCI!R$2:R$73, MATCH($E22&amp;$F22, LCI!$B$2:$B$73&amp;LCI!$D$2:$D$73, 0))* IF(AND($E22="Truck", OR($F22="Electric", $F22="Electric_green")), $B$6, 1)* $C22* $D22</f>
        <v>3.3334895036826958E-11</v>
      </c>
      <c r="R22" s="158" cm="1">
        <f t="array" ref="R22">INDEX(LCI!S$2:S$73, MATCH($E22&amp;$F22, LCI!$B$2:$B$73&amp;LCI!$D$2:$D$73, 0))* IF(AND($E22="Truck", OR($F22="Electric", $F22="Electric_green")), $B$6, 1)* $C22* $D22</f>
        <v>7.3624837881120605E-10</v>
      </c>
      <c r="S22" s="158" cm="1">
        <f t="array" ref="S22">INDEX(LCI!T$2:T$73, MATCH($E22&amp;$F22, LCI!$B$2:$B$73&amp;LCI!$D$2:$D$73, 0))* IF(AND($E22="Truck", OR($F22="Electric", $F22="Electric_green")), $B$6, 1)* $C22* $D22</f>
        <v>8.2850454052569005E-3</v>
      </c>
      <c r="T22" s="158" cm="1">
        <f t="array" ref="T22">INDEX(LCI!U$2:U$73, MATCH($E22&amp;$F22, LCI!$B$2:$B$73&amp;LCI!$D$2:$D$73, 0))* IF(AND($E22="Truck", OR($F22="Electric", $F22="Electric_green")), $B$6, 1)* $C22* $D22</f>
        <v>2.021624222570265</v>
      </c>
      <c r="U22" s="158" cm="1">
        <f t="array" ref="U22">INDEX(LCI!V$2:V$73, MATCH($E22&amp;$F22, LCI!$B$2:$B$73&amp;LCI!$D$2:$D$73, 0))* IF(AND($E22="Truck", OR($F22="Electric", $F22="Electric_green")), $B$6, 1)* $C22* $D22</f>
        <v>3.4021179775805797E-7</v>
      </c>
      <c r="V22" s="158" cm="1">
        <f t="array" ref="V22">INDEX(LCI!W$2:W$73, MATCH($E22&amp;$F22, LCI!$B$2:$B$73&amp;LCI!$D$2:$D$73, 0))* IF(AND($E22="Truck", OR($F22="Electric", $F22="Electric_green")), $B$6, 1)* $C22* $D22</f>
        <v>4.571697680362087E-9</v>
      </c>
      <c r="W22" s="158" cm="1">
        <f t="array" ref="W22">INDEX(LCI!X$2:X$73, MATCH($E22&amp;$F22, LCI!$B$2:$B$73&amp;LCI!$D$2:$D$73, 0))* IF(AND($E22="Truck", OR($F22="Electric", $F22="Electric_green")), $B$6, 1)* $C22* $D22</f>
        <v>5.2136697432367482E-9</v>
      </c>
      <c r="X22" s="158" cm="1">
        <f t="array" ref="X22">INDEX(LCI!Y$2:Y$73, MATCH($E22&amp;$F22, LCI!$B$2:$B$73&amp;LCI!$D$2:$D$73, 0))* IF(AND($E22="Truck", OR($F22="Electric", $F22="Electric_green")), $B$6, 1)* $C22* $D22</f>
        <v>3.0023638537290212E-3</v>
      </c>
      <c r="Y22" s="158" cm="1">
        <f t="array" ref="Y22">INDEX(LCI!Z$2:Z$73, MATCH($E22&amp;$F22, LCI!$B$2:$B$73&amp;LCI!$D$2:$D$73, 0))* IF(AND($E22="Truck", OR($F22="Electric", $F22="Electric_green")), $B$6, 1)* $C22* $D22</f>
        <v>2.341690325658052E-2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0</v>
      </c>
      <c r="E25" s="158" t="str">
        <f>Input!$J49</f>
        <v>Truck</v>
      </c>
      <c r="F25" s="158" t="str">
        <f>Input!$K49</f>
        <v>Diesel_Euro6</v>
      </c>
      <c r="G25" s="158" cm="1">
        <f t="array" ref="G25">INDEX(LCI!H$2:H$73, MATCH($E25&amp;$F25, LCI!$B$2:$B$73&amp;LCI!$D$2:$D$73, 0))* IF(AND($E25="Truck", OR($F25="Electric", $F25="Electric_green")), $B$6, 1)* $C25* $D25</f>
        <v>0</v>
      </c>
      <c r="H25" s="158" cm="1">
        <f t="array" ref="H25">INDEX(LCI!I$2:I$73, MATCH($E25&amp;$F25, LCI!$B$2:$B$73&amp;LCI!$D$2:$D$73, 0))* IF(AND($E25="Truck", OR($F25="Electric", $F25="Electric_green")), $B$6, 1)* $C25* $D25</f>
        <v>0</v>
      </c>
      <c r="I25" s="158" cm="1">
        <f t="array" ref="I25">INDEX(LCI!J$2:J$73, MATCH($E25&amp;$F25, LCI!$B$2:$B$73&amp;LCI!$D$2:$D$73, 0))* IF(AND($E25="Truck", OR($F25="Electric", $F25="Electric_green")), $B$6, 1)* $C25* $D25</f>
        <v>0</v>
      </c>
      <c r="J25" s="158" cm="1">
        <f t="array" ref="J25">INDEX(LCI!K$2:K$73, MATCH($E25&amp;$F25, LCI!$B$2:$B$73&amp;LCI!$D$2:$D$73, 0))* IF(AND($E25="Truck", OR($F25="Electric", $F25="Electric_green")), $B$6, 1)* $C25* $D25</f>
        <v>0</v>
      </c>
      <c r="K25" s="158" cm="1">
        <f t="array" ref="K25">INDEX(LCI!L$2:L$73, MATCH($E25&amp;$F25, LCI!$B$2:$B$73&amp;LCI!$D$2:$D$73, 0))* IF(AND($E25="Truck", OR($F25="Electric", $F25="Electric_green")), $B$6, 1)* $C25* $D25</f>
        <v>0</v>
      </c>
      <c r="L25" s="158" cm="1">
        <f t="array" ref="L25">INDEX(LCI!M$2:M$73, MATCH($E25&amp;$F25, LCI!$B$2:$B$73&amp;LCI!$D$2:$D$73, 0))* IF(AND($E25="Truck", OR($F25="Electric", $F25="Electric_green")), $B$6, 1)* $C25* $D25</f>
        <v>0</v>
      </c>
      <c r="M25" s="158" cm="1">
        <f t="array" ref="M25">INDEX(LCI!N$2:N$73, MATCH($E25&amp;$F25, LCI!$B$2:$B$73&amp;LCI!$D$2:$D$73, 0))* IF(AND($E25="Truck", OR($F25="Electric", $F25="Electric_green")), $B$6, 1)* $C25* $D25</f>
        <v>0</v>
      </c>
      <c r="N25" s="158" cm="1">
        <f t="array" ref="N25">INDEX(LCI!O$2:O$73, MATCH($E25&amp;$F25, LCI!$B$2:$B$73&amp;LCI!$D$2:$D$73, 0))* IF(AND($E25="Truck", OR($F25="Electric", $F25="Electric_green")), $B$6, 1)* $C25* $D25</f>
        <v>0</v>
      </c>
      <c r="O25" s="158" cm="1">
        <f t="array" ref="O25">INDEX(LCI!P$2:P$73, MATCH($E25&amp;$F25, LCI!$B$2:$B$73&amp;LCI!$D$2:$D$73, 0))* IF(AND($E25="Truck", OR($F25="Electric", $F25="Electric_green")), $B$6, 1)* $C25* $D25</f>
        <v>0</v>
      </c>
      <c r="P25" s="158" cm="1">
        <f t="array" ref="P25">INDEX(LCI!Q$2:Q$73, MATCH($E25&amp;$F25, LCI!$B$2:$B$73&amp;LCI!$D$2:$D$73, 0))* IF(AND($E25="Truck", OR($F25="Electric", $F25="Electric_green")), $B$6, 1)* $C25* $D25</f>
        <v>0</v>
      </c>
      <c r="Q25" s="158" cm="1">
        <f t="array" ref="Q25">INDEX(LCI!R$2:R$73, MATCH($E25&amp;$F25, LCI!$B$2:$B$73&amp;LCI!$D$2:$D$73, 0))* IF(AND($E25="Truck", OR($F25="Electric", $F25="Electric_green")), $B$6, 1)* $C25* $D25</f>
        <v>0</v>
      </c>
      <c r="R25" s="158" cm="1">
        <f t="array" ref="R25">INDEX(LCI!S$2:S$73, MATCH($E25&amp;$F25, LCI!$B$2:$B$73&amp;LCI!$D$2:$D$73, 0))* IF(AND($E25="Truck", OR($F25="Electric", $F25="Electric_green")), $B$6, 1)* $C25* $D25</f>
        <v>0</v>
      </c>
      <c r="S25" s="158" cm="1">
        <f t="array" ref="S25">INDEX(LCI!T$2:T$73, MATCH($E25&amp;$F25, LCI!$B$2:$B$73&amp;LCI!$D$2:$D$73, 0))* IF(AND($E25="Truck", OR($F25="Electric", $F25="Electric_green")), $B$6, 1)* $C25* $D25</f>
        <v>0</v>
      </c>
      <c r="T25" s="158" cm="1">
        <f t="array" ref="T25">INDEX(LCI!U$2:U$73, MATCH($E25&amp;$F25, LCI!$B$2:$B$73&amp;LCI!$D$2:$D$73, 0))* IF(AND($E25="Truck", OR($F25="Electric", $F25="Electric_green")), $B$6, 1)* $C25* $D25</f>
        <v>0</v>
      </c>
      <c r="U25" s="158" cm="1">
        <f t="array" ref="U25">INDEX(LCI!V$2:V$73, MATCH($E25&amp;$F25, LCI!$B$2:$B$73&amp;LCI!$D$2:$D$73, 0))* IF(AND($E25="Truck", OR($F25="Electric", $F25="Electric_green")), $B$6, 1)* $C25* $D25</f>
        <v>0</v>
      </c>
      <c r="V25" s="158" cm="1">
        <f t="array" ref="V25">INDEX(LCI!W$2:W$73, MATCH($E25&amp;$F25, LCI!$B$2:$B$73&amp;LCI!$D$2:$D$73, 0))* IF(AND($E25="Truck", OR($F25="Electric", $F25="Electric_green")), $B$6, 1)* $C25* $D25</f>
        <v>0</v>
      </c>
      <c r="W25" s="158" cm="1">
        <f t="array" ref="W25">INDEX(LCI!X$2:X$73, MATCH($E25&amp;$F25, LCI!$B$2:$B$73&amp;LCI!$D$2:$D$73, 0))* IF(AND($E25="Truck", OR($F25="Electric", $F25="Electric_green")), $B$6, 1)* $C25* $D25</f>
        <v>0</v>
      </c>
      <c r="X25" s="158" cm="1">
        <f t="array" ref="X25">INDEX(LCI!Y$2:Y$73, MATCH($E25&amp;$F25, LCI!$B$2:$B$73&amp;LCI!$D$2:$D$73, 0))* IF(AND($E25="Truck", OR($F25="Electric", $F25="Electric_green")), $B$6, 1)* $C25* $D25</f>
        <v>0</v>
      </c>
      <c r="Y25" s="158" cm="1">
        <f t="array" ref="Y25">INDEX(LCI!Z$2:Z$73, MATCH($E25&amp;$F25, LCI!$B$2:$B$73&amp;LCI!$D$2:$D$73, 0))* IF(AND($E25="Truck", OR($F25="Electric", $F25="Electric_green")), $B$6, 1)* $C25* $D25</f>
        <v>0</v>
      </c>
    </row>
    <row r="26" spans="1:25" ht="14" customHeight="1" x14ac:dyDescent="0.35">
      <c r="A26" s="399"/>
      <c r="B26" s="158" t="str">
        <f>Input!A50</f>
        <v>Filler 2</v>
      </c>
      <c r="C26" s="158">
        <f>+Input!B50</f>
        <v>0.01</v>
      </c>
      <c r="D26" s="158">
        <f>Input!$L50</f>
        <v>0</v>
      </c>
      <c r="E26" s="158" t="str">
        <f>Input!$J50</f>
        <v>Truck</v>
      </c>
      <c r="F26" s="158" t="str">
        <f>Input!$K50</f>
        <v>Diesel_Euro6</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2E-3</v>
      </c>
      <c r="D31" s="158">
        <f>Input!$L55</f>
        <v>1239</v>
      </c>
      <c r="E31" s="158" t="str">
        <f>Input!$J55</f>
        <v>Truck</v>
      </c>
      <c r="F31" s="158" t="str">
        <f>Input!$K55</f>
        <v>Diesel_Euro6</v>
      </c>
      <c r="G31" s="158" cm="1">
        <f t="array" ref="G31">INDEX(LCI!H$2:H$73, MATCH($E31&amp;$F31, LCI!$B$2:$B$73&amp;LCI!$D$2:$D$73, 0))* IF(AND($E31="Truck", OR($F31="Electric", $F31="Electric_green")), $B$6, 1)* $C31* $D31</f>
        <v>5.8659711599999998E-4</v>
      </c>
      <c r="H31" s="158" cm="1">
        <f t="array" ref="H31">INDEX(LCI!I$2:I$73, MATCH($E31&amp;$F31, LCI!$B$2:$B$73&amp;LCI!$D$2:$D$73, 0))* IF(AND($E31="Truck", OR($F31="Electric", $F31="Electric_green")), $B$6, 1)* $C31* $D31</f>
        <v>0.39336976060199996</v>
      </c>
      <c r="I31" s="158" cm="1">
        <f t="array" ref="I31">INDEX(LCI!J$2:J$73, MATCH($E31&amp;$F31, LCI!$B$2:$B$73&amp;LCI!$D$2:$D$73, 0))* IF(AND($E31="Truck", OR($F31="Electric", $F31="Electric_green")), $B$6, 1)* $C31* $D31</f>
        <v>1.8384356340000001E-4</v>
      </c>
      <c r="J31" s="158" cm="1">
        <f t="array" ref="J31">INDEX(LCI!K$2:K$73, MATCH($E31&amp;$F31, LCI!$B$2:$B$73&amp;LCI!$D$2:$D$73, 0))* IF(AND($E31="Truck", OR($F31="Electric", $F31="Electric_green")), $B$6, 1)* $C31* $D31</f>
        <v>0.39315462807599999</v>
      </c>
      <c r="K31" s="158" cm="1">
        <f t="array" ref="K31">INDEX(LCI!L$2:L$73, MATCH($E31&amp;$F31, LCI!$B$2:$B$73&amp;LCI!$D$2:$D$73, 0))* IF(AND($E31="Truck", OR($F31="Electric", $F31="Electric_green")), $B$6, 1)* $C31* $D31</f>
        <v>3.1288467E-5</v>
      </c>
      <c r="L31" s="158" cm="1">
        <f t="array" ref="L31">INDEX(LCI!M$2:M$73, MATCH($E31&amp;$F31, LCI!$B$2:$B$73&amp;LCI!$D$2:$D$73, 0))* IF(AND($E31="Truck", OR($F31="Electric", $F31="Electric_green")), $B$6, 1)* $C31* $D31</f>
        <v>0.33786030562200003</v>
      </c>
      <c r="M31" s="158" cm="1">
        <f t="array" ref="M31">INDEX(LCI!N$2:N$73, MATCH($E31&amp;$F31, LCI!$B$2:$B$73&amp;LCI!$D$2:$D$73, 0))* IF(AND($E31="Truck", OR($F31="Electric", $F31="Electric_green")), $B$6, 1)* $C31* $D31</f>
        <v>5.2943480032800005</v>
      </c>
      <c r="N31" s="158" cm="1">
        <f t="array" ref="N31">INDEX(LCI!O$2:O$73, MATCH($E31&amp;$F31, LCI!$B$2:$B$73&amp;LCI!$D$2:$D$73, 0))* IF(AND($E31="Truck", OR($F31="Electric", $F31="Electric_green")), $B$6, 1)* $C31* $D31</f>
        <v>9.1752658200000002E-6</v>
      </c>
      <c r="O31" s="158" cm="1">
        <f t="array" ref="O31">INDEX(LCI!P$2:P$73, MATCH($E31&amp;$F31, LCI!$B$2:$B$73&amp;LCI!$D$2:$D$73, 0))* IF(AND($E31="Truck", OR($F31="Electric", $F31="Electric_green")), $B$6, 1)* $C31* $D31</f>
        <v>1.278578616E-4</v>
      </c>
      <c r="P31" s="158" cm="1">
        <f t="array" ref="P31">INDEX(LCI!Q$2:Q$73, MATCH($E31&amp;$F31, LCI!$B$2:$B$73&amp;LCI!$D$2:$D$73, 0))* IF(AND($E31="Truck", OR($F31="Electric", $F31="Electric_green")), $B$6, 1)* $C31* $D31</f>
        <v>1.3839456539999999E-3</v>
      </c>
      <c r="Q31" s="158" cm="1">
        <f t="array" ref="Q31">INDEX(LCI!R$2:R$73, MATCH($E31&amp;$F31, LCI!$B$2:$B$73&amp;LCI!$D$2:$D$73, 0))* IF(AND($E31="Truck", OR($F31="Electric", $F31="Electric_green")), $B$6, 1)* $C31* $D31</f>
        <v>3.4864716599999999E-11</v>
      </c>
      <c r="R31" s="158" cm="1">
        <f t="array" ref="R31">INDEX(LCI!S$2:S$73, MATCH($E31&amp;$F31, LCI!$B$2:$B$73&amp;LCI!$D$2:$D$73, 0))* IF(AND($E31="Truck", OR($F31="Electric", $F31="Electric_green")), $B$6, 1)* $C31* $D31</f>
        <v>2.8367648400000001E-9</v>
      </c>
      <c r="S31" s="158" cm="1">
        <f t="array" ref="S31">INDEX(LCI!T$2:T$73, MATCH($E31&amp;$F31, LCI!$B$2:$B$73&amp;LCI!$D$2:$D$73, 0))* IF(AND($E31="Truck", OR($F31="Electric", $F31="Electric_green")), $B$6, 1)* $C31* $D31</f>
        <v>2.4007012680000001E-3</v>
      </c>
      <c r="T31" s="158" cm="1">
        <f t="array" ref="T31">INDEX(LCI!U$2:U$73, MATCH($E31&amp;$F31, LCI!$B$2:$B$73&amp;LCI!$D$2:$D$73, 0))* IF(AND($E31="Truck", OR($F31="Electric", $F31="Electric_green")), $B$6, 1)* $C31* $D31</f>
        <v>0.33395142169200004</v>
      </c>
      <c r="U31" s="158" cm="1">
        <f t="array" ref="U31">INDEX(LCI!V$2:V$73, MATCH($E31&amp;$F31, LCI!$B$2:$B$73&amp;LCI!$D$2:$D$73, 0))* IF(AND($E31="Truck", OR($F31="Electric", $F31="Electric_green")), $B$6, 1)* $C31* $D31</f>
        <v>4.3398948600000003E-7</v>
      </c>
      <c r="V31" s="158" cm="1">
        <f t="array" ref="V31">INDEX(LCI!W$2:W$73, MATCH($E31&amp;$F31, LCI!$B$2:$B$73&amp;LCI!$D$2:$D$73, 0))* IF(AND($E31="Truck", OR($F31="Electric", $F31="Electric_green")), $B$6, 1)* $C31* $D31</f>
        <v>8.7468939600000005E-9</v>
      </c>
      <c r="W31" s="158" cm="1">
        <f t="array" ref="W31">INDEX(LCI!X$2:X$73, MATCH($E31&amp;$F31, LCI!$B$2:$B$73&amp;LCI!$D$2:$D$73, 0))* IF(AND($E31="Truck", OR($F31="Electric", $F31="Electric_green")), $B$6, 1)* $C31* $D31</f>
        <v>2.4382454459999998E-8</v>
      </c>
      <c r="X31" s="158" cm="1">
        <f t="array" ref="X31">INDEX(LCI!Y$2:Y$73, MATCH($E31&amp;$F31, LCI!$B$2:$B$73&amp;LCI!$D$2:$D$73, 0))* IF(AND($E31="Truck", OR($F31="Electric", $F31="Electric_green")), $B$6, 1)* $C31* $D31</f>
        <v>1.0227102479999999E-3</v>
      </c>
      <c r="Y31" s="158" cm="1">
        <f t="array" ref="Y31">INDEX(LCI!Z$2:Z$73, MATCH($E31&amp;$F31, LCI!$B$2:$B$73&amp;LCI!$D$2:$D$73, 0))* IF(AND($E31="Truck", OR($F31="Electric", $F31="Electric_green")), $B$6, 1)* $C31* $D31</f>
        <v>1.2058416342E-2</v>
      </c>
    </row>
    <row r="32" spans="1:25" ht="14" customHeight="1" x14ac:dyDescent="0.35">
      <c r="A32" s="401"/>
      <c r="B32" s="158" t="str">
        <f>Input!A56</f>
        <v>Additive 2</v>
      </c>
      <c r="C32" s="158">
        <f>+Input!B56</f>
        <v>2.9999999999999997E-4</v>
      </c>
      <c r="D32" s="158">
        <f>Input!$L56</f>
        <v>2025</v>
      </c>
      <c r="E32" s="158" t="str">
        <f>Input!$J56</f>
        <v>Truck</v>
      </c>
      <c r="F32" s="158" t="str">
        <f>Input!$K56</f>
        <v>Diesel_Euro6</v>
      </c>
      <c r="G32" s="158" cm="1">
        <f t="array" ref="G32">INDEX(LCI!H$2:H$73, MATCH($E32&amp;$F32, LCI!$B$2:$B$73&amp;LCI!$D$2:$D$73, 0))* IF(AND($E32="Truck", OR($F32="Electric", $F32="Electric_green")), $B$6, 1)* $C32* $D32</f>
        <v>1.43808615E-4</v>
      </c>
      <c r="H32" s="158" cm="1">
        <f t="array" ref="H32">INDEX(LCI!I$2:I$73, MATCH($E32&amp;$F32, LCI!$B$2:$B$73&amp;LCI!$D$2:$D$73, 0))* IF(AND($E32="Truck", OR($F32="Electric", $F32="Electric_green")), $B$6, 1)* $C32* $D32</f>
        <v>9.6437501842499981E-2</v>
      </c>
      <c r="I32" s="158" cm="1">
        <f t="array" ref="I32">INDEX(LCI!J$2:J$73, MATCH($E32&amp;$F32, LCI!$B$2:$B$73&amp;LCI!$D$2:$D$73, 0))* IF(AND($E32="Truck", OR($F32="Electric", $F32="Electric_green")), $B$6, 1)* $C32* $D32</f>
        <v>4.5070607249999993E-5</v>
      </c>
      <c r="J32" s="158" cm="1">
        <f t="array" ref="J32">INDEX(LCI!K$2:K$73, MATCH($E32&amp;$F32, LCI!$B$2:$B$73&amp;LCI!$D$2:$D$73, 0))* IF(AND($E32="Truck", OR($F32="Electric", $F32="Electric_green")), $B$6, 1)* $C32* $D32</f>
        <v>9.6384760514999987E-2</v>
      </c>
      <c r="K32" s="158" cm="1">
        <f t="array" ref="K32">INDEX(LCI!L$2:L$73, MATCH($E32&amp;$F32, LCI!$B$2:$B$73&amp;LCI!$D$2:$D$73, 0))* IF(AND($E32="Truck", OR($F32="Electric", $F32="Electric_green")), $B$6, 1)* $C32* $D32</f>
        <v>7.6705987499999989E-6</v>
      </c>
      <c r="L32" s="158" cm="1">
        <f t="array" ref="L32">INDEX(LCI!M$2:M$73, MATCH($E32&amp;$F32, LCI!$B$2:$B$73&amp;LCI!$D$2:$D$73, 0))* IF(AND($E32="Truck", OR($F32="Electric", $F32="Electric_green")), $B$6, 1)* $C32* $D32</f>
        <v>8.2828949017499987E-2</v>
      </c>
      <c r="M32" s="158" cm="1">
        <f t="array" ref="M32">INDEX(LCI!N$2:N$73, MATCH($E32&amp;$F32, LCI!$B$2:$B$73&amp;LCI!$D$2:$D$73, 0))* IF(AND($E32="Truck", OR($F32="Electric", $F32="Electric_green")), $B$6, 1)* $C32* $D32</f>
        <v>1.2979485116999998</v>
      </c>
      <c r="N32" s="158" cm="1">
        <f t="array" ref="N32">INDEX(LCI!O$2:O$73, MATCH($E32&amp;$F32, LCI!$B$2:$B$73&amp;LCI!$D$2:$D$73, 0))* IF(AND($E32="Truck", OR($F32="Electric", $F32="Electric_green")), $B$6, 1)* $C32* $D32</f>
        <v>2.2493841749999999E-6</v>
      </c>
      <c r="O32" s="158" cm="1">
        <f t="array" ref="O32">INDEX(LCI!P$2:P$73, MATCH($E32&amp;$F32, LCI!$B$2:$B$73&amp;LCI!$D$2:$D$73, 0))* IF(AND($E32="Truck", OR($F32="Electric", $F32="Electric_green")), $B$6, 1)* $C32* $D32</f>
        <v>3.1345299000000004E-5</v>
      </c>
      <c r="P32" s="158" cm="1">
        <f t="array" ref="P32">INDEX(LCI!Q$2:Q$73, MATCH($E32&amp;$F32, LCI!$B$2:$B$73&amp;LCI!$D$2:$D$73, 0))* IF(AND($E32="Truck", OR($F32="Electric", $F32="Electric_green")), $B$6, 1)* $C32* $D32</f>
        <v>3.3928449749999994E-4</v>
      </c>
      <c r="Q32" s="158" cm="1">
        <f t="array" ref="Q32">INDEX(LCI!R$2:R$73, MATCH($E32&amp;$F32, LCI!$B$2:$B$73&amp;LCI!$D$2:$D$73, 0))* IF(AND($E32="Truck", OR($F32="Electric", $F32="Electric_green")), $B$6, 1)* $C32* $D32</f>
        <v>8.5473427499999982E-12</v>
      </c>
      <c r="R32" s="158" cm="1">
        <f t="array" ref="R32">INDEX(LCI!S$2:S$73, MATCH($E32&amp;$F32, LCI!$B$2:$B$73&amp;LCI!$D$2:$D$73, 0))* IF(AND($E32="Truck", OR($F32="Electric", $F32="Electric_green")), $B$6, 1)* $C32* $D32</f>
        <v>6.954538499999999E-10</v>
      </c>
      <c r="S32" s="158" cm="1">
        <f t="array" ref="S32">INDEX(LCI!T$2:T$73, MATCH($E32&amp;$F32, LCI!$B$2:$B$73&amp;LCI!$D$2:$D$73, 0))* IF(AND($E32="Truck", OR($F32="Electric", $F32="Electric_green")), $B$6, 1)* $C32* $D32</f>
        <v>5.8854964499999998E-4</v>
      </c>
      <c r="T32" s="158" cm="1">
        <f t="array" ref="T32">INDEX(LCI!U$2:U$73, MATCH($E32&amp;$F32, LCI!$B$2:$B$73&amp;LCI!$D$2:$D$73, 0))* IF(AND($E32="Truck", OR($F32="Electric", $F32="Electric_green")), $B$6, 1)* $C32* $D32</f>
        <v>8.1870657254999993E-2</v>
      </c>
      <c r="U32" s="158" cm="1">
        <f t="array" ref="U32">INDEX(LCI!V$2:V$73, MATCH($E32&amp;$F32, LCI!$B$2:$B$73&amp;LCI!$D$2:$D$73, 0))* IF(AND($E32="Truck", OR($F32="Electric", $F32="Electric_green")), $B$6, 1)* $C32* $D32</f>
        <v>1.0639572749999997E-7</v>
      </c>
      <c r="V32" s="158" cm="1">
        <f t="array" ref="V32">INDEX(LCI!W$2:W$73, MATCH($E32&amp;$F32, LCI!$B$2:$B$73&amp;LCI!$D$2:$D$73, 0))* IF(AND($E32="Truck", OR($F32="Electric", $F32="Electric_green")), $B$6, 1)* $C32* $D32</f>
        <v>2.14436565E-9</v>
      </c>
      <c r="W32" s="158" cm="1">
        <f t="array" ref="W32">INDEX(LCI!X$2:X$73, MATCH($E32&amp;$F32, LCI!$B$2:$B$73&amp;LCI!$D$2:$D$73, 0))* IF(AND($E32="Truck", OR($F32="Electric", $F32="Electric_green")), $B$6, 1)* $C32* $D32</f>
        <v>5.9775387749999988E-9</v>
      </c>
      <c r="X32" s="158" cm="1">
        <f t="array" ref="X32">INDEX(LCI!Y$2:Y$73, MATCH($E32&amp;$F32, LCI!$B$2:$B$73&amp;LCI!$D$2:$D$73, 0))* IF(AND($E32="Truck", OR($F32="Electric", $F32="Electric_green")), $B$6, 1)* $C32* $D32</f>
        <v>2.5072496999999999E-4</v>
      </c>
      <c r="Y32" s="158" cm="1">
        <f t="array" ref="Y32">INDEX(LCI!Z$2:Z$73, MATCH($E32&amp;$F32, LCI!$B$2:$B$73&amp;LCI!$D$2:$D$73, 0))* IF(AND($E32="Truck", OR($F32="Electric", $F32="Electric_green")), $B$6, 1)* $C32* $D32</f>
        <v>2.9562098174999996E-3</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2.2994155932816375E-2</v>
      </c>
      <c r="H34" s="139">
        <f t="shared" si="0"/>
        <v>13.30957790493423</v>
      </c>
      <c r="I34" s="139">
        <f t="shared" si="0"/>
        <v>6.1373750829551068E-3</v>
      </c>
      <c r="J34" s="139">
        <f t="shared" si="0"/>
        <v>13.302015460550985</v>
      </c>
      <c r="K34" s="139">
        <f t="shared" si="0"/>
        <v>1.4250530762065958E-3</v>
      </c>
      <c r="L34" s="139">
        <f t="shared" si="0"/>
        <v>11.497779506011501</v>
      </c>
      <c r="M34" s="139">
        <f t="shared" si="0"/>
        <v>178.61750993633947</v>
      </c>
      <c r="N34" s="139">
        <f t="shared" si="0"/>
        <v>3.3932965326971906E-4</v>
      </c>
      <c r="O34" s="139">
        <f t="shared" si="0"/>
        <v>5.904365473747895E-3</v>
      </c>
      <c r="P34" s="139">
        <f t="shared" si="0"/>
        <v>6.4098039711926597E-2</v>
      </c>
      <c r="Q34" s="139">
        <f t="shared" si="0"/>
        <v>1.1996760395884471E-9</v>
      </c>
      <c r="R34" s="139">
        <f t="shared" si="0"/>
        <v>9.4153469070519599E-8</v>
      </c>
      <c r="S34" s="139">
        <f t="shared" si="0"/>
        <v>9.3088779077719591E-2</v>
      </c>
      <c r="T34" s="139">
        <f t="shared" si="0"/>
        <v>14.470158607113843</v>
      </c>
      <c r="U34" s="139">
        <f t="shared" si="0"/>
        <v>1.4802557643616601E-5</v>
      </c>
      <c r="V34" s="139">
        <f t="shared" si="0"/>
        <v>2.9434095186503365E-7</v>
      </c>
      <c r="W34" s="139">
        <f t="shared" si="0"/>
        <v>8.0731397307006419E-7</v>
      </c>
      <c r="X34" s="139">
        <f t="shared" si="0"/>
        <v>3.8733832004745776E-2</v>
      </c>
      <c r="Y34" s="139">
        <f t="shared" si="0"/>
        <v>0.43572687617839589</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5.0999999999999997E-2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0.01</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2E-3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2.9999999999999997E-4</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5.0999999999999997E-2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0.01</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2E-3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2.9999999999999997E-4</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5.0999999999999997E-2</v>
      </c>
      <c r="D92" s="158">
        <f t="shared" si="3"/>
        <v>115</v>
      </c>
      <c r="E92" s="154" t="s">
        <v>346</v>
      </c>
      <c r="F92" s="154" t="s">
        <v>346</v>
      </c>
      <c r="G92" s="154">
        <f t="shared" ref="G92:Y92" si="5">G16+G41+G66</f>
        <v>1.38837453E-3</v>
      </c>
      <c r="H92" s="154">
        <f t="shared" si="5"/>
        <v>0.931038598035</v>
      </c>
      <c r="I92" s="154">
        <f t="shared" si="5"/>
        <v>4.3512610949999998E-4</v>
      </c>
      <c r="J92" s="154">
        <f t="shared" si="5"/>
        <v>0.93052941632999997</v>
      </c>
      <c r="K92" s="154">
        <f t="shared" si="5"/>
        <v>7.4054422499999985E-5</v>
      </c>
      <c r="L92" s="154">
        <f t="shared" si="5"/>
        <v>0.79965726088499989</v>
      </c>
      <c r="M92" s="154">
        <f t="shared" si="5"/>
        <v>12.530811557399998</v>
      </c>
      <c r="N92" s="154">
        <f t="shared" si="5"/>
        <v>2.1716276849999997E-5</v>
      </c>
      <c r="O92" s="154">
        <f t="shared" si="5"/>
        <v>3.02617578E-4</v>
      </c>
      <c r="P92" s="154">
        <f t="shared" si="5"/>
        <v>3.2755614449999997E-3</v>
      </c>
      <c r="Q92" s="154">
        <f t="shared" si="5"/>
        <v>8.2518790499999987E-11</v>
      </c>
      <c r="R92" s="154">
        <f t="shared" si="5"/>
        <v>6.7141346999999997E-9</v>
      </c>
      <c r="S92" s="154">
        <f t="shared" si="5"/>
        <v>5.6820471900000001E-3</v>
      </c>
      <c r="T92" s="154">
        <f t="shared" si="5"/>
        <v>0.79040560460999998</v>
      </c>
      <c r="U92" s="154">
        <f t="shared" si="5"/>
        <v>1.0271785049999999E-6</v>
      </c>
      <c r="V92" s="154">
        <f t="shared" si="5"/>
        <v>2.0702394300000001E-8</v>
      </c>
      <c r="W92" s="154">
        <f t="shared" si="5"/>
        <v>5.7709078049999987E-8</v>
      </c>
      <c r="X92" s="154">
        <f t="shared" si="5"/>
        <v>2.4205793399999995E-3</v>
      </c>
      <c r="Y92" s="154">
        <f t="shared" si="5"/>
        <v>2.8540198485000001E-2</v>
      </c>
    </row>
    <row r="93" spans="1:25" ht="14" customHeight="1" x14ac:dyDescent="0.35">
      <c r="A93" s="396"/>
      <c r="B93" s="1" t="str">
        <f>Input!A41</f>
        <v>Virgin crushed coarse aggregate 2 (&gt;2 mm)</v>
      </c>
      <c r="C93" s="154">
        <f>+Input!B41</f>
        <v>0.10199999999999999</v>
      </c>
      <c r="D93" s="158">
        <f t="shared" si="3"/>
        <v>36</v>
      </c>
      <c r="E93" s="154" t="s">
        <v>346</v>
      </c>
      <c r="F93" s="154" t="s">
        <v>346</v>
      </c>
      <c r="G93" s="154">
        <f t="shared" ref="G93:Y93" si="6">G17+G42+G67</f>
        <v>1.6247862298184473E-3</v>
      </c>
      <c r="H93" s="154">
        <f t="shared" si="6"/>
        <v>0.18519783000576473</v>
      </c>
      <c r="I93" s="154">
        <f t="shared" si="6"/>
        <v>5.1011480155331941E-5</v>
      </c>
      <c r="J93" s="154">
        <f t="shared" si="6"/>
        <v>0.18497505305714801</v>
      </c>
      <c r="K93" s="154">
        <f t="shared" si="6"/>
        <v>1.7176546846139814E-4</v>
      </c>
      <c r="L93" s="154">
        <f t="shared" si="6"/>
        <v>0.18750047085982435</v>
      </c>
      <c r="M93" s="154">
        <f t="shared" si="6"/>
        <v>2.2716112020086956</v>
      </c>
      <c r="N93" s="154">
        <f t="shared" si="6"/>
        <v>1.6699665145679604E-5</v>
      </c>
      <c r="O93" s="154">
        <f t="shared" si="6"/>
        <v>7.3661954525309809E-4</v>
      </c>
      <c r="P93" s="154">
        <f t="shared" si="6"/>
        <v>8.0540798506571181E-3</v>
      </c>
      <c r="Q93" s="154">
        <f t="shared" si="6"/>
        <v>2.5001171277620217E-11</v>
      </c>
      <c r="R93" s="154">
        <f t="shared" si="6"/>
        <v>5.5218628410840448E-10</v>
      </c>
      <c r="S93" s="154">
        <f t="shared" si="6"/>
        <v>6.213784053942675E-3</v>
      </c>
      <c r="T93" s="154">
        <f t="shared" si="6"/>
        <v>1.5162181669276988</v>
      </c>
      <c r="U93" s="154">
        <f t="shared" si="6"/>
        <v>2.5515884831854344E-7</v>
      </c>
      <c r="V93" s="154">
        <f t="shared" si="6"/>
        <v>3.4287732602715654E-9</v>
      </c>
      <c r="W93" s="154">
        <f t="shared" si="6"/>
        <v>3.9102523074275609E-9</v>
      </c>
      <c r="X93" s="154">
        <f t="shared" si="6"/>
        <v>2.251772890296766E-3</v>
      </c>
      <c r="Y93" s="154">
        <f t="shared" si="6"/>
        <v>1.7562677442435389E-2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32</v>
      </c>
      <c r="E98" s="154" t="s">
        <v>346</v>
      </c>
      <c r="F98" s="154" t="s">
        <v>346</v>
      </c>
      <c r="G98" s="154">
        <f t="shared" ref="G98:Y98" si="11">G22+G47+G72</f>
        <v>2.16638163975793E-3</v>
      </c>
      <c r="H98" s="154">
        <f t="shared" si="11"/>
        <v>0.24693044000768632</v>
      </c>
      <c r="I98" s="154">
        <f t="shared" si="11"/>
        <v>6.8015306873775921E-5</v>
      </c>
      <c r="J98" s="154">
        <f t="shared" si="11"/>
        <v>0.24663340407619738</v>
      </c>
      <c r="K98" s="154">
        <f t="shared" si="11"/>
        <v>2.2902062461519754E-4</v>
      </c>
      <c r="L98" s="154">
        <f t="shared" si="11"/>
        <v>0.25000062781309912</v>
      </c>
      <c r="M98" s="154">
        <f t="shared" si="11"/>
        <v>3.0288149360115946</v>
      </c>
      <c r="N98" s="154">
        <f t="shared" si="11"/>
        <v>2.2266220194239469E-5</v>
      </c>
      <c r="O98" s="154">
        <f t="shared" si="11"/>
        <v>9.8215939367079738E-4</v>
      </c>
      <c r="P98" s="154">
        <f t="shared" si="11"/>
        <v>1.0738773134209489E-2</v>
      </c>
      <c r="Q98" s="154">
        <f t="shared" si="11"/>
        <v>3.3334895036826958E-11</v>
      </c>
      <c r="R98" s="154">
        <f t="shared" si="11"/>
        <v>7.3624837881120605E-10</v>
      </c>
      <c r="S98" s="154">
        <f t="shared" si="11"/>
        <v>8.2850454052569005E-3</v>
      </c>
      <c r="T98" s="154">
        <f t="shared" si="11"/>
        <v>2.021624222570265</v>
      </c>
      <c r="U98" s="154">
        <f t="shared" si="11"/>
        <v>3.4021179775805797E-7</v>
      </c>
      <c r="V98" s="154">
        <f t="shared" si="11"/>
        <v>4.571697680362087E-9</v>
      </c>
      <c r="W98" s="154">
        <f t="shared" si="11"/>
        <v>5.2136697432367482E-9</v>
      </c>
      <c r="X98" s="154">
        <f t="shared" si="11"/>
        <v>3.0023638537290212E-3</v>
      </c>
      <c r="Y98" s="154">
        <f t="shared" si="11"/>
        <v>2.341690325658052E-2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0</v>
      </c>
      <c r="E101" s="154" t="s">
        <v>346</v>
      </c>
      <c r="F101" s="154" t="s">
        <v>346</v>
      </c>
      <c r="G101" s="154">
        <f t="shared" ref="G101:Y101" si="14">G25+G50+G75</f>
        <v>0</v>
      </c>
      <c r="H101" s="154">
        <f t="shared" si="14"/>
        <v>0</v>
      </c>
      <c r="I101" s="154">
        <f t="shared" si="14"/>
        <v>0</v>
      </c>
      <c r="J101" s="154">
        <f t="shared" si="14"/>
        <v>0</v>
      </c>
      <c r="K101" s="154">
        <f t="shared" si="14"/>
        <v>0</v>
      </c>
      <c r="L101" s="154">
        <f t="shared" si="14"/>
        <v>0</v>
      </c>
      <c r="M101" s="154">
        <f t="shared" si="14"/>
        <v>0</v>
      </c>
      <c r="N101" s="154">
        <f t="shared" si="14"/>
        <v>0</v>
      </c>
      <c r="O101" s="154">
        <f t="shared" si="14"/>
        <v>0</v>
      </c>
      <c r="P101" s="154">
        <f t="shared" si="14"/>
        <v>0</v>
      </c>
      <c r="Q101" s="154">
        <f t="shared" si="14"/>
        <v>0</v>
      </c>
      <c r="R101" s="154">
        <f t="shared" si="14"/>
        <v>0</v>
      </c>
      <c r="S101" s="154">
        <f t="shared" si="14"/>
        <v>0</v>
      </c>
      <c r="T101" s="154">
        <f t="shared" si="14"/>
        <v>0</v>
      </c>
      <c r="U101" s="154">
        <f t="shared" si="14"/>
        <v>0</v>
      </c>
      <c r="V101" s="154">
        <f t="shared" si="14"/>
        <v>0</v>
      </c>
      <c r="W101" s="154">
        <f t="shared" si="14"/>
        <v>0</v>
      </c>
      <c r="X101" s="154">
        <f t="shared" si="14"/>
        <v>0</v>
      </c>
      <c r="Y101" s="154">
        <f t="shared" si="14"/>
        <v>0</v>
      </c>
    </row>
    <row r="102" spans="1:25" ht="14" customHeight="1" x14ac:dyDescent="0.35">
      <c r="A102" s="399"/>
      <c r="B102" s="1" t="str">
        <f>Input!A50</f>
        <v>Filler 2</v>
      </c>
      <c r="C102" s="154">
        <f>+Input!B50</f>
        <v>0.01</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2E-3</v>
      </c>
      <c r="D107" s="158">
        <f>D31+D56+D81</f>
        <v>1239</v>
      </c>
      <c r="E107" s="154" t="s">
        <v>346</v>
      </c>
      <c r="F107" s="154" t="s">
        <v>346</v>
      </c>
      <c r="G107" s="154">
        <f t="shared" ref="G107:Y107" si="16">G31+G56+G81</f>
        <v>5.8659711599999998E-4</v>
      </c>
      <c r="H107" s="154">
        <f t="shared" si="16"/>
        <v>0.39336976060199996</v>
      </c>
      <c r="I107" s="154">
        <f t="shared" si="16"/>
        <v>1.8384356340000001E-4</v>
      </c>
      <c r="J107" s="154">
        <f t="shared" si="16"/>
        <v>0.39315462807599999</v>
      </c>
      <c r="K107" s="154">
        <f t="shared" si="16"/>
        <v>3.1288467E-5</v>
      </c>
      <c r="L107" s="154">
        <f t="shared" si="16"/>
        <v>0.33786030562200003</v>
      </c>
      <c r="M107" s="154">
        <f t="shared" si="16"/>
        <v>5.2943480032800005</v>
      </c>
      <c r="N107" s="154">
        <f t="shared" si="16"/>
        <v>9.1752658200000002E-6</v>
      </c>
      <c r="O107" s="154">
        <f t="shared" si="16"/>
        <v>1.278578616E-4</v>
      </c>
      <c r="P107" s="154">
        <f t="shared" si="16"/>
        <v>1.3839456539999999E-3</v>
      </c>
      <c r="Q107" s="154">
        <f t="shared" si="16"/>
        <v>3.4864716599999999E-11</v>
      </c>
      <c r="R107" s="154">
        <f t="shared" si="16"/>
        <v>2.8367648400000001E-9</v>
      </c>
      <c r="S107" s="154">
        <f t="shared" si="16"/>
        <v>2.4007012680000001E-3</v>
      </c>
      <c r="T107" s="154">
        <f t="shared" si="16"/>
        <v>0.33395142169200004</v>
      </c>
      <c r="U107" s="154">
        <f t="shared" si="16"/>
        <v>4.3398948600000003E-7</v>
      </c>
      <c r="V107" s="154">
        <f t="shared" si="16"/>
        <v>8.7468939600000005E-9</v>
      </c>
      <c r="W107" s="154">
        <f t="shared" si="16"/>
        <v>2.4382454459999998E-8</v>
      </c>
      <c r="X107" s="154">
        <f t="shared" si="16"/>
        <v>1.0227102479999999E-3</v>
      </c>
      <c r="Y107" s="154">
        <f t="shared" si="16"/>
        <v>1.2058416342E-2</v>
      </c>
    </row>
    <row r="108" spans="1:25" ht="14" customHeight="1" x14ac:dyDescent="0.35">
      <c r="A108" s="401"/>
      <c r="B108" s="1" t="str">
        <f>Input!A56</f>
        <v>Additive 2</v>
      </c>
      <c r="C108" s="154">
        <f>+Input!B56</f>
        <v>2.9999999999999997E-4</v>
      </c>
      <c r="D108" s="158">
        <f>D32+D57+D82</f>
        <v>2025</v>
      </c>
      <c r="E108" s="154" t="s">
        <v>346</v>
      </c>
      <c r="F108" s="154" t="s">
        <v>346</v>
      </c>
      <c r="G108" s="154">
        <f t="shared" ref="G108:Y108" si="17">G32+G57+G82</f>
        <v>1.43808615E-4</v>
      </c>
      <c r="H108" s="154">
        <f t="shared" si="17"/>
        <v>9.6437501842499981E-2</v>
      </c>
      <c r="I108" s="154">
        <f t="shared" si="17"/>
        <v>4.5070607249999993E-5</v>
      </c>
      <c r="J108" s="154">
        <f t="shared" si="17"/>
        <v>9.6384760514999987E-2</v>
      </c>
      <c r="K108" s="154">
        <f t="shared" si="17"/>
        <v>7.6705987499999989E-6</v>
      </c>
      <c r="L108" s="154">
        <f t="shared" si="17"/>
        <v>8.2828949017499987E-2</v>
      </c>
      <c r="M108" s="154">
        <f t="shared" si="17"/>
        <v>1.2979485116999998</v>
      </c>
      <c r="N108" s="154">
        <f t="shared" si="17"/>
        <v>2.2493841749999999E-6</v>
      </c>
      <c r="O108" s="154">
        <f t="shared" si="17"/>
        <v>3.1345299000000004E-5</v>
      </c>
      <c r="P108" s="154">
        <f t="shared" si="17"/>
        <v>3.3928449749999994E-4</v>
      </c>
      <c r="Q108" s="154">
        <f t="shared" si="17"/>
        <v>8.5473427499999982E-12</v>
      </c>
      <c r="R108" s="154">
        <f t="shared" si="17"/>
        <v>6.954538499999999E-10</v>
      </c>
      <c r="S108" s="154">
        <f t="shared" si="17"/>
        <v>5.8854964499999998E-4</v>
      </c>
      <c r="T108" s="154">
        <f t="shared" si="17"/>
        <v>8.1870657254999993E-2</v>
      </c>
      <c r="U108" s="154">
        <f t="shared" si="17"/>
        <v>1.0639572749999997E-7</v>
      </c>
      <c r="V108" s="154">
        <f t="shared" si="17"/>
        <v>2.14436565E-9</v>
      </c>
      <c r="W108" s="154">
        <f t="shared" si="17"/>
        <v>5.9775387749999988E-9</v>
      </c>
      <c r="X108" s="154">
        <f t="shared" si="17"/>
        <v>2.5072496999999999E-4</v>
      </c>
      <c r="Y108" s="154">
        <f t="shared" si="17"/>
        <v>2.9562098174999996E-3</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2.2994155932816375E-2</v>
      </c>
      <c r="H110" s="139">
        <f t="shared" si="19"/>
        <v>13.30957790493423</v>
      </c>
      <c r="I110" s="139">
        <f t="shared" si="19"/>
        <v>6.1373750829551068E-3</v>
      </c>
      <c r="J110" s="139">
        <f t="shared" si="19"/>
        <v>13.302015460550985</v>
      </c>
      <c r="K110" s="139">
        <f t="shared" si="19"/>
        <v>1.4250530762065958E-3</v>
      </c>
      <c r="L110" s="139">
        <f t="shared" si="19"/>
        <v>11.497779506011501</v>
      </c>
      <c r="M110" s="139">
        <f t="shared" si="19"/>
        <v>178.61750993633947</v>
      </c>
      <c r="N110" s="139">
        <f t="shared" si="19"/>
        <v>3.3932965326971906E-4</v>
      </c>
      <c r="O110" s="139">
        <f t="shared" si="19"/>
        <v>5.904365473747895E-3</v>
      </c>
      <c r="P110" s="139">
        <f t="shared" si="19"/>
        <v>6.4098039711926597E-2</v>
      </c>
      <c r="Q110" s="139">
        <f t="shared" si="19"/>
        <v>1.1996760395884471E-9</v>
      </c>
      <c r="R110" s="139">
        <f t="shared" si="19"/>
        <v>9.4153469070519599E-8</v>
      </c>
      <c r="S110" s="139">
        <f t="shared" si="19"/>
        <v>9.3088779077719591E-2</v>
      </c>
      <c r="T110" s="139">
        <f t="shared" si="19"/>
        <v>14.470158607113843</v>
      </c>
      <c r="U110" s="139">
        <f t="shared" si="19"/>
        <v>1.4802557643616601E-5</v>
      </c>
      <c r="V110" s="139">
        <f t="shared" si="19"/>
        <v>2.9434095186503365E-7</v>
      </c>
      <c r="W110" s="139">
        <f t="shared" si="19"/>
        <v>8.0731397307006419E-7</v>
      </c>
      <c r="X110" s="139">
        <f t="shared" si="19"/>
        <v>3.8733832004745776E-2</v>
      </c>
      <c r="Y110" s="139">
        <f t="shared" si="19"/>
        <v>0.43572687617839589</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1.38837453E-3</v>
      </c>
      <c r="D118" s="154">
        <f>G17+G42+G67</f>
        <v>1.6247862298184473E-3</v>
      </c>
      <c r="E118" s="154">
        <f>G18+G43+G68</f>
        <v>1.5709818807999997E-2</v>
      </c>
      <c r="F118" s="154">
        <f>G19+G44+G69</f>
        <v>0</v>
      </c>
      <c r="G118" s="154">
        <f>G20+G45+G70</f>
        <v>0</v>
      </c>
      <c r="H118" s="154">
        <f>G21+G46+G71</f>
        <v>0</v>
      </c>
      <c r="I118" s="154">
        <f>G22+G47+G72</f>
        <v>2.16638163975793E-3</v>
      </c>
      <c r="J118" s="154">
        <f>G23+G48+G73</f>
        <v>0</v>
      </c>
      <c r="K118" s="154">
        <f>G24+G49+G74</f>
        <v>0</v>
      </c>
      <c r="L118" s="154">
        <f>SUM(C118:K118)</f>
        <v>2.0889361207576375E-2</v>
      </c>
      <c r="M118" s="154">
        <f>'A2 - Transport'!G101</f>
        <v>0</v>
      </c>
      <c r="N118" s="154">
        <f>'A2 - Transport'!G102</f>
        <v>0</v>
      </c>
      <c r="O118" s="154">
        <f t="shared" ref="O118:O136" si="20">SUM(M118:N118)</f>
        <v>0</v>
      </c>
      <c r="P118" s="154">
        <f>'A2 - Transport'!G103</f>
        <v>0</v>
      </c>
      <c r="Q118" s="154">
        <f>'A2 - Transport'!G104</f>
        <v>0</v>
      </c>
      <c r="R118" s="154">
        <f>SUM(P118:Q118)</f>
        <v>0</v>
      </c>
      <c r="S118" s="154">
        <f>'A2 - Transport'!G105</f>
        <v>0</v>
      </c>
      <c r="T118" s="154">
        <f>'A2 - Transport'!G106</f>
        <v>0</v>
      </c>
      <c r="U118" s="154">
        <f>SUM(S118:T118)</f>
        <v>0</v>
      </c>
      <c r="V118" s="154">
        <f>'A2 - Transport'!G107</f>
        <v>5.8659711599999998E-4</v>
      </c>
      <c r="W118" s="154">
        <f>'A2 - Transport'!G108</f>
        <v>1.43808615E-4</v>
      </c>
      <c r="X118" s="154">
        <f>'A2 - Transport'!G109</f>
        <v>0</v>
      </c>
      <c r="Y118" s="154">
        <f>SUM(V118:X118)</f>
        <v>7.3040573099999995E-4</v>
      </c>
      <c r="Z118" s="154">
        <f>+SUM(B118+L118+O118+Y118)</f>
        <v>2.2994155932816375E-2</v>
      </c>
      <c r="AB118" s="87"/>
    </row>
    <row r="119" spans="1:28" x14ac:dyDescent="0.35">
      <c r="A119" s="1" t="s">
        <v>280</v>
      </c>
      <c r="B119" s="154">
        <f>'A2 - Transport'!H91</f>
        <v>0.92165995176527982</v>
      </c>
      <c r="C119" s="154">
        <f>H16+H41+H66</f>
        <v>0.931038598035</v>
      </c>
      <c r="D119" s="154">
        <f>H17+H42+H67</f>
        <v>0.18519783000576473</v>
      </c>
      <c r="E119" s="154">
        <f>H18+H43+H68</f>
        <v>10.534943822675999</v>
      </c>
      <c r="F119" s="154">
        <f>H19+H44+H69</f>
        <v>0</v>
      </c>
      <c r="G119" s="154">
        <f>H20+H45+H70</f>
        <v>0</v>
      </c>
      <c r="H119" s="154">
        <f>H21+H46+H71</f>
        <v>0</v>
      </c>
      <c r="I119" s="154">
        <f>H22+H47+H72</f>
        <v>0.24693044000768632</v>
      </c>
      <c r="J119" s="154">
        <f>H23+H48+H73</f>
        <v>0</v>
      </c>
      <c r="K119" s="154">
        <f>H24+H49+H74</f>
        <v>0</v>
      </c>
      <c r="L119" s="154">
        <f t="shared" ref="L119:L136" si="21">SUM(C119:K119)</f>
        <v>11.898110690724449</v>
      </c>
      <c r="M119" s="154">
        <f>'A2 - Transport'!H101</f>
        <v>0</v>
      </c>
      <c r="N119" s="154">
        <f>'A2 - Transport'!H102</f>
        <v>0</v>
      </c>
      <c r="O119" s="154">
        <f t="shared" si="20"/>
        <v>0</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0.39336976060199996</v>
      </c>
      <c r="W119" s="154">
        <f>'A2 - Transport'!H108</f>
        <v>9.6437501842499981E-2</v>
      </c>
      <c r="X119" s="154">
        <f>'A2 - Transport'!H109</f>
        <v>0</v>
      </c>
      <c r="Y119" s="154">
        <f t="shared" ref="Y119:Y136" si="24">SUM(V119:X119)</f>
        <v>0.48980726244449996</v>
      </c>
      <c r="Z119" s="154">
        <f t="shared" ref="Z119:Z136" si="25">+SUM(B119+L119+O119+Y119)</f>
        <v>13.30957790493423</v>
      </c>
      <c r="AB119" s="87"/>
    </row>
    <row r="120" spans="1:28" x14ac:dyDescent="0.35">
      <c r="A120" s="1" t="s">
        <v>281</v>
      </c>
      <c r="B120" s="154">
        <f>'A2 - Transport'!I91</f>
        <v>4.30742946576E-4</v>
      </c>
      <c r="C120" s="154">
        <f>I16+I41+I66</f>
        <v>4.3512610949999998E-4</v>
      </c>
      <c r="D120" s="154">
        <f>I17+I42+I67</f>
        <v>5.1011480155331941E-5</v>
      </c>
      <c r="E120" s="154">
        <f>I18+I43+I68</f>
        <v>4.9235650691999994E-3</v>
      </c>
      <c r="F120" s="154">
        <f>I19+I44+I69</f>
        <v>0</v>
      </c>
      <c r="G120" s="154">
        <f>I20+I45+I70</f>
        <v>0</v>
      </c>
      <c r="H120" s="154">
        <f>I21+I46+I71</f>
        <v>0</v>
      </c>
      <c r="I120" s="154">
        <f>I22+I47+I72</f>
        <v>6.8015306873775921E-5</v>
      </c>
      <c r="J120" s="154">
        <f>I23+I48+I73</f>
        <v>0</v>
      </c>
      <c r="K120" s="154">
        <f>I24+I49+I74</f>
        <v>0</v>
      </c>
      <c r="L120" s="154">
        <f t="shared" si="21"/>
        <v>5.4777179657291069E-3</v>
      </c>
      <c r="M120" s="154">
        <f>'A2 - Transport'!I101</f>
        <v>0</v>
      </c>
      <c r="N120" s="154">
        <f>'A2 - Transport'!I102</f>
        <v>0</v>
      </c>
      <c r="O120" s="154">
        <f t="shared" si="20"/>
        <v>0</v>
      </c>
      <c r="P120" s="154">
        <f>'A2 - Transport'!I103</f>
        <v>0</v>
      </c>
      <c r="Q120" s="154">
        <f>'A2 - Transport'!I104</f>
        <v>0</v>
      </c>
      <c r="R120" s="154">
        <f t="shared" si="22"/>
        <v>0</v>
      </c>
      <c r="S120" s="154">
        <f>'A2 - Transport'!I105</f>
        <v>0</v>
      </c>
      <c r="T120" s="154">
        <f>'A2 - Transport'!I106</f>
        <v>0</v>
      </c>
      <c r="U120" s="154">
        <f t="shared" si="23"/>
        <v>0</v>
      </c>
      <c r="V120" s="154">
        <f>'A2 - Transport'!I107</f>
        <v>1.8384356340000001E-4</v>
      </c>
      <c r="W120" s="154">
        <f>'A2 - Transport'!I108</f>
        <v>4.5070607249999993E-5</v>
      </c>
      <c r="X120" s="154">
        <f>'A2 - Transport'!I109</f>
        <v>0</v>
      </c>
      <c r="Y120" s="154">
        <f t="shared" si="24"/>
        <v>2.2891417065E-4</v>
      </c>
      <c r="Z120" s="154">
        <f t="shared" si="25"/>
        <v>6.1373750829551077E-3</v>
      </c>
      <c r="AB120" s="87"/>
    </row>
    <row r="121" spans="1:28" x14ac:dyDescent="0.35">
      <c r="A121" s="1" t="s">
        <v>282</v>
      </c>
      <c r="B121" s="154">
        <f>'A2 - Transport'!J91</f>
        <v>0.92115589920863994</v>
      </c>
      <c r="C121" s="154">
        <f>J16+J41+J66</f>
        <v>0.93052941632999997</v>
      </c>
      <c r="D121" s="154">
        <f>J17+J42+J67</f>
        <v>0.18497505305714801</v>
      </c>
      <c r="E121" s="154">
        <f>J18+J43+J68</f>
        <v>10.529182299287999</v>
      </c>
      <c r="F121" s="154">
        <f>J19+J44+J69</f>
        <v>0</v>
      </c>
      <c r="G121" s="154">
        <f>J20+J45+J70</f>
        <v>0</v>
      </c>
      <c r="H121" s="154">
        <f>J21+J46+J71</f>
        <v>0</v>
      </c>
      <c r="I121" s="154">
        <f>J22+J47+J72</f>
        <v>0.24663340407619738</v>
      </c>
      <c r="J121" s="154">
        <f>J23+J48+J73</f>
        <v>0</v>
      </c>
      <c r="K121" s="154">
        <f>J24+J49+J74</f>
        <v>0</v>
      </c>
      <c r="L121" s="154">
        <f t="shared" si="21"/>
        <v>11.891320172751344</v>
      </c>
      <c r="M121" s="154">
        <f>'A2 - Transport'!J101</f>
        <v>0</v>
      </c>
      <c r="N121" s="154">
        <f>'A2 - Transport'!J102</f>
        <v>0</v>
      </c>
      <c r="O121" s="154">
        <f t="shared" si="20"/>
        <v>0</v>
      </c>
      <c r="P121" s="154">
        <f>'A2 - Transport'!J103</f>
        <v>0</v>
      </c>
      <c r="Q121" s="154">
        <f>'A2 - Transport'!J104</f>
        <v>0</v>
      </c>
      <c r="R121" s="154">
        <f t="shared" si="22"/>
        <v>0</v>
      </c>
      <c r="S121" s="154">
        <f>'A2 - Transport'!J105</f>
        <v>0</v>
      </c>
      <c r="T121" s="154">
        <f>'A2 - Transport'!J106</f>
        <v>0</v>
      </c>
      <c r="U121" s="154">
        <f t="shared" si="23"/>
        <v>0</v>
      </c>
      <c r="V121" s="154">
        <f>'A2 - Transport'!J107</f>
        <v>0.39315462807599999</v>
      </c>
      <c r="W121" s="154">
        <f>'A2 - Transport'!J108</f>
        <v>9.6384760514999987E-2</v>
      </c>
      <c r="X121" s="154">
        <f>'A2 - Transport'!J109</f>
        <v>0</v>
      </c>
      <c r="Y121" s="154">
        <f t="shared" si="24"/>
        <v>0.48953938859099999</v>
      </c>
      <c r="Z121" s="154">
        <f t="shared" si="25"/>
        <v>13.302015460550985</v>
      </c>
      <c r="AB121" s="87"/>
    </row>
    <row r="122" spans="1:28" x14ac:dyDescent="0.35">
      <c r="A122" s="1" t="s">
        <v>283</v>
      </c>
      <c r="B122" s="154">
        <f>'A2 - Transport'!K91</f>
        <v>7.3308448880000007E-5</v>
      </c>
      <c r="C122" s="154">
        <f>K16+K41+K66</f>
        <v>7.4054422499999985E-5</v>
      </c>
      <c r="D122" s="154">
        <f>K17+K42+K67</f>
        <v>1.7176546846139814E-4</v>
      </c>
      <c r="E122" s="154">
        <f>K18+K43+K68</f>
        <v>8.3794504600000002E-4</v>
      </c>
      <c r="F122" s="154">
        <f>K19+K44+K69</f>
        <v>0</v>
      </c>
      <c r="G122" s="154">
        <f>K20+K45+K70</f>
        <v>0</v>
      </c>
      <c r="H122" s="154">
        <f>K21+K46+K71</f>
        <v>0</v>
      </c>
      <c r="I122" s="154">
        <f>K22+K47+K72</f>
        <v>2.2902062461519754E-4</v>
      </c>
      <c r="J122" s="154">
        <f>K23+K48+K73</f>
        <v>0</v>
      </c>
      <c r="K122" s="154">
        <f>K24+K49+K74</f>
        <v>0</v>
      </c>
      <c r="L122" s="154">
        <f t="shared" si="21"/>
        <v>1.3127855615765957E-3</v>
      </c>
      <c r="M122" s="154">
        <f>'A2 - Transport'!K101</f>
        <v>0</v>
      </c>
      <c r="N122" s="154">
        <f>'A2 - Transport'!K102</f>
        <v>0</v>
      </c>
      <c r="O122" s="154">
        <f t="shared" si="20"/>
        <v>0</v>
      </c>
      <c r="P122" s="154">
        <f>'A2 - Transport'!K103</f>
        <v>0</v>
      </c>
      <c r="Q122" s="154">
        <f>'A2 - Transport'!K104</f>
        <v>0</v>
      </c>
      <c r="R122" s="154">
        <f t="shared" si="22"/>
        <v>0</v>
      </c>
      <c r="S122" s="154">
        <f>'A2 - Transport'!K105</f>
        <v>0</v>
      </c>
      <c r="T122" s="154">
        <f>'A2 - Transport'!K106</f>
        <v>0</v>
      </c>
      <c r="U122" s="154">
        <f t="shared" si="23"/>
        <v>0</v>
      </c>
      <c r="V122" s="154">
        <f>'A2 - Transport'!K107</f>
        <v>3.1288467E-5</v>
      </c>
      <c r="W122" s="154">
        <f>'A2 - Transport'!K108</f>
        <v>7.6705987499999989E-6</v>
      </c>
      <c r="X122" s="154">
        <f>'A2 - Transport'!K109</f>
        <v>0</v>
      </c>
      <c r="Y122" s="154">
        <f t="shared" si="24"/>
        <v>3.8959065749999999E-5</v>
      </c>
      <c r="Z122" s="154">
        <f t="shared" si="25"/>
        <v>1.4250530762065956E-3</v>
      </c>
      <c r="AB122" s="87"/>
    </row>
    <row r="123" spans="1:28" x14ac:dyDescent="0.35">
      <c r="A123" s="1" t="s">
        <v>284</v>
      </c>
      <c r="B123" s="154">
        <f>'A2 - Transport'!L91</f>
        <v>0.79160206037808001</v>
      </c>
      <c r="C123" s="154">
        <f>L16+L41+L66</f>
        <v>0.79965726088499989</v>
      </c>
      <c r="D123" s="154">
        <f>L17+L42+L67</f>
        <v>0.18750047085982435</v>
      </c>
      <c r="E123" s="154">
        <f>L18+L43+L68</f>
        <v>9.0483298314359981</v>
      </c>
      <c r="F123" s="154">
        <f>L19+L44+L69</f>
        <v>0</v>
      </c>
      <c r="G123" s="154">
        <f>L20+L45+L70</f>
        <v>0</v>
      </c>
      <c r="H123" s="154">
        <f>L21+L46+L71</f>
        <v>0</v>
      </c>
      <c r="I123" s="154">
        <f>L22+L47+L72</f>
        <v>0.25000062781309912</v>
      </c>
      <c r="J123" s="154">
        <f>L23+L48+L73</f>
        <v>0</v>
      </c>
      <c r="K123" s="154">
        <f>L24+L49+L74</f>
        <v>0</v>
      </c>
      <c r="L123" s="154">
        <f t="shared" si="21"/>
        <v>10.285488190993922</v>
      </c>
      <c r="M123" s="154">
        <f>'A2 - Transport'!L101</f>
        <v>0</v>
      </c>
      <c r="N123" s="154">
        <f>'A2 - Transport'!L102</f>
        <v>0</v>
      </c>
      <c r="O123" s="154">
        <f t="shared" si="20"/>
        <v>0</v>
      </c>
      <c r="P123" s="154">
        <f>'A2 - Transport'!L103</f>
        <v>0</v>
      </c>
      <c r="Q123" s="154">
        <f>'A2 - Transport'!L104</f>
        <v>0</v>
      </c>
      <c r="R123" s="154">
        <f t="shared" si="22"/>
        <v>0</v>
      </c>
      <c r="S123" s="154">
        <f>'A2 - Transport'!L105</f>
        <v>0</v>
      </c>
      <c r="T123" s="154">
        <f>'A2 - Transport'!L106</f>
        <v>0</v>
      </c>
      <c r="U123" s="154">
        <f t="shared" si="23"/>
        <v>0</v>
      </c>
      <c r="V123" s="154">
        <f>'A2 - Transport'!L107</f>
        <v>0.33786030562200003</v>
      </c>
      <c r="W123" s="154">
        <f>'A2 - Transport'!L108</f>
        <v>8.2828949017499987E-2</v>
      </c>
      <c r="X123" s="154">
        <f>'A2 - Transport'!L109</f>
        <v>0</v>
      </c>
      <c r="Y123" s="154">
        <f t="shared" si="24"/>
        <v>0.42068925463950002</v>
      </c>
      <c r="Z123" s="154">
        <f t="shared" si="25"/>
        <v>11.497779506011502</v>
      </c>
      <c r="AB123" s="87"/>
    </row>
    <row r="124" spans="1:28" x14ac:dyDescent="0.35">
      <c r="A124" s="1" t="s">
        <v>285</v>
      </c>
      <c r="B124" s="154">
        <f>'A2 - Transport'!M91</f>
        <v>12.4045847292992</v>
      </c>
      <c r="C124" s="154">
        <f>M16+M41+M66</f>
        <v>12.530811557399998</v>
      </c>
      <c r="D124" s="154">
        <f>M17+M42+M67</f>
        <v>2.2716112020086956</v>
      </c>
      <c r="E124" s="154">
        <f>M18+M43+M68</f>
        <v>141.78939099663998</v>
      </c>
      <c r="F124" s="154">
        <f>M19+M44+M69</f>
        <v>0</v>
      </c>
      <c r="G124" s="154">
        <f>M20+M45+M70</f>
        <v>0</v>
      </c>
      <c r="H124" s="154">
        <f>M21+M46+M71</f>
        <v>0</v>
      </c>
      <c r="I124" s="154">
        <f>M22+M47+M72</f>
        <v>3.0288149360115946</v>
      </c>
      <c r="J124" s="154">
        <f>M23+M48+M73</f>
        <v>0</v>
      </c>
      <c r="K124" s="154">
        <f>M24+M49+M74</f>
        <v>0</v>
      </c>
      <c r="L124" s="154">
        <f t="shared" si="21"/>
        <v>159.62062869206028</v>
      </c>
      <c r="M124" s="154">
        <f>'A2 - Transport'!M101</f>
        <v>0</v>
      </c>
      <c r="N124" s="154">
        <f>'A2 - Transport'!M102</f>
        <v>0</v>
      </c>
      <c r="O124" s="154">
        <f t="shared" si="20"/>
        <v>0</v>
      </c>
      <c r="P124" s="154">
        <f>'A2 - Transport'!M103</f>
        <v>0</v>
      </c>
      <c r="Q124" s="154">
        <f>'A2 - Transport'!M104</f>
        <v>0</v>
      </c>
      <c r="R124" s="154">
        <f t="shared" si="22"/>
        <v>0</v>
      </c>
      <c r="S124" s="154">
        <f>'A2 - Transport'!M105</f>
        <v>0</v>
      </c>
      <c r="T124" s="154">
        <f>'A2 - Transport'!M106</f>
        <v>0</v>
      </c>
      <c r="U124" s="154">
        <f t="shared" si="23"/>
        <v>0</v>
      </c>
      <c r="V124" s="154">
        <f>'A2 - Transport'!M107</f>
        <v>5.2943480032800005</v>
      </c>
      <c r="W124" s="154">
        <f>'A2 - Transport'!M108</f>
        <v>1.2979485116999998</v>
      </c>
      <c r="X124" s="154">
        <f>'A2 - Transport'!M109</f>
        <v>0</v>
      </c>
      <c r="Y124" s="154">
        <f t="shared" si="24"/>
        <v>6.5922965149800001</v>
      </c>
      <c r="Z124" s="154">
        <f t="shared" si="25"/>
        <v>178.61750993633947</v>
      </c>
      <c r="AB124" s="87"/>
    </row>
    <row r="125" spans="1:28" x14ac:dyDescent="0.35">
      <c r="A125" s="1" t="s">
        <v>286</v>
      </c>
      <c r="B125" s="154">
        <f>'A2 - Transport'!N91</f>
        <v>2.1497521924799997E-5</v>
      </c>
      <c r="C125" s="154">
        <f>N16+N41+N66</f>
        <v>2.1716276849999997E-5</v>
      </c>
      <c r="D125" s="154">
        <f>N17+N42+N67</f>
        <v>1.6699665145679604E-5</v>
      </c>
      <c r="E125" s="154">
        <f>N18+N43+N68</f>
        <v>2.4572531915999999E-4</v>
      </c>
      <c r="F125" s="154">
        <f>N19+N44+N69</f>
        <v>0</v>
      </c>
      <c r="G125" s="154">
        <f>N20+N45+N70</f>
        <v>0</v>
      </c>
      <c r="H125" s="154">
        <f>N21+N46+N71</f>
        <v>0</v>
      </c>
      <c r="I125" s="154">
        <f>N22+N47+N72</f>
        <v>2.2266220194239469E-5</v>
      </c>
      <c r="J125" s="154">
        <f>N23+N48+N73</f>
        <v>0</v>
      </c>
      <c r="K125" s="154">
        <f>N24+N49+N74</f>
        <v>0</v>
      </c>
      <c r="L125" s="154">
        <f t="shared" si="21"/>
        <v>3.0640748134991904E-4</v>
      </c>
      <c r="M125" s="154">
        <f>'A2 - Transport'!N101</f>
        <v>0</v>
      </c>
      <c r="N125" s="154">
        <f>'A2 - Transport'!N102</f>
        <v>0</v>
      </c>
      <c r="O125" s="154">
        <f t="shared" si="20"/>
        <v>0</v>
      </c>
      <c r="P125" s="154">
        <f>'A2 - Transport'!N103</f>
        <v>0</v>
      </c>
      <c r="Q125" s="154">
        <f>'A2 - Transport'!N104</f>
        <v>0</v>
      </c>
      <c r="R125" s="154">
        <f t="shared" si="22"/>
        <v>0</v>
      </c>
      <c r="S125" s="154">
        <f>'A2 - Transport'!N105</f>
        <v>0</v>
      </c>
      <c r="T125" s="154">
        <f>'A2 - Transport'!N106</f>
        <v>0</v>
      </c>
      <c r="U125" s="154">
        <f t="shared" si="23"/>
        <v>0</v>
      </c>
      <c r="V125" s="154">
        <f>'A2 - Transport'!N107</f>
        <v>9.1752658200000002E-6</v>
      </c>
      <c r="W125" s="154">
        <f>'A2 - Transport'!N108</f>
        <v>2.2493841749999999E-6</v>
      </c>
      <c r="X125" s="154">
        <f>'A2 - Transport'!N109</f>
        <v>0</v>
      </c>
      <c r="Y125" s="154">
        <f t="shared" si="24"/>
        <v>1.1424649995000001E-5</v>
      </c>
      <c r="Z125" s="154">
        <f t="shared" si="25"/>
        <v>3.39329653269719E-4</v>
      </c>
      <c r="AB125" s="87"/>
    </row>
    <row r="126" spans="1:28" x14ac:dyDescent="0.35">
      <c r="A126" s="1" t="s">
        <v>287</v>
      </c>
      <c r="B126" s="154">
        <f>'A2 - Transport'!O91</f>
        <v>2.99569215424E-4</v>
      </c>
      <c r="C126" s="154">
        <f>O16+O41+O66</f>
        <v>3.02617578E-4</v>
      </c>
      <c r="D126" s="154">
        <f>O17+O42+O67</f>
        <v>7.3661954525309809E-4</v>
      </c>
      <c r="E126" s="154">
        <f>O18+O43+O68</f>
        <v>3.4241965807999997E-3</v>
      </c>
      <c r="F126" s="154">
        <f>O19+O44+O69</f>
        <v>0</v>
      </c>
      <c r="G126" s="154">
        <f>O20+O45+O70</f>
        <v>0</v>
      </c>
      <c r="H126" s="154">
        <f>O21+O46+O71</f>
        <v>0</v>
      </c>
      <c r="I126" s="154">
        <f>O22+O47+O72</f>
        <v>9.8215939367079738E-4</v>
      </c>
      <c r="J126" s="154">
        <f>O23+O48+O73</f>
        <v>0</v>
      </c>
      <c r="K126" s="154">
        <f>O24+O49+O74</f>
        <v>0</v>
      </c>
      <c r="L126" s="154">
        <f t="shared" si="21"/>
        <v>5.4455930977238953E-3</v>
      </c>
      <c r="M126" s="154">
        <f>'A2 - Transport'!O101</f>
        <v>0</v>
      </c>
      <c r="N126" s="154">
        <f>'A2 - Transport'!O102</f>
        <v>0</v>
      </c>
      <c r="O126" s="154">
        <f t="shared" si="20"/>
        <v>0</v>
      </c>
      <c r="P126" s="154">
        <f>'A2 - Transport'!O103</f>
        <v>0</v>
      </c>
      <c r="Q126" s="154">
        <f>'A2 - Transport'!O104</f>
        <v>0</v>
      </c>
      <c r="R126" s="154">
        <f t="shared" si="22"/>
        <v>0</v>
      </c>
      <c r="S126" s="154">
        <f>'A2 - Transport'!O105</f>
        <v>0</v>
      </c>
      <c r="T126" s="154">
        <f>'A2 - Transport'!O106</f>
        <v>0</v>
      </c>
      <c r="U126" s="154">
        <f t="shared" si="23"/>
        <v>0</v>
      </c>
      <c r="V126" s="154">
        <f>'A2 - Transport'!O107</f>
        <v>1.278578616E-4</v>
      </c>
      <c r="W126" s="154">
        <f>'A2 - Transport'!O108</f>
        <v>3.1345299000000004E-5</v>
      </c>
      <c r="X126" s="154">
        <f>'A2 - Transport'!O109</f>
        <v>0</v>
      </c>
      <c r="Y126" s="154">
        <f t="shared" si="24"/>
        <v>1.592031606E-4</v>
      </c>
      <c r="Z126" s="154">
        <f t="shared" si="25"/>
        <v>5.904365473747895E-3</v>
      </c>
      <c r="AB126" s="87"/>
    </row>
    <row r="127" spans="1:28" x14ac:dyDescent="0.35">
      <c r="A127" s="1" t="s">
        <v>288</v>
      </c>
      <c r="B127" s="154">
        <f>'A2 - Transport'!P91</f>
        <v>3.2425656785599996E-3</v>
      </c>
      <c r="C127" s="154">
        <f>P16+P41+P66</f>
        <v>3.2755614449999997E-3</v>
      </c>
      <c r="D127" s="154">
        <f>P17+P42+P67</f>
        <v>8.0540798506571181E-3</v>
      </c>
      <c r="E127" s="154">
        <f>P18+P43+P68</f>
        <v>3.7063829451999999E-2</v>
      </c>
      <c r="F127" s="154">
        <f>P19+P44+P69</f>
        <v>0</v>
      </c>
      <c r="G127" s="154">
        <f>P20+P45+P70</f>
        <v>0</v>
      </c>
      <c r="H127" s="154">
        <f>P21+P46+P71</f>
        <v>0</v>
      </c>
      <c r="I127" s="154">
        <f>P22+P47+P72</f>
        <v>1.0738773134209489E-2</v>
      </c>
      <c r="J127" s="154">
        <f>P23+P48+P73</f>
        <v>0</v>
      </c>
      <c r="K127" s="154">
        <f>P24+P49+P74</f>
        <v>0</v>
      </c>
      <c r="L127" s="154">
        <f t="shared" si="21"/>
        <v>5.9132243881866609E-2</v>
      </c>
      <c r="M127" s="154">
        <f>'A2 - Transport'!P101</f>
        <v>0</v>
      </c>
      <c r="N127" s="154">
        <f>'A2 - Transport'!P102</f>
        <v>0</v>
      </c>
      <c r="O127" s="154">
        <f t="shared" si="20"/>
        <v>0</v>
      </c>
      <c r="P127" s="154">
        <f>'A2 - Transport'!P103</f>
        <v>0</v>
      </c>
      <c r="Q127" s="154">
        <f>'A2 - Transport'!P104</f>
        <v>0</v>
      </c>
      <c r="R127" s="154">
        <f t="shared" si="22"/>
        <v>0</v>
      </c>
      <c r="S127" s="154">
        <f>'A2 - Transport'!P105</f>
        <v>0</v>
      </c>
      <c r="T127" s="154">
        <f>'A2 - Transport'!P106</f>
        <v>0</v>
      </c>
      <c r="U127" s="154">
        <f t="shared" si="23"/>
        <v>0</v>
      </c>
      <c r="V127" s="154">
        <f>'A2 - Transport'!P107</f>
        <v>1.3839456539999999E-3</v>
      </c>
      <c r="W127" s="154">
        <f>'A2 - Transport'!P108</f>
        <v>3.3928449749999994E-4</v>
      </c>
      <c r="X127" s="154">
        <f>'A2 - Transport'!P109</f>
        <v>0</v>
      </c>
      <c r="Y127" s="154">
        <f t="shared" si="24"/>
        <v>1.7232301514999999E-3</v>
      </c>
      <c r="Z127" s="154">
        <f t="shared" si="25"/>
        <v>6.409803971192661E-2</v>
      </c>
      <c r="AB127" s="87"/>
    </row>
    <row r="128" spans="1:28" x14ac:dyDescent="0.35">
      <c r="A128" s="1" t="s">
        <v>289</v>
      </c>
      <c r="B128" s="154">
        <f>'A2 - Transport'!Q91</f>
        <v>8.168755262399998E-11</v>
      </c>
      <c r="C128" s="154">
        <f>Q16+Q41+Q66</f>
        <v>8.2518790499999987E-11</v>
      </c>
      <c r="D128" s="154">
        <f>Q17+Q42+Q67</f>
        <v>2.5001171277620217E-11</v>
      </c>
      <c r="E128" s="154">
        <f>Q18+Q43+Q68</f>
        <v>9.3372157079999979E-10</v>
      </c>
      <c r="F128" s="154">
        <f>Q19+Q44+Q69</f>
        <v>0</v>
      </c>
      <c r="G128" s="154">
        <f>Q20+Q45+Q70</f>
        <v>0</v>
      </c>
      <c r="H128" s="154">
        <f>Q21+Q46+Q71</f>
        <v>0</v>
      </c>
      <c r="I128" s="154">
        <f>Q22+Q47+Q72</f>
        <v>3.3334895036826958E-11</v>
      </c>
      <c r="J128" s="154">
        <f>Q23+Q48+Q73</f>
        <v>0</v>
      </c>
      <c r="K128" s="154">
        <f>Q24+Q49+Q74</f>
        <v>0</v>
      </c>
      <c r="L128" s="154">
        <f t="shared" si="21"/>
        <v>1.0745764276144469E-9</v>
      </c>
      <c r="M128" s="154">
        <f>'A2 - Transport'!Q101</f>
        <v>0</v>
      </c>
      <c r="N128" s="154">
        <f>'A2 - Transport'!Q102</f>
        <v>0</v>
      </c>
      <c r="O128" s="154">
        <f t="shared" si="20"/>
        <v>0</v>
      </c>
      <c r="P128" s="154">
        <f>'A2 - Transport'!Q103</f>
        <v>0</v>
      </c>
      <c r="Q128" s="154">
        <f>'A2 - Transport'!Q104</f>
        <v>0</v>
      </c>
      <c r="R128" s="154">
        <f t="shared" si="22"/>
        <v>0</v>
      </c>
      <c r="S128" s="154">
        <f>'A2 - Transport'!Q105</f>
        <v>0</v>
      </c>
      <c r="T128" s="154">
        <f>'A2 - Transport'!Q106</f>
        <v>0</v>
      </c>
      <c r="U128" s="154">
        <f t="shared" si="23"/>
        <v>0</v>
      </c>
      <c r="V128" s="154">
        <f>'A2 - Transport'!Q107</f>
        <v>3.4864716599999999E-11</v>
      </c>
      <c r="W128" s="154">
        <f>'A2 - Transport'!Q108</f>
        <v>8.5473427499999982E-12</v>
      </c>
      <c r="X128" s="154">
        <f>'A2 - Transport'!Q109</f>
        <v>0</v>
      </c>
      <c r="Y128" s="154">
        <f t="shared" si="24"/>
        <v>4.3412059349999997E-11</v>
      </c>
      <c r="Z128" s="154">
        <f t="shared" si="25"/>
        <v>1.1996760395884469E-9</v>
      </c>
      <c r="AB128" s="87"/>
    </row>
    <row r="129" spans="1:28" x14ac:dyDescent="0.35">
      <c r="A129" s="1" t="s">
        <v>319</v>
      </c>
      <c r="B129" s="154">
        <f>'A2 - Transport'!R91</f>
        <v>6.6465010976000005E-9</v>
      </c>
      <c r="C129" s="154">
        <f>R16+R41+R66</f>
        <v>6.7141346999999997E-9</v>
      </c>
      <c r="D129" s="154">
        <f>R17+R42+R67</f>
        <v>5.5218628410840448E-10</v>
      </c>
      <c r="E129" s="154">
        <f>R18+R43+R68</f>
        <v>7.5972179920000006E-8</v>
      </c>
      <c r="F129" s="154">
        <f>R19+R44+R69</f>
        <v>0</v>
      </c>
      <c r="G129" s="154">
        <f>R20+R45+R70</f>
        <v>0</v>
      </c>
      <c r="H129" s="154">
        <f>R21+R46+R71</f>
        <v>0</v>
      </c>
      <c r="I129" s="154">
        <f>R22+R47+R72</f>
        <v>7.3624837881120605E-10</v>
      </c>
      <c r="J129" s="154">
        <f>R23+R48+R73</f>
        <v>0</v>
      </c>
      <c r="K129" s="154">
        <f>R24+R49+R74</f>
        <v>0</v>
      </c>
      <c r="L129" s="154">
        <f t="shared" si="21"/>
        <v>8.3974749282919604E-8</v>
      </c>
      <c r="M129" s="154">
        <f>'A2 - Transport'!R101</f>
        <v>0</v>
      </c>
      <c r="N129" s="154">
        <f>'A2 - Transport'!R102</f>
        <v>0</v>
      </c>
      <c r="O129" s="154">
        <f t="shared" si="20"/>
        <v>0</v>
      </c>
      <c r="P129" s="154">
        <f>'A2 - Transport'!R103</f>
        <v>0</v>
      </c>
      <c r="Q129" s="154">
        <f>'A2 - Transport'!R104</f>
        <v>0</v>
      </c>
      <c r="R129" s="154">
        <f t="shared" si="22"/>
        <v>0</v>
      </c>
      <c r="S129" s="154">
        <f>'A2 - Transport'!R105</f>
        <v>0</v>
      </c>
      <c r="T129" s="154">
        <f>'A2 - Transport'!R106</f>
        <v>0</v>
      </c>
      <c r="U129" s="154">
        <f t="shared" si="23"/>
        <v>0</v>
      </c>
      <c r="V129" s="154">
        <f>'A2 - Transport'!R107</f>
        <v>2.8367648400000001E-9</v>
      </c>
      <c r="W129" s="154">
        <f>'A2 - Transport'!R108</f>
        <v>6.954538499999999E-10</v>
      </c>
      <c r="X129" s="154">
        <f>'A2 - Transport'!R109</f>
        <v>0</v>
      </c>
      <c r="Y129" s="154">
        <f t="shared" si="24"/>
        <v>3.5322186900000002E-9</v>
      </c>
      <c r="Z129" s="154">
        <f t="shared" si="25"/>
        <v>9.4153469070519612E-8</v>
      </c>
      <c r="AB129" s="87"/>
    </row>
    <row r="130" spans="1:28" x14ac:dyDescent="0.35">
      <c r="A130" s="1" t="s">
        <v>291</v>
      </c>
      <c r="B130" s="154">
        <f>'A2 - Transport'!S91</f>
        <v>5.6248101315199998E-3</v>
      </c>
      <c r="C130" s="154">
        <f>S16+S41+S66</f>
        <v>5.6820471900000001E-3</v>
      </c>
      <c r="D130" s="154">
        <f>S17+S42+S67</f>
        <v>6.213784053942675E-3</v>
      </c>
      <c r="E130" s="154">
        <f>S18+S43+S68</f>
        <v>6.4293841384000003E-2</v>
      </c>
      <c r="F130" s="154">
        <f>S19+S44+S69</f>
        <v>0</v>
      </c>
      <c r="G130" s="154">
        <f>S20+S45+S70</f>
        <v>0</v>
      </c>
      <c r="H130" s="154">
        <f>S21+S46+S71</f>
        <v>0</v>
      </c>
      <c r="I130" s="154">
        <f>S22+S47+S72</f>
        <v>8.2850454052569005E-3</v>
      </c>
      <c r="J130" s="154">
        <f>S23+S48+S73</f>
        <v>0</v>
      </c>
      <c r="K130" s="154">
        <f>S24+S49+S74</f>
        <v>0</v>
      </c>
      <c r="L130" s="154">
        <f t="shared" si="21"/>
        <v>8.4474718033199586E-2</v>
      </c>
      <c r="M130" s="154">
        <f>'A2 - Transport'!S101</f>
        <v>0</v>
      </c>
      <c r="N130" s="154">
        <f>'A2 - Transport'!S102</f>
        <v>0</v>
      </c>
      <c r="O130" s="154">
        <f t="shared" si="20"/>
        <v>0</v>
      </c>
      <c r="P130" s="154">
        <f>'A2 - Transport'!S103</f>
        <v>0</v>
      </c>
      <c r="Q130" s="154">
        <f>'A2 - Transport'!S104</f>
        <v>0</v>
      </c>
      <c r="R130" s="154">
        <f t="shared" si="22"/>
        <v>0</v>
      </c>
      <c r="S130" s="154">
        <f>'A2 - Transport'!S105</f>
        <v>0</v>
      </c>
      <c r="T130" s="154">
        <f>'A2 - Transport'!S106</f>
        <v>0</v>
      </c>
      <c r="U130" s="154">
        <f t="shared" si="23"/>
        <v>0</v>
      </c>
      <c r="V130" s="154">
        <f>'A2 - Transport'!S107</f>
        <v>2.4007012680000001E-3</v>
      </c>
      <c r="W130" s="154">
        <f>'A2 - Transport'!S108</f>
        <v>5.8854964499999998E-4</v>
      </c>
      <c r="X130" s="154">
        <f>'A2 - Transport'!S109</f>
        <v>0</v>
      </c>
      <c r="Y130" s="154">
        <f t="shared" si="24"/>
        <v>2.989250913E-3</v>
      </c>
      <c r="Z130" s="154">
        <f t="shared" si="25"/>
        <v>9.3088779077719577E-2</v>
      </c>
      <c r="AB130" s="87"/>
    </row>
    <row r="131" spans="1:28" x14ac:dyDescent="0.35">
      <c r="A131" s="1" t="s">
        <v>292</v>
      </c>
      <c r="B131" s="154">
        <f>'A2 - Transport'!T91</f>
        <v>0.78244359896287996</v>
      </c>
      <c r="C131" s="154">
        <f>T16+T41+T66</f>
        <v>0.79040560460999998</v>
      </c>
      <c r="D131" s="154">
        <f>T17+T42+T67</f>
        <v>1.5162181669276988</v>
      </c>
      <c r="E131" s="154">
        <f>T18+T43+T68</f>
        <v>8.9436449350959997</v>
      </c>
      <c r="F131" s="154">
        <f>T19+T44+T69</f>
        <v>0</v>
      </c>
      <c r="G131" s="154">
        <f>T20+T45+T70</f>
        <v>0</v>
      </c>
      <c r="H131" s="154">
        <f>T21+T46+T71</f>
        <v>0</v>
      </c>
      <c r="I131" s="154">
        <f>T22+T47+T72</f>
        <v>2.021624222570265</v>
      </c>
      <c r="J131" s="154">
        <f>T23+T48+T73</f>
        <v>0</v>
      </c>
      <c r="K131" s="154">
        <f>T24+T49+T74</f>
        <v>0</v>
      </c>
      <c r="L131" s="154">
        <f t="shared" si="21"/>
        <v>13.271892929203963</v>
      </c>
      <c r="M131" s="154">
        <f>'A2 - Transport'!T101</f>
        <v>0</v>
      </c>
      <c r="N131" s="154">
        <f>'A2 - Transport'!T102</f>
        <v>0</v>
      </c>
      <c r="O131" s="154">
        <f t="shared" si="20"/>
        <v>0</v>
      </c>
      <c r="P131" s="154">
        <f>'A2 - Transport'!T103</f>
        <v>0</v>
      </c>
      <c r="Q131" s="154">
        <f>'A2 - Transport'!T104</f>
        <v>0</v>
      </c>
      <c r="R131" s="154">
        <f t="shared" si="22"/>
        <v>0</v>
      </c>
      <c r="S131" s="154">
        <f>'A2 - Transport'!T105</f>
        <v>0</v>
      </c>
      <c r="T131" s="154">
        <f>'A2 - Transport'!T106</f>
        <v>0</v>
      </c>
      <c r="U131" s="154">
        <f t="shared" si="23"/>
        <v>0</v>
      </c>
      <c r="V131" s="154">
        <f>'A2 - Transport'!T107</f>
        <v>0.33395142169200004</v>
      </c>
      <c r="W131" s="154">
        <f>'A2 - Transport'!T108</f>
        <v>8.1870657254999993E-2</v>
      </c>
      <c r="X131" s="154">
        <f>'A2 - Transport'!T109</f>
        <v>0</v>
      </c>
      <c r="Y131" s="154">
        <f t="shared" si="24"/>
        <v>0.41582207894700002</v>
      </c>
      <c r="Z131" s="154">
        <f t="shared" si="25"/>
        <v>14.470158607113843</v>
      </c>
      <c r="AB131" s="87"/>
    </row>
    <row r="132" spans="1:28" x14ac:dyDescent="0.35">
      <c r="A132" s="1" t="s">
        <v>293</v>
      </c>
      <c r="B132" s="154">
        <f>'A2 - Transport'!U91</f>
        <v>1.0168314110399999E-6</v>
      </c>
      <c r="C132" s="154">
        <f>U16+U41+U66</f>
        <v>1.0271785049999999E-6</v>
      </c>
      <c r="D132" s="154">
        <f>U17+U42+U67</f>
        <v>2.5515884831854344E-7</v>
      </c>
      <c r="E132" s="154">
        <f>U18+U43+U68</f>
        <v>1.1622791868E-5</v>
      </c>
      <c r="F132" s="154">
        <f>U19+U44+U69</f>
        <v>0</v>
      </c>
      <c r="G132" s="154">
        <f>U20+U45+U70</f>
        <v>0</v>
      </c>
      <c r="H132" s="154">
        <f>U21+U46+U71</f>
        <v>0</v>
      </c>
      <c r="I132" s="154">
        <f>U22+U47+U72</f>
        <v>3.4021179775805797E-7</v>
      </c>
      <c r="J132" s="154">
        <f>U23+U48+U73</f>
        <v>0</v>
      </c>
      <c r="K132" s="154">
        <f>U24+U49+U74</f>
        <v>0</v>
      </c>
      <c r="L132" s="154">
        <f t="shared" si="21"/>
        <v>1.32453410190766E-5</v>
      </c>
      <c r="M132" s="154">
        <f>'A2 - Transport'!U101</f>
        <v>0</v>
      </c>
      <c r="N132" s="154">
        <f>'A2 - Transport'!U102</f>
        <v>0</v>
      </c>
      <c r="O132" s="154">
        <f t="shared" si="20"/>
        <v>0</v>
      </c>
      <c r="P132" s="154">
        <f>'A2 - Transport'!U103</f>
        <v>0</v>
      </c>
      <c r="Q132" s="154">
        <f>'A2 - Transport'!U104</f>
        <v>0</v>
      </c>
      <c r="R132" s="154">
        <f t="shared" si="22"/>
        <v>0</v>
      </c>
      <c r="S132" s="154">
        <f>'A2 - Transport'!U105</f>
        <v>0</v>
      </c>
      <c r="T132" s="154">
        <f>'A2 - Transport'!U106</f>
        <v>0</v>
      </c>
      <c r="U132" s="154">
        <f t="shared" si="23"/>
        <v>0</v>
      </c>
      <c r="V132" s="154">
        <f>'A2 - Transport'!U107</f>
        <v>4.3398948600000003E-7</v>
      </c>
      <c r="W132" s="154">
        <f>'A2 - Transport'!U108</f>
        <v>1.0639572749999997E-7</v>
      </c>
      <c r="X132" s="154">
        <f>'A2 - Transport'!U109</f>
        <v>0</v>
      </c>
      <c r="Y132" s="154">
        <f t="shared" si="24"/>
        <v>5.4038521350000004E-7</v>
      </c>
      <c r="Z132" s="154">
        <f t="shared" si="25"/>
        <v>1.4802557643616601E-5</v>
      </c>
      <c r="AB132" s="87"/>
    </row>
    <row r="133" spans="1:28" x14ac:dyDescent="0.35">
      <c r="A133" s="1" t="s">
        <v>294</v>
      </c>
      <c r="B133" s="154">
        <f>'A2 - Transport'!V91</f>
        <v>2.0493852534400002E-8</v>
      </c>
      <c r="C133" s="154">
        <f>V16+V41+V66</f>
        <v>2.0702394300000001E-8</v>
      </c>
      <c r="D133" s="154">
        <f>V17+V42+V67</f>
        <v>3.4287732602715654E-9</v>
      </c>
      <c r="E133" s="154">
        <f>V18+V43+V68</f>
        <v>2.3425297448E-7</v>
      </c>
      <c r="F133" s="154">
        <f>V19+V44+V69</f>
        <v>0</v>
      </c>
      <c r="G133" s="154">
        <f>V20+V45+V70</f>
        <v>0</v>
      </c>
      <c r="H133" s="154">
        <f>V21+V46+V71</f>
        <v>0</v>
      </c>
      <c r="I133" s="154">
        <f>V22+V47+V72</f>
        <v>4.571697680362087E-9</v>
      </c>
      <c r="J133" s="154">
        <f>V23+V48+V73</f>
        <v>0</v>
      </c>
      <c r="K133" s="154">
        <f>V24+V49+V74</f>
        <v>0</v>
      </c>
      <c r="L133" s="154">
        <f t="shared" si="21"/>
        <v>2.6295583972063362E-7</v>
      </c>
      <c r="M133" s="154">
        <f>'A2 - Transport'!V101</f>
        <v>0</v>
      </c>
      <c r="N133" s="154">
        <f>'A2 - Transport'!V102</f>
        <v>0</v>
      </c>
      <c r="O133" s="154">
        <f t="shared" si="20"/>
        <v>0</v>
      </c>
      <c r="P133" s="154">
        <f>'A2 - Transport'!V103</f>
        <v>0</v>
      </c>
      <c r="Q133" s="154">
        <f>'A2 - Transport'!V104</f>
        <v>0</v>
      </c>
      <c r="R133" s="154">
        <f t="shared" si="22"/>
        <v>0</v>
      </c>
      <c r="S133" s="154">
        <f>'A2 - Transport'!V105</f>
        <v>0</v>
      </c>
      <c r="T133" s="154">
        <f>'A2 - Transport'!V106</f>
        <v>0</v>
      </c>
      <c r="U133" s="154">
        <f t="shared" si="23"/>
        <v>0</v>
      </c>
      <c r="V133" s="154">
        <f>'A2 - Transport'!V107</f>
        <v>8.7468939600000005E-9</v>
      </c>
      <c r="W133" s="154">
        <f>'A2 - Transport'!V108</f>
        <v>2.14436565E-9</v>
      </c>
      <c r="X133" s="154">
        <f>'A2 - Transport'!V109</f>
        <v>0</v>
      </c>
      <c r="Y133" s="154">
        <f t="shared" si="24"/>
        <v>1.089125961E-8</v>
      </c>
      <c r="Z133" s="154">
        <f t="shared" si="25"/>
        <v>2.9434095186503365E-7</v>
      </c>
      <c r="AB133" s="87"/>
    </row>
    <row r="134" spans="1:28" x14ac:dyDescent="0.35">
      <c r="A134" s="1" t="s">
        <v>295</v>
      </c>
      <c r="B134" s="154">
        <f>'A2 - Transport'!W91</f>
        <v>5.7127756254399995E-8</v>
      </c>
      <c r="C134" s="154">
        <f>W16+W41+W66</f>
        <v>5.7709078049999987E-8</v>
      </c>
      <c r="D134" s="154">
        <f>W17+W42+W67</f>
        <v>3.9102523074275609E-9</v>
      </c>
      <c r="E134" s="154">
        <f>W18+W43+W68</f>
        <v>6.5299322347999993E-7</v>
      </c>
      <c r="F134" s="154">
        <f>W19+W44+W69</f>
        <v>0</v>
      </c>
      <c r="G134" s="154">
        <f>W20+W45+W70</f>
        <v>0</v>
      </c>
      <c r="H134" s="154">
        <f>W21+W46+W71</f>
        <v>0</v>
      </c>
      <c r="I134" s="154">
        <f>W22+W47+W72</f>
        <v>5.2136697432367482E-9</v>
      </c>
      <c r="J134" s="154">
        <f>W23+W48+W73</f>
        <v>0</v>
      </c>
      <c r="K134" s="154">
        <f>W24+W49+W74</f>
        <v>0</v>
      </c>
      <c r="L134" s="154">
        <f t="shared" si="21"/>
        <v>7.1982622358066429E-7</v>
      </c>
      <c r="M134" s="154">
        <f>'A2 - Transport'!W101</f>
        <v>0</v>
      </c>
      <c r="N134" s="154">
        <f>'A2 - Transport'!W102</f>
        <v>0</v>
      </c>
      <c r="O134" s="154">
        <f t="shared" si="20"/>
        <v>0</v>
      </c>
      <c r="P134" s="154">
        <f>'A2 - Transport'!W103</f>
        <v>0</v>
      </c>
      <c r="Q134" s="154">
        <f>'A2 - Transport'!W104</f>
        <v>0</v>
      </c>
      <c r="R134" s="154">
        <f t="shared" si="22"/>
        <v>0</v>
      </c>
      <c r="S134" s="154">
        <f>'A2 - Transport'!W105</f>
        <v>0</v>
      </c>
      <c r="T134" s="154">
        <f>'A2 - Transport'!W106</f>
        <v>0</v>
      </c>
      <c r="U134" s="154">
        <f t="shared" si="23"/>
        <v>0</v>
      </c>
      <c r="V134" s="154">
        <f>'A2 - Transport'!W107</f>
        <v>2.4382454459999998E-8</v>
      </c>
      <c r="W134" s="154">
        <f>'A2 - Transport'!W108</f>
        <v>5.9775387749999988E-9</v>
      </c>
      <c r="X134" s="154">
        <f>'A2 - Transport'!W109</f>
        <v>0</v>
      </c>
      <c r="Y134" s="154">
        <f t="shared" si="24"/>
        <v>3.0359993234999997E-8</v>
      </c>
      <c r="Z134" s="154">
        <f t="shared" si="25"/>
        <v>8.073139730700643E-7</v>
      </c>
      <c r="AB134" s="87"/>
    </row>
    <row r="135" spans="1:28" x14ac:dyDescent="0.35">
      <c r="A135" s="1" t="s">
        <v>296</v>
      </c>
      <c r="B135" s="154">
        <f>'A2 - Transport'!X91</f>
        <v>2.3961960787199999E-3</v>
      </c>
      <c r="C135" s="154">
        <f>X16+X41+X66</f>
        <v>2.4205793399999995E-3</v>
      </c>
      <c r="D135" s="154">
        <f>X17+X42+X67</f>
        <v>2.251772890296766E-3</v>
      </c>
      <c r="E135" s="154">
        <f>X18+X43+X68</f>
        <v>2.7389484623999996E-2</v>
      </c>
      <c r="F135" s="154">
        <f>X19+X44+X69</f>
        <v>0</v>
      </c>
      <c r="G135" s="154">
        <f>X20+X45+X70</f>
        <v>0</v>
      </c>
      <c r="H135" s="154">
        <f>X21+X46+X71</f>
        <v>0</v>
      </c>
      <c r="I135" s="154">
        <f>X22+X47+X72</f>
        <v>3.0023638537290212E-3</v>
      </c>
      <c r="J135" s="154">
        <f>X23+X48+X73</f>
        <v>0</v>
      </c>
      <c r="K135" s="154">
        <f>X24+X49+X74</f>
        <v>0</v>
      </c>
      <c r="L135" s="154">
        <f t="shared" si="21"/>
        <v>3.5064200708025781E-2</v>
      </c>
      <c r="M135" s="154">
        <f>'A2 - Transport'!X101</f>
        <v>0</v>
      </c>
      <c r="N135" s="154">
        <f>'A2 - Transport'!X102</f>
        <v>0</v>
      </c>
      <c r="O135" s="154">
        <f t="shared" si="20"/>
        <v>0</v>
      </c>
      <c r="P135" s="154">
        <f>'A2 - Transport'!X103</f>
        <v>0</v>
      </c>
      <c r="Q135" s="154">
        <f>'A2 - Transport'!X104</f>
        <v>0</v>
      </c>
      <c r="R135" s="154">
        <f t="shared" si="22"/>
        <v>0</v>
      </c>
      <c r="S135" s="154">
        <f>'A2 - Transport'!X105</f>
        <v>0</v>
      </c>
      <c r="T135" s="154">
        <f>'A2 - Transport'!X106</f>
        <v>0</v>
      </c>
      <c r="U135" s="154">
        <f t="shared" si="23"/>
        <v>0</v>
      </c>
      <c r="V135" s="154">
        <f>'A2 - Transport'!X107</f>
        <v>1.0227102479999999E-3</v>
      </c>
      <c r="W135" s="154">
        <f>'A2 - Transport'!X108</f>
        <v>2.5072496999999999E-4</v>
      </c>
      <c r="X135" s="154">
        <f>'A2 - Transport'!X109</f>
        <v>0</v>
      </c>
      <c r="Y135" s="154">
        <f t="shared" si="24"/>
        <v>1.2734352179999998E-3</v>
      </c>
      <c r="Z135" s="154">
        <f t="shared" si="25"/>
        <v>3.8733832004745783E-2</v>
      </c>
      <c r="AB135" s="87"/>
    </row>
    <row r="136" spans="1:28" x14ac:dyDescent="0.35">
      <c r="A136" s="1" t="s">
        <v>297</v>
      </c>
      <c r="B136" s="154">
        <f>'A2 - Transport'!Y91</f>
        <v>2.825270403888E-2</v>
      </c>
      <c r="C136" s="154">
        <f>Y16+Y41+Y66</f>
        <v>2.8540198485000001E-2</v>
      </c>
      <c r="D136" s="154">
        <f>Y17+Y42+Y67</f>
        <v>1.7562677442435389E-2</v>
      </c>
      <c r="E136" s="154">
        <f>Y18+Y43+Y68</f>
        <v>0.32293976679599995</v>
      </c>
      <c r="F136" s="154">
        <f>Y19+Y44+Y69</f>
        <v>0</v>
      </c>
      <c r="G136" s="154">
        <f>Y20+Y45+Y70</f>
        <v>0</v>
      </c>
      <c r="H136" s="154">
        <f>Y21+Y46+Y71</f>
        <v>0</v>
      </c>
      <c r="I136" s="154">
        <f>Y22+Y47+Y72</f>
        <v>2.341690325658052E-2</v>
      </c>
      <c r="J136" s="154">
        <f>Y23+Y48+Y73</f>
        <v>0</v>
      </c>
      <c r="K136" s="154">
        <f>Y24+Y49+Y74</f>
        <v>0</v>
      </c>
      <c r="L136" s="154">
        <f t="shared" si="21"/>
        <v>0.39245954598001587</v>
      </c>
      <c r="M136" s="154">
        <f>'A2 - Transport'!Y101</f>
        <v>0</v>
      </c>
      <c r="N136" s="154">
        <f>'A2 - Transport'!Y102</f>
        <v>0</v>
      </c>
      <c r="O136" s="154">
        <f t="shared" si="20"/>
        <v>0</v>
      </c>
      <c r="P136" s="154">
        <f>'A2 - Transport'!Y103</f>
        <v>0</v>
      </c>
      <c r="Q136" s="154">
        <f>'A2 - Transport'!Y104</f>
        <v>0</v>
      </c>
      <c r="R136" s="154">
        <f t="shared" si="22"/>
        <v>0</v>
      </c>
      <c r="S136" s="154">
        <f>'A2 - Transport'!Y105</f>
        <v>0</v>
      </c>
      <c r="T136" s="154">
        <f>'A2 - Transport'!Y106</f>
        <v>0</v>
      </c>
      <c r="U136" s="154">
        <f t="shared" si="23"/>
        <v>0</v>
      </c>
      <c r="V136" s="154">
        <f>'A2 - Transport'!Y107</f>
        <v>1.2058416342E-2</v>
      </c>
      <c r="W136" s="154">
        <f>'A2 - Transport'!Y108</f>
        <v>2.9562098174999996E-3</v>
      </c>
      <c r="X136" s="154">
        <f>'A2 - Transport'!Y109</f>
        <v>0</v>
      </c>
      <c r="Y136" s="154">
        <f t="shared" si="24"/>
        <v>1.50146261595E-2</v>
      </c>
      <c r="Z136" s="154">
        <f t="shared" si="25"/>
        <v>0.43572687617839589</v>
      </c>
      <c r="AB136" s="87"/>
    </row>
    <row r="140" spans="1:28" x14ac:dyDescent="0.35">
      <c r="B140" t="s">
        <v>352</v>
      </c>
    </row>
    <row r="141" spans="1:28" x14ac:dyDescent="0.35">
      <c r="A141" s="95" t="s">
        <v>326</v>
      </c>
      <c r="B141" s="1">
        <f>SUM(G110:Y110)</f>
        <v>231.86550522070752</v>
      </c>
    </row>
    <row r="142" spans="1:28" x14ac:dyDescent="0.35">
      <c r="A142" s="95" t="s">
        <v>327</v>
      </c>
      <c r="B142" s="1">
        <f>SUM(B118:K136)+SUM(M118:N136)+SUM(P118:Q136)+SUM(S118:T136)+SUM(V118:X136)</f>
        <v>231.86550522070749</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0</v>
      </c>
      <c r="E15" s="158" t="str">
        <f>Input!$J51</f>
        <v>Truck</v>
      </c>
      <c r="F15" s="158" t="str">
        <f>Input!$K51</f>
        <v>Diesel_Euro6</v>
      </c>
      <c r="G15" s="158" cm="1">
        <f t="array" ref="G15">INDEX(LCI!H$2:H$73, MATCH($E15&amp;$F15, LCI!$B$2:$B$73&amp;LCI!$D$2:$D$73, 0))* IF(AND($E15="Truck", OR($F15="Electric", $F15="Electric_green")), $B$6, 1)* $C15* $D15</f>
        <v>0</v>
      </c>
      <c r="H15" s="158" cm="1">
        <f t="array" ref="H15">INDEX(LCI!I$2:I$73, MATCH($E15&amp;$F15, LCI!$B$2:$B$73&amp;LCI!$D$2:$D$73, 0))* IF(AND($E15="Truck", OR($F15="Electric", $F15="Electric_green")), $B$6, 1)* $C15* $D15</f>
        <v>0</v>
      </c>
      <c r="I15" s="158" cm="1">
        <f t="array" ref="I15">INDEX(LCI!J$2:J$73, MATCH($E15&amp;$F15, LCI!$B$2:$B$73&amp;LCI!$D$2:$D$73, 0))* IF(AND($E15="Truck", OR($F15="Electric", $F15="Electric_green")), $B$6, 1)* $C15* $D15</f>
        <v>0</v>
      </c>
      <c r="J15" s="158" cm="1">
        <f t="array" ref="J15">INDEX(LCI!K$2:K$73, MATCH($E15&amp;$F15, LCI!$B$2:$B$73&amp;LCI!$D$2:$D$73, 0))* IF(AND($E15="Truck", OR($F15="Electric", $F15="Electric_green")), $B$6, 1)* $C15* $D15</f>
        <v>0</v>
      </c>
      <c r="K15" s="158" cm="1">
        <f t="array" ref="K15">INDEX(LCI!L$2:L$73, MATCH($E15&amp;$F15, LCI!$B$2:$B$73&amp;LCI!$D$2:$D$73, 0))* IF(AND($E15="Truck", OR($F15="Electric", $F15="Electric_green")), $B$6, 1)* $C15* $D15</f>
        <v>0</v>
      </c>
      <c r="L15" s="158" cm="1">
        <f t="array" ref="L15">INDEX(LCI!M$2:M$73, MATCH($E15&amp;$F15, LCI!$B$2:$B$73&amp;LCI!$D$2:$D$73, 0))* IF(AND($E15="Truck", OR($F15="Electric", $F15="Electric_green")), $B$6, 1)* $C15* $D15</f>
        <v>0</v>
      </c>
      <c r="M15" s="158" cm="1">
        <f t="array" ref="M15">INDEX(LCI!N$2:N$73, MATCH($E15&amp;$F15, LCI!$B$2:$B$73&amp;LCI!$D$2:$D$73, 0))* IF(AND($E15="Truck", OR($F15="Electric", $F15="Electric_green")), $B$6, 1)* $C15* $D15</f>
        <v>0</v>
      </c>
      <c r="N15" s="158" cm="1">
        <f t="array" ref="N15">INDEX(LCI!O$2:O$73, MATCH($E15&amp;$F15, LCI!$B$2:$B$73&amp;LCI!$D$2:$D$73, 0))* IF(AND($E15="Truck", OR($F15="Electric", $F15="Electric_green")), $B$6, 1)* $C15* $D15</f>
        <v>0</v>
      </c>
      <c r="O15" s="158" cm="1">
        <f t="array" ref="O15">INDEX(LCI!P$2:P$73, MATCH($E15&amp;$F15, LCI!$B$2:$B$73&amp;LCI!$D$2:$D$73, 0))* IF(AND($E15="Truck", OR($F15="Electric", $F15="Electric_green")), $B$6, 1)* $C15* $D15</f>
        <v>0</v>
      </c>
      <c r="P15" s="158" cm="1">
        <f t="array" ref="P15">INDEX(LCI!Q$2:Q$73, MATCH($E15&amp;$F15, LCI!$B$2:$B$73&amp;LCI!$D$2:$D$73, 0))* IF(AND($E15="Truck", OR($F15="Electric", $F15="Electric_green")), $B$6, 1)* $C15* $D15</f>
        <v>0</v>
      </c>
      <c r="Q15" s="158" cm="1">
        <f t="array" ref="Q15">INDEX(LCI!R$2:R$73, MATCH($E15&amp;$F15, LCI!$B$2:$B$73&amp;LCI!$D$2:$D$73, 0))* IF(AND($E15="Truck", OR($F15="Electric", $F15="Electric_green")), $B$6, 1)* $C15* $D15</f>
        <v>0</v>
      </c>
      <c r="R15" s="158" cm="1">
        <f t="array" ref="R15">INDEX(LCI!S$2:S$73, MATCH($E15&amp;$F15, LCI!$B$2:$B$73&amp;LCI!$D$2:$D$73, 0))* IF(AND($E15="Truck", OR($F15="Electric", $F15="Electric_green")), $B$6, 1)* $C15* $D15</f>
        <v>0</v>
      </c>
      <c r="S15" s="158" cm="1">
        <f t="array" ref="S15">INDEX(LCI!T$2:T$73, MATCH($E15&amp;$F15, LCI!$B$2:$B$73&amp;LCI!$D$2:$D$73, 0))* IF(AND($E15="Truck", OR($F15="Electric", $F15="Electric_green")), $B$6, 1)* $C15* $D15</f>
        <v>0</v>
      </c>
      <c r="T15" s="158" cm="1">
        <f t="array" ref="T15">INDEX(LCI!U$2:U$73, MATCH($E15&amp;$F15, LCI!$B$2:$B$73&amp;LCI!$D$2:$D$73, 0))* IF(AND($E15="Truck", OR($F15="Electric", $F15="Electric_green")), $B$6, 1)* $C15* $D15</f>
        <v>0</v>
      </c>
      <c r="U15" s="158" cm="1">
        <f t="array" ref="U15">INDEX(LCI!V$2:V$73, MATCH($E15&amp;$F15, LCI!$B$2:$B$73&amp;LCI!$D$2:$D$73, 0))* IF(AND($E15="Truck", OR($F15="Electric", $F15="Electric_green")), $B$6, 1)* $C15* $D15</f>
        <v>0</v>
      </c>
      <c r="V15" s="158" cm="1">
        <f t="array" ref="V15">INDEX(LCI!W$2:W$73, MATCH($E15&amp;$F15, LCI!$B$2:$B$73&amp;LCI!$D$2:$D$73, 0))* IF(AND($E15="Truck", OR($F15="Electric", $F15="Electric_green")), $B$6, 1)* $C15* $D15</f>
        <v>0</v>
      </c>
      <c r="W15" s="158" cm="1">
        <f t="array" ref="W15">INDEX(LCI!X$2:X$73, MATCH($E15&amp;$F15, LCI!$B$2:$B$73&amp;LCI!$D$2:$D$73, 0))* IF(AND($E15="Truck", OR($F15="Electric", $F15="Electric_green")), $B$6, 1)* $C15* $D15</f>
        <v>0</v>
      </c>
      <c r="X15" s="158" cm="1">
        <f t="array" ref="X15">INDEX(LCI!Y$2:Y$73, MATCH($E15&amp;$F15, LCI!$B$2:$B$73&amp;LCI!$D$2:$D$73, 0))* IF(AND($E15="Truck", OR($F15="Electric", $F15="Electric_green")), $B$6, 1)* $C15* $D15</f>
        <v>0</v>
      </c>
      <c r="Y15" s="158" cm="1">
        <f t="array" ref="Y15">INDEX(LCI!Z$2:Z$73, MATCH($E15&amp;$F15, LCI!$B$2:$B$73&amp;LCI!$D$2:$D$73, 0))* IF(AND($E15="Truck", OR($F15="Electric", $F15="Electric_green")), $B$6, 1)* $C15* $D15</f>
        <v>0</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0</v>
      </c>
      <c r="H19" s="139">
        <f t="shared" si="0"/>
        <v>0</v>
      </c>
      <c r="I19" s="139">
        <f t="shared" si="0"/>
        <v>0</v>
      </c>
      <c r="J19" s="139">
        <f t="shared" si="0"/>
        <v>0</v>
      </c>
      <c r="K19" s="139">
        <f t="shared" si="0"/>
        <v>0</v>
      </c>
      <c r="L19" s="139">
        <f t="shared" si="0"/>
        <v>0</v>
      </c>
      <c r="M19" s="139">
        <f t="shared" si="0"/>
        <v>0</v>
      </c>
      <c r="N19" s="139">
        <f t="shared" si="0"/>
        <v>0</v>
      </c>
      <c r="O19" s="139">
        <f t="shared" si="0"/>
        <v>0</v>
      </c>
      <c r="P19" s="139">
        <f t="shared" si="0"/>
        <v>0</v>
      </c>
      <c r="Q19" s="139">
        <f t="shared" si="0"/>
        <v>0</v>
      </c>
      <c r="R19" s="139">
        <f t="shared" si="0"/>
        <v>0</v>
      </c>
      <c r="S19" s="139">
        <f t="shared" si="0"/>
        <v>0</v>
      </c>
      <c r="T19" s="139">
        <f t="shared" si="0"/>
        <v>0</v>
      </c>
      <c r="U19" s="139">
        <f t="shared" si="0"/>
        <v>0</v>
      </c>
      <c r="V19" s="139">
        <f t="shared" si="0"/>
        <v>0</v>
      </c>
      <c r="W19" s="139">
        <f t="shared" si="0"/>
        <v>0</v>
      </c>
      <c r="X19" s="139">
        <f t="shared" si="0"/>
        <v>0</v>
      </c>
      <c r="Y19" s="139">
        <f t="shared" si="0"/>
        <v>0</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0</v>
      </c>
      <c r="E46" s="154" t="s">
        <v>346</v>
      </c>
      <c r="F46" s="154" t="s">
        <v>346</v>
      </c>
      <c r="G46" s="154">
        <f t="shared" ref="G46:Y46" si="3">G15+G25+G35</f>
        <v>0</v>
      </c>
      <c r="H46" s="154">
        <f t="shared" si="3"/>
        <v>0</v>
      </c>
      <c r="I46" s="154">
        <f t="shared" si="3"/>
        <v>0</v>
      </c>
      <c r="J46" s="154">
        <f t="shared" si="3"/>
        <v>0</v>
      </c>
      <c r="K46" s="154">
        <f t="shared" si="3"/>
        <v>0</v>
      </c>
      <c r="L46" s="154">
        <f t="shared" si="3"/>
        <v>0</v>
      </c>
      <c r="M46" s="154">
        <f t="shared" si="3"/>
        <v>0</v>
      </c>
      <c r="N46" s="154">
        <f t="shared" si="3"/>
        <v>0</v>
      </c>
      <c r="O46" s="154">
        <f t="shared" si="3"/>
        <v>0</v>
      </c>
      <c r="P46" s="154">
        <f t="shared" si="3"/>
        <v>0</v>
      </c>
      <c r="Q46" s="154">
        <f t="shared" si="3"/>
        <v>0</v>
      </c>
      <c r="R46" s="154">
        <f t="shared" si="3"/>
        <v>0</v>
      </c>
      <c r="S46" s="154">
        <f t="shared" si="3"/>
        <v>0</v>
      </c>
      <c r="T46" s="154">
        <f t="shared" si="3"/>
        <v>0</v>
      </c>
      <c r="U46" s="154">
        <f t="shared" si="3"/>
        <v>0</v>
      </c>
      <c r="V46" s="154">
        <f t="shared" si="3"/>
        <v>0</v>
      </c>
      <c r="W46" s="154">
        <f t="shared" si="3"/>
        <v>0</v>
      </c>
      <c r="X46" s="154">
        <f t="shared" si="3"/>
        <v>0</v>
      </c>
      <c r="Y46" s="154">
        <f t="shared" si="3"/>
        <v>0</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0</v>
      </c>
      <c r="H50" s="139">
        <f t="shared" si="7"/>
        <v>0</v>
      </c>
      <c r="I50" s="139">
        <f t="shared" si="7"/>
        <v>0</v>
      </c>
      <c r="J50" s="139">
        <f t="shared" si="7"/>
        <v>0</v>
      </c>
      <c r="K50" s="139">
        <f t="shared" si="7"/>
        <v>0</v>
      </c>
      <c r="L50" s="139">
        <f t="shared" si="7"/>
        <v>0</v>
      </c>
      <c r="M50" s="139">
        <f t="shared" si="7"/>
        <v>0</v>
      </c>
      <c r="N50" s="139">
        <f t="shared" si="7"/>
        <v>0</v>
      </c>
      <c r="O50" s="139">
        <f t="shared" si="7"/>
        <v>0</v>
      </c>
      <c r="P50" s="139">
        <f t="shared" si="7"/>
        <v>0</v>
      </c>
      <c r="Q50" s="139">
        <f t="shared" si="7"/>
        <v>0</v>
      </c>
      <c r="R50" s="139">
        <f t="shared" si="7"/>
        <v>0</v>
      </c>
      <c r="S50" s="139">
        <f t="shared" si="7"/>
        <v>0</v>
      </c>
      <c r="T50" s="139">
        <f t="shared" si="7"/>
        <v>0</v>
      </c>
      <c r="U50" s="139">
        <f t="shared" si="7"/>
        <v>0</v>
      </c>
      <c r="V50" s="139">
        <f t="shared" si="7"/>
        <v>0</v>
      </c>
      <c r="W50" s="139">
        <f t="shared" si="7"/>
        <v>0</v>
      </c>
      <c r="X50" s="139">
        <f t="shared" si="7"/>
        <v>0</v>
      </c>
      <c r="Y50" s="139">
        <f t="shared" si="7"/>
        <v>0</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0</v>
      </c>
      <c r="C58" s="154">
        <f>'C2''- Transport Secondary'!G47</f>
        <v>0</v>
      </c>
      <c r="D58" s="154">
        <f>SUM(B58:C58)</f>
        <v>0</v>
      </c>
      <c r="E58" s="154">
        <f>'C2''- Transport Secondary'!G48</f>
        <v>0</v>
      </c>
      <c r="F58" s="154">
        <f>'C2''- Transport Secondary'!G49</f>
        <v>0</v>
      </c>
      <c r="G58" s="154">
        <f>SUM(E58:F58)</f>
        <v>0</v>
      </c>
      <c r="H58" s="154">
        <f>+D58+G58</f>
        <v>0</v>
      </c>
    </row>
    <row r="59" spans="1:25" x14ac:dyDescent="0.35">
      <c r="A59" s="1" t="s">
        <v>280</v>
      </c>
      <c r="B59" s="154">
        <f>'C2''- Transport Secondary'!H46</f>
        <v>0</v>
      </c>
      <c r="C59" s="154">
        <f>'C2''- Transport Secondary'!H47</f>
        <v>0</v>
      </c>
      <c r="D59" s="154">
        <f t="shared" ref="D59:D76" si="8">SUM(B59:C59)</f>
        <v>0</v>
      </c>
      <c r="E59" s="154">
        <f>'C2''- Transport Secondary'!H48</f>
        <v>0</v>
      </c>
      <c r="F59" s="154">
        <f>'C2''- Transport Secondary'!H49</f>
        <v>0</v>
      </c>
      <c r="G59" s="154">
        <f>SUM(E59:F59)</f>
        <v>0</v>
      </c>
      <c r="H59" s="154">
        <f t="shared" ref="H59:H76" si="9">+D59+G59</f>
        <v>0</v>
      </c>
    </row>
    <row r="60" spans="1:25" x14ac:dyDescent="0.35">
      <c r="A60" s="1" t="s">
        <v>281</v>
      </c>
      <c r="B60" s="154">
        <f>'C2''- Transport Secondary'!I46</f>
        <v>0</v>
      </c>
      <c r="C60" s="154">
        <f>'C2''- Transport Secondary'!I47</f>
        <v>0</v>
      </c>
      <c r="D60" s="154">
        <f t="shared" si="8"/>
        <v>0</v>
      </c>
      <c r="E60" s="154">
        <f>'C2''- Transport Secondary'!I48</f>
        <v>0</v>
      </c>
      <c r="F60" s="154">
        <f>'C2''- Transport Secondary'!I49</f>
        <v>0</v>
      </c>
      <c r="G60" s="154">
        <f t="shared" ref="G60:G76" si="10">SUM(E60:F60)</f>
        <v>0</v>
      </c>
      <c r="H60" s="154">
        <f t="shared" si="9"/>
        <v>0</v>
      </c>
    </row>
    <row r="61" spans="1:25" x14ac:dyDescent="0.35">
      <c r="A61" s="1" t="s">
        <v>282</v>
      </c>
      <c r="B61" s="154">
        <f>'C2''- Transport Secondary'!J46</f>
        <v>0</v>
      </c>
      <c r="C61" s="154">
        <f>'C2''- Transport Secondary'!J47</f>
        <v>0</v>
      </c>
      <c r="D61" s="154">
        <f t="shared" si="8"/>
        <v>0</v>
      </c>
      <c r="E61" s="154">
        <f>'C2''- Transport Secondary'!J48</f>
        <v>0</v>
      </c>
      <c r="F61" s="154">
        <f>'C2''- Transport Secondary'!J49</f>
        <v>0</v>
      </c>
      <c r="G61" s="154">
        <f t="shared" si="10"/>
        <v>0</v>
      </c>
      <c r="H61" s="154">
        <f t="shared" si="9"/>
        <v>0</v>
      </c>
    </row>
    <row r="62" spans="1:25" x14ac:dyDescent="0.35">
      <c r="A62" s="1" t="s">
        <v>283</v>
      </c>
      <c r="B62" s="154">
        <f>'C2''- Transport Secondary'!K46</f>
        <v>0</v>
      </c>
      <c r="C62" s="154">
        <f>'C2''- Transport Secondary'!K47</f>
        <v>0</v>
      </c>
      <c r="D62" s="154">
        <f t="shared" si="8"/>
        <v>0</v>
      </c>
      <c r="E62" s="154">
        <f>'C2''- Transport Secondary'!K48</f>
        <v>0</v>
      </c>
      <c r="F62" s="154">
        <f>'C2''- Transport Secondary'!K49</f>
        <v>0</v>
      </c>
      <c r="G62" s="154">
        <f t="shared" si="10"/>
        <v>0</v>
      </c>
      <c r="H62" s="154">
        <f t="shared" si="9"/>
        <v>0</v>
      </c>
    </row>
    <row r="63" spans="1:25" x14ac:dyDescent="0.35">
      <c r="A63" s="1" t="s">
        <v>284</v>
      </c>
      <c r="B63" s="154">
        <f>'C2''- Transport Secondary'!L46</f>
        <v>0</v>
      </c>
      <c r="C63" s="154">
        <f>'C2''- Transport Secondary'!L47</f>
        <v>0</v>
      </c>
      <c r="D63" s="154">
        <f t="shared" si="8"/>
        <v>0</v>
      </c>
      <c r="E63" s="154">
        <f>'C2''- Transport Secondary'!L48</f>
        <v>0</v>
      </c>
      <c r="F63" s="154">
        <f>'C2''- Transport Secondary'!L49</f>
        <v>0</v>
      </c>
      <c r="G63" s="154">
        <f t="shared" si="10"/>
        <v>0</v>
      </c>
      <c r="H63" s="154">
        <f t="shared" si="9"/>
        <v>0</v>
      </c>
    </row>
    <row r="64" spans="1:25" x14ac:dyDescent="0.35">
      <c r="A64" s="1" t="s">
        <v>285</v>
      </c>
      <c r="B64" s="154">
        <f>'C2''- Transport Secondary'!M46</f>
        <v>0</v>
      </c>
      <c r="C64" s="154">
        <f>'C2''- Transport Secondary'!M47</f>
        <v>0</v>
      </c>
      <c r="D64" s="154">
        <f t="shared" si="8"/>
        <v>0</v>
      </c>
      <c r="E64" s="154">
        <f>'C2''- Transport Secondary'!M48</f>
        <v>0</v>
      </c>
      <c r="F64" s="154">
        <f>'C2''- Transport Secondary'!M49</f>
        <v>0</v>
      </c>
      <c r="G64" s="154">
        <f t="shared" si="10"/>
        <v>0</v>
      </c>
      <c r="H64" s="154">
        <f t="shared" si="9"/>
        <v>0</v>
      </c>
    </row>
    <row r="65" spans="1:8" x14ac:dyDescent="0.35">
      <c r="A65" s="1" t="s">
        <v>286</v>
      </c>
      <c r="B65" s="154">
        <f>'C2''- Transport Secondary'!N46</f>
        <v>0</v>
      </c>
      <c r="C65" s="154">
        <f>'C2''- Transport Secondary'!N47</f>
        <v>0</v>
      </c>
      <c r="D65" s="154">
        <f t="shared" si="8"/>
        <v>0</v>
      </c>
      <c r="E65" s="154">
        <f>'C2''- Transport Secondary'!N48</f>
        <v>0</v>
      </c>
      <c r="F65" s="154">
        <f>'C2''- Transport Secondary'!N49</f>
        <v>0</v>
      </c>
      <c r="G65" s="154">
        <f t="shared" si="10"/>
        <v>0</v>
      </c>
      <c r="H65" s="154">
        <f t="shared" si="9"/>
        <v>0</v>
      </c>
    </row>
    <row r="66" spans="1:8" x14ac:dyDescent="0.35">
      <c r="A66" s="1" t="s">
        <v>287</v>
      </c>
      <c r="B66" s="154">
        <f>'C2''- Transport Secondary'!O46</f>
        <v>0</v>
      </c>
      <c r="C66" s="154">
        <f>'C2''- Transport Secondary'!O47</f>
        <v>0</v>
      </c>
      <c r="D66" s="154">
        <f t="shared" si="8"/>
        <v>0</v>
      </c>
      <c r="E66" s="154">
        <f>'C2''- Transport Secondary'!O48</f>
        <v>0</v>
      </c>
      <c r="F66" s="154">
        <f>'C2''- Transport Secondary'!O49</f>
        <v>0</v>
      </c>
      <c r="G66" s="154">
        <f t="shared" si="10"/>
        <v>0</v>
      </c>
      <c r="H66" s="154">
        <f t="shared" si="9"/>
        <v>0</v>
      </c>
    </row>
    <row r="67" spans="1:8" x14ac:dyDescent="0.35">
      <c r="A67" s="1" t="s">
        <v>288</v>
      </c>
      <c r="B67" s="154">
        <f>'C2''- Transport Secondary'!P46</f>
        <v>0</v>
      </c>
      <c r="C67" s="154">
        <f>'C2''- Transport Secondary'!P47</f>
        <v>0</v>
      </c>
      <c r="D67" s="154">
        <f t="shared" si="8"/>
        <v>0</v>
      </c>
      <c r="E67" s="154">
        <f>'C2''- Transport Secondary'!P48</f>
        <v>0</v>
      </c>
      <c r="F67" s="154">
        <f>'C2''- Transport Secondary'!P49</f>
        <v>0</v>
      </c>
      <c r="G67" s="154">
        <f t="shared" si="10"/>
        <v>0</v>
      </c>
      <c r="H67" s="154">
        <f t="shared" si="9"/>
        <v>0</v>
      </c>
    </row>
    <row r="68" spans="1:8" x14ac:dyDescent="0.35">
      <c r="A68" s="1" t="s">
        <v>289</v>
      </c>
      <c r="B68" s="154">
        <f>'C2''- Transport Secondary'!Q46</f>
        <v>0</v>
      </c>
      <c r="C68" s="154">
        <f>'C2''- Transport Secondary'!Q47</f>
        <v>0</v>
      </c>
      <c r="D68" s="154">
        <f t="shared" si="8"/>
        <v>0</v>
      </c>
      <c r="E68" s="154">
        <f>'C2''- Transport Secondary'!Q48</f>
        <v>0</v>
      </c>
      <c r="F68" s="154">
        <f>'C2''- Transport Secondary'!Q49</f>
        <v>0</v>
      </c>
      <c r="G68" s="154">
        <f t="shared" si="10"/>
        <v>0</v>
      </c>
      <c r="H68" s="154">
        <f t="shared" si="9"/>
        <v>0</v>
      </c>
    </row>
    <row r="69" spans="1:8" x14ac:dyDescent="0.35">
      <c r="A69" s="1" t="s">
        <v>319</v>
      </c>
      <c r="B69" s="154">
        <f>'C2''- Transport Secondary'!R46</f>
        <v>0</v>
      </c>
      <c r="C69" s="154">
        <f>'C2''- Transport Secondary'!R47</f>
        <v>0</v>
      </c>
      <c r="D69" s="154">
        <f t="shared" si="8"/>
        <v>0</v>
      </c>
      <c r="E69" s="154">
        <f>'C2''- Transport Secondary'!R48</f>
        <v>0</v>
      </c>
      <c r="F69" s="154">
        <f>'C2''- Transport Secondary'!R49</f>
        <v>0</v>
      </c>
      <c r="G69" s="154">
        <f t="shared" si="10"/>
        <v>0</v>
      </c>
      <c r="H69" s="154">
        <f t="shared" si="9"/>
        <v>0</v>
      </c>
    </row>
    <row r="70" spans="1:8" x14ac:dyDescent="0.35">
      <c r="A70" s="1" t="s">
        <v>291</v>
      </c>
      <c r="B70" s="154">
        <f>'C2''- Transport Secondary'!S46</f>
        <v>0</v>
      </c>
      <c r="C70" s="154">
        <f>'C2''- Transport Secondary'!S47</f>
        <v>0</v>
      </c>
      <c r="D70" s="154">
        <f t="shared" si="8"/>
        <v>0</v>
      </c>
      <c r="E70" s="154">
        <f>'C2''- Transport Secondary'!S48</f>
        <v>0</v>
      </c>
      <c r="F70" s="154">
        <f>'C2''- Transport Secondary'!S49</f>
        <v>0</v>
      </c>
      <c r="G70" s="154">
        <f t="shared" si="10"/>
        <v>0</v>
      </c>
      <c r="H70" s="154">
        <f t="shared" si="9"/>
        <v>0</v>
      </c>
    </row>
    <row r="71" spans="1:8" x14ac:dyDescent="0.35">
      <c r="A71" s="1" t="s">
        <v>292</v>
      </c>
      <c r="B71" s="154">
        <f>'C2''- Transport Secondary'!T46</f>
        <v>0</v>
      </c>
      <c r="C71" s="154">
        <f>'C2''- Transport Secondary'!T47</f>
        <v>0</v>
      </c>
      <c r="D71" s="154">
        <f t="shared" si="8"/>
        <v>0</v>
      </c>
      <c r="E71" s="154">
        <f>'C2''- Transport Secondary'!T48</f>
        <v>0</v>
      </c>
      <c r="F71" s="154">
        <f>'C2''- Transport Secondary'!T49</f>
        <v>0</v>
      </c>
      <c r="G71" s="154">
        <f t="shared" si="10"/>
        <v>0</v>
      </c>
      <c r="H71" s="154">
        <f t="shared" si="9"/>
        <v>0</v>
      </c>
    </row>
    <row r="72" spans="1:8" x14ac:dyDescent="0.35">
      <c r="A72" s="1" t="s">
        <v>293</v>
      </c>
      <c r="B72" s="154">
        <f>'C2''- Transport Secondary'!U46</f>
        <v>0</v>
      </c>
      <c r="C72" s="154">
        <f>'C2''- Transport Secondary'!U47</f>
        <v>0</v>
      </c>
      <c r="D72" s="154">
        <f t="shared" si="8"/>
        <v>0</v>
      </c>
      <c r="E72" s="154">
        <f>'C2''- Transport Secondary'!U48</f>
        <v>0</v>
      </c>
      <c r="F72" s="154">
        <f>'C2''- Transport Secondary'!U49</f>
        <v>0</v>
      </c>
      <c r="G72" s="154">
        <f t="shared" si="10"/>
        <v>0</v>
      </c>
      <c r="H72" s="154">
        <f t="shared" si="9"/>
        <v>0</v>
      </c>
    </row>
    <row r="73" spans="1:8" x14ac:dyDescent="0.35">
      <c r="A73" s="1" t="s">
        <v>294</v>
      </c>
      <c r="B73" s="154">
        <f>'C2''- Transport Secondary'!V46</f>
        <v>0</v>
      </c>
      <c r="C73" s="154">
        <f>'C2''- Transport Secondary'!V47</f>
        <v>0</v>
      </c>
      <c r="D73" s="154">
        <f t="shared" si="8"/>
        <v>0</v>
      </c>
      <c r="E73" s="154">
        <f>'C2''- Transport Secondary'!V48</f>
        <v>0</v>
      </c>
      <c r="F73" s="154">
        <f>'C2''- Transport Secondary'!V49</f>
        <v>0</v>
      </c>
      <c r="G73" s="154">
        <f t="shared" si="10"/>
        <v>0</v>
      </c>
      <c r="H73" s="154">
        <f t="shared" si="9"/>
        <v>0</v>
      </c>
    </row>
    <row r="74" spans="1:8" ht="14" customHeight="1" x14ac:dyDescent="0.35">
      <c r="A74" s="1" t="s">
        <v>295</v>
      </c>
      <c r="B74" s="154">
        <f>'C2''- Transport Secondary'!W46</f>
        <v>0</v>
      </c>
      <c r="C74" s="154">
        <f>'C2''- Transport Secondary'!W47</f>
        <v>0</v>
      </c>
      <c r="D74" s="154">
        <f t="shared" si="8"/>
        <v>0</v>
      </c>
      <c r="E74" s="154">
        <f>'C2''- Transport Secondary'!W48</f>
        <v>0</v>
      </c>
      <c r="F74" s="154">
        <f>'C2''- Transport Secondary'!W49</f>
        <v>0</v>
      </c>
      <c r="G74" s="154">
        <f t="shared" si="10"/>
        <v>0</v>
      </c>
      <c r="H74" s="154">
        <f t="shared" si="9"/>
        <v>0</v>
      </c>
    </row>
    <row r="75" spans="1:8" x14ac:dyDescent="0.35">
      <c r="A75" s="1" t="s">
        <v>296</v>
      </c>
      <c r="B75" s="154">
        <f>'C2''- Transport Secondary'!X46</f>
        <v>0</v>
      </c>
      <c r="C75" s="154">
        <f>'C2''- Transport Secondary'!X47</f>
        <v>0</v>
      </c>
      <c r="D75" s="154">
        <f t="shared" si="8"/>
        <v>0</v>
      </c>
      <c r="E75" s="154">
        <f>'C2''- Transport Secondary'!X48</f>
        <v>0</v>
      </c>
      <c r="F75" s="154">
        <f>'C2''- Transport Secondary'!X49</f>
        <v>0</v>
      </c>
      <c r="G75" s="154">
        <f t="shared" si="10"/>
        <v>0</v>
      </c>
      <c r="H75" s="154">
        <f t="shared" si="9"/>
        <v>0</v>
      </c>
    </row>
    <row r="76" spans="1:8" x14ac:dyDescent="0.35">
      <c r="A76" s="1" t="s">
        <v>297</v>
      </c>
      <c r="B76" s="154">
        <f>'C2''- Transport Secondary'!Y46</f>
        <v>0</v>
      </c>
      <c r="C76" s="154">
        <f>'C2''- Transport Secondary'!Y47</f>
        <v>0</v>
      </c>
      <c r="D76" s="154">
        <f t="shared" si="8"/>
        <v>0</v>
      </c>
      <c r="E76" s="154">
        <f>'C2''- Transport Secondary'!Y48</f>
        <v>0</v>
      </c>
      <c r="F76" s="154">
        <f>'C2''- Transport Secondary'!Y49</f>
        <v>0</v>
      </c>
      <c r="G76" s="154">
        <f t="shared" si="10"/>
        <v>0</v>
      </c>
      <c r="H76" s="154">
        <f t="shared" si="9"/>
        <v>0</v>
      </c>
    </row>
    <row r="79" spans="1:8" x14ac:dyDescent="0.35">
      <c r="B79" t="s">
        <v>354</v>
      </c>
    </row>
    <row r="80" spans="1:8" x14ac:dyDescent="0.35">
      <c r="A80" s="95" t="s">
        <v>326</v>
      </c>
      <c r="B80" s="1">
        <f>SUM(G50:Y50)</f>
        <v>0</v>
      </c>
    </row>
    <row r="81" spans="1:2" x14ac:dyDescent="0.35">
      <c r="A81" s="95" t="s">
        <v>327</v>
      </c>
      <c r="B81" s="1">
        <f>SUM(B58:C76)+SUM(E58:F76)</f>
        <v>0</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0</v>
      </c>
      <c r="AB109" s="87" t="e">
        <f>+AA109-Z109</f>
        <v>#REF!</v>
      </c>
    </row>
    <row r="110" spans="26:28" x14ac:dyDescent="0.35">
      <c r="Z110" t="e">
        <f>+SUM(#REF!+#REF!+#REF!+D59+G59+#REF!)</f>
        <v>#REF!</v>
      </c>
      <c r="AA110">
        <f>+$H$50</f>
        <v>0</v>
      </c>
      <c r="AB110" s="87" t="e">
        <f t="shared" ref="AB110:AB127" si="11">+AA110-Z110</f>
        <v>#REF!</v>
      </c>
    </row>
    <row r="111" spans="26:28" x14ac:dyDescent="0.35">
      <c r="Z111" t="e">
        <f>+SUM(#REF!+#REF!+#REF!+D60+G60+#REF!)</f>
        <v>#REF!</v>
      </c>
      <c r="AA111">
        <f>+$I$50</f>
        <v>0</v>
      </c>
      <c r="AB111" s="87" t="e">
        <f t="shared" si="11"/>
        <v>#REF!</v>
      </c>
    </row>
    <row r="112" spans="26:28" x14ac:dyDescent="0.35">
      <c r="Z112" t="e">
        <f>+SUM(#REF!+#REF!+#REF!+D61+G61+#REF!)</f>
        <v>#REF!</v>
      </c>
      <c r="AA112">
        <f>+$J$50</f>
        <v>0</v>
      </c>
      <c r="AB112" s="87" t="e">
        <f t="shared" si="11"/>
        <v>#REF!</v>
      </c>
    </row>
    <row r="113" spans="26:28" x14ac:dyDescent="0.35">
      <c r="Z113" t="e">
        <f>+SUM(#REF!+#REF!+#REF!+D62+G62+#REF!)</f>
        <v>#REF!</v>
      </c>
      <c r="AA113">
        <f>+$K$50</f>
        <v>0</v>
      </c>
      <c r="AB113" s="87" t="e">
        <f t="shared" si="11"/>
        <v>#REF!</v>
      </c>
    </row>
    <row r="114" spans="26:28" x14ac:dyDescent="0.35">
      <c r="Z114" t="e">
        <f>+SUM(#REF!+#REF!+#REF!+D63+G63+#REF!)</f>
        <v>#REF!</v>
      </c>
      <c r="AA114">
        <f>+$L$50</f>
        <v>0</v>
      </c>
      <c r="AB114" s="87" t="e">
        <f t="shared" si="11"/>
        <v>#REF!</v>
      </c>
    </row>
    <row r="115" spans="26:28" x14ac:dyDescent="0.35">
      <c r="Z115" t="e">
        <f>+SUM(#REF!+#REF!+#REF!+D64+G64+#REF!)</f>
        <v>#REF!</v>
      </c>
      <c r="AA115">
        <f>+$M$50</f>
        <v>0</v>
      </c>
      <c r="AB115" s="87" t="e">
        <f t="shared" si="11"/>
        <v>#REF!</v>
      </c>
    </row>
    <row r="116" spans="26:28" x14ac:dyDescent="0.35">
      <c r="Z116" t="e">
        <f>+SUM(#REF!+#REF!+#REF!+D65+G65+#REF!)</f>
        <v>#REF!</v>
      </c>
      <c r="AA116">
        <f>+N$50</f>
        <v>0</v>
      </c>
      <c r="AB116" s="87" t="e">
        <f t="shared" si="11"/>
        <v>#REF!</v>
      </c>
    </row>
    <row r="117" spans="26:28" x14ac:dyDescent="0.35">
      <c r="Z117" t="e">
        <f>+SUM(#REF!+#REF!+#REF!+D66+G66+#REF!)</f>
        <v>#REF!</v>
      </c>
      <c r="AA117">
        <f>+$O$50</f>
        <v>0</v>
      </c>
      <c r="AB117" s="87" t="e">
        <f t="shared" si="11"/>
        <v>#REF!</v>
      </c>
    </row>
    <row r="118" spans="26:28" x14ac:dyDescent="0.35">
      <c r="Z118" t="e">
        <f>+SUM(#REF!+#REF!+#REF!+D67+G67+#REF!)</f>
        <v>#REF!</v>
      </c>
      <c r="AA118">
        <f>+$P$50</f>
        <v>0</v>
      </c>
      <c r="AB118" s="87" t="e">
        <f t="shared" si="11"/>
        <v>#REF!</v>
      </c>
    </row>
    <row r="119" spans="26:28" x14ac:dyDescent="0.35">
      <c r="Z119" t="e">
        <f>+SUM(#REF!+#REF!+#REF!+D68+G68+#REF!)</f>
        <v>#REF!</v>
      </c>
      <c r="AA119">
        <f>+$Q$50</f>
        <v>0</v>
      </c>
      <c r="AB119" s="87" t="e">
        <f t="shared" si="11"/>
        <v>#REF!</v>
      </c>
    </row>
    <row r="120" spans="26:28" x14ac:dyDescent="0.35">
      <c r="Z120" t="e">
        <f>+SUM(#REF!+#REF!+#REF!+D69+G69+#REF!)</f>
        <v>#REF!</v>
      </c>
      <c r="AA120">
        <f>+$R$50</f>
        <v>0</v>
      </c>
      <c r="AB120" s="87" t="e">
        <f t="shared" si="11"/>
        <v>#REF!</v>
      </c>
    </row>
    <row r="121" spans="26:28" x14ac:dyDescent="0.35">
      <c r="Z121" t="e">
        <f>+SUM(#REF!+#REF!+#REF!+D70+G70+#REF!)</f>
        <v>#REF!</v>
      </c>
      <c r="AA121">
        <f>+$S$50</f>
        <v>0</v>
      </c>
      <c r="AB121" s="87" t="e">
        <f t="shared" si="11"/>
        <v>#REF!</v>
      </c>
    </row>
    <row r="122" spans="26:28" x14ac:dyDescent="0.35">
      <c r="Z122" t="e">
        <f>+SUM(#REF!+#REF!+#REF!+D71+G71+#REF!)</f>
        <v>#REF!</v>
      </c>
      <c r="AA122">
        <f>+$T$50</f>
        <v>0</v>
      </c>
      <c r="AB122" s="87" t="e">
        <f t="shared" si="11"/>
        <v>#REF!</v>
      </c>
    </row>
    <row r="123" spans="26:28" x14ac:dyDescent="0.35">
      <c r="Z123" t="e">
        <f>+SUM(#REF!+#REF!+#REF!+D72+G72+#REF!)</f>
        <v>#REF!</v>
      </c>
      <c r="AA123">
        <f>+$U$50</f>
        <v>0</v>
      </c>
      <c r="AB123" s="87" t="e">
        <f t="shared" si="11"/>
        <v>#REF!</v>
      </c>
    </row>
    <row r="124" spans="26:28" x14ac:dyDescent="0.35">
      <c r="Z124" t="e">
        <f>+SUM(#REF!+#REF!+#REF!+D73+G73+#REF!)</f>
        <v>#REF!</v>
      </c>
      <c r="AA124">
        <f>+$V$50</f>
        <v>0</v>
      </c>
      <c r="AB124" s="87" t="e">
        <f t="shared" si="11"/>
        <v>#REF!</v>
      </c>
    </row>
    <row r="125" spans="26:28" x14ac:dyDescent="0.35">
      <c r="Z125" t="e">
        <f>+SUM(#REF!+#REF!+#REF!+D74+G74+#REF!)</f>
        <v>#REF!</v>
      </c>
      <c r="AA125">
        <f>+$W$50</f>
        <v>0</v>
      </c>
      <c r="AB125" s="87" t="e">
        <f t="shared" si="11"/>
        <v>#REF!</v>
      </c>
    </row>
    <row r="126" spans="26:28" x14ac:dyDescent="0.35">
      <c r="Z126" t="e">
        <f>+SUM(#REF!+#REF!+#REF!+D75+G75+#REF!)</f>
        <v>#REF!</v>
      </c>
      <c r="AA126">
        <f>+$X$50</f>
        <v>0</v>
      </c>
      <c r="AB126" s="87" t="e">
        <f t="shared" si="11"/>
        <v>#REF!</v>
      </c>
    </row>
    <row r="127" spans="26:28" x14ac:dyDescent="0.35">
      <c r="Z127" t="e">
        <f>+SUM(#REF!+#REF!+#REF!+D76+G76+#REF!)</f>
        <v>#REF!</v>
      </c>
      <c r="AA127">
        <f>+$Y$50</f>
        <v>0</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Electric</v>
      </c>
      <c r="E28" s="158">
        <f>$B$23</f>
        <v>1728</v>
      </c>
      <c r="F28" s="158">
        <f>$D$23</f>
        <v>1.942013888888889E-2</v>
      </c>
      <c r="G28" s="158">
        <f>$E$23</f>
        <v>263.2</v>
      </c>
      <c r="H28" s="158" cm="1">
        <f t="array" ref="H28">INDEX(LCI!H$2:H$137,MATCH($A$28&amp;$D$28,LCI!$B$2:$B$137&amp;LCI!$D$2:$D$137,0))*IF(OR($D$28="Electric", $D$28="Electric_green"), ($G$28/$E$28)*$B$19, $F$28)*$C$28</f>
        <v>5.0428258967813718E-5</v>
      </c>
      <c r="I28" s="158" cm="1">
        <f t="array" ref="I28">INDEX(LCI!I$2:I$137,MATCH($A$28&amp;$D$28,LCI!$B$2:$B$137&amp;LCI!$D$2:$D$137,0))*IF(OR($D$28="Electric", $D$28="Electric_green"), ($G$28/$E$28)*$B$19, $F$28)*$C$28</f>
        <v>1.4153247396779001E-2</v>
      </c>
      <c r="J28" s="158" cm="1">
        <f t="array" ref="J28">INDEX(LCI!J$2:J$137,MATCH($A$28&amp;$D$28,LCI!$B$2:$B$137&amp;LCI!$D$2:$D$137,0))*IF(OR($D$28="Electric", $D$28="Electric_green"), ($G$28/$E$28)*$B$19, $F$28)*$C$28</f>
        <v>2.958799704380829E-4</v>
      </c>
      <c r="K28" s="158" cm="1">
        <f t="array" ref="K28">INDEX(LCI!K$2:K$137,MATCH($A$28&amp;$D$28,LCI!$B$2:$B$137&amp;LCI!$D$2:$D$137,0))*IF(OR($D$28="Electric", $D$28="Electric_green"), ($G$28/$E$28)*$B$19, $F$28)*$C$28</f>
        <v>1.3822563167121922E-2</v>
      </c>
      <c r="L28" s="158" cm="1">
        <f t="array" ref="L28">INDEX(LCI!L$2:L$137,MATCH($A$28&amp;$D$28,LCI!$B$2:$B$137&amp;LCI!$D$2:$D$137,0))*IF(OR($D$28="Electric", $D$28="Electric_green"), ($G$28/$E$28)*$B$19, $F$28)*$C$28</f>
        <v>3.480425921899804E-5</v>
      </c>
      <c r="M28" s="158" cm="1">
        <f t="array" ref="M28">INDEX(LCI!M$2:M$137,MATCH($A$28&amp;$D$28,LCI!$B$2:$B$137&amp;LCI!$D$2:$D$137,0))*IF(OR($D$28="Electric", $D$28="Electric_green"), ($G$28/$E$28)*$B$19, $F$28)*$C$28</f>
        <v>4.8580865048010832E-2</v>
      </c>
      <c r="N28" s="158" cm="1">
        <f t="array" ref="N28">INDEX(LCI!N$2:N$137,MATCH($A$28&amp;$D$28,LCI!$B$2:$B$137&amp;LCI!$D$2:$D$137,0))*IF(OR($D$28="Electric", $D$28="Electric_green"), ($G$28/$E$28)*$B$19, $F$28)*$C$28</f>
        <v>0.68053040749997973</v>
      </c>
      <c r="O28" s="158" cm="1">
        <f t="array" ref="O28">INDEX(LCI!O$2:O$137,MATCH($A$28&amp;$D$28,LCI!$B$2:$B$137&amp;LCI!$D$2:$D$137,0))*IF(OR($D$28="Electric", $D$28="Electric_green"), ($G$28/$E$28)*$B$19, $F$28)*$C$28</f>
        <v>5.1919503575314757E-6</v>
      </c>
      <c r="P28" s="158" cm="1">
        <f t="array" ref="P28">INDEX(LCI!P$2:P$137,MATCH($A$28&amp;$D$28,LCI!$B$2:$B$137&amp;LCI!$D$2:$D$137,0))*IF(OR($D$28="Electric", $D$28="Electric_green"), ($G$28/$E$28)*$B$19, $F$28)*$C$28</f>
        <v>1.0370505369414842E-5</v>
      </c>
      <c r="Q28" s="158" cm="1">
        <f t="array" ref="Q28">INDEX(LCI!Q$2:Q$137,MATCH($A$28&amp;$D$28,LCI!$B$2:$B$137&amp;LCI!$D$2:$D$137,0))*IF(OR($D$28="Electric", $D$28="Electric_green"), ($G$28/$E$28)*$B$19, $F$28)*$C$28</f>
        <v>9.8444587638262765E-5</v>
      </c>
      <c r="R28" s="158" cm="1">
        <f t="array" ref="R28">INDEX(LCI!R$2:R$137,MATCH($A$28&amp;$D$28,LCI!$B$2:$B$137&amp;LCI!$D$2:$D$137,0))*IF(OR($D$28="Electric", $D$28="Electric_green"), ($G$28/$E$28)*$B$19, $F$28)*$C$28</f>
        <v>5.7863198544609425E-12</v>
      </c>
      <c r="S28" s="158" cm="1">
        <f t="array" ref="S28">INDEX(LCI!S$2:S$137,MATCH($A$28&amp;$D$28,LCI!$B$2:$B$137&amp;LCI!$D$2:$D$137,0))*IF(OR($D$28="Electric", $D$28="Electric_green"), ($G$28/$E$28)*$B$19, $F$28)*$C$28</f>
        <v>3.1994741652866858E-10</v>
      </c>
      <c r="T28" s="158" cm="1">
        <f t="array" ref="T28">INDEX(LCI!T$2:T$137,MATCH($A$28&amp;$D$28,LCI!$B$2:$B$137&amp;LCI!$D$2:$D$137,0))*IF(OR($D$28="Electric", $D$28="Electric_green"), ($G$28/$E$28)*$B$19, $F$28)*$C$28</f>
        <v>2.858685904253119E-2</v>
      </c>
      <c r="U28" s="158" cm="1">
        <f t="array" ref="U28">INDEX(LCI!U$2:U$137,MATCH($A$28&amp;$D$28,LCI!$B$2:$B$137&amp;LCI!$D$2:$D$137,0))*IF(OR($D$28="Electric", $D$28="Electric_green"), ($G$28/$E$28)*$B$19, $F$28)*$C$28</f>
        <v>0.1073908254159853</v>
      </c>
      <c r="V28" s="158" cm="1">
        <f t="array" ref="V28">INDEX(LCI!V$2:V$137,MATCH($A$28&amp;$D$28,LCI!$B$2:$B$137&amp;LCI!$D$2:$D$137,0))*IF(OR($D$28="Electric", $D$28="Electric_green"), ($G$28/$E$28)*$B$19, $F$28)*$C$28</f>
        <v>3.6852767593856451E-7</v>
      </c>
      <c r="W28" s="158" cm="1">
        <f t="array" ref="W28">INDEX(LCI!W$2:W$137,MATCH($A$28&amp;$D$28,LCI!$B$2:$B$137&amp;LCI!$D$2:$D$137,0))*IF(OR($D$28="Electric", $D$28="Electric_green"), ($G$28/$E$28)*$B$19, $F$28)*$C$28</f>
        <v>4.4191645839642374E-10</v>
      </c>
      <c r="X28" s="158" cm="1">
        <f t="array" ref="X28">INDEX(LCI!X$2:X$137,MATCH($A$28&amp;$D$28,LCI!$B$2:$B$137&amp;LCI!$D$2:$D$137,0))*IF(OR($D$28="Electric", $D$28="Electric_green"), ($G$28/$E$28)*$B$19, $F$28)*$C$28</f>
        <v>3.7056950668012011E-10</v>
      </c>
      <c r="Y28" s="158" cm="1">
        <f t="array" ref="Y28">INDEX(LCI!Y$2:Y$137,MATCH($A$28&amp;$D$28,LCI!$B$2:$B$137&amp;LCI!$D$2:$D$137,0))*IF(OR($D$28="Electric", $D$28="Electric_green"), ($G$28/$E$28)*$B$19, $F$28)*$C$28</f>
        <v>3.145896394804741E-5</v>
      </c>
      <c r="Z28" s="158" cm="1">
        <f t="array" ref="Z28">INDEX(LCI!Z$2:Z$137,MATCH($A$28&amp;$D$28,LCI!$B$2:$B$137&amp;LCI!$D$2:$D$137,0))*IF(OR($D$28="Electric", $D$28="Electric_green"), ($G$28/$E$28)*$B$19, $F$28)*$C$28</f>
        <v>8.1753177918235786E-3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5.0999999999999997E-2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Limestone_residue</v>
      </c>
      <c r="D165" s="163" t="str">
        <f>Input!$G50</f>
        <v>No</v>
      </c>
      <c r="E165" s="154">
        <f>+Input!B50</f>
        <v>0.01</v>
      </c>
      <c r="F165" s="165" cm="1">
        <f t="array" ref="F165">INDEX($C$101:$C$150,MATCH($C165&amp;$D165,$A$101:$A$150&amp;$B$101:$B$150,0))</f>
        <v>0.01</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No_additives</v>
      </c>
      <c r="D170" s="163" t="str">
        <f>Input!$G55</f>
        <v>No</v>
      </c>
      <c r="E170" s="154">
        <f>+Input!B55</f>
        <v>2E-3</v>
      </c>
      <c r="F170" s="165" cm="1">
        <f t="array" ref="F170">INDEX($C$101:$C$150,MATCH($C170&amp;$D170,$A$101:$A$150&amp;$B$101:$B$150,0))</f>
        <v>0</v>
      </c>
      <c r="I170" s="23"/>
    </row>
    <row r="171" spans="1:9" x14ac:dyDescent="0.35">
      <c r="A171" s="401"/>
      <c r="B171" s="1" t="s">
        <v>93</v>
      </c>
      <c r="C171" s="154" t="str">
        <f>Input!$C$56</f>
        <v>No_additives</v>
      </c>
      <c r="D171" s="163" t="str">
        <f>Input!$G56</f>
        <v>No</v>
      </c>
      <c r="E171" s="154">
        <f>+Input!B56</f>
        <v>2.9999999999999997E-4</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0.99895999999999985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Limestone_residue</v>
      </c>
      <c r="O177" s="103" t="s">
        <v>81</v>
      </c>
      <c r="P177" s="103" t="s">
        <v>83</v>
      </c>
      <c r="Q177" s="103" t="str">
        <f>Input!$C$53</f>
        <v>No_other_waste</v>
      </c>
      <c r="R177" s="103" t="str">
        <f>Input!$C$54</f>
        <v>No_other_waste</v>
      </c>
      <c r="S177" s="103" t="str">
        <f>Input!$C$55</f>
        <v>No_additives</v>
      </c>
      <c r="T177" s="103" t="str">
        <f>Input!$C$56</f>
        <v>No_additives</v>
      </c>
      <c r="U177" s="316" t="str">
        <f>Input!$C$57</f>
        <v>No_additives</v>
      </c>
    </row>
    <row r="178" spans="1:21" x14ac:dyDescent="0.35">
      <c r="A178" s="13" t="s">
        <v>597</v>
      </c>
      <c r="B178" s="13" t="s">
        <v>598</v>
      </c>
      <c r="C178" s="166">
        <f>Input!$B$39*(1-$F$154)</f>
        <v>2.2159999999999999E-2</v>
      </c>
      <c r="D178" s="166">
        <f>Input!$B$40*(1-$F$155)</f>
        <v>4.9979999999999997E-2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9.9000000000000008E-3</v>
      </c>
      <c r="O178" s="168">
        <f>Input!$B$51*(1-$F$166)</f>
        <v>0.28499999999999998</v>
      </c>
      <c r="P178" s="165">
        <f>Input!$B$52*(1-$F$167)</f>
        <v>0</v>
      </c>
      <c r="Q178" s="165">
        <f>Input!$B$53*(1-$F$168)</f>
        <v>0</v>
      </c>
      <c r="R178" s="165">
        <f>Input!$B$54*(1-$F$169)</f>
        <v>0</v>
      </c>
      <c r="S178" s="165">
        <f>Input!$B$55*(1-$F$170)</f>
        <v>2E-3</v>
      </c>
      <c r="T178" s="169">
        <f>Input!$B$56*(1-$F$171)</f>
        <v>2.9999999999999997E-4</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0.91</v>
      </c>
      <c r="O179" s="172">
        <f>$B$84</f>
        <v>0.92</v>
      </c>
      <c r="P179" s="154">
        <f>$B$85</f>
        <v>0.92</v>
      </c>
      <c r="Q179" s="154">
        <f>INDEX($B$69:$B$94,MATCH($Q$177,$A$69:$A$94,0))</f>
        <v>1</v>
      </c>
      <c r="R179" s="154">
        <f>INDEX($B$69:$B$94,MATCH($R$177,$A$69:$A$94,0))</f>
        <v>1</v>
      </c>
      <c r="S179" s="154">
        <f>INDEX($B$69:$B$94,MATCH($S$177,$A$69:$A$94,0))</f>
        <v>1</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1.0199999999999999E-3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1E-4</v>
      </c>
      <c r="O182" s="166">
        <f>Input!$B$51*$F$166</f>
        <v>1.4999999999999999E-2</v>
      </c>
      <c r="P182" s="166">
        <f>Input!$B$52*$F$167</f>
        <v>0</v>
      </c>
      <c r="Q182" s="166">
        <f>Input!$B$53*$F$168</f>
        <v>0</v>
      </c>
      <c r="R182" s="166">
        <f>Input!$B$54*$F$169</f>
        <v>0</v>
      </c>
      <c r="S182" s="166">
        <f>Input!$B$55*$F$170</f>
        <v>0</v>
      </c>
      <c r="T182" s="166">
        <f>Input!$B$55*$F$171</f>
        <v>0</v>
      </c>
      <c r="U182" s="166">
        <f>Input!$B$56*$F$172</f>
        <v>0</v>
      </c>
    </row>
    <row r="183" spans="1:21" x14ac:dyDescent="0.35">
      <c r="A183" s="13" t="s">
        <v>604</v>
      </c>
      <c r="B183" s="1"/>
      <c r="C183" s="174">
        <f t="shared" ref="C183:U183" si="2">(C178*C179*(C180-C181))</f>
        <v>7.1333793440000006</v>
      </c>
      <c r="D183" s="174">
        <f t="shared" si="2"/>
        <v>7.4499188399999996</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1.4756742000000003</v>
      </c>
      <c r="O183" s="174">
        <f t="shared" si="2"/>
        <v>31.149359999999998</v>
      </c>
      <c r="P183" s="174">
        <f t="shared" si="2"/>
        <v>0</v>
      </c>
      <c r="Q183" s="174">
        <f t="shared" si="2"/>
        <v>0</v>
      </c>
      <c r="R183" s="174">
        <f t="shared" si="2"/>
        <v>0</v>
      </c>
      <c r="S183" s="174">
        <f t="shared" si="2"/>
        <v>-2.24E-2</v>
      </c>
      <c r="T183" s="174">
        <f t="shared" si="2"/>
        <v>-3.3599999999999997E-3</v>
      </c>
      <c r="U183" s="174">
        <f t="shared" si="2"/>
        <v>0</v>
      </c>
    </row>
    <row r="184" spans="1:21" x14ac:dyDescent="0.35">
      <c r="A184" s="13" t="s">
        <v>605</v>
      </c>
      <c r="B184" s="1"/>
      <c r="C184" s="174">
        <f t="shared" ref="C184:U184" si="3">IF($B$42&gt;100,C182*$B$62*(100-C181),C182*$B$62*($B$42-C181))</f>
        <v>0</v>
      </c>
      <c r="D184" s="174">
        <f>IF($B$42&gt;100,D182*$B$62*(100-D181),D182*$B$62*($B$42-D181))</f>
        <v>0.37951343999999992</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3.7207200000000003E-2</v>
      </c>
      <c r="O184" s="174">
        <f t="shared" si="3"/>
        <v>5.58108</v>
      </c>
      <c r="P184" s="174">
        <f t="shared" si="3"/>
        <v>0</v>
      </c>
      <c r="Q184" s="174">
        <f t="shared" si="3"/>
        <v>0</v>
      </c>
      <c r="R184" s="174">
        <f t="shared" si="3"/>
        <v>0</v>
      </c>
      <c r="S184" s="174">
        <f t="shared" si="3"/>
        <v>0</v>
      </c>
      <c r="T184" s="174">
        <f t="shared" si="3"/>
        <v>0</v>
      </c>
      <c r="U184" s="174">
        <f t="shared" si="3"/>
        <v>0</v>
      </c>
    </row>
    <row r="185" spans="1:21" s="24" customFormat="1" x14ac:dyDescent="0.35">
      <c r="A185" s="13" t="s">
        <v>606</v>
      </c>
      <c r="B185" s="13"/>
      <c r="C185" s="170">
        <f t="shared" ref="C185:U185" si="4">IF(C180&lt;100,0,$B$63*C182)</f>
        <v>0</v>
      </c>
      <c r="D185" s="170">
        <f>IF(D180&lt;100,0,$B$63*D182)</f>
        <v>2.3021399999999996</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0.22570000000000001</v>
      </c>
      <c r="O185" s="170">
        <f t="shared" si="4"/>
        <v>33.854999999999997</v>
      </c>
      <c r="P185" s="170">
        <f t="shared" si="4"/>
        <v>0</v>
      </c>
      <c r="Q185" s="170">
        <f t="shared" si="4"/>
        <v>0</v>
      </c>
      <c r="R185" s="170">
        <f t="shared" si="4"/>
        <v>0</v>
      </c>
      <c r="S185" s="170">
        <f t="shared" si="4"/>
        <v>0</v>
      </c>
      <c r="T185" s="170">
        <f t="shared" si="4"/>
        <v>0</v>
      </c>
      <c r="U185" s="170">
        <f t="shared" si="4"/>
        <v>0</v>
      </c>
    </row>
    <row r="186" spans="1:21" s="24" customFormat="1" x14ac:dyDescent="0.35">
      <c r="A186" s="13" t="s">
        <v>607</v>
      </c>
      <c r="B186" s="13"/>
      <c r="C186" s="170">
        <f t="shared" ref="C186:U186" si="5">IF($B$42&gt;100,C182*$B$64*($B$42-100),0)</f>
        <v>0</v>
      </c>
      <c r="D186" s="170">
        <f t="shared" si="5"/>
        <v>0.16026749999999998</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1.5712500000000001E-2</v>
      </c>
      <c r="O186" s="170">
        <f t="shared" si="5"/>
        <v>2.3568750000000001</v>
      </c>
      <c r="P186" s="170">
        <f t="shared" si="5"/>
        <v>0</v>
      </c>
      <c r="Q186" s="170">
        <f t="shared" si="5"/>
        <v>0</v>
      </c>
      <c r="R186" s="170">
        <f t="shared" si="5"/>
        <v>0</v>
      </c>
      <c r="S186" s="170">
        <f t="shared" si="5"/>
        <v>0</v>
      </c>
      <c r="T186" s="170">
        <f t="shared" si="5"/>
        <v>0</v>
      </c>
      <c r="U186" s="170">
        <f t="shared" si="5"/>
        <v>0</v>
      </c>
    </row>
    <row r="187" spans="1:21" x14ac:dyDescent="0.35">
      <c r="A187" s="13" t="s">
        <v>608</v>
      </c>
      <c r="B187" s="1" t="s">
        <v>609</v>
      </c>
      <c r="C187" s="174">
        <f t="shared" ref="C187:U187" si="6">SUM(C183:C186)</f>
        <v>7.1333793440000006</v>
      </c>
      <c r="D187" s="174">
        <f t="shared" si="6"/>
        <v>10.29183978</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1.7542939000000004</v>
      </c>
      <c r="O187" s="174">
        <f t="shared" si="6"/>
        <v>72.942315000000008</v>
      </c>
      <c r="P187" s="174">
        <f t="shared" si="6"/>
        <v>0</v>
      </c>
      <c r="Q187" s="174">
        <f t="shared" si="6"/>
        <v>0</v>
      </c>
      <c r="R187" s="174">
        <f t="shared" si="6"/>
        <v>0</v>
      </c>
      <c r="S187" s="174">
        <f t="shared" si="6"/>
        <v>-2.24E-2</v>
      </c>
      <c r="T187" s="174">
        <f t="shared" si="6"/>
        <v>-3.3599999999999997E-3</v>
      </c>
      <c r="U187" s="174">
        <f t="shared" si="6"/>
        <v>0</v>
      </c>
    </row>
    <row r="188" spans="1:21" x14ac:dyDescent="0.35">
      <c r="A188" s="327" t="s">
        <v>610</v>
      </c>
      <c r="B188" s="10" t="s">
        <v>611</v>
      </c>
      <c r="C188" s="197">
        <f>(1+$B$60)*(SUM(C187:U187))</f>
        <v>268.61010056270004</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0.34877497469471297</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5.0999999999999997E-2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0.01</v>
      </c>
      <c r="O190" s="71">
        <f t="shared" si="8"/>
        <v>0.3</v>
      </c>
      <c r="P190" s="71">
        <f t="shared" si="8"/>
        <v>0</v>
      </c>
      <c r="Q190" s="71">
        <f t="shared" si="8"/>
        <v>0</v>
      </c>
      <c r="R190" s="71">
        <f t="shared" si="8"/>
        <v>0</v>
      </c>
      <c r="S190" s="71">
        <f t="shared" si="8"/>
        <v>2E-3</v>
      </c>
      <c r="T190" s="71">
        <f t="shared" si="8"/>
        <v>2.9999999999999997E-4</v>
      </c>
      <c r="U190" s="71">
        <f t="shared" si="8"/>
        <v>0</v>
      </c>
    </row>
    <row r="191" spans="1:21" x14ac:dyDescent="0.35">
      <c r="A191" s="24"/>
      <c r="B191" t="s">
        <v>613</v>
      </c>
      <c r="C191" s="256">
        <f>SUM(C178:U178)+SUM(C182:U182)</f>
        <v>0.99895999999999985</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0.8</v>
      </c>
      <c r="F196" s="154" cm="1">
        <f t="array" ref="F196">INDEX(LCI!H$2:H$137,MATCH('A3 - Production '!$A$196&amp;'A3 - Production '!$D$196,LCI!$B$2:$B$137&amp;LCI!$D$2:$D$137,0))*$C$188*IF(OR($D$196="Electricity", $D$196="Electricity_green"),$B$52, 1)*IF($D$196="Hydrogen (grey)",$B$53,1)*$E$196</f>
        <v>1.2710063433604774E-2</v>
      </c>
      <c r="G196" s="154" cm="1">
        <f t="array" ref="G196">INDEX(LCI!I$2:I$137,MATCH('A3 - Production '!$A$196&amp;'A3 - Production '!$D$196,LCI!$B$2:$B$137&amp;LCI!$D$2:$D$137,0))*$C$188*IF(OR($D$196="Electricity", $D$196="Electricity_green"),$B$52, 1)*IF($D$196="Hydrogen (grey)",$B$53,1)*$E$196</f>
        <v>15.047575066732627</v>
      </c>
      <c r="H196" s="154" cm="1">
        <f t="array" ref="H196">INDEX(LCI!J$2:J$137,MATCH('A3 - Production '!$A$196&amp;'A3 - Production '!$D$196,LCI!$B$2:$B$137&amp;LCI!$D$2:$D$137,0))*$C$188*IF(OR($D$196="Electricity", $D$196="Electricity_green"),$B$52, 1)*IF($D$196="Hydrogen (grey)",$B$53,1)*$E$196</f>
        <v>3.9341317979340691E-3</v>
      </c>
      <c r="I196" s="154" cm="1">
        <f t="array" ref="I196">INDEX(LCI!K$2:K$137,MATCH('A3 - Production '!$A$196&amp;'A3 - Production '!$D$196,LCI!$B$2:$B$137&amp;LCI!$D$2:$D$137,0))*$C$188*IF(OR($D$196="Electricity", $D$196="Electricity_green"),$B$52, 1)*IF($D$196="Hydrogen (grey)",$B$53,1)*$E$196</f>
        <v>15.043027667353511</v>
      </c>
      <c r="J196" s="154" cm="1">
        <f t="array" ref="J196">INDEX(LCI!L$2:L$137,MATCH('A3 - Production '!$A$196&amp;'A3 - Production '!$D$196,LCI!$B$2:$B$137&amp;LCI!$D$2:$D$137,0))*$C$188*IF(OR($D$196="Electricity", $D$196="Electricity_green"),$B$52, 1)*IF($D$196="Hydrogen (grey)",$B$53,1)*$E$196</f>
        <v>6.1326758118185971E-4</v>
      </c>
      <c r="K196" s="154" cm="1">
        <f t="array" ref="K196">INDEX(LCI!M$2:M$137,MATCH('A3 - Production '!$A$196&amp;'A3 - Production '!$D$196,LCI!$B$2:$B$137&amp;LCI!$D$2:$D$137,0))*$C$188*IF(OR($D$196="Electricity", $D$196="Electricity_green"),$B$52, 1)*IF($D$196="Hydrogen (grey)",$B$53,1)*$E$196</f>
        <v>5.6908833151773086</v>
      </c>
      <c r="L196" s="154" cm="1">
        <f t="array" ref="L196">INDEX(LCI!N$2:N$137,MATCH('A3 - Production '!$A$196&amp;'A3 - Production '!$D$196,LCI!$B$2:$B$137&amp;LCI!$D$2:$D$137,0))*$C$188*IF(OR($D$196="Electricity", $D$196="Electricity_green"),$B$52, 1)*IF($D$196="Hydrogen (grey)",$B$53,1)*$E$196</f>
        <v>254.46876641483382</v>
      </c>
      <c r="M196" s="154" cm="1">
        <f t="array" ref="M196">INDEX(LCI!O$2:O$137,MATCH('A3 - Production '!$A$196&amp;'A3 - Production '!$D$196,LCI!$B$2:$B$137&amp;LCI!$D$2:$D$137,0))*$C$188*IF(OR($D$196="Electricity", $D$196="Electricity_green"),$B$52, 1)*IF($D$196="Hydrogen (grey)",$B$53,1)*$E$196</f>
        <v>2.2558048454694236E-4</v>
      </c>
      <c r="N196" s="154" cm="1">
        <f t="array" ref="N196">INDEX(LCI!P$2:P$137,MATCH('A3 - Production '!$A$196&amp;'A3 - Production '!$D$196,LCI!$B$2:$B$137&amp;LCI!$D$2:$D$137,0))*$C$188*IF(OR($D$196="Electricity", $D$196="Electricity_green"),$B$52, 1)*IF($D$196="Hydrogen (grey)",$B$53,1)*$E$196</f>
        <v>3.4958666543470651E-3</v>
      </c>
      <c r="O196" s="154" cm="1">
        <f t="array" ref="O196">INDEX(LCI!Q$2:Q$137,MATCH('A3 - Production '!$A$196&amp;'A3 - Production '!$D$196,LCI!$B$2:$B$137&amp;LCI!$D$2:$D$137,0))*$C$188*IF(OR($D$196="Electricity", $D$196="Electricity_green"),$B$52, 1)*IF($D$196="Hydrogen (grey)",$B$53,1)*$E$196</f>
        <v>3.8545431158301634E-2</v>
      </c>
      <c r="P196" s="154" cm="1">
        <f t="array" ref="P196">INDEX(LCI!R$2:R$137,MATCH('A3 - Production '!$A$196&amp;'A3 - Production '!$D$196,LCI!$B$2:$B$137&amp;LCI!$D$2:$D$137,0))*$C$188*IF(OR($D$196="Electricity", $D$196="Electricity_green"),$B$52, 1)*IF($D$196="Hydrogen (grey)",$B$53,1)*$E$196</f>
        <v>1.215191808437077E-9</v>
      </c>
      <c r="Q196" s="154" cm="1">
        <f t="array" ref="Q196">INDEX(LCI!S$2:S$137,MATCH('A3 - Production '!$A$196&amp;'A3 - Production '!$D$196,LCI!$B$2:$B$137&amp;LCI!$D$2:$D$137,0))*$C$188*IF(OR($D$196="Electricity", $D$196="Electricity_green"),$B$52, 1)*IF($D$196="Hydrogen (grey)",$B$53,1)*$E$196</f>
        <v>1.0390604821648372E-8</v>
      </c>
      <c r="R196" s="154" cm="1">
        <f t="array" ref="R196">INDEX(LCI!T$2:T$137,MATCH('A3 - Production '!$A$196&amp;'A3 - Production '!$D$196,LCI!$B$2:$B$137&amp;LCI!$D$2:$D$137,0))*$C$188*IF(OR($D$196="Electricity", $D$196="Electricity_green"),$B$52, 1)*IF($D$196="Hydrogen (grey)",$B$53,1)*$E$196</f>
        <v>0.1601680472078392</v>
      </c>
      <c r="S196" s="154" cm="1">
        <f t="array" ref="S196">INDEX(LCI!U$2:U$137,MATCH('A3 - Production '!$A$196&amp;'A3 - Production '!$D$196,LCI!$B$2:$B$137&amp;LCI!$D$2:$D$137,0))*$C$188*IF(OR($D$196="Electricity", $D$196="Electricity_green"),$B$52, 1)*IF($D$196="Hydrogen (grey)",$B$53,1)*$E$196</f>
        <v>3.419402826761111</v>
      </c>
      <c r="T196" s="154" cm="1">
        <f t="array" ref="T196">INDEX(LCI!V$2:V$137,MATCH('A3 - Production '!$A$196&amp;'A3 - Production '!$D$196,LCI!$B$2:$B$137&amp;LCI!$D$2:$D$137,0))*$C$188*IF(OR($D$196="Electricity", $D$196="Electricity_green"),$B$52, 1)*IF($D$196="Hydrogen (grey)",$B$53,1)*$E$196</f>
        <v>8.1925825466736224E-7</v>
      </c>
      <c r="U196" s="154" cm="1">
        <f t="array" ref="U196">INDEX(LCI!W$2:W$137,MATCH('A3 - Production '!$A$196&amp;'A3 - Production '!$D$196,LCI!$B$2:$B$137&amp;LCI!$D$2:$D$137,0))*$C$188*IF(OR($D$196="Electricity", $D$196="Electricity_green"),$B$52, 1)*IF($D$196="Hydrogen (grey)",$B$53,1)*$E$196</f>
        <v>2.1193119960776912E-6</v>
      </c>
      <c r="V196" s="154" cm="1">
        <f t="array" ref="V196">INDEX(LCI!X$2:X$137,MATCH('A3 - Production '!$A$196&amp;'A3 - Production '!$D$196,LCI!$B$2:$B$137&amp;LCI!$D$2:$D$137,0))*$C$188*IF(OR($D$196="Electricity", $D$196="Electricity_green"),$B$52, 1)*IF($D$196="Hydrogen (grey)",$B$53,1)*$E$196</f>
        <v>4.6689441429991955E-8</v>
      </c>
      <c r="W196" s="154" cm="1">
        <f t="array" ref="W196">INDEX(LCI!Y$2:Y$137,MATCH('A3 - Production '!$A$196&amp;'A3 - Production '!$D$196,LCI!$B$2:$B$137&amp;LCI!$D$2:$D$137,0))*$C$188*IF(OR($D$196="Electricity", $D$196="Electricity_green"),$B$52, 1)*IF($D$196="Hydrogen (grey)",$B$53,1)*$E$196</f>
        <v>1.3043174832014413E-2</v>
      </c>
      <c r="X196" s="154" cm="1">
        <f t="array" ref="X196">INDEX(LCI!Z$2:Z$137,MATCH('A3 - Production '!$A$196&amp;'A3 - Production '!$D$196,LCI!$B$2:$B$137&amp;LCI!$D$2:$D$137,0))*$C$188*IF(OR($D$196="Electricity", $D$196="Electricity_green"),$B$52, 1)*IF($D$196="Hydrogen (grey)",$B$53,1)*$E$196</f>
        <v>0.15019572823847119</v>
      </c>
    </row>
    <row r="197" spans="1:24" x14ac:dyDescent="0.35">
      <c r="A197" s="53" t="s">
        <v>22</v>
      </c>
      <c r="B197" s="1" t="s">
        <v>617</v>
      </c>
      <c r="C197" s="154">
        <f>IF($D$197="Electricity",$B$52,"None")</f>
        <v>0.27777800000000002</v>
      </c>
      <c r="D197" s="154" t="str">
        <f>Input!$B$18</f>
        <v>Electricity</v>
      </c>
      <c r="E197" s="175">
        <f>Input!$C$18</f>
        <v>0.2</v>
      </c>
      <c r="F197" s="154" cm="1">
        <f t="array" ref="F197">INDEX(LCI!H$2:H$137,MATCH('A3 - Production '!$A$197&amp;'A3 - Production '!$D$197,LCI!$B$2:$B$137&amp;LCI!$D$2:$D$137,0))*$C$188*IF(OR($D$197="Electricity", $D$197="Electricity_green"),$B$52, 1)*IF($D$197="Hydrogen (grey)",$B$53,1)*$E$197</f>
        <v>9.6875026275545107E-3</v>
      </c>
      <c r="G197" s="154" cm="1">
        <f t="array" ref="G197">INDEX(LCI!I$2:I$137,MATCH('A3 - Production '!$A$197&amp;'A3 - Production '!$D$197,LCI!$B$2:$B$137&amp;LCI!$D$2:$D$137,0))*$C$188*IF(OR($D$197="Electricity", $D$197="Electricity_green"),$B$52, 1)*IF($D$197="Hydrogen (grey)",$B$53,1)*$E$197</f>
        <v>2.7189045220109036</v>
      </c>
      <c r="H197" s="154" cm="1">
        <f t="array" ref="H197">INDEX(LCI!J$2:J$137,MATCH('A3 - Production '!$A$197&amp;'A3 - Production '!$D$197,LCI!$B$2:$B$137&amp;LCI!$D$2:$D$137,0))*$C$188*IF(OR($D$197="Electricity", $D$197="Electricity_green"),$B$52, 1)*IF($D$197="Hydrogen (grey)",$B$53,1)*$E$197</f>
        <v>5.6839915748214592E-2</v>
      </c>
      <c r="I197" s="154" cm="1">
        <f t="array" ref="I197">INDEX(LCI!K$2:K$137,MATCH('A3 - Production '!$A$197&amp;'A3 - Production '!$D$197,LCI!$B$2:$B$137&amp;LCI!$D$2:$D$137,0))*$C$188*IF(OR($D$197="Electricity", $D$197="Electricity_green"),$B$52, 1)*IF($D$197="Hydrogen (grey)",$B$53,1)*$E$197</f>
        <v>2.6553785465109669</v>
      </c>
      <c r="J197" s="154" cm="1">
        <f t="array" ref="J197">INDEX(LCI!L$2:L$137,MATCH('A3 - Production '!$A$197&amp;'A3 - Production '!$D$197,LCI!$B$2:$B$137&amp;LCI!$D$2:$D$137,0))*$C$188*IF(OR($D$197="Electricity", $D$197="Electricity_green"),$B$52, 1)*IF($D$197="Hydrogen (grey)",$B$53,1)*$E$197</f>
        <v>6.6860597517223678E-3</v>
      </c>
      <c r="K197" s="154" cm="1">
        <f t="array" ref="K197">INDEX(LCI!M$2:M$137,MATCH('A3 - Production '!$A$197&amp;'A3 - Production '!$D$197,LCI!$B$2:$B$137&amp;LCI!$D$2:$D$137,0))*$C$188*IF(OR($D$197="Electricity", $D$197="Electricity_green"),$B$52, 1)*IF($D$197="Hydrogen (grey)",$B$53,1)*$E$197</f>
        <v>9.3326096802560254</v>
      </c>
      <c r="L197" s="154" cm="1">
        <f t="array" ref="L197">INDEX(LCI!N$2:N$137,MATCH('A3 - Production '!$A$197&amp;'A3 - Production '!$D$197,LCI!$B$2:$B$137&amp;LCI!$D$2:$D$137,0))*$C$188*IF(OR($D$197="Electricity", $D$197="Electricity_green"),$B$52, 1)*IF($D$197="Hydrogen (grey)",$B$53,1)*$E$197</f>
        <v>130.7330501930397</v>
      </c>
      <c r="M197" s="154" cm="1">
        <f t="array" ref="M197">INDEX(LCI!O$2:O$137,MATCH('A3 - Production '!$A$197&amp;'A3 - Production '!$D$197,LCI!$B$2:$B$137&amp;LCI!$D$2:$D$137,0))*$C$188*IF(OR($D$197="Electricity", $D$197="Electricity_green"),$B$52, 1)*IF($D$197="Hydrogen (grey)",$B$53,1)*$E$197</f>
        <v>9.9739776387721964E-4</v>
      </c>
      <c r="N197" s="154" cm="1">
        <f t="array" ref="N197">INDEX(LCI!P$2:P$137,MATCH('A3 - Production '!$A$197&amp;'A3 - Production '!$D$197,LCI!$B$2:$B$137&amp;LCI!$D$2:$D$137,0))*$C$188*IF(OR($D$197="Electricity", $D$197="Electricity_green"),$B$52, 1)*IF($D$197="Hydrogen (grey)",$B$53,1)*$E$197</f>
        <v>1.9922222196764052E-3</v>
      </c>
      <c r="O197" s="154" cm="1">
        <f t="array" ref="O197">INDEX(LCI!Q$2:Q$137,MATCH('A3 - Production '!$A$197&amp;'A3 - Production '!$D$197,LCI!$B$2:$B$137&amp;LCI!$D$2:$D$137,0))*$C$188*IF(OR($D$197="Electricity", $D$197="Electricity_green"),$B$52, 1)*IF($D$197="Hydrogen (grey)",$B$53,1)*$E$197</f>
        <v>1.8911662249194189E-2</v>
      </c>
      <c r="P197" s="154" cm="1">
        <f t="array" ref="P197">INDEX(LCI!R$2:R$137,MATCH('A3 - Production '!$A$197&amp;'A3 - Production '!$D$197,LCI!$B$2:$B$137&amp;LCI!$D$2:$D$137,0))*$C$188*IF(OR($D$197="Electricity", $D$197="Electricity_green"),$B$52, 1)*IF($D$197="Hydrogen (grey)",$B$53,1)*$E$197</f>
        <v>1.111578903204626E-9</v>
      </c>
      <c r="Q197" s="154" cm="1">
        <f t="array" ref="Q197">INDEX(LCI!S$2:S$137,MATCH('A3 - Production '!$A$197&amp;'A3 - Production '!$D$197,LCI!$B$2:$B$137&amp;LCI!$D$2:$D$137,0))*$C$188*IF(OR($D$197="Electricity", $D$197="Electricity_green"),$B$52, 1)*IF($D$197="Hydrogen (grey)",$B$53,1)*$E$197</f>
        <v>6.1463383859415668E-8</v>
      </c>
      <c r="R197" s="154" cm="1">
        <f t="array" ref="R197">INDEX(LCI!T$2:T$137,MATCH('A3 - Production '!$A$197&amp;'A3 - Production '!$D$197,LCI!$B$2:$B$137&amp;LCI!$D$2:$D$137,0))*$C$188*IF(OR($D$197="Electricity", $D$197="Electricity_green"),$B$52, 1)*IF($D$197="Hydrogen (grey)",$B$53,1)*$E$197</f>
        <v>5.4916683176551402</v>
      </c>
      <c r="S197" s="154" cm="1">
        <f t="array" ref="S197">INDEX(LCI!U$2:U$137,MATCH('A3 - Production '!$A$197&amp;'A3 - Production '!$D$197,LCI!$B$2:$B$137&amp;LCI!$D$2:$D$137,0))*$C$188*IF(OR($D$197="Electricity", $D$197="Electricity_green"),$B$52, 1)*IF($D$197="Hydrogen (grey)",$B$53,1)*$E$197</f>
        <v>20.630276053286256</v>
      </c>
      <c r="T197" s="154" cm="1">
        <f t="array" ref="T197">INDEX(LCI!V$2:V$137,MATCH('A3 - Production '!$A$197&amp;'A3 - Production '!$D$197,LCI!$B$2:$B$137&amp;LCI!$D$2:$D$137,0))*$C$188*IF(OR($D$197="Electricity", $D$197="Electricity_green"),$B$52, 1)*IF($D$197="Hydrogen (grey)",$B$53,1)*$E$197</f>
        <v>7.0795877193778527E-5</v>
      </c>
      <c r="U197" s="154" cm="1">
        <f t="array" ref="U197">INDEX(LCI!W$2:W$137,MATCH('A3 - Production '!$A$197&amp;'A3 - Production '!$D$197,LCI!$B$2:$B$137&amp;LCI!$D$2:$D$137,0))*$C$188*IF(OR($D$197="Electricity", $D$197="Electricity_green"),$B$52, 1)*IF($D$197="Hydrogen (grey)",$B$53,1)*$E$197</f>
        <v>8.4894202962814315E-8</v>
      </c>
      <c r="V197" s="154" cm="1">
        <f t="array" ref="V197">INDEX(LCI!X$2:X$137,MATCH('A3 - Production '!$A$197&amp;'A3 - Production '!$D$197,LCI!$B$2:$B$137&amp;LCI!$D$2:$D$137,0))*$C$188*IF(OR($D$197="Electricity", $D$197="Electricity_green"),$B$52, 1)*IF($D$197="Hydrogen (grey)",$B$53,1)*$E$197</f>
        <v>7.1188122357080048E-8</v>
      </c>
      <c r="W197" s="154" cm="1">
        <f t="array" ref="W197">INDEX(LCI!Y$2:Y$137,MATCH('A3 - Production '!$A$197&amp;'A3 - Production '!$D$197,LCI!$B$2:$B$137&amp;LCI!$D$2:$D$137,0))*$C$188*IF(OR($D$197="Electricity", $D$197="Electricity_green"),$B$52, 1)*IF($D$197="Hydrogen (grey)",$B$53,1)*$E$197</f>
        <v>6.043413001852134E-3</v>
      </c>
      <c r="X197" s="154" cm="1">
        <f t="array" ref="X197">INDEX(LCI!Z$2:Z$137,MATCH('A3 - Production '!$A$197&amp;'A3 - Production '!$D$197,LCI!$B$2:$B$137&amp;LCI!$D$2:$D$137,0))*$C$188*IF(OR($D$197="Electricity", $D$197="Electricity_green"),$B$52, 1)*IF($D$197="Hydrogen (grey)",$B$53,1)*$E$197</f>
        <v>1.5705164963147578</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2.6357532329470364E-2</v>
      </c>
      <c r="G199" s="139">
        <f t="shared" si="9"/>
        <v>18.857248126202681</v>
      </c>
      <c r="H199" s="139">
        <f t="shared" si="9"/>
        <v>6.2583686726224524E-2</v>
      </c>
      <c r="I199" s="139">
        <f t="shared" si="9"/>
        <v>18.784632047482553</v>
      </c>
      <c r="J199" s="139">
        <f t="shared" si="9"/>
        <v>1.0032391993906183E-2</v>
      </c>
      <c r="K199" s="139">
        <f t="shared" si="9"/>
        <v>18.838389463203981</v>
      </c>
      <c r="L199" s="139">
        <f t="shared" si="9"/>
        <v>438.64164406612338</v>
      </c>
      <c r="M199" s="139">
        <f t="shared" si="9"/>
        <v>1.6306851314972603E-3</v>
      </c>
      <c r="N199" s="139">
        <f t="shared" si="9"/>
        <v>6.3024507474808257E-3</v>
      </c>
      <c r="O199" s="139">
        <f t="shared" si="9"/>
        <v>6.5187624945261785E-2</v>
      </c>
      <c r="P199" s="139">
        <f t="shared" si="9"/>
        <v>2.781151487625836E-9</v>
      </c>
      <c r="Q199" s="139">
        <f t="shared" si="9"/>
        <v>9.6978413581241247E-8</v>
      </c>
      <c r="R199" s="139">
        <f t="shared" si="9"/>
        <v>7.8966689218949266</v>
      </c>
      <c r="S199" s="139">
        <f t="shared" si="9"/>
        <v>32.482729214876706</v>
      </c>
      <c r="T199" s="139">
        <f t="shared" si="9"/>
        <v>1.005544086957582E-4</v>
      </c>
      <c r="U199" s="139">
        <f t="shared" si="9"/>
        <v>2.2389084533812359E-6</v>
      </c>
      <c r="V199" s="139">
        <f t="shared" si="9"/>
        <v>1.4697717532540727E-7</v>
      </c>
      <c r="W199" s="139">
        <f t="shared" si="9"/>
        <v>2.1556957396888617E-2</v>
      </c>
      <c r="X199" s="139">
        <f t="shared" si="9"/>
        <v>2.3626931961550333</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2.6357532329470364E-2</v>
      </c>
      <c r="C206" s="154">
        <f>'A3 - Production '!H28</f>
        <v>5.0428258967813718E-5</v>
      </c>
      <c r="D206" s="154">
        <f>SUM(B206:C206)</f>
        <v>2.6407960588438178E-2</v>
      </c>
    </row>
    <row r="207" spans="1:24" x14ac:dyDescent="0.35">
      <c r="A207" s="1" t="s">
        <v>280</v>
      </c>
      <c r="B207" s="154">
        <f>SUM(G196:G198)</f>
        <v>18.857248126202681</v>
      </c>
      <c r="C207" s="154">
        <f>'A3 - Production '!I28</f>
        <v>1.4153247396779001E-2</v>
      </c>
      <c r="D207" s="154">
        <f t="shared" ref="D207:D224" si="10">SUM(B207:C207)</f>
        <v>18.871401373599461</v>
      </c>
    </row>
    <row r="208" spans="1:24" x14ac:dyDescent="0.35">
      <c r="A208" s="1" t="s">
        <v>281</v>
      </c>
      <c r="B208" s="154">
        <f>SUM(H196:H198)</f>
        <v>6.2583686726224524E-2</v>
      </c>
      <c r="C208" s="154">
        <f>'A3 - Production '!J28</f>
        <v>2.958799704380829E-4</v>
      </c>
      <c r="D208" s="154">
        <f t="shared" si="10"/>
        <v>6.28795666966626E-2</v>
      </c>
    </row>
    <row r="209" spans="1:4" x14ac:dyDescent="0.35">
      <c r="A209" s="1" t="s">
        <v>282</v>
      </c>
      <c r="B209" s="154">
        <f>SUM(I196:I198)</f>
        <v>18.784632047482553</v>
      </c>
      <c r="C209" s="154">
        <f>'A3 - Production '!K28</f>
        <v>1.3822563167121922E-2</v>
      </c>
      <c r="D209" s="154">
        <f t="shared" si="10"/>
        <v>18.798454610649674</v>
      </c>
    </row>
    <row r="210" spans="1:4" x14ac:dyDescent="0.35">
      <c r="A210" s="1" t="s">
        <v>283</v>
      </c>
      <c r="B210" s="154">
        <f>SUM(J196:J198)</f>
        <v>1.0032391993906183E-2</v>
      </c>
      <c r="C210" s="154">
        <f>'A3 - Production '!L28</f>
        <v>3.480425921899804E-5</v>
      </c>
      <c r="D210" s="154">
        <f t="shared" si="10"/>
        <v>1.0067196253125181E-2</v>
      </c>
    </row>
    <row r="211" spans="1:4" x14ac:dyDescent="0.35">
      <c r="A211" s="1" t="s">
        <v>284</v>
      </c>
      <c r="B211" s="154">
        <f>SUM(K196:K198)</f>
        <v>18.838389463203981</v>
      </c>
      <c r="C211" s="154">
        <f>'A3 - Production '!M28</f>
        <v>4.8580865048010832E-2</v>
      </c>
      <c r="D211" s="154">
        <f t="shared" si="10"/>
        <v>18.886970328251991</v>
      </c>
    </row>
    <row r="212" spans="1:4" x14ac:dyDescent="0.35">
      <c r="A212" s="1" t="s">
        <v>285</v>
      </c>
      <c r="B212" s="154">
        <f>SUM(L196:L198)</f>
        <v>438.64164406612338</v>
      </c>
      <c r="C212" s="154">
        <f>'A3 - Production '!N28</f>
        <v>0.68053040749997973</v>
      </c>
      <c r="D212" s="154">
        <f t="shared" si="10"/>
        <v>439.32217447362336</v>
      </c>
    </row>
    <row r="213" spans="1:4" x14ac:dyDescent="0.35">
      <c r="A213" s="1" t="s">
        <v>286</v>
      </c>
      <c r="B213" s="154">
        <f>SUM(M196:M198)</f>
        <v>1.6306851314972603E-3</v>
      </c>
      <c r="C213" s="154">
        <f>'A3 - Production '!O28</f>
        <v>5.1919503575314757E-6</v>
      </c>
      <c r="D213" s="154">
        <f t="shared" si="10"/>
        <v>1.6358770818547918E-3</v>
      </c>
    </row>
    <row r="214" spans="1:4" x14ac:dyDescent="0.35">
      <c r="A214" s="1" t="s">
        <v>287</v>
      </c>
      <c r="B214" s="154">
        <f>SUM(N196:N198)</f>
        <v>6.3024507474808257E-3</v>
      </c>
      <c r="C214" s="154">
        <f>'A3 - Production '!P28</f>
        <v>1.0370505369414842E-5</v>
      </c>
      <c r="D214" s="154">
        <f t="shared" si="10"/>
        <v>6.3128212528502405E-3</v>
      </c>
    </row>
    <row r="215" spans="1:4" x14ac:dyDescent="0.35">
      <c r="A215" s="1" t="s">
        <v>288</v>
      </c>
      <c r="B215" s="154">
        <f>SUM(O196:O198)</f>
        <v>6.5187624945261785E-2</v>
      </c>
      <c r="C215" s="154">
        <f>'A3 - Production '!Q28</f>
        <v>9.8444587638262765E-5</v>
      </c>
      <c r="D215" s="154">
        <f t="shared" si="10"/>
        <v>6.5286069532900046E-2</v>
      </c>
    </row>
    <row r="216" spans="1:4" x14ac:dyDescent="0.35">
      <c r="A216" s="1" t="s">
        <v>289</v>
      </c>
      <c r="B216" s="154">
        <f>SUM(P196:P198)</f>
        <v>2.781151487625836E-9</v>
      </c>
      <c r="C216" s="154">
        <f>'A3 - Production '!R28</f>
        <v>5.7863198544609425E-12</v>
      </c>
      <c r="D216" s="154">
        <f t="shared" si="10"/>
        <v>2.7869378074802969E-9</v>
      </c>
    </row>
    <row r="217" spans="1:4" x14ac:dyDescent="0.35">
      <c r="A217" s="1" t="s">
        <v>319</v>
      </c>
      <c r="B217" s="154">
        <f>SUM(Q196:Q198)</f>
        <v>9.6978413581241247E-8</v>
      </c>
      <c r="C217" s="154">
        <f>'A3 - Production '!S28</f>
        <v>3.1994741652866858E-10</v>
      </c>
      <c r="D217" s="154">
        <f t="shared" si="10"/>
        <v>9.7298360997769909E-8</v>
      </c>
    </row>
    <row r="218" spans="1:4" x14ac:dyDescent="0.35">
      <c r="A218" s="1" t="s">
        <v>291</v>
      </c>
      <c r="B218" s="154">
        <f>SUM(R196:R198)</f>
        <v>7.8966689218949266</v>
      </c>
      <c r="C218" s="154">
        <f>'A3 - Production '!T28</f>
        <v>2.858685904253119E-2</v>
      </c>
      <c r="D218" s="154">
        <f t="shared" si="10"/>
        <v>7.9252557809374578</v>
      </c>
    </row>
    <row r="219" spans="1:4" x14ac:dyDescent="0.35">
      <c r="A219" s="1" t="s">
        <v>292</v>
      </c>
      <c r="B219" s="154">
        <f>SUM(S196:S198)</f>
        <v>32.482729214876706</v>
      </c>
      <c r="C219" s="154">
        <f>'A3 - Production '!U28</f>
        <v>0.1073908254159853</v>
      </c>
      <c r="D219" s="154">
        <f t="shared" si="10"/>
        <v>32.590120040292689</v>
      </c>
    </row>
    <row r="220" spans="1:4" x14ac:dyDescent="0.35">
      <c r="A220" s="1" t="s">
        <v>293</v>
      </c>
      <c r="B220" s="154">
        <f>SUM(T196:T198)</f>
        <v>1.005544086957582E-4</v>
      </c>
      <c r="C220" s="154">
        <f>'A3 - Production '!V28</f>
        <v>3.6852767593856451E-7</v>
      </c>
      <c r="D220" s="154">
        <f t="shared" si="10"/>
        <v>1.0092293637169677E-4</v>
      </c>
    </row>
    <row r="221" spans="1:4" x14ac:dyDescent="0.35">
      <c r="A221" s="1" t="s">
        <v>294</v>
      </c>
      <c r="B221" s="154">
        <f>SUM(U196:U198)</f>
        <v>2.2389084533812359E-6</v>
      </c>
      <c r="C221" s="154">
        <f>'A3 - Production '!W28</f>
        <v>4.4191645839642374E-10</v>
      </c>
      <c r="D221" s="154">
        <f t="shared" si="10"/>
        <v>2.2393503698396324E-6</v>
      </c>
    </row>
    <row r="222" spans="1:4" x14ac:dyDescent="0.35">
      <c r="A222" s="1" t="s">
        <v>295</v>
      </c>
      <c r="B222" s="154">
        <f>SUM(V196:V198)</f>
        <v>1.4697717532540727E-7</v>
      </c>
      <c r="C222" s="154">
        <f>'A3 - Production '!X28</f>
        <v>3.7056950668012011E-10</v>
      </c>
      <c r="D222" s="154">
        <f t="shared" si="10"/>
        <v>1.473477448320874E-7</v>
      </c>
    </row>
    <row r="223" spans="1:4" x14ac:dyDescent="0.35">
      <c r="A223" s="1" t="s">
        <v>296</v>
      </c>
      <c r="B223" s="154">
        <f>SUM(W196:W198)</f>
        <v>2.1556957396888617E-2</v>
      </c>
      <c r="C223" s="154">
        <f>'A3 - Production '!Y28</f>
        <v>3.145896394804741E-5</v>
      </c>
      <c r="D223" s="154">
        <f t="shared" si="10"/>
        <v>2.1588416360836665E-2</v>
      </c>
    </row>
    <row r="224" spans="1:4" x14ac:dyDescent="0.35">
      <c r="A224" s="1" t="s">
        <v>297</v>
      </c>
      <c r="B224" s="154">
        <f>SUM(X196:X198)</f>
        <v>2.3626931961550333</v>
      </c>
      <c r="C224" s="154">
        <f>'A3 - Production '!Z28</f>
        <v>8.1753177918235786E-3</v>
      </c>
      <c r="D224" s="154">
        <f t="shared" si="10"/>
        <v>2.3708685139468568</v>
      </c>
    </row>
    <row r="227" spans="1:3" x14ac:dyDescent="0.35">
      <c r="B227" t="s">
        <v>352</v>
      </c>
    </row>
    <row r="228" spans="1:3" x14ac:dyDescent="0.35">
      <c r="B228" s="205" t="s">
        <v>623</v>
      </c>
      <c r="C228" s="205" t="s">
        <v>622</v>
      </c>
    </row>
    <row r="229" spans="1:3" x14ac:dyDescent="0.35">
      <c r="A229" s="95" t="s">
        <v>624</v>
      </c>
      <c r="B229" s="1">
        <f>SUM($F$199:$X$199)+SUM($H$28:$Z$28)</f>
        <v>538.95952643878798</v>
      </c>
      <c r="C229" s="1">
        <f>+SUM(H28:Z28)</f>
        <v>0.90176703352406551</v>
      </c>
    </row>
    <row r="230" spans="1:3" x14ac:dyDescent="0.35">
      <c r="A230" s="95" t="s">
        <v>625</v>
      </c>
      <c r="B230" s="1">
        <f>SUM($D$206:$D$224)</f>
        <v>538.95952643878786</v>
      </c>
      <c r="C230" s="1">
        <f>+SUM(C206:C224)</f>
        <v>0.90176703352406551</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0.99895999999999985</v>
      </c>
      <c r="C11" s="154">
        <f>Input!$D$63</f>
        <v>20</v>
      </c>
      <c r="D11" s="154" t="str">
        <f>Input!B63</f>
        <v>Truck</v>
      </c>
      <c r="E11" s="154" t="str">
        <f>Input!$C$63</f>
        <v>Diesel_Euro6</v>
      </c>
      <c r="F11" s="154" cm="1">
        <f t="array" ref="F11">INDEX(LCI!H$2:H$73,MATCH($D11&amp;$E11,LCI!$B$2:$B$73&amp;LCI!$D$2:$D$73,0))* IF(AND($D11="Truck", OR($E11="Electric", $E11="Electric_green")), $B$6, 1)*$C$11*$B$11</f>
        <v>4.7295161823999992E-3</v>
      </c>
      <c r="G11" s="154" cm="1">
        <f t="array" ref="G11">INDEX(LCI!I$2:I$73,MATCH($D11&amp;$E11,LCI!$B$2:$B$73&amp;LCI!$D$2:$D$73,0))* IF(AND($D11="Truck", OR($E11="Electric", $E11="Electric_green")), $B$6, 1)*$C$11*$B$11</f>
        <v>3.1715952869327992</v>
      </c>
      <c r="H11" s="154" cm="1">
        <f t="array" ref="H11">INDEX(LCI!J$2:J$73,MATCH($D11&amp;$E11,LCI!$B$2:$B$73&amp;LCI!$D$2:$D$73,0))* IF(AND($D11="Truck", OR($E11="Electric", $E11="Electric_green")), $B$6, 1)*$C$11*$B$11</f>
        <v>1.4822628417599998E-3</v>
      </c>
      <c r="I11" s="154" cm="1">
        <f t="array" ref="I11">INDEX(LCI!K$2:K$73,MATCH($D11&amp;$E11,LCI!$B$2:$B$73&amp;LCI!$D$2:$D$73,0))* IF(AND($D11="Truck", OR($E11="Electric", $E11="Electric_green")), $B$6, 1)*$C$11*$B$11</f>
        <v>3.1698607527263993</v>
      </c>
      <c r="J11" s="154" cm="1">
        <f t="array" ref="J11">INDEX(LCI!L$2:L$73,MATCH($D11&amp;$E11,LCI!$B$2:$B$73&amp;LCI!$D$2:$D$73,0))* IF(AND($D11="Truck", OR($E11="Electric", $E11="Electric_green")), $B$6, 1)*$C$11*$B$11</f>
        <v>2.5226736879999995E-4</v>
      </c>
      <c r="K11" s="154" cm="1">
        <f t="array" ref="K11">INDEX(LCI!M$2:M$73,MATCH($D11&amp;$E11,LCI!$B$2:$B$73&amp;LCI!$D$2:$D$73,0))* IF(AND($D11="Truck", OR($E11="Electric", $E11="Electric_green")), $B$6, 1)*$C$11*$B$11</f>
        <v>2.7240430258607997</v>
      </c>
      <c r="L11" s="154" cm="1">
        <f t="array" ref="L11">INDEX(LCI!N$2:N$73,MATCH($D11&amp;$E11,LCI!$B$2:$B$73&amp;LCI!$D$2:$D$73,0))* IF(AND($D11="Truck", OR($E11="Electric", $E11="Electric_green")), $B$6, 1)*$C$11*$B$11</f>
        <v>42.686375152191985</v>
      </c>
      <c r="M11" s="154" cm="1">
        <f t="array" ref="M11">INDEX(LCI!O$2:O$73,MATCH($D11&amp;$E11,LCI!$B$2:$B$73&amp;LCI!$D$2:$D$73,0))* IF(AND($D11="Truck", OR($E11="Electric", $E11="Electric_green")), $B$6, 1)*$C$11*$B$11</f>
        <v>7.3976784047999984E-5</v>
      </c>
      <c r="N11" s="154" cm="1">
        <f t="array" ref="N11">INDEX(LCI!P$2:P$73,MATCH($D11&amp;$E11,LCI!$B$2:$B$73&amp;LCI!$D$2:$D$73,0))* IF(AND($D11="Truck", OR($E11="Electric", $E11="Electric_green")), $B$6, 1)*$C$11*$B$11</f>
        <v>1.0308707782399997E-3</v>
      </c>
      <c r="O11" s="154" cm="1">
        <f t="array" ref="O11">INDEX(LCI!Q$2:Q$73,MATCH($D11&amp;$E11,LCI!$B$2:$B$73&amp;LCI!$D$2:$D$73,0))* IF(AND($D11="Truck", OR($E11="Electric", $E11="Electric_green")), $B$6, 1)*$C$11*$B$11</f>
        <v>1.1158243345599998E-2</v>
      </c>
      <c r="P11" s="154" cm="1">
        <f t="array" ref="P11">INDEX(LCI!R$2:R$73,MATCH($D11&amp;$E11,LCI!$B$2:$B$73&amp;LCI!$D$2:$D$73,0))* IF(AND($D11="Truck", OR($E11="Electric", $E11="Electric_green")), $B$6, 1)*$C$11*$B$11</f>
        <v>2.8110135023999995E-10</v>
      </c>
      <c r="Q11" s="154" cm="1">
        <f t="array" ref="Q11">INDEX(LCI!S$2:S$73,MATCH($D11&amp;$E11,LCI!$B$2:$B$73&amp;LCI!$D$2:$D$73,0))* IF(AND($D11="Truck", OR($E11="Electric", $E11="Electric_green")), $B$6, 1)*$C$11*$B$11</f>
        <v>2.2871788575999996E-8</v>
      </c>
      <c r="R11" s="154" cm="1">
        <f t="array" ref="R11">INDEX(LCI!T$2:T$73,MATCH($D11&amp;$E11,LCI!$B$2:$B$73&amp;LCI!$D$2:$D$73,0))* IF(AND($D11="Truck", OR($E11="Electric", $E11="Electric_green")), $B$6, 1)*$C$11*$B$11</f>
        <v>1.9355968835199997E-2</v>
      </c>
      <c r="S11" s="154" cm="1">
        <f t="array" ref="S11">INDEX(LCI!U$2:U$73,MATCH($D11&amp;$E11,LCI!$B$2:$B$73&amp;LCI!$D$2:$D$73,0))* IF(AND($D11="Truck", OR($E11="Electric", $E11="Electric_green")), $B$6, 1)*$C$11*$B$11</f>
        <v>2.6925271365087999</v>
      </c>
      <c r="T11" s="154" cm="1">
        <f t="array" ref="T11">INDEX(LCI!V$2:V$73,MATCH($D11&amp;$E11,LCI!$B$2:$B$73&amp;LCI!$D$2:$D$73,0))* IF(AND($D11="Truck", OR($E11="Electric", $E11="Electric_green")), $B$6, 1)*$C$11*$B$11</f>
        <v>3.4990971503999992E-6</v>
      </c>
      <c r="U11" s="154" cm="1">
        <f t="array" ref="U11">INDEX(LCI!W$2:W$73,MATCH($D11&amp;$E11,LCI!$B$2:$B$73&amp;LCI!$D$2:$D$73,0))* IF(AND($D11="Truck", OR($E11="Electric", $E11="Electric_green")), $B$6, 1)*$C$11*$B$11</f>
        <v>7.0522979743999984E-8</v>
      </c>
      <c r="V11" s="154" cm="1">
        <f t="array" ref="V11">INDEX(LCI!X$2:X$73,MATCH($D11&amp;$E11,LCI!$B$2:$B$73&amp;LCI!$D$2:$D$73,0))* IF(AND($D11="Truck", OR($E11="Electric", $E11="Electric_green")), $B$6, 1)*$C$11*$B$11</f>
        <v>1.9658673694399996E-7</v>
      </c>
      <c r="W11" s="154" cm="1">
        <f t="array" ref="W11">INDEX(LCI!Y$2:Y$73,MATCH($D11&amp;$E11,LCI!$B$2:$B$73&amp;LCI!$D$2:$D$73,0))* IF(AND($D11="Truck", OR($E11="Electric", $E11="Electric_green")), $B$6, 1)*$C$11*$B$11</f>
        <v>8.2457355071999978E-3</v>
      </c>
      <c r="X11" s="154" cm="1">
        <f t="array" ref="X11">INDEX(LCI!Z$2:Z$73,MATCH($D11&amp;$E11,LCI!$B$2:$B$73&amp;LCI!$D$2:$D$73,0))* IF(AND($D11="Truck", OR($E11="Electric", $E11="Electric_green")), $B$6, 1)*$C$11*$B$11</f>
        <v>9.722256326879998E-2</v>
      </c>
    </row>
    <row r="14" spans="1:24" ht="23.5" x14ac:dyDescent="0.55000000000000004">
      <c r="A14" s="100" t="s">
        <v>990</v>
      </c>
    </row>
    <row r="16" spans="1:24" x14ac:dyDescent="0.35">
      <c r="A16" s="62" t="s">
        <v>153</v>
      </c>
      <c r="B16" s="62" t="s">
        <v>629</v>
      </c>
    </row>
    <row r="17" spans="1:2" x14ac:dyDescent="0.35">
      <c r="A17" s="1" t="s">
        <v>318</v>
      </c>
      <c r="B17" s="154">
        <f>'A4 - Transport'!F11</f>
        <v>4.7295161823999992E-3</v>
      </c>
    </row>
    <row r="18" spans="1:2" x14ac:dyDescent="0.35">
      <c r="A18" s="1" t="s">
        <v>280</v>
      </c>
      <c r="B18" s="154">
        <f>'A4 - Transport'!G11</f>
        <v>3.1715952869327992</v>
      </c>
    </row>
    <row r="19" spans="1:2" x14ac:dyDescent="0.35">
      <c r="A19" s="1" t="s">
        <v>281</v>
      </c>
      <c r="B19" s="154">
        <f>'A4 - Transport'!H11</f>
        <v>1.4822628417599998E-3</v>
      </c>
    </row>
    <row r="20" spans="1:2" x14ac:dyDescent="0.35">
      <c r="A20" s="1" t="s">
        <v>282</v>
      </c>
      <c r="B20" s="154">
        <f>'A4 - Transport'!I11</f>
        <v>3.1698607527263993</v>
      </c>
    </row>
    <row r="21" spans="1:2" x14ac:dyDescent="0.35">
      <c r="A21" s="1" t="s">
        <v>283</v>
      </c>
      <c r="B21" s="154">
        <f>'A4 - Transport'!J11</f>
        <v>2.5226736879999995E-4</v>
      </c>
    </row>
    <row r="22" spans="1:2" x14ac:dyDescent="0.35">
      <c r="A22" s="1" t="s">
        <v>284</v>
      </c>
      <c r="B22" s="154">
        <f>'A4 - Transport'!K11</f>
        <v>2.7240430258607997</v>
      </c>
    </row>
    <row r="23" spans="1:2" x14ac:dyDescent="0.35">
      <c r="A23" s="1" t="s">
        <v>285</v>
      </c>
      <c r="B23" s="154">
        <f>'A4 - Transport'!L11</f>
        <v>42.686375152191985</v>
      </c>
    </row>
    <row r="24" spans="1:2" x14ac:dyDescent="0.35">
      <c r="A24" s="1" t="s">
        <v>286</v>
      </c>
      <c r="B24" s="154">
        <f>'A4 - Transport'!M11</f>
        <v>7.3976784047999984E-5</v>
      </c>
    </row>
    <row r="25" spans="1:2" x14ac:dyDescent="0.35">
      <c r="A25" s="1" t="s">
        <v>287</v>
      </c>
      <c r="B25" s="154">
        <f>'A4 - Transport'!N11</f>
        <v>1.0308707782399997E-3</v>
      </c>
    </row>
    <row r="26" spans="1:2" x14ac:dyDescent="0.35">
      <c r="A26" s="1" t="s">
        <v>288</v>
      </c>
      <c r="B26" s="154">
        <f>'A4 - Transport'!O11</f>
        <v>1.1158243345599998E-2</v>
      </c>
    </row>
    <row r="27" spans="1:2" x14ac:dyDescent="0.35">
      <c r="A27" s="1" t="s">
        <v>289</v>
      </c>
      <c r="B27" s="154">
        <f>'A4 - Transport'!P11</f>
        <v>2.8110135023999995E-10</v>
      </c>
    </row>
    <row r="28" spans="1:2" x14ac:dyDescent="0.35">
      <c r="A28" s="1" t="s">
        <v>319</v>
      </c>
      <c r="B28" s="154">
        <f>'A4 - Transport'!Q11</f>
        <v>2.2871788575999996E-8</v>
      </c>
    </row>
    <row r="29" spans="1:2" x14ac:dyDescent="0.35">
      <c r="A29" s="1" t="s">
        <v>291</v>
      </c>
      <c r="B29" s="154">
        <f>'A4 - Transport'!R11</f>
        <v>1.9355968835199997E-2</v>
      </c>
    </row>
    <row r="30" spans="1:2" x14ac:dyDescent="0.35">
      <c r="A30" s="1" t="s">
        <v>292</v>
      </c>
      <c r="B30" s="154">
        <f>'A4 - Transport'!S11</f>
        <v>2.6925271365087999</v>
      </c>
    </row>
    <row r="31" spans="1:2" x14ac:dyDescent="0.35">
      <c r="A31" s="1" t="s">
        <v>293</v>
      </c>
      <c r="B31" s="154">
        <f>'A4 - Transport'!T11</f>
        <v>3.4990971503999992E-6</v>
      </c>
    </row>
    <row r="32" spans="1:2" x14ac:dyDescent="0.35">
      <c r="A32" s="1" t="s">
        <v>294</v>
      </c>
      <c r="B32" s="154">
        <f>'A4 - Transport'!U11</f>
        <v>7.0522979743999984E-8</v>
      </c>
    </row>
    <row r="33" spans="1:2" x14ac:dyDescent="0.35">
      <c r="A33" s="1" t="s">
        <v>295</v>
      </c>
      <c r="B33" s="154">
        <f>'A4 - Transport'!V11</f>
        <v>1.9658673694399996E-7</v>
      </c>
    </row>
    <row r="34" spans="1:2" x14ac:dyDescent="0.35">
      <c r="A34" s="1" t="s">
        <v>296</v>
      </c>
      <c r="B34" s="154">
        <f>'A4 - Transport'!W11</f>
        <v>8.2457355071999978E-3</v>
      </c>
    </row>
    <row r="35" spans="1:2" x14ac:dyDescent="0.35">
      <c r="A35" s="1" t="s">
        <v>297</v>
      </c>
      <c r="B35" s="154">
        <f>'A4 - Transport'!X11</f>
        <v>9.722256326879998E-2</v>
      </c>
    </row>
    <row r="39" spans="1:2" x14ac:dyDescent="0.35">
      <c r="B39" t="s">
        <v>630</v>
      </c>
    </row>
    <row r="40" spans="1:2" x14ac:dyDescent="0.35">
      <c r="A40" s="95" t="s">
        <v>530</v>
      </c>
      <c r="B40" s="1">
        <f>SUM($F$11:$X$11)</f>
        <v>54.587956548492585</v>
      </c>
    </row>
    <row r="41" spans="1:2" x14ac:dyDescent="0.35">
      <c r="A41" s="95" t="s">
        <v>531</v>
      </c>
      <c r="B41" s="1">
        <f>SUM($B$17:$B$35)</f>
        <v>54.587956548492585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0</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0</v>
      </c>
      <c r="E30" s="154" t="str">
        <f>$B$12</f>
        <v>Truck</v>
      </c>
      <c r="F30" s="154" t="str">
        <f>$C$12</f>
        <v>Diesel_Euro5</v>
      </c>
      <c r="G30" s="154" cm="1">
        <f t="array" ref="G30">INDEX(LCI!H$2:H$137,MATCH('D- Benefits &amp; Burdens'!$E$30&amp;'D- Benefits &amp; Burdens'!$F$30,LCI!$B$2:$B$137&amp;LCI!$D$2:$D$137,0))*IF(AND($E30="Truck",$F30="Electric"),$B$26,1)*$D$30*$C$30</f>
        <v>0</v>
      </c>
      <c r="H30" s="154" cm="1">
        <f t="array" ref="H30">INDEX(LCI!I$2:I$137,MATCH('D- Benefits &amp; Burdens'!$E$30&amp;'D- Benefits &amp; Burdens'!$F$30,LCI!$B$2:$B$137&amp;LCI!$D$2:$D$137,0))*IF(AND($E30="Truck",$F30="Electric"),$B$26,1)*$D$30*$C$30</f>
        <v>0</v>
      </c>
      <c r="I30" s="154" cm="1">
        <f t="array" ref="I30">INDEX(LCI!J$2:J$137,MATCH('D- Benefits &amp; Burdens'!$E$30&amp;'D- Benefits &amp; Burdens'!$F$30,LCI!$B$2:$B$137&amp;LCI!$D$2:$D$137,0))*IF(AND($E30="Truck",$F30="Electric"),$B$26,1)*$D$30*$C$30</f>
        <v>0</v>
      </c>
      <c r="J30" s="154" cm="1">
        <f t="array" ref="J30">INDEX(LCI!K$2:K$137,MATCH('D- Benefits &amp; Burdens'!$E$30&amp;'D- Benefits &amp; Burdens'!$F$30,LCI!$B$2:$B$137&amp;LCI!$D$2:$D$137,0))*IF(AND($E30="Truck",$F30="Electric"),$B$26,1)*$D$30*$C$30</f>
        <v>0</v>
      </c>
      <c r="K30" s="154" cm="1">
        <f t="array" ref="K30">INDEX(LCI!L$2:L$137,MATCH('D- Benefits &amp; Burdens'!$E$30&amp;'D- Benefits &amp; Burdens'!$F$30,LCI!$B$2:$B$137&amp;LCI!$D$2:$D$137,0))*IF(AND($E30="Truck",$F30="Electric"),$B$26,1)*$D$30*$C$30</f>
        <v>0</v>
      </c>
      <c r="L30" s="154" cm="1">
        <f t="array" ref="L30">INDEX(LCI!M$2:M$137,MATCH('D- Benefits &amp; Burdens'!$E$30&amp;'D- Benefits &amp; Burdens'!$F$30,LCI!$B$2:$B$137&amp;LCI!$D$2:$D$137,0))*IF(AND($E30="Truck",$F30="Electric"),$B$26,1)*$D$30*$C$30</f>
        <v>0</v>
      </c>
      <c r="M30" s="154" cm="1">
        <f t="array" ref="M30">INDEX(LCI!N$2:N$137,MATCH('D- Benefits &amp; Burdens'!$E$30&amp;'D- Benefits &amp; Burdens'!$F$30,LCI!$B$2:$B$137&amp;LCI!$D$2:$D$137,0))*IF(AND($E30="Truck",$F30="Electric"),$B$26,1)*$D$30*$C$30</f>
        <v>0</v>
      </c>
      <c r="N30" s="154" cm="1">
        <f t="array" ref="N30">INDEX(LCI!O$2:O$137,MATCH('D- Benefits &amp; Burdens'!$E$30&amp;'D- Benefits &amp; Burdens'!$F$30,LCI!$B$2:$B$137&amp;LCI!$D$2:$D$137,0))*IF(AND($E30="Truck",$F30="Electric"),$B$26,1)*$D$30*$C$30</f>
        <v>0</v>
      </c>
      <c r="O30" s="154" cm="1">
        <f t="array" ref="O30">INDEX(LCI!P$2:P$137,MATCH('D- Benefits &amp; Burdens'!$E$30&amp;'D- Benefits &amp; Burdens'!$F$30,LCI!$B$2:$B$137&amp;LCI!$D$2:$D$137,0))*IF(AND($E30="Truck",$F30="Electric"),$B$26,1)*$D$30*$C$30</f>
        <v>0</v>
      </c>
      <c r="P30" s="154" cm="1">
        <f t="array" ref="P30">INDEX(LCI!Q$2:Q$137,MATCH('D- Benefits &amp; Burdens'!$E$30&amp;'D- Benefits &amp; Burdens'!$F$30,LCI!$B$2:$B$137&amp;LCI!$D$2:$D$137,0))*IF(AND($E30="Truck",$F30="Electric"),$B$26,1)*$D$30*$C$30</f>
        <v>0</v>
      </c>
      <c r="Q30" s="154" cm="1">
        <f t="array" ref="Q30">INDEX(LCI!R$2:R$137,MATCH('D- Benefits &amp; Burdens'!$E$30&amp;'D- Benefits &amp; Burdens'!$F$30,LCI!$B$2:$B$137&amp;LCI!$D$2:$D$137,0))*IF(AND($E30="Truck",$F30="Electric"),$B$26,1)*$D$30*$C$30</f>
        <v>0</v>
      </c>
      <c r="R30" s="154" cm="1">
        <f t="array" ref="R30">INDEX(LCI!S$2:S$137,MATCH('D- Benefits &amp; Burdens'!$E$30&amp;'D- Benefits &amp; Burdens'!$F$30,LCI!$B$2:$B$137&amp;LCI!$D$2:$D$137,0))*IF(AND($E30="Truck",$F30="Electric"),$B$26,1)*$D$30*$C$30</f>
        <v>0</v>
      </c>
      <c r="S30" s="154" cm="1">
        <f t="array" ref="S30">INDEX(LCI!T$2:T$137,MATCH('D- Benefits &amp; Burdens'!$E$30&amp;'D- Benefits &amp; Burdens'!$F$30,LCI!$B$2:$B$137&amp;LCI!$D$2:$D$137,0))*IF(AND($E30="Truck",$F30="Electric"),$B$26,1)*$D$30*$C$30</f>
        <v>0</v>
      </c>
      <c r="T30" s="154" cm="1">
        <f t="array" ref="T30">INDEX(LCI!U$2:U$137,MATCH('D- Benefits &amp; Burdens'!$E$30&amp;'D- Benefits &amp; Burdens'!$F$30,LCI!$B$2:$B$137&amp;LCI!$D$2:$D$137,0))*IF(AND($E30="Truck",$F30="Electric"),$B$26,1)*$D$30*$C$30</f>
        <v>0</v>
      </c>
      <c r="U30" s="154" cm="1">
        <f t="array" ref="U30">INDEX(LCI!V$2:V$137,MATCH('D- Benefits &amp; Burdens'!$E$30&amp;'D- Benefits &amp; Burdens'!$F$30,LCI!$B$2:$B$137&amp;LCI!$D$2:$D$137,0))*IF(AND($E30="Truck",$F30="Electric"),$B$26,1)*$D$30*$C$30</f>
        <v>0</v>
      </c>
      <c r="V30" s="154" cm="1">
        <f t="array" ref="V30">INDEX(LCI!W$2:W$137,MATCH('D- Benefits &amp; Burdens'!$E$30&amp;'D- Benefits &amp; Burdens'!$F$30,LCI!$B$2:$B$137&amp;LCI!$D$2:$D$137,0))*IF(AND($E30="Truck",$F30="Electric"),$B$26,1)*$D$30*$C$30</f>
        <v>0</v>
      </c>
      <c r="W30" s="154" cm="1">
        <f t="array" ref="W30">INDEX(LCI!X$2:X$137,MATCH('D- Benefits &amp; Burdens'!$E$30&amp;'D- Benefits &amp; Burdens'!$F$30,LCI!$B$2:$B$137&amp;LCI!$D$2:$D$137,0))*IF(AND($E30="Truck",$F30="Electric"),$B$26,1)*$D$30*$C$30</f>
        <v>0</v>
      </c>
      <c r="X30" s="154" cm="1">
        <f t="array" ref="X30">INDEX(LCI!Y$2:Y$137,MATCH('D- Benefits &amp; Burdens'!$E$30&amp;'D- Benefits &amp; Burdens'!$F$30,LCI!$B$2:$B$137&amp;LCI!$D$2:$D$137,0))*IF(AND($E30="Truck",$F30="Electric"),$B$26,1)*$D$30*$C$30</f>
        <v>0</v>
      </c>
      <c r="Y30" s="154" cm="1">
        <f t="array" ref="Y30">INDEX(LCI!Z$2:Z$137,MATCH('D- Benefits &amp; Burdens'!$E$30&amp;'D- Benefits &amp; Burdens'!$F$30,LCI!$B$2:$B$137&amp;LCI!$D$2:$D$137,0))*IF(AND($E30="Truck",$F30="Electric"),$B$26,1)*$D$30*$C$30</f>
        <v>0</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0</v>
      </c>
      <c r="E151" s="154" t="str">
        <f>$B$9</f>
        <v>Truck</v>
      </c>
      <c r="F151" s="154" t="str">
        <f>$C$9</f>
        <v>Diesel_Euro5</v>
      </c>
      <c r="G151" s="154" cm="1">
        <f t="array" ref="G151">INDEX(LCI!H$2:H$137,MATCH('D- Benefits &amp; Burdens'!$E151&amp;'D- Benefits &amp; Burdens'!$F151,LCI!$B$2:$B$137&amp;LCI!$D$2:$D$137,0))*$C151*$D151</f>
        <v>0</v>
      </c>
      <c r="H151" s="154" cm="1">
        <f t="array" ref="H151">INDEX(LCI!I$2:I$137,MATCH('D- Benefits &amp; Burdens'!$E151&amp;'D- Benefits &amp; Burdens'!$F151,LCI!$B$2:$B$137&amp;LCI!$D$2:$D$137,0))*$C151*$D151</f>
        <v>0</v>
      </c>
      <c r="I151" s="154" cm="1">
        <f t="array" ref="I151">INDEX(LCI!J$2:J$137,MATCH('D- Benefits &amp; Burdens'!$E151&amp;'D- Benefits &amp; Burdens'!$F151,LCI!$B$2:$B$137&amp;LCI!$D$2:$D$137,0))*$C151*$D151</f>
        <v>0</v>
      </c>
      <c r="J151" s="154" cm="1">
        <f t="array" ref="J151">INDEX(LCI!K$2:K$137,MATCH('D- Benefits &amp; Burdens'!$E151&amp;'D- Benefits &amp; Burdens'!$F151,LCI!$B$2:$B$137&amp;LCI!$D$2:$D$137,0))*$C151*$D151</f>
        <v>0</v>
      </c>
      <c r="K151" s="154" cm="1">
        <f t="array" ref="K151">INDEX(LCI!L$2:L$137,MATCH('D- Benefits &amp; Burdens'!$E151&amp;'D- Benefits &amp; Burdens'!$F151,LCI!$B$2:$B$137&amp;LCI!$D$2:$D$137,0))*$C151*$D151</f>
        <v>0</v>
      </c>
      <c r="L151" s="154" cm="1">
        <f t="array" ref="L151">INDEX(LCI!M$2:M$137,MATCH('D- Benefits &amp; Burdens'!$E151&amp;'D- Benefits &amp; Burdens'!$F151,LCI!$B$2:$B$137&amp;LCI!$D$2:$D$137,0))*$C151*$D151</f>
        <v>0</v>
      </c>
      <c r="M151" s="154" cm="1">
        <f t="array" ref="M151">INDEX(LCI!N$2:N$137,MATCH('D- Benefits &amp; Burdens'!$E151&amp;'D- Benefits &amp; Burdens'!$F151,LCI!$B$2:$B$137&amp;LCI!$D$2:$D$137,0))*$C151*$D151</f>
        <v>0</v>
      </c>
      <c r="N151" s="154" cm="1">
        <f t="array" ref="N151">INDEX(LCI!O$2:O$137,MATCH('D- Benefits &amp; Burdens'!$E151&amp;'D- Benefits &amp; Burdens'!$F151,LCI!$B$2:$B$137&amp;LCI!$D$2:$D$137,0))*$C151*$D151</f>
        <v>0</v>
      </c>
      <c r="O151" s="154" cm="1">
        <f t="array" ref="O151">INDEX(LCI!P$2:P$137,MATCH('D- Benefits &amp; Burdens'!$E151&amp;'D- Benefits &amp; Burdens'!$F151,LCI!$B$2:$B$137&amp;LCI!$D$2:$D$137,0))*$C151*$D151</f>
        <v>0</v>
      </c>
      <c r="P151" s="154" cm="1">
        <f t="array" ref="P151">INDEX(LCI!Q$2:Q$137,MATCH('D- Benefits &amp; Burdens'!$E151&amp;'D- Benefits &amp; Burdens'!$F151,LCI!$B$2:$B$137&amp;LCI!$D$2:$D$137,0))*$C151*$D151</f>
        <v>0</v>
      </c>
      <c r="Q151" s="154" cm="1">
        <f t="array" ref="Q151">INDEX(LCI!R$2:R$137,MATCH('D- Benefits &amp; Burdens'!$E151&amp;'D- Benefits &amp; Burdens'!$F151,LCI!$B$2:$B$137&amp;LCI!$D$2:$D$137,0))*$C151*$D151</f>
        <v>0</v>
      </c>
      <c r="R151" s="154" cm="1">
        <f t="array" ref="R151">INDEX(LCI!S$2:S$137,MATCH('D- Benefits &amp; Burdens'!$E151&amp;'D- Benefits &amp; Burdens'!$F151,LCI!$B$2:$B$137&amp;LCI!$D$2:$D$137,0))*$C151*$D151</f>
        <v>0</v>
      </c>
      <c r="S151" s="154" cm="1">
        <f t="array" ref="S151">INDEX(LCI!T$2:T$137,MATCH('D- Benefits &amp; Burdens'!$E151&amp;'D- Benefits &amp; Burdens'!$F151,LCI!$B$2:$B$137&amp;LCI!$D$2:$D$137,0))*$C151*$D151</f>
        <v>0</v>
      </c>
      <c r="T151" s="154" cm="1">
        <f t="array" ref="T151">INDEX(LCI!U$2:U$137,MATCH('D- Benefits &amp; Burdens'!$E151&amp;'D- Benefits &amp; Burdens'!$F151,LCI!$B$2:$B$137&amp;LCI!$D$2:$D$137,0))*$C151*$D151</f>
        <v>0</v>
      </c>
      <c r="U151" s="154" cm="1">
        <f t="array" ref="U151">INDEX(LCI!V$2:V$137,MATCH('D- Benefits &amp; Burdens'!$E151&amp;'D- Benefits &amp; Burdens'!$F151,LCI!$B$2:$B$137&amp;LCI!$D$2:$D$137,0))*$C151*$D151</f>
        <v>0</v>
      </c>
      <c r="V151" s="154" cm="1">
        <f t="array" ref="V151">INDEX(LCI!W$2:W$137,MATCH('D- Benefits &amp; Burdens'!$E151&amp;'D- Benefits &amp; Burdens'!$F151,LCI!$B$2:$B$137&amp;LCI!$D$2:$D$137,0))*$C151*$D151</f>
        <v>0</v>
      </c>
      <c r="W151" s="154" cm="1">
        <f t="array" ref="W151">INDEX(LCI!X$2:X$137,MATCH('D- Benefits &amp; Burdens'!$E151&amp;'D- Benefits &amp; Burdens'!$F151,LCI!$B$2:$B$137&amp;LCI!$D$2:$D$137,0))*$C151*$D151</f>
        <v>0</v>
      </c>
      <c r="X151" s="154" cm="1">
        <f t="array" ref="X151">INDEX(LCI!Y$2:Y$137,MATCH('D- Benefits &amp; Burdens'!$E151&amp;'D- Benefits &amp; Burdens'!$F151,LCI!$B$2:$B$137&amp;LCI!$D$2:$D$137,0))*$C151*$D151</f>
        <v>0</v>
      </c>
      <c r="Y151" s="154" cm="1">
        <f t="array" ref="Y151">INDEX(LCI!Z$2:Z$137,MATCH('D- Benefits &amp; Burdens'!$E151&amp;'D- Benefits &amp; Burdens'!$F151,LCI!$B$2:$B$137&amp;LCI!$D$2:$D$137,0))*$C151*$D151</f>
        <v>0</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-2.6137072655244002E-2</v>
      </c>
      <c r="H154" s="154">
        <f t="shared" ref="H154:Y154" si="3">SUM(H150:H153)</f>
        <v>-9.5540195584361882</v>
      </c>
      <c r="I154" s="154">
        <f t="shared" si="3"/>
        <v>-4.4157630153456003E-3</v>
      </c>
      <c r="J154" s="154">
        <f t="shared" si="3"/>
        <v>-9.5488525605410999</v>
      </c>
      <c r="K154" s="154">
        <f t="shared" si="3"/>
        <v>-7.5121716917879997E-4</v>
      </c>
      <c r="L154" s="154">
        <f t="shared" si="3"/>
        <v>-8.1195157987875373</v>
      </c>
      <c r="M154" s="154">
        <f t="shared" si="3"/>
        <v>-128.45705617554731</v>
      </c>
      <c r="N154" s="154">
        <f t="shared" si="3"/>
        <v>-2.1978809427600001E-4</v>
      </c>
      <c r="O154" s="154">
        <f t="shared" si="3"/>
        <v>-9.3779795670480004E-3</v>
      </c>
      <c r="P154" s="154">
        <f t="shared" si="3"/>
        <v>-0.10229946229025999</v>
      </c>
      <c r="Q154" s="154">
        <f t="shared" si="3"/>
        <v>-8.9303155544520005E-10</v>
      </c>
      <c r="R154" s="154">
        <f t="shared" si="3"/>
        <v>-6.8471990638200014E-8</v>
      </c>
      <c r="S154" s="154">
        <f t="shared" si="3"/>
        <v>-5.7832546661135999E-2</v>
      </c>
      <c r="T154" s="154">
        <f t="shared" si="3"/>
        <v>-8.0607764712700796</v>
      </c>
      <c r="U154" s="154">
        <f t="shared" si="3"/>
        <v>-1.0356015924251999E-5</v>
      </c>
      <c r="V154" s="154">
        <f t="shared" si="3"/>
        <v>-2.1251849827032001E-7</v>
      </c>
      <c r="W154" s="154">
        <f t="shared" si="3"/>
        <v>-6.4602232491600009E-7</v>
      </c>
      <c r="X154" s="154">
        <f t="shared" si="3"/>
        <v>-4.1150789700660002E-2</v>
      </c>
      <c r="Y154" s="154">
        <f t="shared" si="3"/>
        <v>-0.28993621265330399</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0</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0</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9.7208322691190062E-4</v>
      </c>
      <c r="M161" s="154">
        <f>SUM(D161:K161)</f>
        <v>-9.7151801980435784E-2</v>
      </c>
      <c r="N161" s="154">
        <f>SUM(L161:M161)</f>
        <v>-9.617971875352388E-2</v>
      </c>
    </row>
    <row r="162" spans="1:14" ht="14" customHeight="1" x14ac:dyDescent="0.35">
      <c r="A162" s="53" t="s">
        <v>280</v>
      </c>
      <c r="B162" s="154" cm="1">
        <f t="array" ref="B162">INDEX(LCI!I$2:I$137,MATCH('D- Benefits &amp; Burdens'!$E$30&amp;'D- Benefits &amp; Burdens'!$F$30,LCI!$B$2:$B$137&amp;LCI!$D$2:$D$137,0))*IF(AND($E30="Truck",$F30="Electric"),$B$26,1)*$D$30*$C$30</f>
        <v>0</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0</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0.76033864762898462</v>
      </c>
      <c r="M162" s="154">
        <f t="shared" ref="M162:M179" si="5">SUM(D162:K162)</f>
        <v>-24.657030050486483</v>
      </c>
      <c r="N162" s="154">
        <f t="shared" ref="N162:N179" si="6">SUM(L162:M162)</f>
        <v>-23.896691402857499</v>
      </c>
    </row>
    <row r="163" spans="1:14" ht="14" customHeight="1" x14ac:dyDescent="0.35">
      <c r="A163" s="53" t="s">
        <v>281</v>
      </c>
      <c r="B163" s="154" cm="1">
        <f t="array" ref="B163">INDEX(LCI!J$2:J$137,MATCH('D- Benefits &amp; Burdens'!$E$30&amp;'D- Benefits &amp; Burdens'!$F$30,LCI!$B$2:$B$137&amp;LCI!$D$2:$D$137,0))*IF(AND($E30="Truck",$F30="Electric"),$B$26,1)*$D$30*$C$30</f>
        <v>0</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0</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1.5714271260259654E-4</v>
      </c>
      <c r="M163" s="154">
        <f t="shared" si="5"/>
        <v>-7.0351086189031853E-2</v>
      </c>
      <c r="N163" s="154">
        <f t="shared" si="6"/>
        <v>-7.0193943476429252E-2</v>
      </c>
    </row>
    <row r="164" spans="1:14" ht="14" customHeight="1" x14ac:dyDescent="0.35">
      <c r="A164" s="53" t="s">
        <v>282</v>
      </c>
      <c r="B164" s="154" cm="1">
        <f t="array" ref="B164">INDEX(LCI!K$2:K$137,MATCH('D- Benefits &amp; Burdens'!$E$30&amp;'D- Benefits &amp; Burdens'!$F$30,LCI!$B$2:$B$137&amp;LCI!$D$2:$D$137,0))*IF(AND($E30="Truck",$F30="Electric"),$B$26,1)*$D$30*$C$30</f>
        <v>0</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0</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0.76014788075498918</v>
      </c>
      <c r="M164" s="154">
        <f t="shared" si="5"/>
        <v>-24.5862728806947</v>
      </c>
      <c r="N164" s="154">
        <f t="shared" si="6"/>
        <v>-23.826124999939712</v>
      </c>
    </row>
    <row r="165" spans="1:14" ht="14" customHeight="1" x14ac:dyDescent="0.35">
      <c r="A165" s="53" t="s">
        <v>283</v>
      </c>
      <c r="B165" s="154" cm="1">
        <f t="array" ref="B165">INDEX(LCI!L$2:L$137,MATCH('D- Benefits &amp; Burdens'!$E$30&amp;'D- Benefits &amp; Burdens'!$F$30,LCI!$B$2:$B$137&amp;LCI!$D$2:$D$137,0))*IF(AND($E30="Truck",$F30="Electric"),$B$26,1)*$D$30*$C$30</f>
        <v>0</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0</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3.3624161392820239E-5</v>
      </c>
      <c r="M165" s="154">
        <f t="shared" si="5"/>
        <v>-8.9326118921906877E-3</v>
      </c>
      <c r="N165" s="154">
        <f t="shared" si="6"/>
        <v>-8.8989877307978672E-3</v>
      </c>
    </row>
    <row r="166" spans="1:14" ht="14" customHeight="1" x14ac:dyDescent="0.35">
      <c r="A166" s="53" t="s">
        <v>284</v>
      </c>
      <c r="B166" s="154" cm="1">
        <f t="array" ref="B166">INDEX(LCI!M$2:M$137,MATCH('D- Benefits &amp; Burdens'!$E$30&amp;'D- Benefits &amp; Burdens'!$F$30,LCI!$B$2:$B$137&amp;LCI!$D$2:$D$137,0))*IF(AND($E30="Truck",$F30="Electric"),$B$26,1)*$D$30*$C$30</f>
        <v>0</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0</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0.33594090053099462</v>
      </c>
      <c r="M166" s="154">
        <f t="shared" si="5"/>
        <v>-685.23886180145166</v>
      </c>
      <c r="N166" s="154">
        <f t="shared" si="6"/>
        <v>-684.90292090092066</v>
      </c>
    </row>
    <row r="167" spans="1:14" ht="14" customHeight="1" x14ac:dyDescent="0.35">
      <c r="A167" s="53" t="s">
        <v>285</v>
      </c>
      <c r="B167" s="154" cm="1">
        <f t="array" ref="B167">INDEX(LCI!N$2:N$137,MATCH('D- Benefits &amp; Burdens'!$E$30&amp;'D- Benefits &amp; Burdens'!$F$30,LCI!$B$2:$B$137&amp;LCI!$D$2:$D$137,0))*IF(AND($E30="Truck",$F30="Electric"),$B$26,1)*$D$30*$C$30</f>
        <v>0</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0</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10.099329724872872</v>
      </c>
      <c r="M167" s="154">
        <f t="shared" si="5"/>
        <v>-1238.186887539822</v>
      </c>
      <c r="N167" s="154">
        <f t="shared" si="6"/>
        <v>-1228.0875578149492</v>
      </c>
    </row>
    <row r="168" spans="1:14" ht="14" customHeight="1" x14ac:dyDescent="0.35">
      <c r="A168" s="53" t="s">
        <v>286</v>
      </c>
      <c r="B168" s="154" cm="1">
        <f t="array" ref="B168">INDEX(LCI!O$2:O$137,MATCH('D- Benefits &amp; Burdens'!$E$30&amp;'D- Benefits &amp; Burdens'!$F$30,LCI!$B$2:$B$137&amp;LCI!$D$2:$D$137,0))*IF(AND($E30="Truck",$F30="Electric"),$B$26,1)*$D$30*$C$30</f>
        <v>0</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0</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8.0378071638972046E-6</v>
      </c>
      <c r="M168" s="154">
        <f t="shared" si="5"/>
        <v>-9.0141002519306221E-4</v>
      </c>
      <c r="N168" s="154">
        <f t="shared" si="6"/>
        <v>-8.9337221802916506E-4</v>
      </c>
    </row>
    <row r="169" spans="1:14" ht="14" customHeight="1" x14ac:dyDescent="0.35">
      <c r="A169" s="53" t="s">
        <v>287</v>
      </c>
      <c r="B169" s="154" cm="1">
        <f t="array" ref="B169">INDEX(LCI!P$2:P$137,MATCH('D- Benefits &amp; Burdens'!$E$30&amp;'D- Benefits &amp; Burdens'!$F$30,LCI!$B$2:$B$137&amp;LCI!$D$2:$D$137,0))*IF(AND($E30="Truck",$F30="Electric"),$B$26,1)*$D$30*$C$30</f>
        <v>0</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0</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2.1981968836628309E-4</v>
      </c>
      <c r="M169" s="154">
        <f t="shared" si="5"/>
        <v>-3.0754526435287487E-2</v>
      </c>
      <c r="N169" s="154">
        <f t="shared" si="6"/>
        <v>-3.0534706746921204E-2</v>
      </c>
    </row>
    <row r="170" spans="1:14" ht="14" customHeight="1" x14ac:dyDescent="0.35">
      <c r="A170" s="53" t="s">
        <v>288</v>
      </c>
      <c r="B170" s="154" cm="1">
        <f t="array" ref="B170">INDEX(LCI!Q$2:Q$137,MATCH('D- Benefits &amp; Burdens'!$E$30&amp;'D- Benefits &amp; Burdens'!$F$30,LCI!$B$2:$B$137&amp;LCI!$D$2:$D$137,0))*IF(AND($E30="Truck",$F30="Electric"),$B$26,1)*$D$30*$C$30</f>
        <v>0</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0</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2.3897108838200898E-3</v>
      </c>
      <c r="M170" s="154">
        <f t="shared" si="5"/>
        <v>-0.35372934748505913</v>
      </c>
      <c r="N170" s="154">
        <f t="shared" si="6"/>
        <v>-0.35133963660123901</v>
      </c>
    </row>
    <row r="171" spans="1:14" ht="14" customHeight="1" x14ac:dyDescent="0.35">
      <c r="A171" s="53" t="s">
        <v>289</v>
      </c>
      <c r="B171" s="154" cm="1">
        <f t="array" ref="B171">INDEX(LCI!R$2:R$137,MATCH('D- Benefits &amp; Burdens'!$E$30&amp;'D- Benefits &amp; Burdens'!$F$30,LCI!$B$2:$B$137&amp;LCI!$D$2:$D$137,0))*IF(AND($E30="Truck",$F30="Electric"),$B$26,1)*$D$30*$C$30</f>
        <v>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4.6464702038275903E-11</v>
      </c>
      <c r="M171" s="154">
        <f t="shared" si="5"/>
        <v>-1.2931436874185379E-8</v>
      </c>
      <c r="N171" s="154">
        <f t="shared" si="6"/>
        <v>-1.2884972172147104E-8</v>
      </c>
    </row>
    <row r="172" spans="1:14" ht="14" customHeight="1" x14ac:dyDescent="0.35">
      <c r="A172" s="53" t="s">
        <v>290</v>
      </c>
      <c r="B172" s="154" cm="1">
        <f t="array" ref="B172">INDEX(LCI!S$2:S$137,MATCH('D- Benefits &amp; Burdens'!$E$30&amp;'D- Benefits &amp; Burdens'!$F$30,LCI!$B$2:$B$137&amp;LCI!$D$2:$D$137,0))*IF(AND($E30="Truck",$F30="Electric"),$B$26,1)*$D$30*$C$30</f>
        <v>0</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0</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1.2384739377919393E-9</v>
      </c>
      <c r="M172" s="154">
        <f t="shared" si="5"/>
        <v>-4.1550783662238809E-7</v>
      </c>
      <c r="N172" s="154">
        <f t="shared" si="6"/>
        <v>-4.1426936268459615E-7</v>
      </c>
    </row>
    <row r="173" spans="1:14" ht="14" customHeight="1" x14ac:dyDescent="0.35">
      <c r="A173" s="53" t="s">
        <v>291</v>
      </c>
      <c r="B173" s="154" cm="1">
        <f t="array" ref="B173">INDEX(LCI!T$2:T$137,MATCH('D- Benefits &amp; Burdens'!$E$30&amp;'D- Benefits &amp; Burdens'!$F$30,LCI!$B$2:$B$137&amp;LCI!$D$2:$D$137,0))*IF(AND($E30="Truck",$F30="Electric"),$B$26,1)*$D$30*$C$30</f>
        <v>0</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0</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3.0324074708544474E-3</v>
      </c>
      <c r="M173" s="154">
        <f t="shared" si="5"/>
        <v>-0.5761923135700634</v>
      </c>
      <c r="N173" s="154">
        <f t="shared" si="6"/>
        <v>-0.57315990609920897</v>
      </c>
    </row>
    <row r="174" spans="1:14" ht="14" customHeight="1" x14ac:dyDescent="0.35">
      <c r="A174" s="53" t="s">
        <v>292</v>
      </c>
      <c r="B174" s="154" cm="1">
        <f t="array" ref="B174">INDEX(LCI!U$2:U$137,MATCH('D- Benefits &amp; Burdens'!$E$30&amp;'D- Benefits &amp; Burdens'!$F$30,LCI!$B$2:$B$137&amp;LCI!$D$2:$D$137,0))*IF(AND($E30="Truck",$F30="Electric"),$B$26,1)*$D$30*$C$30</f>
        <v>0</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0</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0.51925126691056267</v>
      </c>
      <c r="M174" s="154">
        <f t="shared" si="5"/>
        <v>-503.06170274553824</v>
      </c>
      <c r="N174" s="154">
        <f t="shared" si="6"/>
        <v>-502.5424514786277</v>
      </c>
    </row>
    <row r="175" spans="1:14" ht="14" customHeight="1" x14ac:dyDescent="0.35">
      <c r="A175" s="53" t="s">
        <v>293</v>
      </c>
      <c r="B175" s="154" cm="1">
        <f t="array" ref="B175">INDEX(LCI!V$2:V$137,MATCH('D- Benefits &amp; Burdens'!$E$30&amp;'D- Benefits &amp; Burdens'!$F$30,LCI!$B$2:$B$137&amp;LCI!$D$2:$D$137,0))*IF(AND($E30="Truck",$F30="Electric"),$B$26,1)*$D$30*$C$30</f>
        <v>0</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0</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1.1856105166899467E-7</v>
      </c>
      <c r="M175" s="154">
        <f t="shared" si="5"/>
        <v>-1.8382892828681397E-5</v>
      </c>
      <c r="N175" s="154">
        <f t="shared" si="6"/>
        <v>-1.8264331777012402E-5</v>
      </c>
    </row>
    <row r="176" spans="1:14" ht="14" customHeight="1" x14ac:dyDescent="0.35">
      <c r="A176" s="53" t="s">
        <v>294</v>
      </c>
      <c r="B176" s="154" cm="1">
        <f t="array" ref="B176">INDEX(LCI!W$2:W$137,MATCH('D- Benefits &amp; Burdens'!$E$30&amp;'D- Benefits &amp; Burdens'!$F$30,LCI!$B$2:$B$137&amp;LCI!$D$2:$D$137,0))*IF(AND($E30="Truck",$F30="Electric"),$B$26,1)*$D$30*$C$30</f>
        <v>0</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0</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1.7133940654170295E-8</v>
      </c>
      <c r="M176" s="154">
        <f t="shared" si="5"/>
        <v>-2.5198742736491842E-7</v>
      </c>
      <c r="N176" s="154">
        <f t="shared" si="6"/>
        <v>-2.3485348671074813E-7</v>
      </c>
    </row>
    <row r="177" spans="1:14" ht="14" customHeight="1" x14ac:dyDescent="0.35">
      <c r="A177" s="53" t="s">
        <v>295</v>
      </c>
      <c r="B177" s="154" cm="1">
        <f t="array" ref="B177">INDEX(LCI!X$2:X$137,MATCH('D- Benefits &amp; Burdens'!$E$30&amp;'D- Benefits &amp; Burdens'!$F$30,LCI!$B$2:$B$137&amp;LCI!$D$2:$D$137,0))*IF(AND($E30="Truck",$F30="Electric"),$B$26,1)*$D$30*$C$30</f>
        <v>0</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0</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7.4887730072320456E-9</v>
      </c>
      <c r="M177" s="154">
        <f t="shared" si="5"/>
        <v>-1.8383671422150844E-6</v>
      </c>
      <c r="N177" s="154">
        <f t="shared" si="6"/>
        <v>-1.8308783692078523E-6</v>
      </c>
    </row>
    <row r="178" spans="1:14" ht="14" customHeight="1" x14ac:dyDescent="0.35">
      <c r="A178" s="53" t="s">
        <v>296</v>
      </c>
      <c r="B178" s="154" cm="1">
        <f t="array" ref="B178">INDEX(LCI!Y$2:Y$137,MATCH('D- Benefits &amp; Burdens'!$E$30&amp;'D- Benefits &amp; Burdens'!$F$30,LCI!$B$2:$B$137&amp;LCI!$D$2:$D$137,0))*IF(AND($E30="Truck",$F30="Electric"),$B$26,1)*$D$30*$C$30</f>
        <v>0</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0</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1.872817953219971E-3</v>
      </c>
      <c r="M178" s="154">
        <f t="shared" si="5"/>
        <v>-0.12372442199560663</v>
      </c>
      <c r="N178" s="154">
        <f t="shared" si="6"/>
        <v>-0.12185160404238665</v>
      </c>
    </row>
    <row r="179" spans="1:14" ht="14" customHeight="1" x14ac:dyDescent="0.35">
      <c r="A179" s="53" t="s">
        <v>297</v>
      </c>
      <c r="B179" s="154" cm="1">
        <f t="array" ref="B179">INDEX(LCI!Z$2:Z$137,MATCH('D- Benefits &amp; Burdens'!$E$30&amp;'D- Benefits &amp; Burdens'!$F$30,LCI!$B$2:$B$137&amp;LCI!$D$2:$D$137,0))*IF(AND($E30="Truck",$F30="Electric"),$B$26,1)*$D$30*$C$30</f>
        <v>0</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0</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1.366867821518138E-2</v>
      </c>
      <c r="M179" s="154">
        <f t="shared" si="5"/>
        <v>-4.8154237602965635</v>
      </c>
      <c r="N179" s="154">
        <f t="shared" si="6"/>
        <v>-4.8017550820813817</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0</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0</v>
      </c>
      <c r="J187" s="154">
        <f>J161*Input!$C$31</f>
        <v>-2.9293293824114693E-3</v>
      </c>
      <c r="K187" s="154">
        <f>K161*Input!$C$31</f>
        <v>-1.5687187725772801E-3</v>
      </c>
      <c r="L187" s="154">
        <f>SUM(B187:C187)</f>
        <v>1.8663997956708492E-4</v>
      </c>
      <c r="M187" s="154">
        <f>SUM(D187:K187)</f>
        <v>-1.865314598024367E-2</v>
      </c>
      <c r="N187" s="154">
        <f>SUM(L187:M187)</f>
        <v>-1.8466506000676584E-2</v>
      </c>
    </row>
    <row r="188" spans="1:14" ht="14" customHeight="1" x14ac:dyDescent="0.35">
      <c r="A188" s="53" t="s">
        <v>280</v>
      </c>
      <c r="B188" s="154">
        <f>B162*Input!$C$31</f>
        <v>0</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v>
      </c>
      <c r="J188" s="154">
        <f>J162*Input!$C$31</f>
        <v>-1.0707729431607118</v>
      </c>
      <c r="K188" s="154">
        <f>K162*Input!$C$31</f>
        <v>-0.57342189894713858</v>
      </c>
      <c r="L188" s="154">
        <f t="shared" ref="L188:L205" si="7">SUM(B188:C188)</f>
        <v>0.14598502034476504</v>
      </c>
      <c r="M188" s="154">
        <f t="shared" ref="M188:M205" si="8">SUM(D188:K188)</f>
        <v>-4.7341497696934054</v>
      </c>
      <c r="N188" s="154">
        <f t="shared" ref="N188:N205" si="9">SUM(L188:M188)</f>
        <v>-4.5881647493486399</v>
      </c>
    </row>
    <row r="189" spans="1:14" ht="14" customHeight="1" x14ac:dyDescent="0.35">
      <c r="A189" s="53" t="s">
        <v>281</v>
      </c>
      <c r="B189" s="154">
        <f>B163*Input!$C$31</f>
        <v>0</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0</v>
      </c>
      <c r="J189" s="154">
        <f>J163*Input!$C$31</f>
        <v>-4.9489950604787714E-4</v>
      </c>
      <c r="K189" s="154">
        <f>K163*Input!$C$31</f>
        <v>-2.6502931023667198E-4</v>
      </c>
      <c r="L189" s="154">
        <f t="shared" si="7"/>
        <v>3.0171400819698537E-5</v>
      </c>
      <c r="M189" s="154">
        <f t="shared" si="8"/>
        <v>-1.3507408548294113E-2</v>
      </c>
      <c r="N189" s="154">
        <f t="shared" si="9"/>
        <v>-1.3477237147474414E-2</v>
      </c>
    </row>
    <row r="190" spans="1:14" ht="14" customHeight="1" x14ac:dyDescent="0.35">
      <c r="A190" s="53" t="s">
        <v>282</v>
      </c>
      <c r="B190" s="154">
        <f>B164*Input!$C$31</f>
        <v>0</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v>
      </c>
      <c r="J190" s="154">
        <f>J164*Input!$C$31</f>
        <v>-1.070193848517919</v>
      </c>
      <c r="K190" s="154">
        <f>K164*Input!$C$31</f>
        <v>-0.57311178133363194</v>
      </c>
      <c r="L190" s="154">
        <f t="shared" si="7"/>
        <v>0.14594839310495791</v>
      </c>
      <c r="M190" s="154">
        <f t="shared" si="8"/>
        <v>-4.7205643930933832</v>
      </c>
      <c r="N190" s="154">
        <f t="shared" si="9"/>
        <v>-4.5746159999884251</v>
      </c>
    </row>
    <row r="191" spans="1:14" ht="14" customHeight="1" x14ac:dyDescent="0.35">
      <c r="A191" s="53" t="s">
        <v>283</v>
      </c>
      <c r="B191" s="154">
        <f>B165*Input!$C$31</f>
        <v>0</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0</v>
      </c>
      <c r="J191" s="154">
        <f>J165*Input!$C$31</f>
        <v>-8.4193151822069766E-5</v>
      </c>
      <c r="K191" s="154">
        <f>K165*Input!$C$31</f>
        <v>-4.5087240301056001E-5</v>
      </c>
      <c r="L191" s="154">
        <f t="shared" si="7"/>
        <v>6.4558389874214863E-6</v>
      </c>
      <c r="M191" s="154">
        <f t="shared" si="8"/>
        <v>-1.7150614833006121E-3</v>
      </c>
      <c r="N191" s="154">
        <f t="shared" si="9"/>
        <v>-1.7086056443131907E-3</v>
      </c>
    </row>
    <row r="192" spans="1:14" ht="14" customHeight="1" x14ac:dyDescent="0.35">
      <c r="A192" s="53" t="s">
        <v>284</v>
      </c>
      <c r="B192" s="154">
        <f>B166*Input!$C$31</f>
        <v>0</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v>
      </c>
      <c r="J192" s="154">
        <f>J166*Input!$C$31</f>
        <v>-0.91000000321652019</v>
      </c>
      <c r="K192" s="154">
        <f>K166*Input!$C$31</f>
        <v>-0.48732453805381631</v>
      </c>
      <c r="L192" s="154">
        <f t="shared" si="7"/>
        <v>6.4500652901950964E-2</v>
      </c>
      <c r="M192" s="154">
        <f t="shared" si="8"/>
        <v>-131.56586146587873</v>
      </c>
      <c r="N192" s="154">
        <f t="shared" si="9"/>
        <v>-131.50136081297677</v>
      </c>
    </row>
    <row r="193" spans="1:14" ht="14" customHeight="1" x14ac:dyDescent="0.35">
      <c r="A193" s="53" t="s">
        <v>285</v>
      </c>
      <c r="B193" s="154">
        <f>B167*Input!$C$31</f>
        <v>0</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0</v>
      </c>
      <c r="J193" s="154">
        <f>J167*Input!$C$31</f>
        <v>-14.396907947440475</v>
      </c>
      <c r="K193" s="154">
        <f>K167*Input!$C$31</f>
        <v>-7.7098532858141171</v>
      </c>
      <c r="L193" s="154">
        <f t="shared" si="7"/>
        <v>1.9390713071755914</v>
      </c>
      <c r="M193" s="154">
        <f t="shared" si="8"/>
        <v>-237.73188240764583</v>
      </c>
      <c r="N193" s="154">
        <f t="shared" si="9"/>
        <v>-235.79281110047023</v>
      </c>
    </row>
    <row r="194" spans="1:14" ht="14" customHeight="1" x14ac:dyDescent="0.35">
      <c r="A194" s="53" t="s">
        <v>286</v>
      </c>
      <c r="B194" s="154">
        <f>B168*Input!$C$31</f>
        <v>0</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0</v>
      </c>
      <c r="J194" s="154">
        <f>J168*Input!$C$31</f>
        <v>-2.4632893322035205E-5</v>
      </c>
      <c r="K194" s="154">
        <f>K168*Input!$C$31</f>
        <v>-1.319144320512E-5</v>
      </c>
      <c r="L194" s="154">
        <f t="shared" si="7"/>
        <v>1.5432589754682634E-6</v>
      </c>
      <c r="M194" s="154">
        <f t="shared" si="8"/>
        <v>-1.7307072483706797E-4</v>
      </c>
      <c r="N194" s="154">
        <f t="shared" si="9"/>
        <v>-1.7152746586159969E-4</v>
      </c>
    </row>
    <row r="195" spans="1:14" ht="14" customHeight="1" x14ac:dyDescent="0.35">
      <c r="A195" s="53" t="s">
        <v>287</v>
      </c>
      <c r="B195" s="154">
        <f>B169*Input!$C$31</f>
        <v>0</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0</v>
      </c>
      <c r="J195" s="154">
        <f>J169*Input!$C$31</f>
        <v>-1.0510431468650496E-3</v>
      </c>
      <c r="K195" s="154">
        <f>K169*Input!$C$31</f>
        <v>-5.6285616946175998E-4</v>
      </c>
      <c r="L195" s="154">
        <f t="shared" si="7"/>
        <v>4.220538016632635E-5</v>
      </c>
      <c r="M195" s="154">
        <f t="shared" si="8"/>
        <v>-5.9048690755751981E-3</v>
      </c>
      <c r="N195" s="154">
        <f t="shared" si="9"/>
        <v>-5.8626636954088717E-3</v>
      </c>
    </row>
    <row r="196" spans="1:14" ht="14" customHeight="1" x14ac:dyDescent="0.35">
      <c r="A196" s="53" t="s">
        <v>288</v>
      </c>
      <c r="B196" s="154">
        <f>B170*Input!$C$31</f>
        <v>0</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0</v>
      </c>
      <c r="J196" s="154">
        <f>J170*Input!$C$31</f>
        <v>-1.1465278634852354E-2</v>
      </c>
      <c r="K196" s="154">
        <f>K170*Input!$C$31</f>
        <v>-6.1399028512511989E-3</v>
      </c>
      <c r="L196" s="154">
        <f t="shared" si="7"/>
        <v>4.5882448969345726E-4</v>
      </c>
      <c r="M196" s="154">
        <f t="shared" si="8"/>
        <v>-6.7916034717131354E-2</v>
      </c>
      <c r="N196" s="154">
        <f t="shared" si="9"/>
        <v>-6.7457210227437892E-2</v>
      </c>
    </row>
    <row r="197" spans="1:14" ht="14" customHeight="1" x14ac:dyDescent="0.35">
      <c r="A197" s="53" t="s">
        <v>289</v>
      </c>
      <c r="B197" s="154">
        <f>B171*Input!$C$31</f>
        <v>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0</v>
      </c>
      <c r="J197" s="154">
        <f>J171*Input!$C$31</f>
        <v>-1.0008709120917505E-10</v>
      </c>
      <c r="K197" s="154">
        <f>K171*Input!$C$31</f>
        <v>-5.3598786061824001E-11</v>
      </c>
      <c r="L197" s="154">
        <f t="shared" si="7"/>
        <v>8.9212227913489734E-12</v>
      </c>
      <c r="M197" s="154">
        <f t="shared" si="8"/>
        <v>-2.4828358798435925E-9</v>
      </c>
      <c r="N197" s="154">
        <f t="shared" si="9"/>
        <v>-2.4739146570522433E-9</v>
      </c>
    </row>
    <row r="198" spans="1:14" ht="14" customHeight="1" x14ac:dyDescent="0.35">
      <c r="A198" s="53" t="s">
        <v>290</v>
      </c>
      <c r="B198" s="154">
        <f>B172*Input!$C$31</f>
        <v>0</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0</v>
      </c>
      <c r="J198" s="154">
        <f>J172*Input!$C$31</f>
        <v>-7.6740427933286413E-9</v>
      </c>
      <c r="K198" s="154">
        <f>K172*Input!$C$31</f>
        <v>-4.1096146659840002E-9</v>
      </c>
      <c r="L198" s="154">
        <f t="shared" si="7"/>
        <v>2.3778699605605235E-10</v>
      </c>
      <c r="M198" s="154">
        <f t="shared" si="8"/>
        <v>-7.9777504631498507E-8</v>
      </c>
      <c r="N198" s="154">
        <f t="shared" si="9"/>
        <v>-7.9539717635442451E-8</v>
      </c>
    </row>
    <row r="199" spans="1:14" ht="14" customHeight="1" x14ac:dyDescent="0.35">
      <c r="A199" s="53" t="s">
        <v>291</v>
      </c>
      <c r="B199" s="154">
        <f>B173*Input!$C$31</f>
        <v>0</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0</v>
      </c>
      <c r="J199" s="154">
        <f>J173*Input!$C$31</f>
        <v>-6.4816202039427069E-3</v>
      </c>
      <c r="K199" s="154">
        <f>K173*Input!$C$31</f>
        <v>-3.4710467698483198E-3</v>
      </c>
      <c r="L199" s="154">
        <f t="shared" si="7"/>
        <v>5.8222223440405397E-4</v>
      </c>
      <c r="M199" s="154">
        <f t="shared" si="8"/>
        <v>-0.11062892420545217</v>
      </c>
      <c r="N199" s="154">
        <f t="shared" si="9"/>
        <v>-0.11004670197104811</v>
      </c>
    </row>
    <row r="200" spans="1:14" ht="14" customHeight="1" x14ac:dyDescent="0.35">
      <c r="A200" s="53" t="s">
        <v>292</v>
      </c>
      <c r="B200" s="154">
        <f>B174*Input!$C$31</f>
        <v>0</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v>
      </c>
      <c r="J200" s="154">
        <f>J174*Input!$C$31</f>
        <v>-0.90341675495954854</v>
      </c>
      <c r="K200" s="154">
        <f>K174*Input!$C$31</f>
        <v>-0.48379906727976957</v>
      </c>
      <c r="L200" s="154">
        <f t="shared" si="7"/>
        <v>9.9696243246828034E-2</v>
      </c>
      <c r="M200" s="154">
        <f t="shared" si="8"/>
        <v>-96.58784692714336</v>
      </c>
      <c r="N200" s="154">
        <f t="shared" si="9"/>
        <v>-96.488150683896535</v>
      </c>
    </row>
    <row r="201" spans="1:14" ht="14" customHeight="1" x14ac:dyDescent="0.35">
      <c r="A201" s="53" t="s">
        <v>293</v>
      </c>
      <c r="B201" s="154">
        <f>B175*Input!$C$31</f>
        <v>0</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0</v>
      </c>
      <c r="J201" s="154">
        <f>J175*Input!$C$31</f>
        <v>-1.1606572064047106E-6</v>
      </c>
      <c r="K201" s="154">
        <f>K175*Input!$C$31</f>
        <v>-6.2155685159423996E-7</v>
      </c>
      <c r="L201" s="154">
        <f t="shared" si="7"/>
        <v>2.2763721920446975E-8</v>
      </c>
      <c r="M201" s="154">
        <f t="shared" si="8"/>
        <v>-3.529515423106829E-6</v>
      </c>
      <c r="N201" s="154">
        <f t="shared" si="9"/>
        <v>-3.506751701186382E-6</v>
      </c>
    </row>
    <row r="202" spans="1:14" ht="14" customHeight="1" x14ac:dyDescent="0.35">
      <c r="A202" s="53" t="s">
        <v>294</v>
      </c>
      <c r="B202" s="154">
        <f>B176*Input!$C$31</f>
        <v>0</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0</v>
      </c>
      <c r="J202" s="154">
        <f>J176*Input!$C$31</f>
        <v>-2.3818148631281668E-8</v>
      </c>
      <c r="K202" s="154">
        <f>K176*Input!$C$31</f>
        <v>-1.2755129931878398E-8</v>
      </c>
      <c r="L202" s="154">
        <f t="shared" si="7"/>
        <v>3.2897166056006967E-9</v>
      </c>
      <c r="M202" s="154">
        <f t="shared" si="8"/>
        <v>-4.8381586054064336E-8</v>
      </c>
      <c r="N202" s="154">
        <f t="shared" si="9"/>
        <v>-4.5091869448463638E-8</v>
      </c>
    </row>
    <row r="203" spans="1:14" ht="14" customHeight="1" x14ac:dyDescent="0.35">
      <c r="A203" s="53" t="s">
        <v>295</v>
      </c>
      <c r="B203" s="154">
        <f>B177*Input!$C$31</f>
        <v>0</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0</v>
      </c>
      <c r="J203" s="154">
        <f>J177*Input!$C$31</f>
        <v>-7.2403371373363215E-8</v>
      </c>
      <c r="K203" s="154">
        <f>K177*Input!$C$31</f>
        <v>-3.8773559761920002E-8</v>
      </c>
      <c r="L203" s="154">
        <f t="shared" si="7"/>
        <v>1.4378444173885529E-9</v>
      </c>
      <c r="M203" s="154">
        <f t="shared" si="8"/>
        <v>-3.5296649130529624E-7</v>
      </c>
      <c r="N203" s="154">
        <f t="shared" si="9"/>
        <v>-3.5152864688790767E-7</v>
      </c>
    </row>
    <row r="204" spans="1:14" ht="14" customHeight="1" x14ac:dyDescent="0.35">
      <c r="A204" s="53" t="s">
        <v>296</v>
      </c>
      <c r="B204" s="154">
        <f>B178*Input!$C$31</f>
        <v>0</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0</v>
      </c>
      <c r="J204" s="154">
        <f>J178*Input!$C$31</f>
        <v>-4.6120014651064327E-3</v>
      </c>
      <c r="K204" s="154">
        <f>K178*Input!$C$31</f>
        <v>-2.4698257972991995E-3</v>
      </c>
      <c r="L204" s="154">
        <f t="shared" si="7"/>
        <v>3.5958104701823445E-4</v>
      </c>
      <c r="M204" s="154">
        <f t="shared" si="8"/>
        <v>-2.3755089023156473E-2</v>
      </c>
      <c r="N204" s="154">
        <f t="shared" si="9"/>
        <v>-2.3395507976138239E-2</v>
      </c>
    </row>
    <row r="205" spans="1:14" ht="14" customHeight="1" x14ac:dyDescent="0.35">
      <c r="A205" s="53" t="s">
        <v>297</v>
      </c>
      <c r="B205" s="154">
        <f>B179*Input!$C$31</f>
        <v>0</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0</v>
      </c>
      <c r="J205" s="154">
        <f>J179*Input!$C$31</f>
        <v>-3.2494789219634383E-2</v>
      </c>
      <c r="K205" s="154">
        <f>K179*Input!$C$31</f>
        <v>-1.7401657241364478E-2</v>
      </c>
      <c r="L205" s="154">
        <f t="shared" si="7"/>
        <v>2.6243862173148248E-3</v>
      </c>
      <c r="M205" s="154">
        <f t="shared" si="8"/>
        <v>-0.92456136197693994</v>
      </c>
      <c r="N205" s="154">
        <f t="shared" si="9"/>
        <v>-0.92193697575962508</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-2469.3105743122624</v>
      </c>
      <c r="C211" s="1">
        <f>+SUM(B161:N179)*Input!C31</f>
        <v>-1422.3228908038634</v>
      </c>
    </row>
    <row r="212" spans="1:3" ht="14" customHeight="1" x14ac:dyDescent="0.35">
      <c r="A212" s="95" t="s">
        <v>531</v>
      </c>
      <c r="B212" s="1">
        <f>SUM($B$161:$K$179)</f>
        <v>-2469.3105743122637</v>
      </c>
      <c r="C212" s="1">
        <f>+SUM(B187:N205)</f>
        <v>-1422.3228908038636</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2026-04-28T09:38:06Z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