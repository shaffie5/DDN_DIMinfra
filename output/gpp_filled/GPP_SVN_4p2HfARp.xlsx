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AFB52D11-154A-4DD8-8579-5EE9E3AAC7DB}"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S81" i="20" s="1"/>
  <c r="T81" i="20" s="1"/>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S74" i="20" s="1"/>
  <c r="T74" i="20" s="1"/>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<sst xmlns="http://schemas.openxmlformats.org/spreadsheetml/2006/main" count="4829" uniqueCount="1051">
  <si>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</si>
  <si>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</si>
  <si>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</si>
  <si>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</si>
  <si>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</si>
  <si>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</si>
  <si>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</si>
  <si>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</si>
  <si>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</si>
  <si>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</si>
  <si>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</si>
  <si>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</si>
  <si>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</si>
  <si>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</si>
  <si>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</si>
  <si>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</si>
  <si>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</si>
  <si>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</si>
  <si>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</si>
  <si>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</si>
  <si>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</si>
  <si>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</si>
  <si>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</si>
  <si>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</si>
  <si>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</si>
  <si>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</si>
  <si>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</si>
  <si>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</si>
  <si>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</si>
  <si>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</si>
  <si>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</si>
  <si>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</si>
  <si>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</si>
  <si>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</si>
  <si>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</si>
  <si>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</si>
  <si>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</si>
  <si>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</si>
  <si>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</si>
  <si>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</si>
  <si>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</si>
  <si>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</si>
  <si>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</si>
  <si>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</si>
  <si>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</si>
  <si>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</si>
  <si>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</si>
  <si>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</si>
  <si>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</si>
  <si>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</si>
  <si>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</si>
  <si>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</si>
  <si>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</si>
  <si>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</si>
  <si>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</si>
  <si>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</si>
  <si>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</si>
  <si>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</si>
  <si>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</si>
  <si>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</si>
  <si>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</si>
  <si>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</si>
  <si>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</si>
  <si>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</si>
  <si>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</si>
  <si>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</si>
  <si>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</si>
  <si>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</si>
  <si>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</si>
  <si>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</si>
  <si>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</si>
  <si>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</si>
  <si>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</si>
  <si>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</si>
  <si>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</si>
  <si>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</si>
  <si>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</si>
  <si>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</si>
  <si>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</si>
  <si>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</si>
  <si>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</si>
  <si>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</si>
  <si>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</si>
  <si>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</si>
  <si>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</si>
  <si>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</si>
  <si>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</si>
  <si>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</si>
  <si>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</si>
  <si>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</si>
  <si>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</si>
  <si>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</si>
  <si>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</si>
  <si>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</si>
  <si>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</si>
  <si>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</si>
  <si>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</si>
  <si>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</si>
  <si>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</si>
  <si>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</si>
  <si>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</si>
  <si>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</si>
  <si>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</si>
  <si>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</si>
  <si>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</si>
  <si>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</si>
  <si>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</si>
  <si>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</si>
  <si>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</si>
  <si>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</si>
  <si>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</si>
  <si>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</si>
  <si>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</si>
  <si>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</si>
  <si>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</si>
  <si>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</si>
  <si>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</si>
  <si>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</si>
  <si>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</si>
  <si>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</si>
  <si>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</si>
  <si>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</si>
  <si>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</si>
  <si>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</si>
  <si>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</si>
  <si>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</si>
  <si>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</si>
  <si>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</si>
  <si>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</si>
  <si>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</si>
  <si>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</si>
  <si>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</si>
  <si>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</si>
  <si>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</si>
  <si>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</si>
  <si>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</si>
  <si>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</si>
  <si>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</si>
  <si>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</si>
  <si>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</si>
  <si>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</si>
  <si>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</si>
  <si>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</si>
  <si>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</si>
  <si>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</si>
  <si>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</si>
  <si>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</si>
  <si>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</si>
  <si>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</si>
  <si>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</si>
  <si>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</si>
  <si>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</si>
  <si>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</si>
  <si>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</si>
  <si>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</si>
  <si>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</si>
  <si>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</si>
  <si>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</si>
  <si>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</si>
  <si>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</si>
  <si>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</si>
  <si>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</si>
  <si>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</si>
  <si>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</si>
  <si>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</si>
  <si>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</si>
  <si>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</si>
  <si>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</si>
  <si>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</si>
  <si>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</si>
  <si>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</si>
  <si>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</si>
  <si>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</si>
  <si>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</si>
  <si>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</si>
  <si>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</si>
  <si>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</si>
  <si>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</si>
  <si>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</si>
  <si>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</si>
  <si>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</si>
  <si>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</si>
  <si>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</si>
  <si>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</si>
  <si>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</si>
  <si>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</si>
  <si>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</si>
  <si>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</si>
  <si>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</si>
  <si>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</si>
  <si>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</si>
  <si>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</si>
  <si>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</si>
  <si>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</si>
  <si>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</si>
  <si>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</si>
  <si>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</si>
  <si>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</si>
  <si>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</si>
  <si>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</si>
  <si>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</si>
  <si>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</si>
  <si>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</si>
  <si>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</si>
  <si>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</si>
  <si>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</si>
  <si>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</si>
  <si>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</si>
  <si>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</si>
  <si>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</si>
  <si>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</si>
  <si>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</si>
  <si>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</si>
  <si>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</si>
  <si>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</si>
  <si>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</si>
  <si>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</si>
  <si>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</si>
  <si>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</si>
  <si>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</si>
  <si>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</si>
  <si>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</si>
  <si>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</si>
  <si>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</si>
  <si>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</si>
  <si>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</si>
  <si>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</si>
  <si>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</si>
  <si>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</si>
  <si>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</si>
  <si>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</si>
  <si>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</si>
  <si>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</si>
  <si>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</si>
  <si>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</si>
  <si>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</si>
  <si>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</si>
  <si>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</si>
  <si>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</si>
  <si>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</si>
  <si>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</si>
  <si>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</si>
  <si>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</si>
  <si>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</si>
  <si>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</si>
  <si>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</si>
  <si>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</si>
  <si>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</si>
  <si>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</si>
  <si>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</si>
  <si>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</si>
  <si>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</si>
  <si>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</si>
  <si>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</si>
  <si>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</si>
  <si>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</si>
  <si>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</si>
  <si>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</si>
  <si>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</si>
  <si>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</si>
  <si>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</si>
  <si>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</si>
  <si>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</si>
  <si>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</si>
  <si>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</si>
  <si>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</si>
  <si>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</si>
  <si>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</si>
  <si>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</si>
  <si>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</si>
  <si>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</si>
  <si>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</si>
  <si>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</si>
  <si>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</si>
  <si>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</si>
  <si>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</si>
  <si>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</si>
  <si>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</si>
  <si>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</si>
  <si>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</si>
  <si>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</si>
  <si>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</si>
  <si>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</si>
  <si>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</si>
  <si>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</si>
  <si>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</si>
  <si>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</si>
  <si>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</si>
  <si>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</si>
  <si>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</si>
  <si>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</si>
  <si>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</si>
  <si>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</si>
  <si>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</si>
  <si>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</si>
  <si>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</si>
  <si>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</si>
  <si>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</si>
  <si>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</si>
  <si>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</si>
  <si>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</si>
  <si>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</si>
  <si>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</si>
  <si>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</si>
  <si>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</si>
  <si>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</si>
  <si>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</si>
  <si>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</si>
  <si>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</si>
  <si>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</si>
  <si>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</si>
  <si>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</si>
  <si>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</si>
  <si>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</si>
  <si>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</si>
  <si>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</si>
  <si>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</si>
  <si>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</si>
  <si>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</si>
  <si>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</si>
  <si>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</si>
  <si>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</si>
  <si>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</si>
  <si>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</si>
  <si>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</si>
  <si>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</si>
  <si>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</si>
  <si>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</si>
  <si>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</si>
  <si>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</si>
  <si>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</si>
  <si>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</si>
  <si>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</si>
  <si>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</si>
  <si>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</si>
  <si>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</si>
  <si>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</si>
  <si>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</si>
  <si>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</si>
  <si>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</si>
  <si>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</si>
  <si>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</si>
  <si>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</si>
  <si>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</si>
  <si>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</si>
  <si>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</si>
  <si>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</si>
  <si>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</si>
  <si>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</si>
  <si>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</si>
  <si>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</si>
  <si>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</si>
  <si>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</si>
  <si>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</si>
  <si>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</si>
  <si>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</si>
  <si>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</si>
  <si>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</si>
  <si>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</si>
  <si>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</si>
  <si>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</si>
  <si>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</si>
  <si>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</si>
  <si>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</si>
  <si>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</si>
  <si>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</si>
  <si>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</si>
  <si>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</si>
  <si>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</si>
  <si>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</si>
  <si>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</si>
  <si>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</si>
  <si>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</si>
  <si>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</si>
  <si>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</si>
  <si>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</si>
  <si>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</si>
  <si>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</si>
  <si>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</si>
  <si>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</si>
  <si>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</si>
  <si>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</si>
  <si>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</si>
  <si>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</si>
  <si>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</si>
  <si>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</si>
  <si>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</si>
  <si>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</si>
  <si>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</si>
  <si>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</si>
  <si>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</si>
  <si>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</si>
  <si>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</si>
  <si>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</si>
  <si>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</si>
  <si>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</si>
  <si>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</si>
  <si>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</si>
  <si>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</si>
  <si>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</si>
  <si>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</si>
  <si>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</si>
  <si>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</si>
  <si>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</si>
  <si>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</si>
  <si>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</si>
  <si>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</si>
  <si>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</si>
  <si>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</si>
  <si>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</si>
  <si>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</si>
  <si>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</si>
  <si>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</si>
  <si>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</si>
  <si>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</si>
  <si>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</si>
  <si>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</si>
  <si>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</si>
  <si>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</si>
  <si>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</si>
  <si>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</si>
  <si>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</si>
  <si>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</si>
  <si>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</si>
  <si>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</si>
  <si>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</si>
  <si>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</si>
  <si>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</si>
  <si>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</si>
  <si>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</si>
  <si>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</si>
  <si>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</si>
  <si>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</si>
  <si>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</si>
  <si>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</si>
  <si>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</si>
  <si>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</si>
  <si>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</si>
  <si>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</si>
  <si>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</si>
  <si>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</si>
  <si>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</si>
  <si>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</si>
  <si>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</si>
  <si>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</si>
  <si>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</si>
  <si>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</si>
  <si>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</si>
  <si>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</si>
  <si>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</si>
  <si>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</si>
  <si>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</si>
  <si>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</si>
  <si>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</si>
  <si>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</si>
  <si>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</si>
  <si>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</si>
  <si>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</si>
  <si>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</si>
  <si>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</si>
  <si>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</si>
  <si>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</si>
  <si>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</si>
  <si>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</si>
  <si>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</si>
  <si>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</si>
  <si>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</si>
  <si>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</si>
  <si>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</si>
  <si>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</si>
  <si>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</si>
  <si>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</si>
  <si>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</si>
  <si>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</si>
  <si>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</si>
  <si>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</si>
  <si>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</si>
  <si>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</si>
  <si>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</si>
  <si>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</si>
  <si>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</si>
  <si>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</si>
  <si>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</si>
  <si>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</si>
  <si>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</si>
  <si>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</si>
  <si>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</si>
  <si>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</si>
  <si>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</si>
  <si>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</si>
  <si>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</si>
  <si>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</si>
  <si>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</si>
  <si>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</si>
  <si>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</si>
  <si>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</si>
  <si>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</si>
  <si>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</si>
  <si>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</si>
  <si>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</si>
  <si>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</si>
  <si>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</si>
  <si>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</si>
  <si>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</si>
  <si>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</si>
  <si>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</si>
  <si>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</si>
  <si>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</si>
  <si>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</si>
  <si>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</si>
  <si>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</si>
  <si>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</si>
  <si>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</si>
  <si>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</si>
  <si>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</si>
  <si>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</si>
  <si>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</si>
  <si>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</si>
  <si>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</si>
  <si>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</si>
  <si>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</si>
  <si>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</si>
  <si>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</si>
  <si>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</si>
  <si>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</si>
  <si>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</si>
  <si>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</si>
  <si>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</si>
  <si>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</si>
  <si>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</si>
  <si>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</si>
  <si>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</si>
  <si>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</si>
  <si>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</si>
  <si>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</si>
  <si>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</si>
  <si>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</si>
  <si>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</si>
  <si>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</si>
  <si>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</si>
  <si>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</si>
  <si>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</si>
  <si>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</si>
  <si>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</si>
  <si>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</si>
  <si>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</si>
  <si>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</si>
  <si>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</si>
  <si>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</si>
  <si>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</si>
  <si>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</si>
  <si>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</si>
  <si>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</si>
  <si>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</si>
  <si>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</si>
  <si>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</si>
  <si>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</si>
  <si>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</si>
  <si>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</si>
  <si>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</si>
  <si>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</si>
  <si>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</si>
  <si>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</si>
  <si>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</si>
  <si>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</si>
  <si>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</si>
  <si>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</si>
  <si>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</si>
  <si>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</si>
  <si>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</si>
  <si>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</si>
  <si>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</si>
  <si>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</si>
  <si>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</si>
  <si>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</si>
  <si>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</si>
  <si>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</si>
  <si>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</si>
  <si>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</si>
  <si>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</si>
  <si>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</si>
  <si>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</si>
  <si>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</si>
  <si>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</si>
  <si>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</si>
  <si>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</si>
  <si>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</si>
  <si>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</si>
  <si>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</si>
  <si>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</si>
  <si>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</si>
  <si>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</si>
  <si>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</si>
  <si>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</si>
  <si>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</si>
  <si>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</si>
  <si>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</si>
  <si>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</si>
  <si>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</si>
  <si>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</si>
  <si>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</si>
  <si>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</si>
  <si>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</si>
  <si>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</si>
  <si>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</si>
  <si>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</si>
  <si>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</si>
  <si>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</si>
  <si>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</si>
  <si>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</si>
  <si>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</si>
  <si>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</si>
  <si>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</si>
  <si>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</si>
  <si>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</si>
  <si>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</si>
  <si>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</si>
  <si>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</si>
  <si>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</si>
  <si>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</si>
  <si>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</si>
  <si>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</si>
  <si>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</si>
  <si>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</si>
  <si>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</si>
  <si>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</si>
  <si>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</si>
  <si>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</si>
  <si>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</si>
  <si>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</si>
  <si>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</si>
  <si>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</si>
  <si>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</si>
  <si>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</si>
  <si>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</si>
  <si>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</si>
  <si>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</si>
  <si>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</si>
  <si>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</si>
  <si>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</si>
  <si>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</si>
  <si>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</si>
  <si>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</si>
  <si>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</si>
  <si>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</si>
  <si>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</si>
  <si>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</si>
  <si>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</si>
  <si>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</si>
  <si>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</si>
  <si>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</si>
  <si>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</si>
  <si>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</si>
  <si>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</si>
  <si>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</si>
  <si>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</si>
  <si>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</si>
  <si>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</si>
  <si>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</si>
  <si>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</si>
  <si>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</si>
  <si>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</si>
  <si>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</si>
  <si>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</si>
  <si>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</si>
  <si>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</si>
  <si>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</si>
  <si>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</si>
  <si>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</si>
  <si>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</si>
  <si>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</si>
  <si>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</si>
  <si>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</si>
  <si>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</si>
  <si>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</si>
  <si>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</si>
  <si>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</si>
  <si>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</si>
  <si>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</si>
  <si>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</si>
  <si>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</si>
  <si>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</si>
  <si>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</si>
  <si>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</si>
  <si>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</si>
  <si>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</si>
  <si>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</si>
  <si>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</si>
  <si>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</si>
  <si>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</si>
  <si>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</si>
  <si>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</si>
  <si>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</si>
  <si>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</si>
  <si>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</si>
  <si>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</si>
  <si>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</si>
  <si>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</si>
  <si>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</si>
  <si>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</si>
  <si>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</si>
  <si>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</si>
  <si>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</si>
  <si>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</si>
  <si>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</si>
  <si>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</si>
  <si>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</si>
  <si>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</si>
  <si>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</si>
  <si>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</si>
  <si>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</si>
  <si>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</si>
  <si>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</si>
  <si>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</si>
  <si>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</si>
  <si>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</si>
  <si>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</si>
  <si>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</si>
  <si>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</si>
  <si>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</si>
  <si>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</si>
  <si>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</si>
  <si>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</si>
  <si>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</si>
  <si>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</si>
  <si>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</si>
  <si>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</si>
  <si>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</si>
  <si>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</si>
  <si>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</si>
  <si>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</si>
  <si>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</si>
  <si>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</si>
  <si>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</si>
  <si>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</si>
  <si>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</si>
  <si>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</si>
  <si>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</si>
  <si>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</si>
  <si>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</si>
  <si>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</si>
  <si>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</si>
  <si>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</si>
  <si>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</si>
  <si>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</si>
  <si>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</si>
  <si>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</si>
  <si>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</si>
  <si>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</si>
  <si>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</si>
  <si>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</si>
  <si>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</si>
  <si>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</si>
  <si>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</si>
  <si>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</si>
  <si>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</si>
  <si>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</si>
  <si>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</si>
  <si>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</si>
  <si>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</si>
  <si>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</si>
  <si>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</si>
  <si>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</si>
  <si>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</si>
  <si>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</si>
  <si>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</si>
  <si>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</si>
  <si>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</si>
  <si>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</si>
  <si>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</si>
  <si>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</si>
  <si>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</si>
  <si>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</si>
  <si>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</si>
  <si>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</si>
  <si>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</si>
  <si>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</si>
  <si>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</si>
  <si>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</si>
  <si>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</si>
  <si>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</si>
  <si>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</si>
  <si>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</si>
  <si>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</si>
  <si>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</si>
  <si>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</si>
  <si>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</si>
  <si>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</si>
  <si>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</si>
  <si>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</si>
  <si>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</si>
  <si>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</si>
  <si>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</si>
  <si>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</si>
  <si>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</si>
  <si>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</si>
  <si>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</si>
  <si>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</si>
  <si>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</si>
  <si>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</si>
  <si>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</si>
  <si>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</si>
  <si>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</si>
  <si>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</si>
  <si>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</si>
  <si>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</si>
  <si>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</si>
  <si>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</si>
  <si>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</si>
  <si>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</si>
  <si>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</si>
  <si>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</si>
  <si>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</si>
  <si>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</si>
  <si>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</si>
  <si>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</si>
  <si>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</si>
  <si>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</si>
  <si>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</si>
  <si>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</si>
  <si>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</si>
  <si>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</si>
  <si>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</si>
  <si>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</si>
  <si>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</si>
  <si>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</si>
  <si>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</si>
  <si>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</si>
  <si>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</si>
  <si>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</si>
  <si>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</si>
  <si>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</si>
  <si>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</si>
  <si>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</si>
  <si>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</si>
  <si>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</si>
  <si>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</si>
  <si>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</si>
  <si>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</si>
  <si>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</si>
  <si>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</si>
  <si>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</si>
  <si>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</si>
  <si>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</si>
  <si>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</si>
  <si>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</si>
  <si>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</si>
  <si>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</si>
  <si>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</si>
  <si>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</si>
  <si>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</si>
  <si>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</si>
  <si>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</si>
  <si>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</si>
  <si>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</si>
  <si>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</si>
  <si>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</si>
  <si>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</si>
  <si>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</si>
  <si>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</si>
  <si>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</si>
  <si>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</si>
  <si>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</si>
  <si>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</si>
  <si>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</si>
  <si>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</si>
  <si>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</si>
  <si>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</si>
  <si>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</si>
  <si>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</si>
  <si>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</si>
  <si>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</si>
  <si>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</si>
  <si>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</si>
  <si>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</si>
  <si>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</si>
  <si>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</si>
  <si>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</si>
  <si>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</si>
  <si>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</si>
  <si>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</si>
  <si>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</si>
  <si>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</si>
  <si>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</si>
  <si>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</si>
  <si>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</si>
  <si>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</si>
  <si>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</si>
  <si>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</si>
  <si>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</si>
  <si>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</si>
  <si>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</si>
  <si>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</si>
  <si>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</si>
  <si>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</si>
  <si>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</si>
  <si>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</si>
  <si>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</si>
  <si>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</si>
  <si>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</si>
  <si>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</si>
  <si>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</si>
  <si>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</si>
  <si>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</si>
  <si>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</si>
  <si>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</si>
  <si>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</si>
  <si>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</si>
  <si>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</si>
  <si>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</si>
  <si>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</si>
  <si>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</si>
  <si>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</si>
  <si>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</si>
  <si>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</si>
  <si>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</si>
  <si>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</si>
  <si>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</si>
  <si>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</si>
  <si>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</si>
  <si>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</si>
  <si>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</si>
  <si>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</si>
  <si>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</si>
  <si>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</si>
  <si>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</si>
  <si>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</si>
  <si>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</si>
  <si>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</si>
  <si>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</si>
  <si>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</si>
  <si>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</si>
  <si>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</si>
  <si>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</si>
  <si>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</si>
  <si>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</si>
  <si>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</si>
  <si>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</si>
  <si>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</si>
  <si>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</si>
  <si>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</si>
  <si>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</si>
  <si>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</si>
  <si>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</si>
  <si>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</si>
  <si>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</si>
  <si>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</si>
  <si>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</si>
  <si>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</si>
  <si>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</si>
  <si>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</si>
  <si>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</si>
  <si>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</si>
  <si>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</si>
  <si>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</si>
  <si>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</si>
  <si>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</si>
  <si>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</si>
  <si>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</si>
  <si>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</si>
  <si>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</si>
  <si>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</si>
  <si>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</si>
  <si>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</si>
  <si>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</si>
  <si>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</si>
  <si>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</si>
  <si>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</si>
  <si>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</si>
  <si>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</si>
  <si>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</si>
  <si>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</si>
  <si>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</si>
  <si>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</si>
  <si>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</si>
  <si>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</si>
  <si>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</si>
  <si>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</si>
  <si>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</si>
  <si>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</si>
  <si>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</si>
  <si>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</si>
  <si>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</si>
  <si>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</si>
  <si>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</si>
  <si>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</si>
  <si>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</si>
  <si>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</si>
  <si>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</si>
  <si>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</si>
  <si>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</si>
  <si>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</si>
  <si>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</si>
  <si>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</si>
  <si>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</si>
  <si>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</si>
  <si>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</si>
  <si>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</si>
  <si>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</si>
  <si>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</si>
  <si>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</si>
  <si>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</si>
  <si>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</si>
  <si>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</si>
  <si>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</si>
  <si>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</si>
  <si>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</si>
  <si>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</si>
  <si>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</si>
  <si>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</si>
  <si>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</si>
  <si>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</si>
  <si>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</si>
  <si>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</si>
  <si>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</si>
  <si>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</si>
  <si>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</si>
  <si>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</si>
  <si>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</si>
  <si>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</si>
  <si>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</si>
  <si>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</si>
  <si>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</si>
  <si>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</si>
  <si>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</si>
  <si>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</si>
  <si>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</si>
  <si>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</si>
  <si>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</si>
  <si>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</si>
  <si>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</si>
  <si>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</si>
  <si>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</si>
  <si>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</si>
  <si>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</si>
  <si>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</si>
  <si>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</si>
  <si>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</si>
  <si>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</si>
  <si>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</si>
  <si>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</si>
  <si>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145°C - 185°C</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</si>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</sst>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2.4951016288319008</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0.81378657325338899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#N/A</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#N/A</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#N/A</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#N/A</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#N/A</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#N/A</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#N/A</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#N/A</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#N/A</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#N/A</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#N/A</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#N/A</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#N/A</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#N/A</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#N/A</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#N/A</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#N/A</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14.520561533443052</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13.548793458252014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#N/A</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3.1706428177787993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12.067875368229734</c:v>
                </c:pt>
                <c:pt idx="2">
                  <c:v>11.7448</c:v>
                </c:pt>
                <c:pt idx="3">
                  <c:v>0.92165995176527982</c:v>
                </c:pt>
                <c:pt idx="4">
                  <c:v>0.12166438176342087</c:v>
                </c:pt>
                <c:pt idx="5">
                  <c:v>0.16588837765499997</c:v>
                </c:pt>
                <c:pt idx="6">
                  <c:v>0.16679033795373477</c:v>
                </c:pt>
                <c:pt idx="7">
                  <c:v>1.1429629848</c:v>
                </c:pt>
                <c:pt idx="8">
                  <c:v>0</c:v>
                </c:pt>
                <c:pt idx="9">
                  <c:v>0</c:v>
                </c:pt>
                <c:pt idx="10">
                  <c:v>0.39650621956855164</c:v>
                </c:pt>
                <c:pt idx="11">
                  <c:v>0.39336976060199996</c:v>
                </c:pt>
                <c:pt idx="12">
                  <c:v>#N/A</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2.4951016288319008</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0.81378657325338899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#N/A</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0.18646530888448931</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#N/A</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#N/A</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#N/A</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#N/A</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#N/A</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#N/A</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#N/A</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#N/A</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#N/A</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#N/A</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#N/A</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#N/A</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#N/A</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#N/A</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#N/A</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#N/A</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12.067875368229734</c:v>
                </c:pt>
                <c:pt idx="2">
                  <c:v>11.7448</c:v>
                </c:pt>
                <c:pt idx="3">
                  <c:v>0.92165995176527982</c:v>
                </c:pt>
                <c:pt idx="4">
                  <c:v>0.12166438176342087</c:v>
                </c:pt>
                <c:pt idx="5">
                  <c:v>0.16588837765499997</c:v>
                </c:pt>
                <c:pt idx="6">
                  <c:v>0.16679033795373477</c:v>
                </c:pt>
                <c:pt idx="7">
                  <c:v>1.1429629848</c:v>
                </c:pt>
                <c:pt idx="8">
                  <c:v>0</c:v>
                </c:pt>
                <c:pt idx="9">
                  <c:v>0</c:v>
                </c:pt>
                <c:pt idx="10">
                  <c:v>0.39650621956855164</c:v>
                </c:pt>
                <c:pt idx="11">
                  <c:v>0.39336976060199996</c:v>
                </c:pt>
                <c:pt idx="12">
                  <c:v>#N/A</c:v>
                </c:pt>
                <c:pt idx="13">
                  <c:v>3.1706428177787989</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14.520561533443052</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13.548793458252014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#N/A</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3.1706428177787993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0.479059512735725</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0.15624702206465074</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1.2905775889788217E-2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#N/A</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3.5801339305821953E-2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-0.58877588147902438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2.7879478144210661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2.6013683439843867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0.21944889308160001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#N/A</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0.60876342101352943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-4.3189900636561909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#N/A</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#N/A</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#N/A</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#N/A</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#N/A</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#N/A</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#N/A</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#N/A</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#N/A</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#N/A</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#N/A</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#N/A</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#N/A</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#N/A</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#N/A</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#N/A</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2.3170320707001091</c:v>
                </c:pt>
                <c:pt idx="2">
                  <c:v>2.2550015999999999</c:v>
                </c:pt>
                <c:pt idx="3">
                  <c:v>0.17695871073893374</c:v>
                </c:pt>
                <c:pt idx="4">
                  <c:v>2.3359561298576807E-2</c:v>
                </c:pt>
                <c:pt idx="5">
                  <c:v>3.1850568509759994E-2</c:v>
                </c:pt>
                <c:pt idx="6">
                  <c:v>3.2023744887117074E-2</c:v>
                </c:pt>
                <c:pt idx="7">
                  <c:v>0.21944889308160001</c:v>
                </c:pt>
                <c:pt idx="8">
                  <c:v>0</c:v>
                </c:pt>
                <c:pt idx="9">
                  <c:v>0</c:v>
                </c:pt>
                <c:pt idx="10">
                  <c:v>7.612919415716192E-2</c:v>
                </c:pt>
                <c:pt idx="11">
                  <c:v>7.5526994035583994E-2</c:v>
                </c:pt>
                <c:pt idx="12">
                  <c:v>#N/A</c:v>
                </c:pt>
                <c:pt idx="13">
                  <c:v>0.60876342101352943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0.10544674198733811</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1.6487342652449755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2.4489891931429763E-2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0.99133952954652782</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2.572332796799999E-2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3.1286780895573324E-2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4.6762317240673437E-2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7.0836220739076902E-3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3.6583871833599992E-2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4.5945157135541233E-3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5.2191074938102346E-3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8.9549986007039975E-8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1.6599491164158205E-3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0.59189518915463535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0.19410235975140883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1.4384618187950398E-2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63.378176089487994</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1007</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1023</v>
      </c>
      <c r="F4" s="93"/>
      <c r="G4" s="93"/>
      <c r="H4" s="93"/>
    </row>
    <row r="5" spans="1:13" x14ac:dyDescent="0.35">
      <c r="A5" s="1" t="s">
        <v>7</v>
      </c>
      <c r="B5" s="229">
        <v>40409</v>
      </c>
      <c r="C5" s="345">
        <v>45747</v>
      </c>
      <c r="F5" s="93"/>
      <c r="G5" s="93"/>
      <c r="H5" s="93"/>
    </row>
    <row r="6" spans="1:13" x14ac:dyDescent="0.35">
      <c r="A6" s="1" t="s">
        <v>8</v>
      </c>
      <c r="B6" s="315" t="s">
        <v>1037</v>
      </c>
      <c r="C6" s="346">
        <v>2221</v>
      </c>
      <c r="F6" s="93"/>
      <c r="G6" s="93"/>
      <c r="H6" s="93"/>
    </row>
    <row r="7" spans="1:13" x14ac:dyDescent="0.35">
      <c r="A7" s="1" t="s">
        <v>9</v>
      </c>
      <c r="B7" s="230" t="s">
        <v>1038</v>
      </c>
      <c r="C7" s="346" t="s">
        <v>10</v>
      </c>
      <c r="F7" s="93"/>
      <c r="G7" s="93"/>
      <c r="H7" s="93"/>
    </row>
    <row r="8" spans="1:13" x14ac:dyDescent="0.35">
      <c r="A8" s="1" t="s">
        <v>11</v>
      </c>
      <c r="B8" s="230" t="s">
        <v>1039</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1040</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1041</v>
      </c>
      <c r="D21" s="11"/>
    </row>
    <row r="22" spans="1:21" ht="16.5" x14ac:dyDescent="0.35">
      <c r="A22" s="1" t="s">
        <v>29</v>
      </c>
      <c r="B22" s="230">
        <v>2400</v>
      </c>
      <c r="D22" s="11"/>
    </row>
    <row r="24" spans="1:21" x14ac:dyDescent="0.35">
      <c r="B24" s="29"/>
    </row>
    <row r="25" spans="1:21" x14ac:dyDescent="0.35">
      <c r="B25" s="4" t="s">
        <v>31</v>
      </c>
      <c r="C25" s="4" t="s">
        <v>32</v>
      </c>
      <c r="D25" s="3"/>
      <c r="E25" s="59"/>
      <c r="F25" s="59"/>
      <c r="H25" s="3"/>
      <c r="J25" s="3"/>
      <c r="K25" s="3"/>
      <c r="L25" s="3"/>
      <c r="M25" s="3"/>
    </row>
    <row r="26" spans="1:21" ht="14" customHeight="1" x14ac:dyDescent="0.35">
      <c r="A26" s="1" t="s">
        <v>33</v>
      </c>
      <c r="B26" s="232" t="s">
        <v>34</v>
      </c>
      <c r="C26" s="232" t="s">
        <v>35</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36</v>
      </c>
      <c r="B29" s="72"/>
      <c r="C29" s="72"/>
    </row>
    <row r="30" spans="1:21" ht="16.5" x14ac:dyDescent="0.35">
      <c r="A30" s="18" t="s">
        <v>37</v>
      </c>
      <c r="B30" s="18" t="s">
        <v>38</v>
      </c>
      <c r="C30" s="18" t="s">
        <v>1022</v>
      </c>
    </row>
    <row r="31" spans="1:21" x14ac:dyDescent="0.35">
      <c r="A31" s="1" t="s">
        <v>39</v>
      </c>
      <c r="B31" s="237">
        <v>80</v>
      </c>
      <c r="C31" s="152">
        <f>($B$22/1000)*($B$31/1000)</f>
        <v>0.192</v>
      </c>
      <c r="F31" s="67"/>
    </row>
    <row r="32" spans="1:21" x14ac:dyDescent="0.35">
      <c r="F32" s="71"/>
    </row>
    <row r="33" spans="1:24" ht="14" customHeight="1" x14ac:dyDescent="0.35">
      <c r="E33" s="11"/>
      <c r="J33" s="11"/>
      <c r="W33" s="17"/>
    </row>
    <row r="34" spans="1:24" ht="18.5" x14ac:dyDescent="0.45">
      <c r="A34" s="72" t="s">
        <v>40</v>
      </c>
    </row>
    <row r="35" spans="1:24" ht="116" x14ac:dyDescent="0.35">
      <c r="A35" s="28" t="s">
        <v>41</v>
      </c>
    </row>
    <row r="36" spans="1:24" ht="30.65" customHeight="1" x14ac:dyDescent="0.35">
      <c r="A36" s="371" t="s">
        <v>42</v>
      </c>
      <c r="B36" s="371" t="s">
        <v>43</v>
      </c>
      <c r="C36" s="371" t="s">
        <v>31</v>
      </c>
      <c r="D36" s="372" t="s">
        <v>44</v>
      </c>
      <c r="E36" s="372" t="s">
        <v>45</v>
      </c>
      <c r="F36" s="368" t="s">
        <v>46</v>
      </c>
      <c r="G36" s="365" t="s">
        <v>47</v>
      </c>
      <c r="H36" s="358" t="s">
        <v>48</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49</v>
      </c>
      <c r="I37" s="364" t="s">
        <v>50</v>
      </c>
      <c r="J37" s="361" t="s">
        <v>51</v>
      </c>
      <c r="K37" s="362"/>
      <c r="L37" s="363"/>
      <c r="M37" s="361" t="s">
        <v>52</v>
      </c>
      <c r="N37" s="362"/>
      <c r="O37" s="363"/>
      <c r="P37" s="361" t="s">
        <v>53</v>
      </c>
      <c r="Q37" s="362"/>
      <c r="R37" s="363"/>
    </row>
    <row r="38" spans="1:24" ht="29" customHeight="1" x14ac:dyDescent="0.35">
      <c r="A38" s="371"/>
      <c r="B38" s="371"/>
      <c r="C38" s="371"/>
      <c r="D38" s="372"/>
      <c r="E38" s="372"/>
      <c r="F38" s="370"/>
      <c r="G38" s="367"/>
      <c r="H38" s="364"/>
      <c r="I38" s="364"/>
      <c r="J38" s="19" t="s">
        <v>54</v>
      </c>
      <c r="K38" s="19" t="s">
        <v>32</v>
      </c>
      <c r="L38" s="19" t="s">
        <v>55</v>
      </c>
      <c r="M38" s="19" t="s">
        <v>54</v>
      </c>
      <c r="N38" s="19" t="s">
        <v>32</v>
      </c>
      <c r="O38" s="19" t="s">
        <v>55</v>
      </c>
      <c r="P38" s="19" t="s">
        <v>54</v>
      </c>
      <c r="Q38" s="19" t="s">
        <v>32</v>
      </c>
      <c r="R38" s="19" t="s">
        <v>55</v>
      </c>
      <c r="T38" s="341" t="s">
        <v>56</v>
      </c>
      <c r="U38" s="341" t="s">
        <v>57</v>
      </c>
    </row>
    <row r="39" spans="1:24" ht="15" customHeight="1" x14ac:dyDescent="0.4">
      <c r="A39" s="1" t="s">
        <v>58</v>
      </c>
      <c r="B39" s="238">
        <v>2.2159999999999999E-2</v>
      </c>
      <c r="C39" s="232" t="s">
        <v>59</v>
      </c>
      <c r="D39" s="232" t="s">
        <v>27</v>
      </c>
      <c r="E39" s="239">
        <v>0</v>
      </c>
      <c r="F39" s="134" t="str">
        <f>IF(AND(D39="No",E39&gt;0), "Check biogenic content","Correct")</f>
        <v>Correct</v>
      </c>
      <c r="G39" s="1"/>
      <c r="H39" s="1" t="s">
        <v>1042</v>
      </c>
      <c r="I39" s="154" t="str">
        <f>IF($B39=0%,"Do not fill Transport", "Fill Transport")</f>
        <v>Fill Transport</v>
      </c>
      <c r="J39" s="232" t="s">
        <v>67</v>
      </c>
      <c r="K39" s="232" t="s">
        <v>487</v>
      </c>
      <c r="L39" s="240">
        <v>262</v>
      </c>
      <c r="M39" s="232" t="s">
        <v>27</v>
      </c>
      <c r="N39" s="232" t="s">
        <v>27</v>
      </c>
      <c r="O39" s="232">
        <v>0</v>
      </c>
      <c r="P39" s="232" t="s">
        <v>27</v>
      </c>
      <c r="Q39" s="232" t="s">
        <v>27</v>
      </c>
      <c r="R39" s="232">
        <v>0</v>
      </c>
      <c r="U39" s="339">
        <f>+IF(B39&gt;0,IF(K39="No",1,IF(SUM(L39,O39,R39)&gt;0,0,2)),0)</f>
        <v>0</v>
      </c>
    </row>
    <row r="40" spans="1:24" x14ac:dyDescent="0.35">
      <c r="A40" s="1" t="s">
        <v>61</v>
      </c>
      <c r="B40" s="238">
        <v>5.0999999999999997E-2</v>
      </c>
      <c r="C40" s="1"/>
      <c r="D40" s="9"/>
      <c r="E40" s="9"/>
      <c r="F40" s="9"/>
      <c r="G40" s="232" t="s">
        <v>27</v>
      </c>
      <c r="H40" s="1" t="s">
        <v>1043</v>
      </c>
      <c r="I40" s="154" t="str">
        <f t="shared" ref="I40:I57" si="0">IF($B40=0%,"Do not fill Transport", "Fill Transport")</f>
        <v>Fill Transport</v>
      </c>
      <c r="J40" s="232" t="s">
        <v>67</v>
      </c>
      <c r="K40" s="232" t="s">
        <v>487</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64</v>
      </c>
      <c r="B41" s="238">
        <v>0.10199999999999999</v>
      </c>
      <c r="C41" s="1"/>
      <c r="D41" s="45"/>
      <c r="E41" s="45"/>
      <c r="F41" s="45"/>
      <c r="G41" s="232" t="s">
        <v>27</v>
      </c>
      <c r="H41" s="1" t="s">
        <v>1044</v>
      </c>
      <c r="I41" s="154" t="str">
        <f t="shared" si="0"/>
        <v>Fill Transport</v>
      </c>
      <c r="J41" s="232" t="s">
        <v>923</v>
      </c>
      <c r="K41" s="232" t="s">
        <v>35</v>
      </c>
      <c r="L41" s="240">
        <v>51</v>
      </c>
      <c r="M41" s="232" t="s">
        <v>27</v>
      </c>
      <c r="N41" s="232" t="s">
        <v>27</v>
      </c>
      <c r="O41" s="240">
        <v>0</v>
      </c>
      <c r="P41" s="232" t="s">
        <v>27</v>
      </c>
      <c r="Q41" s="232" t="s">
        <v>27</v>
      </c>
      <c r="R41" s="240">
        <v>0</v>
      </c>
      <c r="U41" s="339">
        <f t="shared" si="1"/>
        <v>0</v>
      </c>
    </row>
    <row r="42" spans="1:24" x14ac:dyDescent="0.35">
      <c r="A42" s="1" t="s">
        <v>65</v>
      </c>
      <c r="B42" s="238">
        <v>0.35299999999999998</v>
      </c>
      <c r="C42" s="1"/>
      <c r="D42" s="45"/>
      <c r="E42" s="45"/>
      <c r="F42" s="45"/>
      <c r="G42" s="232" t="s">
        <v>24</v>
      </c>
      <c r="H42" s="1" t="s">
        <v>1046</v>
      </c>
      <c r="I42" s="154" t="str">
        <f t="shared" si="0"/>
        <v>Fill Transport</v>
      </c>
      <c r="J42" s="232" t="s">
        <v>67</v>
      </c>
      <c r="K42" s="232" t="s">
        <v>487</v>
      </c>
      <c r="L42" s="240">
        <v>188</v>
      </c>
      <c r="M42" s="232" t="s">
        <v>27</v>
      </c>
      <c r="N42" s="232" t="s">
        <v>27</v>
      </c>
      <c r="O42" s="240">
        <v>0</v>
      </c>
      <c r="P42" s="232" t="s">
        <v>27</v>
      </c>
      <c r="Q42" s="232" t="s">
        <v>27</v>
      </c>
      <c r="R42" s="240">
        <v>0</v>
      </c>
      <c r="U42" s="339">
        <f t="shared" si="1"/>
        <v>0</v>
      </c>
    </row>
    <row r="43" spans="1:24" x14ac:dyDescent="0.35">
      <c r="A43" s="1" t="s">
        <v>66</v>
      </c>
      <c r="B43" s="238">
        <v>0.01</v>
      </c>
      <c r="C43" s="1"/>
      <c r="D43" s="45"/>
      <c r="E43" s="45"/>
      <c r="F43" s="45"/>
      <c r="G43" s="232" t="s">
        <v>27</v>
      </c>
      <c r="H43" s="1" t="s">
        <v>1048</v>
      </c>
      <c r="I43" s="154" t="str">
        <f t="shared" si="0"/>
        <v>Fill Transport</v>
      </c>
      <c r="J43" s="232" t="s">
        <v>67</v>
      </c>
      <c r="K43" s="232" t="s">
        <v>487</v>
      </c>
      <c r="L43" s="240">
        <v>0</v>
      </c>
      <c r="M43" s="232" t="s">
        <v>27</v>
      </c>
      <c r="N43" s="232" t="s">
        <v>27</v>
      </c>
      <c r="O43" s="240">
        <v>0</v>
      </c>
      <c r="P43" s="232" t="s">
        <v>27</v>
      </c>
      <c r="Q43" s="232" t="s">
        <v>27</v>
      </c>
      <c r="R43" s="240">
        <v>0</v>
      </c>
      <c r="U43" s="339">
        <f t="shared" si="1"/>
        <v>2</v>
      </c>
    </row>
    <row r="44" spans="1:24" x14ac:dyDescent="0.35">
      <c r="A44" s="1" t="s">
        <v>69</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70</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71</v>
      </c>
      <c r="B46" s="238">
        <v>0.153</v>
      </c>
      <c r="C46" s="1"/>
      <c r="D46" s="45"/>
      <c r="E46" s="45"/>
      <c r="F46" s="45"/>
      <c r="G46" s="232" t="s">
        <v>27</v>
      </c>
      <c r="H46" s="1" t="s">
        <v>1045</v>
      </c>
      <c r="I46" s="154" t="str">
        <f t="shared" si="0"/>
        <v>Fill Transport</v>
      </c>
      <c r="J46" s="232" t="s">
        <v>923</v>
      </c>
      <c r="K46" s="232" t="s">
        <v>35</v>
      </c>
      <c r="L46" s="240">
        <v>44</v>
      </c>
      <c r="M46" s="232" t="s">
        <v>27</v>
      </c>
      <c r="N46" s="232" t="s">
        <v>27</v>
      </c>
      <c r="O46" s="240">
        <v>0</v>
      </c>
      <c r="P46" s="232" t="s">
        <v>27</v>
      </c>
      <c r="Q46" s="232" t="s">
        <v>27</v>
      </c>
      <c r="R46" s="240">
        <v>0</v>
      </c>
      <c r="U46" s="339">
        <f t="shared" si="1"/>
        <v>0</v>
      </c>
    </row>
    <row r="47" spans="1:24" x14ac:dyDescent="0.35">
      <c r="A47" s="1" t="s">
        <v>73</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74</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75</v>
      </c>
      <c r="B49" s="238">
        <v>5.4999999999999997E-3</v>
      </c>
      <c r="C49" s="232" t="s">
        <v>76</v>
      </c>
      <c r="D49" s="45"/>
      <c r="E49" s="45"/>
      <c r="F49" s="45"/>
      <c r="G49" s="232" t="s">
        <v>27</v>
      </c>
      <c r="H49" s="1" t="s">
        <v>1047</v>
      </c>
      <c r="I49" s="154" t="str">
        <f t="shared" si="0"/>
        <v>Fill Transport</v>
      </c>
      <c r="J49" s="232" t="s">
        <v>67</v>
      </c>
      <c r="K49" s="232" t="s">
        <v>487</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78</v>
      </c>
      <c r="B50" s="238">
        <v>0</v>
      </c>
      <c r="C50" s="232" t="s">
        <v>574</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79</v>
      </c>
      <c r="B51" s="238">
        <v>0.3</v>
      </c>
      <c r="C51" s="1" t="s">
        <v>211</v>
      </c>
      <c r="D51" s="45"/>
      <c r="E51" s="45"/>
      <c r="F51" s="45"/>
      <c r="G51" s="232" t="s">
        <v>27</v>
      </c>
      <c r="H51" s="1" t="s">
        <v>1049</v>
      </c>
      <c r="I51" s="154" t="str">
        <f t="shared" si="0"/>
        <v>Fill Transport</v>
      </c>
      <c r="J51" s="232" t="s">
        <v>67</v>
      </c>
      <c r="K51" s="232" t="s">
        <v>487</v>
      </c>
      <c r="L51" s="240">
        <v>24</v>
      </c>
      <c r="M51" s="232" t="s">
        <v>27</v>
      </c>
      <c r="N51" s="232" t="s">
        <v>27</v>
      </c>
      <c r="O51" s="240">
        <v>0</v>
      </c>
      <c r="P51" s="232" t="s">
        <v>27</v>
      </c>
      <c r="Q51" s="232" t="s">
        <v>27</v>
      </c>
      <c r="R51" s="240">
        <v>0</v>
      </c>
      <c r="U51" s="339">
        <f t="shared" si="1"/>
        <v>0</v>
      </c>
    </row>
    <row r="52" spans="1:21" x14ac:dyDescent="0.35">
      <c r="A52" s="1" t="s">
        <v>81</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82</v>
      </c>
      <c r="B53" s="238">
        <v>0</v>
      </c>
      <c r="C53" s="232" t="s">
        <v>577</v>
      </c>
      <c r="D53" s="147"/>
      <c r="E53" s="147"/>
      <c r="F53" s="147"/>
      <c r="G53" s="232" t="s">
        <v>27</v>
      </c>
      <c r="H53" s="1" t="s">
        <v>84</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86</v>
      </c>
      <c r="B54" s="238">
        <v>0</v>
      </c>
      <c r="C54" s="232" t="s">
        <v>577</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88</v>
      </c>
      <c r="B55" s="238">
        <v>2E-3</v>
      </c>
      <c r="C55" s="232" t="s">
        <v>579</v>
      </c>
      <c r="D55" s="147"/>
      <c r="E55" s="147"/>
      <c r="F55" s="147"/>
      <c r="G55" s="232" t="s">
        <v>27</v>
      </c>
      <c r="H55" s="1" t="s">
        <v>1050</v>
      </c>
      <c r="I55" s="154" t="str">
        <f t="shared" si="0"/>
        <v>Fill Transport</v>
      </c>
      <c r="J55" s="232" t="s">
        <v>67</v>
      </c>
      <c r="K55" s="232" t="s">
        <v>487</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91</v>
      </c>
      <c r="B56" s="238">
        <v>0</v>
      </c>
      <c r="C56" s="232" t="s">
        <v>89</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93</v>
      </c>
      <c r="B57" s="238">
        <v>0</v>
      </c>
      <c r="C57" s="232" t="s">
        <v>89</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94</v>
      </c>
      <c r="B58" s="211">
        <f>SUM(B39:B57)</f>
        <v>0.99865999999999988</v>
      </c>
      <c r="C58" s="149"/>
      <c r="D58" s="357" t="s">
        <v>95</v>
      </c>
      <c r="E58" s="357"/>
      <c r="F58" s="357"/>
      <c r="G58" s="166" t="e">
        <f>+'A3 - Production '!C189</f>
        <v>#N/A</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96</v>
      </c>
      <c r="E61" s="210"/>
    </row>
    <row r="62" spans="1:21" x14ac:dyDescent="0.35">
      <c r="A62" s="5" t="s">
        <v>42</v>
      </c>
      <c r="B62" s="70" t="s">
        <v>54</v>
      </c>
      <c r="C62" s="4" t="s">
        <v>32</v>
      </c>
      <c r="D62" s="4" t="s">
        <v>55</v>
      </c>
      <c r="E62" s="356" t="s">
        <v>1032</v>
      </c>
      <c r="F62" s="4" t="s">
        <v>1034</v>
      </c>
    </row>
    <row r="63" spans="1:21" x14ac:dyDescent="0.35">
      <c r="A63" s="1" t="s">
        <v>97</v>
      </c>
      <c r="B63" s="232" t="s">
        <v>67</v>
      </c>
      <c r="C63" s="232" t="s">
        <v>487</v>
      </c>
      <c r="D63" s="232">
        <v>20</v>
      </c>
      <c r="E63" s="120">
        <v>20000</v>
      </c>
      <c r="F63" s="154">
        <f>E63/1000</f>
        <v>20</v>
      </c>
      <c r="U63" s="339">
        <f>IF(AND(B63&lt;&gt;"No",D63&lt;=0),1,0)</f>
        <v>0</v>
      </c>
    </row>
    <row r="65" spans="1:21" ht="23" customHeight="1" x14ac:dyDescent="0.45">
      <c r="A65" s="72" t="s">
        <v>98</v>
      </c>
      <c r="G65" s="135"/>
    </row>
    <row r="66" spans="1:21" x14ac:dyDescent="0.35">
      <c r="A66" s="13" t="s">
        <v>99</v>
      </c>
      <c r="B66" s="232">
        <v>3.5</v>
      </c>
      <c r="G66" s="135"/>
    </row>
    <row r="67" spans="1:21" x14ac:dyDescent="0.35">
      <c r="A67" s="5" t="s">
        <v>100</v>
      </c>
      <c r="B67" s="4" t="s">
        <v>31</v>
      </c>
      <c r="C67" s="4" t="s">
        <v>32</v>
      </c>
      <c r="D67" s="63"/>
      <c r="E67" s="59"/>
      <c r="F67" s="59"/>
    </row>
    <row r="68" spans="1:21" ht="14" customHeight="1" x14ac:dyDescent="0.35">
      <c r="A68" s="1" t="s">
        <v>101</v>
      </c>
      <c r="B68" s="232" t="s">
        <v>104</v>
      </c>
      <c r="C68" s="232" t="s">
        <v>27</v>
      </c>
      <c r="D68" s="60" t="str">
        <f>IF(OR(AND(C68="No", B68="No_paver"), AND(B68="No_paver", C68="No"), AND(C68&lt;&gt;"No", B68&lt;&gt;"No_paver")), "", "Error")</f>
        <v/>
      </c>
      <c r="E68" s="11"/>
      <c r="G68" s="24"/>
      <c r="U68" s="339">
        <f>+IF(B68&lt;&gt;"No_paver",IF(C68="No",1,0),0)</f>
        <v>0</v>
      </c>
    </row>
    <row r="69" spans="1:21" x14ac:dyDescent="0.35">
      <c r="A69" s="1" t="s">
        <v>103</v>
      </c>
      <c r="B69" s="232" t="s">
        <v>102</v>
      </c>
      <c r="C69" s="232" t="s">
        <v>35</v>
      </c>
      <c r="D69" s="60" t="str">
        <f>IF(OR(AND(C69="No", B69="No_paver"), AND(B69="No_paver", C69="No"), AND(C69&lt;&gt;"No", B69&lt;&gt;"No_paver")), "", "Error")</f>
        <v/>
      </c>
      <c r="G69" s="24"/>
      <c r="U69" s="339">
        <f>+IF(B69&lt;&gt;"No_paver",IF(C69="No",1,0),0)</f>
        <v>0</v>
      </c>
    </row>
    <row r="70" spans="1:21" x14ac:dyDescent="0.35">
      <c r="A70" s="1" t="s">
        <v>105</v>
      </c>
      <c r="B70" s="232" t="s">
        <v>106</v>
      </c>
      <c r="C70" s="232" t="s">
        <v>35</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107</v>
      </c>
      <c r="B72" s="4" t="s">
        <v>31</v>
      </c>
      <c r="C72" s="4" t="s">
        <v>32</v>
      </c>
      <c r="D72" s="60"/>
      <c r="E72" s="59"/>
      <c r="F72" s="59"/>
    </row>
    <row r="73" spans="1:21" x14ac:dyDescent="0.35">
      <c r="A73" s="1" t="s">
        <v>108</v>
      </c>
      <c r="B73" s="232" t="s">
        <v>109</v>
      </c>
      <c r="C73" s="232" t="s">
        <v>35</v>
      </c>
      <c r="D73" s="60" t="str">
        <f>IF(OR(AND(C73="No", B73="No_roller"), AND(B73="No_roller", C73="No"), AND(C73&lt;&gt;"No", B73&lt;&gt;"No_roller")), "", "Error")</f>
        <v/>
      </c>
      <c r="G73" s="24"/>
      <c r="U73" s="339">
        <f>+IF(B73&lt;&gt;"No_roller",IF(C73="No",1,0),0)</f>
        <v>0</v>
      </c>
    </row>
    <row r="74" spans="1:21" x14ac:dyDescent="0.35">
      <c r="A74" s="1" t="s">
        <v>110</v>
      </c>
      <c r="B74" s="232" t="s">
        <v>109</v>
      </c>
      <c r="C74" s="232" t="s">
        <v>35</v>
      </c>
      <c r="D74" s="60" t="str">
        <f t="shared" ref="D74:D76" si="2">IF(OR(AND(C74="No", B74="No_roller"), AND(B74="No_roller", C74="No"), AND(C74&lt;&gt;"No", B74&lt;&gt;"No_roller")), "", "Error")</f>
        <v/>
      </c>
      <c r="G74" s="137"/>
      <c r="U74" s="339">
        <f>+IF(B74&lt;&gt;"No_roller",IF(C74="No",1,0),0)</f>
        <v>0</v>
      </c>
    </row>
    <row r="75" spans="1:21" x14ac:dyDescent="0.35">
      <c r="A75" s="351" t="s">
        <v>1024</v>
      </c>
      <c r="B75" s="232" t="s">
        <v>680</v>
      </c>
      <c r="C75" s="232" t="s">
        <v>27</v>
      </c>
      <c r="D75" s="60" t="str">
        <f t="shared" si="2"/>
        <v/>
      </c>
      <c r="G75" s="137"/>
    </row>
    <row r="76" spans="1:21" x14ac:dyDescent="0.35">
      <c r="A76" s="351" t="s">
        <v>1025</v>
      </c>
      <c r="B76" s="232" t="s">
        <v>680</v>
      </c>
      <c r="C76" s="232" t="s">
        <v>27</v>
      </c>
      <c r="D76" s="60" t="str">
        <f t="shared" si="2"/>
        <v/>
      </c>
      <c r="G76" s="137"/>
    </row>
    <row r="77" spans="1:21" x14ac:dyDescent="0.35">
      <c r="G77" s="138"/>
    </row>
    <row r="78" spans="1:21" ht="18.5" x14ac:dyDescent="0.45">
      <c r="A78" s="72" t="s">
        <v>111</v>
      </c>
      <c r="G78" s="138"/>
    </row>
    <row r="79" spans="1:21" x14ac:dyDescent="0.35">
      <c r="A79" s="73" t="s">
        <v>112</v>
      </c>
      <c r="B79" s="156">
        <f>+B31/1000</f>
        <v>0.08</v>
      </c>
      <c r="C79" s="157" t="str">
        <f>IF(B79&gt;0.35,"Error, milling depth of machines less than 0.35m", "OK")</f>
        <v>OK</v>
      </c>
      <c r="G79" s="138"/>
    </row>
    <row r="80" spans="1:21" x14ac:dyDescent="0.35">
      <c r="G80" s="138"/>
    </row>
    <row r="81" spans="1:21" x14ac:dyDescent="0.35">
      <c r="A81" s="5" t="s">
        <v>113</v>
      </c>
      <c r="B81" s="4" t="s">
        <v>31</v>
      </c>
      <c r="C81" s="4" t="s">
        <v>32</v>
      </c>
      <c r="D81" s="3"/>
      <c r="E81" s="59"/>
      <c r="F81" s="59"/>
      <c r="G81" s="138"/>
    </row>
    <row r="82" spans="1:21" x14ac:dyDescent="0.35">
      <c r="A82" s="1" t="s">
        <v>114</v>
      </c>
      <c r="B82" s="232" t="s">
        <v>117</v>
      </c>
      <c r="C82" s="232" t="s">
        <v>27</v>
      </c>
      <c r="D82" s="60" t="str">
        <f>IF(AND(B82&lt;&gt;"No_milling_machine", C82="No"), "Error", "")</f>
        <v/>
      </c>
      <c r="G82" s="137"/>
      <c r="U82" s="339">
        <f>+IF(B82&lt;&gt;"No_milling_machine",IF(C82="No",1,0),0)</f>
        <v>0</v>
      </c>
    </row>
    <row r="83" spans="1:21" x14ac:dyDescent="0.35">
      <c r="A83" s="1" t="s">
        <v>116</v>
      </c>
      <c r="B83" s="232" t="s">
        <v>117</v>
      </c>
      <c r="C83" s="232" t="s">
        <v>27</v>
      </c>
      <c r="D83" s="60" t="str">
        <f>IF(AND(B83&lt;&gt;"No_milling_machine", C83="No"), "Error", "")</f>
        <v/>
      </c>
      <c r="G83" s="137"/>
      <c r="U83" s="339">
        <f>+IF(B83&lt;&gt;"No_milling_machine",IF(C83="No",1,0),0)</f>
        <v>0</v>
      </c>
    </row>
    <row r="84" spans="1:21" x14ac:dyDescent="0.35">
      <c r="A84" s="1" t="s">
        <v>1028</v>
      </c>
      <c r="B84" s="232" t="s">
        <v>115</v>
      </c>
      <c r="C84" s="232" t="s">
        <v>35</v>
      </c>
      <c r="D84" s="60" t="str">
        <f>IF(AND(B84&lt;&gt;"No_milling_machine", C84="No"), "Error", "")</f>
        <v/>
      </c>
      <c r="G84" s="137"/>
    </row>
    <row r="85" spans="1:21" x14ac:dyDescent="0.35">
      <c r="A85" s="1" t="s">
        <v>118</v>
      </c>
      <c r="B85" s="232" t="s">
        <v>119</v>
      </c>
      <c r="C85" s="232" t="s">
        <v>35</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120</v>
      </c>
    </row>
    <row r="3" spans="1:11" x14ac:dyDescent="0.35">
      <c r="A3" s="150" t="s">
        <v>121</v>
      </c>
    </row>
    <row r="4" spans="1:11" x14ac:dyDescent="0.35">
      <c r="A4" s="269" t="s">
        <v>7</v>
      </c>
      <c r="B4" s="270">
        <f>Input!$B$5</f>
        <v>40409</v>
      </c>
      <c r="C4" s="271"/>
      <c r="D4" s="3" t="s">
        <v>122</v>
      </c>
    </row>
    <row r="5" spans="1:11" x14ac:dyDescent="0.35">
      <c r="A5" s="1" t="s">
        <v>8</v>
      </c>
      <c r="B5" s="21" t="str">
        <f>Input!$B$6</f>
        <v>801/64/2010/13RE-1234/0</v>
      </c>
      <c r="C5" s="271"/>
      <c r="D5" s="53" t="s">
        <v>123</v>
      </c>
      <c r="E5" s="373" t="s">
        <v>124</v>
      </c>
      <c r="F5" s="373"/>
    </row>
    <row r="6" spans="1:11" x14ac:dyDescent="0.35">
      <c r="A6" s="143" t="s">
        <v>9</v>
      </c>
      <c r="B6" s="268" t="str">
        <f>Input!$B$7</f>
        <v>AB-3A1</v>
      </c>
      <c r="C6" s="109"/>
      <c r="D6" s="53" t="s">
        <v>125</v>
      </c>
      <c r="E6" s="279" t="e">
        <f>IF(ABS('Aux - Check'!$B$11)&gt;10^-10,"Error",Results!$M$47)</f>
        <v>#N/A</v>
      </c>
      <c r="F6" s="280" t="s">
        <v>126</v>
      </c>
      <c r="G6" s="29"/>
    </row>
    <row r="7" spans="1:11" ht="16.5" x14ac:dyDescent="0.45">
      <c r="A7" s="9" t="s">
        <v>11</v>
      </c>
      <c r="B7" s="272" t="str">
        <f>+Input!B8</f>
        <v>AC 20 onderlaag 50/70</v>
      </c>
      <c r="C7" s="29"/>
      <c r="D7" s="125" t="s">
        <v>127</v>
      </c>
      <c r="E7" s="281" t="e">
        <f>IF(ABS('Aux - Check'!$B$11)&gt;10^-10,"Error",Results!$L$53)</f>
        <v>#N/A</v>
      </c>
      <c r="F7" s="280" t="s">
        <v>128</v>
      </c>
      <c r="G7" s="29"/>
    </row>
    <row r="8" spans="1:11" x14ac:dyDescent="0.35">
      <c r="A8" s="9" t="s">
        <v>129</v>
      </c>
      <c r="B8" s="272" t="str">
        <f>Input!$B$14</f>
        <v>straat 1, 1000 Gaurain-Ramecroix</v>
      </c>
      <c r="C8" s="15"/>
      <c r="K8" s="11"/>
    </row>
    <row r="9" spans="1:11" x14ac:dyDescent="0.35">
      <c r="A9" s="143" t="s">
        <v>130</v>
      </c>
      <c r="B9" s="268" t="str">
        <f>Input!$B$21</f>
        <v>145°C - 185°C</v>
      </c>
      <c r="C9" s="109"/>
    </row>
    <row r="10" spans="1:11" x14ac:dyDescent="0.35">
      <c r="A10" s="89" t="s">
        <v>131</v>
      </c>
      <c r="B10" s="273">
        <f>Input!$B$9</f>
        <v>3.7159999999999999E-2</v>
      </c>
      <c r="C10" s="274"/>
    </row>
    <row r="11" spans="1:11" x14ac:dyDescent="0.35">
      <c r="A11" s="89" t="s">
        <v>14</v>
      </c>
      <c r="B11" s="275">
        <f>+Input!B10</f>
        <v>0.40365984930032295</v>
      </c>
      <c r="C11" s="276"/>
    </row>
    <row r="12" spans="1:11" ht="16.5" x14ac:dyDescent="0.35">
      <c r="A12" s="1" t="s">
        <v>132</v>
      </c>
      <c r="B12" s="21">
        <f>Input!$B$22</f>
        <v>2400</v>
      </c>
      <c r="C12" s="15"/>
      <c r="K12" s="11"/>
    </row>
    <row r="13" spans="1:11" x14ac:dyDescent="0.35">
      <c r="B13" s="15"/>
      <c r="C13" s="15"/>
    </row>
    <row r="19" spans="18:18" x14ac:dyDescent="0.35">
      <c r="R19" s="28"/>
    </row>
    <row r="53" spans="1:7" ht="16" x14ac:dyDescent="0.4">
      <c r="A53" s="278" t="s">
        <v>133</v>
      </c>
    </row>
    <row r="54" spans="1:7" x14ac:dyDescent="0.35">
      <c r="C54" s="15"/>
      <c r="G54" s="29"/>
    </row>
    <row r="55" spans="1:7" x14ac:dyDescent="0.35">
      <c r="A55" s="150" t="s">
        <v>121</v>
      </c>
      <c r="C55" s="15"/>
      <c r="G55" s="29"/>
    </row>
    <row r="56" spans="1:7" x14ac:dyDescent="0.35">
      <c r="A56" s="143" t="s">
        <v>7</v>
      </c>
      <c r="B56" s="270">
        <f>Input!$B$5</f>
        <v>40409</v>
      </c>
      <c r="C56" s="109"/>
      <c r="D56" s="3" t="s">
        <v>134</v>
      </c>
    </row>
    <row r="57" spans="1:7" x14ac:dyDescent="0.35">
      <c r="A57" s="1" t="s">
        <v>8</v>
      </c>
      <c r="B57" s="21" t="str">
        <f>Input!$B$6</f>
        <v>801/64/2010/13RE-1234/0</v>
      </c>
      <c r="C57" s="15"/>
      <c r="D57" s="53" t="s">
        <v>135</v>
      </c>
      <c r="E57" s="374" t="str">
        <f>+CONCATENATE("1 m2 (",Input!B31/10,"-cm thick)")</f>
        <v>1 m2 (8-cm thick)</v>
      </c>
      <c r="F57" s="374"/>
    </row>
    <row r="58" spans="1:7" ht="16.5" x14ac:dyDescent="0.35">
      <c r="A58" s="143" t="s">
        <v>9</v>
      </c>
      <c r="B58" s="268" t="str">
        <f>Input!$B$7</f>
        <v>AB-3A1</v>
      </c>
      <c r="C58" s="15"/>
      <c r="D58" s="53" t="s">
        <v>125</v>
      </c>
      <c r="E58" s="282" t="e">
        <f>IF(E6="Error","Error",Results!$N$111)</f>
        <v>#N/A</v>
      </c>
      <c r="F58" s="283" t="s">
        <v>136</v>
      </c>
    </row>
    <row r="59" spans="1:7" ht="17.5" x14ac:dyDescent="0.45">
      <c r="A59" s="9" t="s">
        <v>11</v>
      </c>
      <c r="B59" s="268" t="str">
        <f>Input!$B$8</f>
        <v>AC 20 onderlaag 50/70</v>
      </c>
      <c r="C59" s="15"/>
      <c r="D59" s="125" t="s">
        <v>127</v>
      </c>
      <c r="E59" s="282" t="e">
        <f>IF(E7="Error","Error",Results!$M$118)</f>
        <v>#N/A</v>
      </c>
      <c r="F59" s="283" t="s">
        <v>137</v>
      </c>
    </row>
    <row r="60" spans="1:7" x14ac:dyDescent="0.35">
      <c r="A60" s="9" t="s">
        <v>138</v>
      </c>
      <c r="B60" s="272" t="str">
        <f>Input!$B$14</f>
        <v>straat 1, 1000 Gaurain-Ramecroix</v>
      </c>
      <c r="C60" s="15"/>
    </row>
    <row r="61" spans="1:7" x14ac:dyDescent="0.35">
      <c r="A61" s="143" t="s">
        <v>130</v>
      </c>
      <c r="B61" s="268" t="str">
        <f>Input!$B$21</f>
        <v>145°C - 185°C</v>
      </c>
      <c r="C61" s="15"/>
    </row>
    <row r="62" spans="1:7" x14ac:dyDescent="0.35">
      <c r="A62" s="89" t="s">
        <v>139</v>
      </c>
      <c r="B62" s="273">
        <f>Input!$B$9</f>
        <v>3.7159999999999999E-2</v>
      </c>
    </row>
    <row r="63" spans="1:7" x14ac:dyDescent="0.35">
      <c r="A63" s="89" t="s">
        <v>14</v>
      </c>
      <c r="B63" s="275">
        <f>+Input!B10</f>
        <v>0.40365984930032295</v>
      </c>
    </row>
    <row r="64" spans="1:7" ht="16.5" x14ac:dyDescent="0.35">
      <c r="A64" s="1" t="s">
        <v>132</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972</v>
      </c>
      <c r="C105" s="15"/>
    </row>
    <row r="106" spans="1:6" x14ac:dyDescent="0.35">
      <c r="C106" s="15"/>
    </row>
    <row r="107" spans="1:6" x14ac:dyDescent="0.35">
      <c r="A107" s="150" t="s">
        <v>121</v>
      </c>
      <c r="C107" s="109"/>
    </row>
    <row r="108" spans="1:6" x14ac:dyDescent="0.35">
      <c r="A108" s="143" t="s">
        <v>7</v>
      </c>
      <c r="B108" s="270">
        <f>Input!$B$5</f>
        <v>40409</v>
      </c>
      <c r="C108" s="15"/>
      <c r="D108" s="3" t="s">
        <v>140</v>
      </c>
    </row>
    <row r="109" spans="1:6" x14ac:dyDescent="0.35">
      <c r="A109" s="1" t="s">
        <v>8</v>
      </c>
      <c r="B109" s="21" t="str">
        <f>Input!$B$6</f>
        <v>801/64/2010/13RE-1234/0</v>
      </c>
      <c r="C109" s="15"/>
      <c r="D109" s="53" t="s">
        <v>123</v>
      </c>
      <c r="E109" s="375" t="str">
        <f>+CONCATENATE("1 ton (",Input!B31/10,"-cm thick)")</f>
        <v>1 ton (8-cm thick)</v>
      </c>
      <c r="F109" s="375"/>
    </row>
    <row r="110" spans="1:6" x14ac:dyDescent="0.35">
      <c r="A110" s="143" t="s">
        <v>9</v>
      </c>
      <c r="B110" s="268" t="str">
        <f>Input!$B$7</f>
        <v>AB-3A1</v>
      </c>
      <c r="C110" s="15"/>
      <c r="D110" s="53" t="s">
        <v>125</v>
      </c>
      <c r="E110" s="284" t="e">
        <f>IF(E6="Error","Error",Results!$N$47)</f>
        <v>#N/A</v>
      </c>
      <c r="F110" s="285" t="s">
        <v>126</v>
      </c>
    </row>
    <row r="111" spans="1:6" ht="16.5" x14ac:dyDescent="0.45">
      <c r="A111" s="9" t="s">
        <v>11</v>
      </c>
      <c r="B111" s="268" t="str">
        <f>Input!$B$8</f>
        <v>AC 20 onderlaag 50/70</v>
      </c>
      <c r="C111" s="15"/>
      <c r="D111" s="125" t="s">
        <v>127</v>
      </c>
      <c r="E111" s="286" t="e">
        <f>IF(E7="Error","Error",Results!$M$53)</f>
        <v>#N/A</v>
      </c>
      <c r="F111" s="285" t="s">
        <v>141</v>
      </c>
    </row>
    <row r="112" spans="1:6" x14ac:dyDescent="0.35">
      <c r="A112" s="9" t="s">
        <v>138</v>
      </c>
      <c r="B112" s="272" t="str">
        <f>Input!$B$14</f>
        <v>straat 1, 1000 Gaurain-Ramecroix</v>
      </c>
      <c r="C112" s="15"/>
    </row>
    <row r="113" spans="1:2" x14ac:dyDescent="0.35">
      <c r="A113" s="143" t="s">
        <v>130</v>
      </c>
      <c r="B113" s="268" t="str">
        <f>Input!$B$21</f>
        <v>145°C - 185°C</v>
      </c>
    </row>
    <row r="114" spans="1:2" x14ac:dyDescent="0.35">
      <c r="A114" s="89" t="s">
        <v>139</v>
      </c>
      <c r="B114" s="273">
        <f>Input!$B$9</f>
        <v>3.7159999999999999E-2</v>
      </c>
    </row>
    <row r="115" spans="1:2" x14ac:dyDescent="0.35">
      <c r="A115" s="89" t="s">
        <v>14</v>
      </c>
      <c r="B115" s="275">
        <f>+Input!$B$10</f>
        <v>0.40365984930032295</v>
      </c>
    </row>
    <row r="116" spans="1:2" ht="16.5" x14ac:dyDescent="0.35">
      <c r="A116" s="1" t="s">
        <v>132</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142</v>
      </c>
      <c r="B2" s="154">
        <f>+Input!U86</f>
        <v>0</v>
      </c>
    </row>
    <row r="3" spans="1:2" x14ac:dyDescent="0.35">
      <c r="A3" s="1" t="s">
        <v>143</v>
      </c>
      <c r="B3" s="154">
        <f>+Input!U58</f>
        <v>2</v>
      </c>
    </row>
    <row r="4" spans="1:2" x14ac:dyDescent="0.35">
      <c r="A4" s="1" t="s">
        <v>144</v>
      </c>
      <c r="B4" s="154">
        <f>IF(Input!C17 + Input!C18 = 100%,0, 1)</f>
        <v>0</v>
      </c>
    </row>
    <row r="5" spans="1:2" x14ac:dyDescent="0.35">
      <c r="A5" s="1" t="s">
        <v>1017</v>
      </c>
      <c r="B5" s="154">
        <f>IF(OR(AND(Input!B19="Yes", Input!C19&lt;&gt;"No"), AND(Input!B19="No",Input!C19="No")), 0, 1)</f>
        <v>0</v>
      </c>
    </row>
    <row r="6" spans="1:2" x14ac:dyDescent="0.35">
      <c r="A6" s="1" t="s">
        <v>145</v>
      </c>
      <c r="B6" s="154">
        <f>IF(AND(Input!B58&gt;=99.9%, Input!B58&lt;=100.1%), 0, 1)</f>
        <v>1</v>
      </c>
    </row>
    <row r="7" spans="1:2" x14ac:dyDescent="0.35">
      <c r="A7" s="1" t="s">
        <v>146</v>
      </c>
      <c r="B7" s="154">
        <f>IF( COUNTIFS( _xlfn.XLOOKUP(Input!$B$19,'Aux - Lists'!B168:C168,'Aux - Lists'!B169:C170,Input!$C$19), Input!$C$19)=0,1, 0)</f>
        <v>0</v>
      </c>
    </row>
    <row r="8" spans="1:2" x14ac:dyDescent="0.35">
      <c r="A8" s="1" t="s">
        <v>147</v>
      </c>
      <c r="B8" s="154">
        <f>IF(COUNTIFS(_xlfn.XLOOKUP(Input!$B$26,'Aux - Lists'!B16:C16,'Aux - Lists'!B17:C24,Input!$C$26),Input!$C$26)=0,1,0)</f>
        <v>0</v>
      </c>
    </row>
    <row r="9" spans="1:2" x14ac:dyDescent="0.35">
      <c r="A9" s="1" t="s">
        <v>148</v>
      </c>
      <c r="B9" s="331" t="e">
        <f>+Results!B23+Results!B54+Results!B61+Results!B86+Results!B112+Results!B119+Results!B126+Results!B152+Results!B160</f>
        <v>#N/A</v>
      </c>
    </row>
    <row r="10" spans="1:2" x14ac:dyDescent="0.35">
      <c r="A10" s="1" t="s">
        <v>149</v>
      </c>
      <c r="B10" s="154" t="e">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#N/A</v>
      </c>
    </row>
    <row r="11" spans="1:2" x14ac:dyDescent="0.35">
      <c r="B11" s="251" t="e">
        <f>+SUM(B2:B10)</f>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150</v>
      </c>
    </row>
    <row r="3" spans="1:17" s="28" customFormat="1" ht="43.5" x14ac:dyDescent="0.35">
      <c r="A3" s="103" t="s">
        <v>151</v>
      </c>
      <c r="B3" s="103" t="s">
        <v>152</v>
      </c>
      <c r="C3" s="103" t="s">
        <v>1011</v>
      </c>
      <c r="D3" s="103" t="s">
        <v>158</v>
      </c>
      <c r="E3" s="103" t="s">
        <v>1012</v>
      </c>
      <c r="F3" s="103" t="s">
        <v>153</v>
      </c>
      <c r="G3" s="103" t="s">
        <v>154</v>
      </c>
      <c r="H3" s="103" t="s">
        <v>155</v>
      </c>
      <c r="I3" s="103" t="s">
        <v>156</v>
      </c>
      <c r="J3" s="103" t="s">
        <v>157</v>
      </c>
      <c r="K3" s="103" t="s">
        <v>159</v>
      </c>
      <c r="L3" s="103" t="s">
        <v>985</v>
      </c>
      <c r="M3" s="103" t="s">
        <v>989</v>
      </c>
    </row>
    <row r="4" spans="1:17" x14ac:dyDescent="0.35">
      <c r="A4" s="39" t="s">
        <v>160</v>
      </c>
      <c r="B4" s="39" t="s">
        <v>161</v>
      </c>
      <c r="C4" s="1">
        <f>'A1 - Raw Material Supply'!Z114</f>
        <v>7.7331563994309349E-2</v>
      </c>
      <c r="D4" s="1">
        <f>'C3'' - Secondary Raw Material '!F320</f>
        <v>2.132393117742819E-4</v>
      </c>
      <c r="E4" s="1">
        <f>'A2 - Transport'!Z118</f>
        <v>2.4587109185149954E-2</v>
      </c>
      <c r="F4" s="1">
        <f>'C2''- Transport Secondary'!H58</f>
        <v>1.7043983999999999E-3</v>
      </c>
      <c r="G4" s="1" t="e">
        <f>'A3 - Production '!D206</f>
        <v>#N/A</v>
      </c>
      <c r="H4" s="1">
        <f>'A4 - Transport'!B17</f>
        <v>4.7280958503999994E-3</v>
      </c>
      <c r="I4" s="1">
        <f>'A5 - Construction'!E139</f>
        <v>1.4781911191886577E-3</v>
      </c>
      <c r="J4" s="1">
        <f>'C1 - Deconstruction'!B87</f>
        <v>1.1217073342617407E-3</v>
      </c>
      <c r="K4" s="1">
        <f>'D- Benefits &amp; Burdens'!N161</f>
        <v>-9.2344379326345885E-2</v>
      </c>
      <c r="L4" s="1" t="e">
        <f>+SUM(C4:G4)</f>
        <v>#N/A</v>
      </c>
      <c r="M4" s="1" t="e">
        <f t="shared" ref="M4:M22" si="0">SUM(C4:J4)</f>
        <v>#N/A</v>
      </c>
      <c r="Q4" s="67"/>
    </row>
    <row r="5" spans="1:17" x14ac:dyDescent="0.35">
      <c r="A5" s="39" t="s">
        <v>162</v>
      </c>
      <c r="B5" s="39" t="s">
        <v>163</v>
      </c>
      <c r="C5" s="1">
        <f>'A1 - Raw Material Supply'!Z115</f>
        <v>14.520561533443052</v>
      </c>
      <c r="D5" s="1">
        <f>'C3'' - Secondary Raw Material '!F321</f>
        <v>0.16679033795373477</v>
      </c>
      <c r="E5" s="1">
        <f>'A2 - Transport'!Z119</f>
        <v>13.548793458252014</v>
      </c>
      <c r="F5" s="1">
        <f>'C2''- Transport Secondary'!H59</f>
        <v>1.1429629848</v>
      </c>
      <c r="G5" s="1" t="e">
        <f>'A3 - Production '!D207</f>
        <v>#N/A</v>
      </c>
      <c r="H5" s="1">
        <f>'A4 - Transport'!B18</f>
        <v>3.1706428177787993</v>
      </c>
      <c r="I5" s="1">
        <f>'A5 - Construction'!E140</f>
        <v>1.1562033017188762</v>
      </c>
      <c r="J5" s="1">
        <f>'C1 - Deconstruction'!B88</f>
        <v>0.87737079908012983</v>
      </c>
      <c r="K5" s="1">
        <f>'D- Benefits &amp; Burdens'!N162</f>
        <v>-22.494739914875993</v>
      </c>
      <c r="L5" s="1" t="e">
        <f t="shared" ref="L5:L22" si="1">+SUM(C5:G5)</f>
        <v>#N/A</v>
      </c>
      <c r="M5" s="1" t="e">
        <f t="shared" si="0"/>
        <v>#N/A</v>
      </c>
      <c r="Q5" s="67"/>
    </row>
    <row r="6" spans="1:17" x14ac:dyDescent="0.35">
      <c r="A6" s="39" t="s">
        <v>164</v>
      </c>
      <c r="B6" s="39" t="s">
        <v>163</v>
      </c>
      <c r="C6" s="1">
        <f>'A1 - Raw Material Supply'!Z116</f>
        <v>0.1175093683129754</v>
      </c>
      <c r="D6" s="1">
        <f>'C3'' - Secondary Raw Material '!F322</f>
        <v>3.4471332246079752E-5</v>
      </c>
      <c r="E6" s="1">
        <f>'A2 - Transport'!Z120</f>
        <v>6.2165938626808281E-3</v>
      </c>
      <c r="F6" s="1">
        <f>'C2''- Transport Secondary'!H60</f>
        <v>5.3417016000000006E-4</v>
      </c>
      <c r="G6" s="1" t="e">
        <f>'A3 - Production '!D208</f>
        <v>#N/A</v>
      </c>
      <c r="H6" s="1">
        <f>'A4 - Transport'!B19</f>
        <v>1.48181769996E-3</v>
      </c>
      <c r="I6" s="1">
        <f>'A5 - Construction'!E141</f>
        <v>2.3895789556239896E-4</v>
      </c>
      <c r="J6" s="1">
        <f>'C1 - Deconstruction'!B89</f>
        <v>1.8133028980664895E-4</v>
      </c>
      <c r="K6" s="1">
        <f>'D- Benefits &amp; Burdens'!N163</f>
        <v>-6.9545976880582047E-2</v>
      </c>
      <c r="L6" s="1" t="e">
        <f t="shared" si="1"/>
        <v>#N/A</v>
      </c>
      <c r="M6" s="1" t="e">
        <f t="shared" si="0"/>
        <v>#N/A</v>
      </c>
      <c r="Q6" s="67"/>
    </row>
    <row r="7" spans="1:17" x14ac:dyDescent="0.35">
      <c r="A7" s="39" t="s">
        <v>165</v>
      </c>
      <c r="B7" s="39" t="s">
        <v>163</v>
      </c>
      <c r="C7" s="1">
        <f>'A1 - Raw Material Supply'!Z117</f>
        <v>14.404199604607689</v>
      </c>
      <c r="D7" s="1">
        <f>'C3'' - Secondary Raw Material '!F323</f>
        <v>0.16674849071700243</v>
      </c>
      <c r="E7" s="1">
        <f>'A2 - Transport'!Z121</f>
        <v>13.540988819228369</v>
      </c>
      <c r="F7" s="1">
        <f>'C2''- Transport Secondary'!H61</f>
        <v>1.1423379024</v>
      </c>
      <c r="G7" s="1" t="e">
        <f>'A3 - Production '!D209</f>
        <v>#N/A</v>
      </c>
      <c r="H7" s="1">
        <f>'A4 - Transport'!B20</f>
        <v>3.1689088044743996</v>
      </c>
      <c r="I7" s="1">
        <f>'A5 - Construction'!E142</f>
        <v>1.1559132134927155</v>
      </c>
      <c r="J7" s="1">
        <f>'C1 - Deconstruction'!B90</f>
        <v>0.87715066916144513</v>
      </c>
      <c r="K7" s="1">
        <f>'D- Benefits &amp; Burdens'!N164</f>
        <v>-22.424931714340261</v>
      </c>
      <c r="L7" s="1" t="e">
        <f t="shared" si="1"/>
        <v>#N/A</v>
      </c>
      <c r="M7" s="1" t="e">
        <f t="shared" si="0"/>
        <v>#N/A</v>
      </c>
      <c r="Q7" s="67"/>
    </row>
    <row r="8" spans="1:17" x14ac:dyDescent="0.35">
      <c r="A8" s="39" t="s">
        <v>166</v>
      </c>
      <c r="B8" s="39" t="s">
        <v>163</v>
      </c>
      <c r="C8" s="1">
        <f>'A1 - Raw Material Supply'!Z118</f>
        <v>6.9409605223877081E-3</v>
      </c>
      <c r="D8" s="1">
        <f>'C3'' - Secondary Raw Material '!F324</f>
        <v>7.375904486254632E-6</v>
      </c>
      <c r="E8" s="1">
        <f>'A2 - Transport'!Z122</f>
        <v>1.5880288493795441E-3</v>
      </c>
      <c r="F8" s="1">
        <f>'C2''- Transport Secondary'!H62</f>
        <v>9.0910799999999997E-5</v>
      </c>
      <c r="G8" s="1" t="e">
        <f>'A3 - Production '!D210</f>
        <v>#N/A</v>
      </c>
      <c r="H8" s="1">
        <f>'A4 - Transport'!B21</f>
        <v>2.5219160979999996E-4</v>
      </c>
      <c r="I8" s="1">
        <f>'A5 - Construction'!E143</f>
        <v>5.1130330598264246E-5</v>
      </c>
      <c r="J8" s="1">
        <f>'C1 - Deconstruction'!B91</f>
        <v>3.8799628878016996E-5</v>
      </c>
      <c r="K8" s="1">
        <f>'D- Benefits &amp; Burdens'!N165</f>
        <v>-8.7887545434272678E-3</v>
      </c>
      <c r="L8" s="1" t="e">
        <f t="shared" si="1"/>
        <v>#N/A</v>
      </c>
      <c r="M8" s="1" t="e">
        <f t="shared" si="0"/>
        <v>#N/A</v>
      </c>
      <c r="Q8" s="67"/>
    </row>
    <row r="9" spans="1:17" x14ac:dyDescent="0.35">
      <c r="A9" s="39" t="s">
        <v>167</v>
      </c>
      <c r="B9" s="39" t="s">
        <v>168</v>
      </c>
      <c r="C9" s="1">
        <f>'A1 - Raw Material Supply'!Z119</f>
        <v>648.70089165005197</v>
      </c>
      <c r="D9" s="1">
        <f>'C3'' - Secondary Raw Material '!F325</f>
        <v>7.3693079401887573E-2</v>
      </c>
      <c r="E9" s="1">
        <f>'A2 - Transport'!Z123</f>
        <v>11.729305415320507</v>
      </c>
      <c r="F9" s="1">
        <f>'C2''- Transport Secondary'!H63</f>
        <v>0.98167643279999994</v>
      </c>
      <c r="G9" s="1" t="e">
        <f>'A3 - Production '!D211</f>
        <v>#N/A</v>
      </c>
      <c r="H9" s="1">
        <f>'A4 - Transport'!B22</f>
        <v>2.7232249621667997</v>
      </c>
      <c r="I9" s="1">
        <f>'A5 - Construction'!E144</f>
        <v>0.51084602839481119</v>
      </c>
      <c r="J9" s="1">
        <f>'C1 - Deconstruction'!B92</f>
        <v>0.38764928924986203</v>
      </c>
      <c r="K9" s="1">
        <f>'D- Benefits &amp; Burdens'!N166</f>
        <v>-683.71146769254324</v>
      </c>
      <c r="L9" s="1" t="e">
        <f t="shared" si="1"/>
        <v>#N/A</v>
      </c>
      <c r="M9" s="1" t="e">
        <f t="shared" si="0"/>
        <v>#N/A</v>
      </c>
      <c r="Q9" s="67"/>
    </row>
    <row r="10" spans="1:17" ht="29" x14ac:dyDescent="0.35">
      <c r="A10" s="39" t="s">
        <v>169</v>
      </c>
      <c r="B10" s="39" t="s">
        <v>170</v>
      </c>
      <c r="C10" s="1">
        <f>'A1 - Raw Material Supply'!Z120</f>
        <v>1052.5970850650401</v>
      </c>
      <c r="D10" s="1">
        <f>'C3'' - Secondary Raw Material '!F326</f>
        <v>2.2154215403498743</v>
      </c>
      <c r="E10" s="1">
        <f>'A2 - Transport'!Z124</f>
        <v>181.63455678734744</v>
      </c>
      <c r="F10" s="1">
        <f>'C2''- Transport Secondary'!H64</f>
        <v>15.383093471999999</v>
      </c>
      <c r="G10" s="1" t="e">
        <f>'A3 - Production '!D212</f>
        <v>#N/A</v>
      </c>
      <c r="H10" s="1">
        <f>'A4 - Transport'!B23</f>
        <v>42.673555907631993</v>
      </c>
      <c r="I10" s="1">
        <f>'A5 - Construction'!E145</f>
        <v>15.357470529031247</v>
      </c>
      <c r="J10" s="1">
        <f>'C1 - Deconstruction'!B93</f>
        <v>11.65382953834693</v>
      </c>
      <c r="K10" s="1">
        <f>'D- Benefits &amp; Burdens'!N167</f>
        <v>-1209.2378412170788</v>
      </c>
      <c r="L10" s="1" t="e">
        <f t="shared" si="1"/>
        <v>#N/A</v>
      </c>
      <c r="M10" s="1" t="e">
        <f t="shared" si="0"/>
        <v>#N/A</v>
      </c>
      <c r="Q10" s="67"/>
    </row>
    <row r="11" spans="1:17" ht="29" x14ac:dyDescent="0.35">
      <c r="A11" s="39" t="s">
        <v>171</v>
      </c>
      <c r="B11" s="39" t="s">
        <v>172</v>
      </c>
      <c r="C11" s="1">
        <f>'A1 - Raw Material Supply'!Z121</f>
        <v>3.3136668989280102E-4</v>
      </c>
      <c r="D11" s="1">
        <f>'C3'' - Secondary Raw Material '!F327</f>
        <v>1.7631993026448645E-6</v>
      </c>
      <c r="E11" s="1">
        <f>'A2 - Transport'!Z125</f>
        <v>3.5625760652825868E-4</v>
      </c>
      <c r="F11" s="1">
        <f>'C2''- Transport Secondary'!H65</f>
        <v>2.6659368E-5</v>
      </c>
      <c r="G11" s="1" t="e">
        <f>'A3 - Production '!D213</f>
        <v>#N/A</v>
      </c>
      <c r="H11" s="1">
        <f>'A4 - Transport'!B24</f>
        <v>7.3954567907999981E-5</v>
      </c>
      <c r="I11" s="1">
        <f>'A5 - Construction'!E146</f>
        <v>1.2222631600350229E-5</v>
      </c>
      <c r="J11" s="1">
        <f>'C1 - Deconstruction'!B94</f>
        <v>9.2749951830432911E-6</v>
      </c>
      <c r="K11" s="1">
        <f>'D- Benefits &amp; Burdens'!N168</f>
        <v>-8.6112063596716505E-4</v>
      </c>
      <c r="L11" s="1" t="e">
        <f t="shared" si="1"/>
        <v>#N/A</v>
      </c>
      <c r="M11" s="1" t="e">
        <f t="shared" si="0"/>
        <v>#N/A</v>
      </c>
      <c r="Q11" s="67"/>
    </row>
    <row r="12" spans="1:17" ht="29" x14ac:dyDescent="0.35">
      <c r="A12" s="39" t="s">
        <v>173</v>
      </c>
      <c r="B12" s="39" t="s">
        <v>174</v>
      </c>
      <c r="C12" s="1">
        <f>'A1 - Raw Material Supply'!Z122</f>
        <v>2.399265150778189E-2</v>
      </c>
      <c r="D12" s="1">
        <f>'C3'' - Secondary Raw Material '!F328</f>
        <v>4.8220355792551409E-5</v>
      </c>
      <c r="E12" s="1">
        <f>'A2 - Transport'!Z126</f>
        <v>6.6021738318965684E-3</v>
      </c>
      <c r="F12" s="1">
        <f>'C2''- Transport Secondary'!H66</f>
        <v>3.7149983999999997E-4</v>
      </c>
      <c r="G12" s="1" t="e">
        <f>'A3 - Production '!D214</f>
        <v>#N/A</v>
      </c>
      <c r="H12" s="1">
        <f>'A4 - Transport'!B25</f>
        <v>1.0305611950399997E-3</v>
      </c>
      <c r="I12" s="1">
        <f>'A5 - Construction'!E147</f>
        <v>3.3426717195615875E-4</v>
      </c>
      <c r="J12" s="1">
        <f>'C1 - Deconstruction'!B95</f>
        <v>2.5365457383613185E-4</v>
      </c>
      <c r="K12" s="1">
        <f>'D- Benefits &amp; Burdens'!N169</f>
        <v>-2.9158587268845206E-2</v>
      </c>
      <c r="L12" s="1" t="e">
        <f t="shared" si="1"/>
        <v>#N/A</v>
      </c>
      <c r="M12" s="1" t="e">
        <f t="shared" si="0"/>
        <v>#N/A</v>
      </c>
      <c r="Q12" s="67"/>
    </row>
    <row r="13" spans="1:17" x14ac:dyDescent="0.35">
      <c r="A13" s="39" t="s">
        <v>175</v>
      </c>
      <c r="B13" s="39" t="s">
        <v>176</v>
      </c>
      <c r="C13" s="1">
        <f>'A1 - Raw Material Supply'!Z123</f>
        <v>0.29279515248697985</v>
      </c>
      <c r="D13" s="1">
        <f>'C3'' - Secondary Raw Material '!F329</f>
        <v>5.2421468666230769E-4</v>
      </c>
      <c r="E13" s="1">
        <f>'A2 - Transport'!Z127</f>
        <v>7.1725286929195636E-2</v>
      </c>
      <c r="F13" s="1">
        <f>'C2''- Transport Secondary'!H67</f>
        <v>4.0211496000000001E-3</v>
      </c>
      <c r="G13" s="1" t="e">
        <f>'A3 - Production '!D215</f>
        <v>#N/A</v>
      </c>
      <c r="H13" s="1">
        <f>'A4 - Transport'!B26</f>
        <v>1.1154892387599999E-2</v>
      </c>
      <c r="I13" s="1">
        <f>'A5 - Construction'!E148</f>
        <v>3.6338960575558604E-3</v>
      </c>
      <c r="J13" s="1">
        <f>'C1 - Deconstruction'!B96</f>
        <v>2.7575377816790978E-3</v>
      </c>
      <c r="K13" s="1">
        <f>'D- Benefits &amp; Burdens'!N170</f>
        <v>-0.33632827070436905</v>
      </c>
      <c r="L13" s="1" t="e">
        <f t="shared" si="1"/>
        <v>#N/A</v>
      </c>
      <c r="M13" s="1" t="e">
        <f t="shared" si="0"/>
        <v>#N/A</v>
      </c>
      <c r="Q13" s="67"/>
    </row>
    <row r="14" spans="1:17" x14ac:dyDescent="0.35">
      <c r="A14" s="39" t="s">
        <v>177</v>
      </c>
      <c r="B14" s="39" t="s">
        <v>178</v>
      </c>
      <c r="C14" s="1">
        <f>'A1 - Raw Material Supply'!Z124</f>
        <v>1.1581373562813673E-8</v>
      </c>
      <c r="D14" s="1">
        <f>'C3'' - Secondary Raw Material '!F330</f>
        <v>1.0192646894973112E-11</v>
      </c>
      <c r="E14" s="1">
        <f>'A2 - Transport'!Z128</f>
        <v>1.2287492736762654E-9</v>
      </c>
      <c r="F14" s="1">
        <f>'C2''- Transport Secondary'!H68</f>
        <v>1.0130183999999999E-10</v>
      </c>
      <c r="G14" s="1" t="e">
        <f>'A3 - Production '!D216</f>
        <v>#N/A</v>
      </c>
      <c r="H14" s="1">
        <f>'A4 - Transport'!B27</f>
        <v>2.8101693203999996E-10</v>
      </c>
      <c r="I14" s="1">
        <f>'A5 - Construction'!E149</f>
        <v>7.0656203097876641E-11</v>
      </c>
      <c r="J14" s="1">
        <f>'C1 - Deconstruction'!B97</f>
        <v>5.3616599502692708E-11</v>
      </c>
      <c r="K14" s="1">
        <f>'D- Benefits &amp; Burdens'!N171</f>
        <v>-1.2753929221029702E-8</v>
      </c>
      <c r="L14" s="1" t="e">
        <f t="shared" si="1"/>
        <v>#N/A</v>
      </c>
      <c r="M14" s="1" t="e">
        <f t="shared" si="0"/>
        <v>#N/A</v>
      </c>
      <c r="Q14" s="67"/>
    </row>
    <row r="15" spans="1:17" x14ac:dyDescent="0.35">
      <c r="A15" s="39" t="s">
        <v>179</v>
      </c>
      <c r="B15" s="39" t="s">
        <v>178</v>
      </c>
      <c r="C15" s="1">
        <f>'A1 - Raw Material Supply'!Z125</f>
        <v>3.3554626479919381E-7</v>
      </c>
      <c r="D15" s="1">
        <f>'C3'' - Secondary Raw Material '!F331</f>
        <v>2.7167563726420761E-10</v>
      </c>
      <c r="E15" s="1">
        <f>'A2 - Transport'!Z129</f>
        <v>9.5160481080952313E-8</v>
      </c>
      <c r="F15" s="1">
        <f>'C2''- Transport Secondary'!H69</f>
        <v>8.2424160000000005E-9</v>
      </c>
      <c r="G15" s="1" t="e">
        <f>'A3 - Production '!D217</f>
        <v>#N/A</v>
      </c>
      <c r="H15" s="1">
        <f>'A4 - Transport'!B28</f>
        <v>2.2864919895999999E-8</v>
      </c>
      <c r="I15" s="1">
        <f>'A5 - Construction'!E150</f>
        <v>1.8832761696818848E-9</v>
      </c>
      <c r="J15" s="1">
        <f>'C1 - Deconstruction'!B98</f>
        <v>1.4291011930392459E-9</v>
      </c>
      <c r="K15" s="1">
        <f>'D- Benefits &amp; Burdens'!N172</f>
        <v>-4.0422182106369618E-7</v>
      </c>
      <c r="L15" s="1" t="e">
        <f t="shared" si="1"/>
        <v>#N/A</v>
      </c>
      <c r="M15" s="1" t="e">
        <f t="shared" si="0"/>
        <v>#N/A</v>
      </c>
      <c r="Q15" s="67"/>
    </row>
    <row r="16" spans="1:17" ht="29" x14ac:dyDescent="0.35">
      <c r="A16" s="39" t="s">
        <v>180</v>
      </c>
      <c r="B16" s="39" t="s">
        <v>181</v>
      </c>
      <c r="C16" s="1">
        <f>'A1 - Raw Material Supply'!Z126</f>
        <v>0.33292292588809747</v>
      </c>
      <c r="D16" s="1">
        <f>'C3'' - Secondary Raw Material '!F332</f>
        <v>6.6519868279014841E-4</v>
      </c>
      <c r="E16" s="1">
        <f>'A2 - Transport'!Z130</f>
        <v>9.9208600418833712E-2</v>
      </c>
      <c r="F16" s="1">
        <f>'C2''- Transport Secondary'!H70</f>
        <v>6.9754032000000007E-3</v>
      </c>
      <c r="G16" s="1" t="e">
        <f>'A3 - Production '!D218</f>
        <v>#N/A</v>
      </c>
      <c r="H16" s="1">
        <f>'A4 - Transport'!B29</f>
        <v>1.9350155999199998E-2</v>
      </c>
      <c r="I16" s="1">
        <f>'A5 - Construction'!E151</f>
        <v>4.6112078359980043E-3</v>
      </c>
      <c r="J16" s="1">
        <f>'C1 - Deconstruction'!B99</f>
        <v>3.4991589262714472E-3</v>
      </c>
      <c r="K16" s="1">
        <f>'D- Benefits &amp; Burdens'!N173</f>
        <v>-0.56467359053857702</v>
      </c>
      <c r="L16" s="1" t="e">
        <f t="shared" si="1"/>
        <v>#N/A</v>
      </c>
      <c r="M16" s="1" t="e">
        <f t="shared" si="0"/>
        <v>#N/A</v>
      </c>
      <c r="Q16" s="67"/>
    </row>
    <row r="17" spans="1:17" x14ac:dyDescent="0.35">
      <c r="A17" s="39" t="s">
        <v>182</v>
      </c>
      <c r="B17" s="39" t="s">
        <v>183</v>
      </c>
      <c r="C17" s="1">
        <f>'A1 - Raw Material Supply'!Z127</f>
        <v>399.43030209307545</v>
      </c>
      <c r="D17" s="1">
        <f>'C3'' - Secondary Raw Material '!F333</f>
        <v>0.11390463257521803</v>
      </c>
      <c r="E17" s="1">
        <f>'A2 - Transport'!Z131</f>
        <v>15.918985610005899</v>
      </c>
      <c r="F17" s="1">
        <f>'C2''- Transport Secondary'!H71</f>
        <v>0.97031890079999994</v>
      </c>
      <c r="G17" s="1" t="e">
        <f>'A3 - Production '!D219</f>
        <v>#N/A</v>
      </c>
      <c r="H17" s="1">
        <f>'A4 - Transport'!B30</f>
        <v>2.6917185374248001</v>
      </c>
      <c r="I17" s="1">
        <f>'A5 - Construction'!E152</f>
        <v>0.78959557178350104</v>
      </c>
      <c r="J17" s="1">
        <f>'C1 - Deconstruction'!B100</f>
        <v>0.59917498655808599</v>
      </c>
      <c r="K17" s="1">
        <f>'D- Benefits &amp; Burdens'!N174</f>
        <v>-501.35961764632674</v>
      </c>
      <c r="L17" s="1" t="e">
        <f t="shared" si="1"/>
        <v>#N/A</v>
      </c>
      <c r="M17" s="1" t="e">
        <f t="shared" si="0"/>
        <v>#N/A</v>
      </c>
      <c r="Q17" s="67"/>
    </row>
    <row r="18" spans="1:17" ht="29" x14ac:dyDescent="0.35">
      <c r="A18" s="39" t="s">
        <v>184</v>
      </c>
      <c r="B18" s="39" t="s">
        <v>185</v>
      </c>
      <c r="C18" s="1">
        <f>'A1 - Raw Material Supply'!Z128</f>
        <v>1.2859013299579912E-4</v>
      </c>
      <c r="D18" s="1">
        <f>'C3'' - Secondary Raw Material '!F334</f>
        <v>2.6007934671855809E-8</v>
      </c>
      <c r="E18" s="1">
        <f>'A2 - Transport'!Z132</f>
        <v>1.5113075692075265E-5</v>
      </c>
      <c r="F18" s="1">
        <f>'C2''- Transport Secondary'!H72</f>
        <v>1.2609863999999999E-6</v>
      </c>
      <c r="G18" s="1" t="e">
        <f>'A3 - Production '!D220</f>
        <v>#N/A</v>
      </c>
      <c r="H18" s="1">
        <f>'A4 - Transport'!B31</f>
        <v>3.4980463283999992E-6</v>
      </c>
      <c r="I18" s="1">
        <f>'A5 - Construction'!E153</f>
        <v>1.8028898020957092E-7</v>
      </c>
      <c r="J18" s="1">
        <f>'C1 - Deconstruction'!B101</f>
        <v>1.3681009766764487E-7</v>
      </c>
      <c r="K18" s="1">
        <f>'D- Benefits &amp; Burdens'!N175</f>
        <v>-1.6744695790738401E-5</v>
      </c>
      <c r="L18" s="1" t="e">
        <f t="shared" si="1"/>
        <v>#N/A</v>
      </c>
      <c r="M18" s="1" t="e">
        <f t="shared" si="0"/>
        <v>#N/A</v>
      </c>
      <c r="Q18" s="67"/>
    </row>
    <row r="19" spans="1:17" x14ac:dyDescent="0.35">
      <c r="A19" s="39" t="s">
        <v>186</v>
      </c>
      <c r="B19" s="39" t="s">
        <v>187</v>
      </c>
      <c r="C19" s="1">
        <f>'A1 - Raw Material Supply'!Z129</f>
        <v>4.1319597515591618E-8</v>
      </c>
      <c r="D19" s="1">
        <f>'C3'' - Secondary Raw Material '!F335</f>
        <v>3.7585564815097762E-9</v>
      </c>
      <c r="E19" s="1">
        <f>'A2 - Transport'!Z133</f>
        <v>2.9902829027028264E-7</v>
      </c>
      <c r="F19" s="1">
        <f>'C2''- Transport Secondary'!H73</f>
        <v>2.5414703999999998E-8</v>
      </c>
      <c r="G19" s="1" t="e">
        <f>'A3 - Production '!D221</f>
        <v>#N/A</v>
      </c>
      <c r="H19" s="1">
        <f>'A4 - Transport'!B32</f>
        <v>7.0501800823999998E-8</v>
      </c>
      <c r="I19" s="1">
        <f>'A5 - Construction'!E154</f>
        <v>2.6054599246773572E-8</v>
      </c>
      <c r="J19" s="1">
        <f>'C1 - Deconstruction'!B102</f>
        <v>1.9771215431464347E-8</v>
      </c>
      <c r="K19" s="1">
        <f>'D- Benefits &amp; Burdens'!N176</f>
        <v>-2.0366864110190814E-7</v>
      </c>
      <c r="L19" s="1" t="e">
        <f t="shared" si="1"/>
        <v>#N/A</v>
      </c>
      <c r="M19" s="1" t="e">
        <f t="shared" si="0"/>
        <v>#N/A</v>
      </c>
      <c r="Q19" s="67"/>
    </row>
    <row r="20" spans="1:17" x14ac:dyDescent="0.35">
      <c r="A20" s="39" t="s">
        <v>188</v>
      </c>
      <c r="B20" s="39" t="s">
        <v>189</v>
      </c>
      <c r="C20" s="1">
        <f>'A1 - Raw Material Supply'!Z130</f>
        <v>1.2997213323707977E-6</v>
      </c>
      <c r="D20" s="1">
        <f>'C3'' - Secondary Raw Material '!F336</f>
        <v>1.6427613993186483E-9</v>
      </c>
      <c r="E20" s="1">
        <f>'A2 - Transport'!Z134</f>
        <v>8.1520318289353955E-7</v>
      </c>
      <c r="F20" s="1">
        <f>'C2''- Transport Secondary'!H74</f>
        <v>7.0844903999999993E-8</v>
      </c>
      <c r="G20" s="1" t="e">
        <f>'A3 - Production '!D222</f>
        <v>#N/A</v>
      </c>
      <c r="H20" s="1">
        <f>'A4 - Transport'!B33</f>
        <v>1.9652769952399998E-7</v>
      </c>
      <c r="I20" s="1">
        <f>'A5 - Construction'!E155</f>
        <v>1.138774689907637E-8</v>
      </c>
      <c r="J20" s="1">
        <f>'C1 - Deconstruction'!B103</f>
        <v>8.6414530919530463E-9</v>
      </c>
      <c r="K20" s="1">
        <f>'D- Benefits &amp; Burdens'!N177</f>
        <v>-1.7360814144658524E-6</v>
      </c>
      <c r="L20" s="1" t="e">
        <f t="shared" si="1"/>
        <v>#N/A</v>
      </c>
      <c r="M20" s="1" t="e">
        <f t="shared" si="0"/>
        <v>#N/A</v>
      </c>
      <c r="Q20" s="67"/>
    </row>
    <row r="21" spans="1:17" ht="29" x14ac:dyDescent="0.35">
      <c r="A21" s="39" t="s">
        <v>190</v>
      </c>
      <c r="B21" s="39" t="s">
        <v>191</v>
      </c>
      <c r="C21" s="1">
        <f>'A1 - Raw Material Supply'!Z131</f>
        <v>9.0122862479153631E-2</v>
      </c>
      <c r="D21" s="1">
        <f>'C3'' - Secondary Raw Material '!F337</f>
        <v>4.1082738634614822E-4</v>
      </c>
      <c r="E21" s="1">
        <f>'A2 - Transport'!Z135</f>
        <v>4.0978520404184482E-2</v>
      </c>
      <c r="F21" s="1">
        <f>'C2''- Transport Secondary'!H75</f>
        <v>2.9715551999999995E-3</v>
      </c>
      <c r="G21" s="1" t="e">
        <f>'A3 - Production '!D223</f>
        <v>#N/A</v>
      </c>
      <c r="H21" s="1">
        <f>'A4 - Transport'!B34</f>
        <v>8.2432592111999978E-3</v>
      </c>
      <c r="I21" s="1">
        <f>'A5 - Construction'!E156</f>
        <v>2.8478866723185801E-3</v>
      </c>
      <c r="J21" s="1">
        <f>'C1 - Deconstruction'!B104</f>
        <v>2.1610841291208631E-3</v>
      </c>
      <c r="K21" s="1">
        <f>'D- Benefits &amp; Burdens'!N178</f>
        <v>-0.11581316017071666</v>
      </c>
      <c r="L21" s="1" t="e">
        <f t="shared" si="1"/>
        <v>#N/A</v>
      </c>
      <c r="M21" s="1" t="e">
        <f t="shared" si="0"/>
        <v>#N/A</v>
      </c>
      <c r="Q21" s="67"/>
    </row>
    <row r="22" spans="1:17" ht="29" x14ac:dyDescent="0.35">
      <c r="A22" s="39" t="s">
        <v>192</v>
      </c>
      <c r="B22" s="39" t="s">
        <v>193</v>
      </c>
      <c r="C22" s="1">
        <f>'A1 - Raw Material Supply'!Z132</f>
        <v>3.7118098986587436</v>
      </c>
      <c r="D22" s="1">
        <f>'C3'' - Secondary Raw Material '!F338</f>
        <v>2.9984053368853725E-3</v>
      </c>
      <c r="E22" s="1">
        <f>'A2 - Transport'!Z136</f>
        <v>0.45395495485479498</v>
      </c>
      <c r="F22" s="1">
        <f>'C2''- Transport Secondary'!H76</f>
        <v>3.5036560799999998E-2</v>
      </c>
      <c r="G22" s="1" t="e">
        <f>'A3 - Production '!D224</f>
        <v>#N/A</v>
      </c>
      <c r="H22" s="1">
        <f>'A4 - Transport'!B35</f>
        <v>9.7193366134799994E-2</v>
      </c>
      <c r="I22" s="1">
        <f>'A5 - Construction'!E157</f>
        <v>2.0785173727269492E-2</v>
      </c>
      <c r="J22" s="1">
        <f>'C1 - Deconstruction'!B105</f>
        <v>1.5772576029667661E-2</v>
      </c>
      <c r="K22" s="1">
        <f>'D- Benefits &amp; Burdens'!N179</f>
        <v>-4.7592100043512344</v>
      </c>
      <c r="L22" s="1" t="e">
        <f t="shared" si="1"/>
        <v>#N/A</v>
      </c>
      <c r="M22" s="1" t="e">
        <f t="shared" si="0"/>
        <v>#N/A</v>
      </c>
      <c r="Q22" s="67"/>
    </row>
    <row r="23" spans="1:17" x14ac:dyDescent="0.35">
      <c r="A23" s="258" t="s">
        <v>57</v>
      </c>
      <c r="B23" s="338" t="e">
        <f>+SUM(C23:K23)</f>
        <v>#N/A</v>
      </c>
      <c r="C23" s="325">
        <f>+SUM(C4:C22)-'A1 - Raw Material Supply'!D137</f>
        <v>0</v>
      </c>
      <c r="D23" s="325">
        <f>+SUM(D4:D22)-'C3'' - Secondary Raw Material '!B344</f>
        <v>0</v>
      </c>
      <c r="E23" s="325">
        <f>+SUM(E4:E22)-'A2 - Transport'!B142</f>
        <v>0</v>
      </c>
      <c r="F23" s="325">
        <f>+SUM(F4:F22)-'C2''- Transport Secondary'!B81</f>
        <v>0</v>
      </c>
      <c r="G23" s="325" t="e">
        <f>+SUM(G4:G22)-'A3 - Production '!B230</f>
        <v>#N/A</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194</v>
      </c>
      <c r="B25" s="66"/>
    </row>
    <row r="26" spans="1:17" x14ac:dyDescent="0.35">
      <c r="A26" s="328" t="s">
        <v>195</v>
      </c>
      <c r="B26" s="66"/>
    </row>
    <row r="27" spans="1:17" ht="43.5" x14ac:dyDescent="0.35">
      <c r="A27" s="103" t="s">
        <v>151</v>
      </c>
      <c r="B27" s="103" t="s">
        <v>196</v>
      </c>
      <c r="C27" s="103" t="s">
        <v>197</v>
      </c>
      <c r="D27" s="108" t="s">
        <v>1009</v>
      </c>
      <c r="E27" s="103" t="s">
        <v>1010</v>
      </c>
      <c r="F27" s="108" t="s">
        <v>1013</v>
      </c>
      <c r="G27" s="108" t="s">
        <v>1008</v>
      </c>
      <c r="H27" s="108" t="s">
        <v>154</v>
      </c>
      <c r="I27" s="108" t="s">
        <v>155</v>
      </c>
      <c r="J27" s="103" t="s">
        <v>156</v>
      </c>
      <c r="K27" s="103" t="s">
        <v>157</v>
      </c>
      <c r="L27" s="103" t="s">
        <v>159</v>
      </c>
      <c r="M27" s="103" t="s">
        <v>985</v>
      </c>
      <c r="N27" s="103" t="s">
        <v>989</v>
      </c>
      <c r="O27" s="103" t="s">
        <v>1004</v>
      </c>
    </row>
    <row r="28" spans="1:17" x14ac:dyDescent="0.35">
      <c r="A28" s="39" t="s">
        <v>160</v>
      </c>
      <c r="B28" s="154">
        <v>55.6</v>
      </c>
      <c r="C28" s="154">
        <v>6.2E-2</v>
      </c>
      <c r="D28" s="1">
        <f t="shared" ref="D28" si="2">(C4/$B28)*$C28</f>
        <v>8.6233038986460069E-5</v>
      </c>
      <c r="E28" s="1">
        <f t="shared" ref="E28" si="3">(D4/$B28)*$C28</f>
        <v>2.3778484406484672E-7</v>
      </c>
      <c r="F28" s="1">
        <f t="shared" ref="F28" si="4">(E4/$B28)*$C28</f>
        <v>2.7417280026606062E-5</v>
      </c>
      <c r="G28" s="1">
        <f t="shared" ref="G28" si="5">(F4/$B28)*$C28</f>
        <v>1.9005881438848917E-6</v>
      </c>
      <c r="H28" s="1" t="e">
        <f t="shared" ref="H28" si="6">(G4/$B28)*$C28</f>
        <v>#N/A</v>
      </c>
      <c r="I28" s="1">
        <f t="shared" ref="I28" si="7">(H4/$B28)*$C28</f>
        <v>5.2723370993669054E-6</v>
      </c>
      <c r="J28" s="1">
        <f t="shared" ref="J28" si="8">(I4/$B28)*$C28</f>
        <v>1.6483426149226037E-6</v>
      </c>
      <c r="K28" s="1">
        <f t="shared" ref="K28" si="9">(J4/$B28)*$C28</f>
        <v>1.2508247252558979E-6</v>
      </c>
      <c r="L28" s="1">
        <f t="shared" ref="L28" si="10">(K4/$B28)*$C28</f>
        <v>-1.0297394816966627E-4</v>
      </c>
      <c r="M28" s="1" t="e">
        <f>SUM(D28:H28)*1000</f>
        <v>#N/A</v>
      </c>
      <c r="N28" s="1" t="e">
        <f>SUM(D28:K28)*1000</f>
        <v>#N/A</v>
      </c>
      <c r="O28" s="1" t="e">
        <f>SUM(D28:L28)*1000</f>
        <v>#N/A</v>
      </c>
    </row>
    <row r="29" spans="1:17" x14ac:dyDescent="0.35">
      <c r="A29" s="39" t="s">
        <v>162</v>
      </c>
      <c r="B29" s="154">
        <v>8100</v>
      </c>
      <c r="C29" s="154">
        <v>0.21059999999999998</v>
      </c>
      <c r="D29" s="1">
        <f t="shared" ref="D29:D46" si="11">(C5/$B29)*$C29</f>
        <v>3.7753459986951935E-4</v>
      </c>
      <c r="E29" s="1">
        <f t="shared" ref="E29:E46" si="12">(D5/$B29)*$C29</f>
        <v>4.3365487867971042E-6</v>
      </c>
      <c r="F29" s="1">
        <f t="shared" ref="F29:F46" si="13">(E5/$B29)*$C29</f>
        <v>3.522686299145523E-4</v>
      </c>
      <c r="G29" s="1">
        <f t="shared" ref="G29:G46" si="14">(F5/$B29)*$C29</f>
        <v>2.9717037604799998E-5</v>
      </c>
      <c r="H29" s="1" t="e">
        <f t="shared" ref="H29:H46" si="15">(G5/$B29)*$C29</f>
        <v>#N/A</v>
      </c>
      <c r="I29" s="1">
        <f t="shared" ref="I29:I46" si="16">(H5/$B29)*$C29</f>
        <v>8.2436713262248778E-5</v>
      </c>
      <c r="J29" s="1">
        <f t="shared" ref="J29:J46" si="17">(I5/$B29)*$C29</f>
        <v>3.0061285844690778E-5</v>
      </c>
      <c r="K29" s="1">
        <f t="shared" ref="K29:K46" si="18">(J5/$B29)*$C29</f>
        <v>2.2811640776083373E-5</v>
      </c>
      <c r="L29" s="1">
        <f t="shared" ref="L29:L46" si="19">(K5/$B29)*$C29</f>
        <v>-5.8486323778677576E-4</v>
      </c>
      <c r="M29" s="1" t="e">
        <f>SUM(D29:H29)*1000</f>
        <v>#N/A</v>
      </c>
      <c r="N29" s="1" t="e">
        <f t="shared" ref="N29:N46" si="20">SUM(D29:K29)*1000</f>
        <v>#N/A</v>
      </c>
      <c r="O29" s="1" t="e">
        <f>SUM(D29:L29)*1000</f>
        <v>#N/A</v>
      </c>
    </row>
    <row r="30" spans="1:17" x14ac:dyDescent="0.35">
      <c r="A30" s="39" t="s">
        <v>164</v>
      </c>
      <c r="B30" s="333"/>
      <c r="C30" s="333"/>
      <c r="D30" s="333"/>
      <c r="E30" s="333"/>
      <c r="F30" s="333"/>
      <c r="G30" s="333"/>
      <c r="H30" s="333"/>
      <c r="I30" s="333"/>
      <c r="J30" s="333"/>
      <c r="K30" s="333"/>
      <c r="L30" s="333"/>
      <c r="M30" s="333"/>
      <c r="N30" s="333"/>
      <c r="O30" s="333"/>
    </row>
    <row r="31" spans="1:17" x14ac:dyDescent="0.35">
      <c r="A31" s="39" t="s">
        <v>165</v>
      </c>
      <c r="B31" s="333"/>
      <c r="C31" s="333"/>
      <c r="D31" s="333"/>
      <c r="E31" s="333"/>
      <c r="F31" s="333"/>
      <c r="G31" s="333"/>
      <c r="H31" s="333"/>
      <c r="I31" s="333"/>
      <c r="J31" s="333"/>
      <c r="K31" s="333"/>
      <c r="L31" s="333"/>
      <c r="M31" s="333"/>
      <c r="N31" s="333"/>
      <c r="O31" s="333"/>
    </row>
    <row r="32" spans="1:17" x14ac:dyDescent="0.35">
      <c r="A32" s="39" t="s">
        <v>166</v>
      </c>
      <c r="B32" s="333"/>
      <c r="C32" s="333"/>
      <c r="D32" s="333"/>
      <c r="E32" s="333"/>
      <c r="F32" s="333"/>
      <c r="G32" s="333"/>
      <c r="H32" s="333"/>
      <c r="I32" s="333"/>
      <c r="J32" s="333"/>
      <c r="K32" s="333"/>
      <c r="L32" s="333"/>
      <c r="M32" s="333"/>
      <c r="N32" s="333"/>
      <c r="O32" s="333"/>
    </row>
    <row r="33" spans="1:15" x14ac:dyDescent="0.35">
      <c r="A33" s="39" t="s">
        <v>167</v>
      </c>
      <c r="B33" s="154">
        <v>42700</v>
      </c>
      <c r="C33" s="154">
        <v>1.9199999999999998E-2</v>
      </c>
      <c r="D33" s="1">
        <f t="shared" si="11"/>
        <v>2.916875203672365E-4</v>
      </c>
      <c r="E33" s="1">
        <f t="shared" si="12"/>
        <v>3.3135998232230473E-8</v>
      </c>
      <c r="F33" s="1">
        <f t="shared" si="13"/>
        <v>5.2740670719942326E-6</v>
      </c>
      <c r="G33" s="1">
        <f t="shared" si="14"/>
        <v>4.4140954355409827E-7</v>
      </c>
      <c r="H33" s="1" t="e">
        <f t="shared" si="15"/>
        <v>#N/A</v>
      </c>
      <c r="I33" s="1">
        <f t="shared" si="16"/>
        <v>1.2244945965714882E-6</v>
      </c>
      <c r="J33" s="1">
        <f t="shared" si="17"/>
        <v>2.2970125866932963E-7</v>
      </c>
      <c r="K33" s="1">
        <f t="shared" si="18"/>
        <v>1.7430600359712764E-7</v>
      </c>
      <c r="L33" s="1">
        <f t="shared" si="19"/>
        <v>-3.0742998078915292E-4</v>
      </c>
      <c r="M33" s="1" t="e">
        <f t="shared" ref="M33:M46" si="21">SUM(D33:H33)*1000</f>
        <v>#N/A</v>
      </c>
      <c r="N33" s="1" t="e">
        <f t="shared" si="20"/>
        <v>#N/A</v>
      </c>
      <c r="O33" s="1" t="e">
        <f t="shared" ref="O33:O46" si="22">SUM(D33:L33)*1000</f>
        <v>#N/A</v>
      </c>
    </row>
    <row r="34" spans="1:15" x14ac:dyDescent="0.35">
      <c r="A34" s="39" t="s">
        <v>169</v>
      </c>
      <c r="B34" s="154">
        <v>65000</v>
      </c>
      <c r="C34" s="154">
        <v>7.5499999999999998E-2</v>
      </c>
      <c r="D34" s="1">
        <f t="shared" si="11"/>
        <v>1.2226319988063159E-3</v>
      </c>
      <c r="E34" s="1">
        <f t="shared" si="12"/>
        <v>2.5732973276371616E-6</v>
      </c>
      <c r="F34" s="1">
        <f t="shared" si="13"/>
        <v>2.1097552365299588E-4</v>
      </c>
      <c r="G34" s="1">
        <f t="shared" si="14"/>
        <v>1.786805472516923E-5</v>
      </c>
      <c r="H34" s="1" t="e">
        <f t="shared" si="15"/>
        <v>#N/A</v>
      </c>
      <c r="I34" s="1">
        <f t="shared" si="16"/>
        <v>4.9566976477326392E-5</v>
      </c>
      <c r="J34" s="1">
        <f t="shared" si="17"/>
        <v>1.7838292691413218E-5</v>
      </c>
      <c r="K34" s="1">
        <f t="shared" si="18"/>
        <v>1.3536371233002972E-5</v>
      </c>
      <c r="L34" s="1">
        <f t="shared" si="19"/>
        <v>-1.4045762617213762E-3</v>
      </c>
      <c r="M34" s="1" t="e">
        <f t="shared" si="21"/>
        <v>#N/A</v>
      </c>
      <c r="N34" s="1" t="e">
        <f t="shared" si="20"/>
        <v>#N/A</v>
      </c>
      <c r="O34" s="1" t="e">
        <f t="shared" si="22"/>
        <v>#N/A</v>
      </c>
    </row>
    <row r="35" spans="1:15" x14ac:dyDescent="0.35">
      <c r="A35" s="39" t="s">
        <v>171</v>
      </c>
      <c r="B35" s="154">
        <v>1.61</v>
      </c>
      <c r="C35" s="154">
        <v>2.7999999999999997E-2</v>
      </c>
      <c r="D35" s="1">
        <f t="shared" si="11"/>
        <v>5.7628989546574082E-6</v>
      </c>
      <c r="E35" s="1">
        <f t="shared" si="12"/>
        <v>3.0664335698171552E-8</v>
      </c>
      <c r="F35" s="1">
        <f t="shared" si="13"/>
        <v>6.1957844613610193E-6</v>
      </c>
      <c r="G35" s="1">
        <f t="shared" si="14"/>
        <v>4.636411826086956E-7</v>
      </c>
      <c r="H35" s="1" t="e">
        <f t="shared" si="15"/>
        <v>#N/A</v>
      </c>
      <c r="I35" s="1">
        <f t="shared" si="16"/>
        <v>1.2861663983999994E-6</v>
      </c>
      <c r="J35" s="1">
        <f t="shared" si="17"/>
        <v>2.1256750609304743E-7</v>
      </c>
      <c r="K35" s="1">
        <f t="shared" si="18"/>
        <v>1.6130426405292678E-7</v>
      </c>
      <c r="L35" s="1">
        <f t="shared" si="19"/>
        <v>-1.4976011060298521E-5</v>
      </c>
      <c r="M35" s="1" t="e">
        <f t="shared" si="21"/>
        <v>#N/A</v>
      </c>
      <c r="N35" s="1" t="e">
        <f t="shared" si="20"/>
        <v>#N/A</v>
      </c>
      <c r="O35" s="1" t="e">
        <f t="shared" si="22"/>
        <v>#N/A</v>
      </c>
    </row>
    <row r="36" spans="1:15" x14ac:dyDescent="0.35">
      <c r="A36" s="39" t="s">
        <v>173</v>
      </c>
      <c r="B36" s="154">
        <v>19.5</v>
      </c>
      <c r="C36" s="154">
        <v>2.9600000000000001E-2</v>
      </c>
      <c r="D36" s="1">
        <f t="shared" si="11"/>
        <v>3.64196145964279E-5</v>
      </c>
      <c r="E36" s="1">
        <f t="shared" si="12"/>
        <v>7.3196027254334448E-8</v>
      </c>
      <c r="F36" s="1">
        <f t="shared" si="13"/>
        <v>1.0021761303801971E-5</v>
      </c>
      <c r="G36" s="1">
        <f t="shared" si="14"/>
        <v>5.639177058461538E-7</v>
      </c>
      <c r="H36" s="1" t="e">
        <f t="shared" si="15"/>
        <v>#N/A</v>
      </c>
      <c r="I36" s="1">
        <f t="shared" si="16"/>
        <v>1.5643390447786663E-6</v>
      </c>
      <c r="J36" s="1">
        <f t="shared" si="17"/>
        <v>5.0740042512319476E-7</v>
      </c>
      <c r="K36" s="1">
        <f t="shared" si="18"/>
        <v>3.8503463515638476E-7</v>
      </c>
      <c r="L36" s="1">
        <f t="shared" si="19"/>
        <v>-4.4261240161939389E-5</v>
      </c>
      <c r="M36" s="1" t="e">
        <f t="shared" si="21"/>
        <v>#N/A</v>
      </c>
      <c r="N36" s="1" t="e">
        <f t="shared" si="20"/>
        <v>#N/A</v>
      </c>
      <c r="O36" s="1" t="e">
        <f t="shared" si="22"/>
        <v>#N/A</v>
      </c>
    </row>
    <row r="37" spans="1:15" x14ac:dyDescent="0.35">
      <c r="A37" s="39" t="s">
        <v>175</v>
      </c>
      <c r="B37" s="154">
        <v>177</v>
      </c>
      <c r="C37" s="154">
        <v>3.7100000000000001E-2</v>
      </c>
      <c r="D37" s="1">
        <f t="shared" si="11"/>
        <v>6.1371187329191824E-5</v>
      </c>
      <c r="E37" s="1">
        <f t="shared" si="12"/>
        <v>1.0987776765633682E-7</v>
      </c>
      <c r="F37" s="1">
        <f t="shared" si="13"/>
        <v>1.5033944322447222E-5</v>
      </c>
      <c r="G37" s="1">
        <f t="shared" si="14"/>
        <v>8.4285113084745771E-7</v>
      </c>
      <c r="H37" s="1" t="e">
        <f t="shared" si="15"/>
        <v>#N/A</v>
      </c>
      <c r="I37" s="1">
        <f t="shared" si="16"/>
        <v>2.3381158620336719E-6</v>
      </c>
      <c r="J37" s="1">
        <f t="shared" si="17"/>
        <v>7.6168103805266902E-7</v>
      </c>
      <c r="K37" s="1">
        <f t="shared" si="18"/>
        <v>5.7799238248753979E-7</v>
      </c>
      <c r="L37" s="1">
        <f t="shared" si="19"/>
        <v>-7.0495925667412955E-5</v>
      </c>
      <c r="M37" s="1" t="e">
        <f t="shared" si="21"/>
        <v>#N/A</v>
      </c>
      <c r="N37" s="1" t="e">
        <f t="shared" si="20"/>
        <v>#N/A</v>
      </c>
      <c r="O37" s="1" t="e">
        <f t="shared" si="22"/>
        <v>#N/A</v>
      </c>
    </row>
    <row r="38" spans="1:15" x14ac:dyDescent="0.35">
      <c r="A38" s="39" t="s">
        <v>177</v>
      </c>
      <c r="B38" s="154">
        <v>1.6900000000000001E-5</v>
      </c>
      <c r="C38" s="154">
        <v>2.1299999999999999E-2</v>
      </c>
      <c r="D38" s="1">
        <f t="shared" si="11"/>
        <v>1.4596642419404213E-5</v>
      </c>
      <c r="E38" s="1">
        <f t="shared" si="12"/>
        <v>1.2846353778871438E-8</v>
      </c>
      <c r="F38" s="1">
        <f t="shared" si="13"/>
        <v>1.5486603271777783E-6</v>
      </c>
      <c r="G38" s="1">
        <f t="shared" si="14"/>
        <v>1.2767628355029584E-7</v>
      </c>
      <c r="H38" s="1" t="e">
        <f t="shared" si="15"/>
        <v>#N/A</v>
      </c>
      <c r="I38" s="1">
        <f t="shared" si="16"/>
        <v>3.541811036953845E-7</v>
      </c>
      <c r="J38" s="1">
        <f t="shared" si="17"/>
        <v>8.9051900945844519E-8</v>
      </c>
      <c r="K38" s="1">
        <f t="shared" si="18"/>
        <v>6.7575950852506183E-8</v>
      </c>
      <c r="L38" s="1">
        <f t="shared" si="19"/>
        <v>-1.6074478840706072E-5</v>
      </c>
      <c r="M38" s="1" t="e">
        <f t="shared" si="21"/>
        <v>#N/A</v>
      </c>
      <c r="N38" s="1" t="e">
        <f t="shared" si="20"/>
        <v>#N/A</v>
      </c>
      <c r="O38" s="1" t="e">
        <f t="shared" si="22"/>
        <v>#N/A</v>
      </c>
    </row>
    <row r="39" spans="1:15" x14ac:dyDescent="0.35">
      <c r="A39" s="39" t="s">
        <v>179</v>
      </c>
      <c r="B39" s="154">
        <v>2.3000000000000001E-4</v>
      </c>
      <c r="C39" s="154">
        <v>1.84E-2</v>
      </c>
      <c r="D39" s="1">
        <f t="shared" si="11"/>
        <v>2.6843701183935503E-5</v>
      </c>
      <c r="E39" s="1">
        <f t="shared" si="12"/>
        <v>2.1734050981136607E-8</v>
      </c>
      <c r="F39" s="1">
        <f t="shared" si="13"/>
        <v>7.6128384864761844E-6</v>
      </c>
      <c r="G39" s="1">
        <f t="shared" si="14"/>
        <v>6.5939327999999996E-7</v>
      </c>
      <c r="H39" s="1" t="e">
        <f t="shared" si="15"/>
        <v>#N/A</v>
      </c>
      <c r="I39" s="1">
        <f t="shared" si="16"/>
        <v>1.8291935916799997E-6</v>
      </c>
      <c r="J39" s="1">
        <f t="shared" si="17"/>
        <v>1.5066209357455078E-7</v>
      </c>
      <c r="K39" s="1">
        <f t="shared" si="18"/>
        <v>1.1432809544313966E-7</v>
      </c>
      <c r="L39" s="1">
        <f t="shared" si="19"/>
        <v>-3.2337745685095694E-5</v>
      </c>
      <c r="M39" s="1" t="e">
        <f t="shared" si="21"/>
        <v>#N/A</v>
      </c>
      <c r="N39" s="1" t="e">
        <f t="shared" si="20"/>
        <v>#N/A</v>
      </c>
      <c r="O39" s="1" t="e">
        <f t="shared" si="22"/>
        <v>#N/A</v>
      </c>
    </row>
    <row r="40" spans="1:15" x14ac:dyDescent="0.35">
      <c r="A40" s="39" t="s">
        <v>180</v>
      </c>
      <c r="B40" s="154">
        <v>4220</v>
      </c>
      <c r="C40" s="154">
        <v>5.0099999999999999E-2</v>
      </c>
      <c r="D40" s="1">
        <f t="shared" si="11"/>
        <v>3.9524735988136683E-6</v>
      </c>
      <c r="E40" s="1">
        <f t="shared" si="12"/>
        <v>7.8972639828877798E-9</v>
      </c>
      <c r="F40" s="1">
        <f t="shared" si="13"/>
        <v>1.1778082656359168E-6</v>
      </c>
      <c r="G40" s="1">
        <f t="shared" si="14"/>
        <v>8.2812251260663508E-8</v>
      </c>
      <c r="H40" s="1" t="e">
        <f t="shared" si="15"/>
        <v>#N/A</v>
      </c>
      <c r="I40" s="1">
        <f t="shared" si="16"/>
        <v>2.2972578567770615E-7</v>
      </c>
      <c r="J40" s="1">
        <f t="shared" si="17"/>
        <v>5.4744434261492891E-8</v>
      </c>
      <c r="K40" s="1">
        <f t="shared" si="18"/>
        <v>4.1542147442227365E-8</v>
      </c>
      <c r="L40" s="1">
        <f t="shared" si="19"/>
        <v>-6.7038262762992204E-6</v>
      </c>
      <c r="M40" s="1" t="e">
        <f t="shared" si="21"/>
        <v>#N/A</v>
      </c>
      <c r="N40" s="1" t="e">
        <f t="shared" si="20"/>
        <v>#N/A</v>
      </c>
      <c r="O40" s="1" t="e">
        <f t="shared" si="22"/>
        <v>#N/A</v>
      </c>
    </row>
    <row r="41" spans="1:15" x14ac:dyDescent="0.35">
      <c r="A41" s="39" t="s">
        <v>182</v>
      </c>
      <c r="B41" s="154">
        <v>819000</v>
      </c>
      <c r="C41" s="154">
        <v>7.9399999999999998E-2</v>
      </c>
      <c r="D41" s="1">
        <f t="shared" si="11"/>
        <v>3.8723767992906217E-5</v>
      </c>
      <c r="E41" s="1">
        <f t="shared" si="12"/>
        <v>1.1042769018891711E-8</v>
      </c>
      <c r="F41" s="1">
        <f t="shared" si="13"/>
        <v>1.5433058088332947E-6</v>
      </c>
      <c r="G41" s="1">
        <f t="shared" si="14"/>
        <v>9.4069988673406589E-8</v>
      </c>
      <c r="H41" s="1" t="e">
        <f t="shared" si="15"/>
        <v>#N/A</v>
      </c>
      <c r="I41" s="1">
        <f t="shared" si="16"/>
        <v>2.6095537469051172E-7</v>
      </c>
      <c r="J41" s="1">
        <f t="shared" si="17"/>
        <v>7.6549314285238074E-8</v>
      </c>
      <c r="K41" s="1">
        <f t="shared" si="18"/>
        <v>5.8088515180356561E-8</v>
      </c>
      <c r="L41" s="1">
        <f t="shared" si="19"/>
        <v>-4.8605560001365497E-5</v>
      </c>
      <c r="M41" s="1" t="e">
        <f t="shared" si="21"/>
        <v>#N/A</v>
      </c>
      <c r="N41" s="1" t="e">
        <f t="shared" si="20"/>
        <v>#N/A</v>
      </c>
      <c r="O41" s="1" t="e">
        <f t="shared" si="22"/>
        <v>#N/A</v>
      </c>
    </row>
    <row r="42" spans="1:15" x14ac:dyDescent="0.35">
      <c r="A42" s="39" t="s">
        <v>184</v>
      </c>
      <c r="B42" s="154">
        <v>65000</v>
      </c>
      <c r="C42" s="154">
        <v>8.3199999999999996E-2</v>
      </c>
      <c r="D42" s="1">
        <f t="shared" si="11"/>
        <v>1.6459537023462286E-10</v>
      </c>
      <c r="E42" s="1">
        <f t="shared" si="12"/>
        <v>3.3290156379975435E-14</v>
      </c>
      <c r="F42" s="1">
        <f t="shared" si="13"/>
        <v>1.9344736885856338E-11</v>
      </c>
      <c r="G42" s="1">
        <f t="shared" si="14"/>
        <v>1.6140625919999996E-12</v>
      </c>
      <c r="H42" s="1" t="e">
        <f t="shared" si="15"/>
        <v>#N/A</v>
      </c>
      <c r="I42" s="1">
        <f t="shared" si="16"/>
        <v>4.4774993003519987E-12</v>
      </c>
      <c r="J42" s="1">
        <f t="shared" si="17"/>
        <v>2.3076989466825078E-13</v>
      </c>
      <c r="K42" s="1">
        <f t="shared" si="18"/>
        <v>1.7511692501458543E-13</v>
      </c>
      <c r="L42" s="1">
        <f t="shared" si="19"/>
        <v>-2.1433210612145153E-11</v>
      </c>
      <c r="M42" s="1" t="e">
        <f t="shared" si="21"/>
        <v>#N/A</v>
      </c>
      <c r="N42" s="1" t="e">
        <f t="shared" si="20"/>
        <v>#N/A</v>
      </c>
      <c r="O42" s="1" t="e">
        <f t="shared" si="22"/>
        <v>#N/A</v>
      </c>
    </row>
    <row r="43" spans="1:15" x14ac:dyDescent="0.35">
      <c r="A43" s="39" t="s">
        <v>186</v>
      </c>
      <c r="B43" s="154">
        <v>5.3600000000000002E-2</v>
      </c>
      <c r="C43" s="154">
        <v>6.3099999999999989E-2</v>
      </c>
      <c r="D43" s="1">
        <f t="shared" si="11"/>
        <v>4.8643033642422208E-8</v>
      </c>
      <c r="E43" s="1">
        <f t="shared" si="12"/>
        <v>4.4247185444639328E-9</v>
      </c>
      <c r="F43" s="1">
        <f t="shared" si="13"/>
        <v>3.5202770738908263E-7</v>
      </c>
      <c r="G43" s="1">
        <f t="shared" si="14"/>
        <v>2.9919175791044769E-8</v>
      </c>
      <c r="H43" s="1" t="e">
        <f t="shared" si="15"/>
        <v>#N/A</v>
      </c>
      <c r="I43" s="1">
        <f t="shared" si="16"/>
        <v>8.2997455820791028E-8</v>
      </c>
      <c r="J43" s="1">
        <f t="shared" si="17"/>
        <v>3.0672485307302459E-8</v>
      </c>
      <c r="K43" s="1">
        <f t="shared" si="18"/>
        <v>2.3275442047115675E-8</v>
      </c>
      <c r="L43" s="1">
        <f t="shared" si="19"/>
        <v>-2.3976662786437317E-7</v>
      </c>
      <c r="M43" s="1" t="e">
        <f t="shared" si="21"/>
        <v>#N/A</v>
      </c>
      <c r="N43" s="1" t="e">
        <f t="shared" si="20"/>
        <v>#N/A</v>
      </c>
      <c r="O43" s="1" t="e">
        <f t="shared" si="22"/>
        <v>#N/A</v>
      </c>
    </row>
    <row r="44" spans="1:15" x14ac:dyDescent="0.35">
      <c r="A44" s="39" t="s">
        <v>188</v>
      </c>
      <c r="B44" s="154">
        <v>5.9500000000000004E-4</v>
      </c>
      <c r="C44" s="154">
        <v>8.9600000000000013E-2</v>
      </c>
      <c r="D44" s="1">
        <f t="shared" si="11"/>
        <v>1.9572274181583777E-4</v>
      </c>
      <c r="E44" s="1">
        <f t="shared" si="12"/>
        <v>2.4738054013269055E-7</v>
      </c>
      <c r="F44" s="1">
        <f t="shared" si="13"/>
        <v>1.2276000871808596E-4</v>
      </c>
      <c r="G44" s="1">
        <f t="shared" si="14"/>
        <v>1.0668409072941176E-5</v>
      </c>
      <c r="H44" s="1" t="e">
        <f t="shared" si="15"/>
        <v>#N/A</v>
      </c>
      <c r="I44" s="1">
        <f t="shared" si="16"/>
        <v>2.9594759457731768E-5</v>
      </c>
      <c r="J44" s="1">
        <f t="shared" si="17"/>
        <v>1.7148607095079711E-6</v>
      </c>
      <c r="K44" s="1">
        <f t="shared" si="18"/>
        <v>1.3013011714941059E-6</v>
      </c>
      <c r="L44" s="1">
        <f t="shared" si="19"/>
        <v>-2.6143343653132838E-4</v>
      </c>
      <c r="M44" s="1" t="e">
        <f t="shared" si="21"/>
        <v>#N/A</v>
      </c>
      <c r="N44" s="1" t="e">
        <f t="shared" si="20"/>
        <v>#N/A</v>
      </c>
      <c r="O44" s="1" t="e">
        <f t="shared" si="22"/>
        <v>#N/A</v>
      </c>
    </row>
    <row r="45" spans="1:15" x14ac:dyDescent="0.35">
      <c r="A45" s="39" t="s">
        <v>190</v>
      </c>
      <c r="B45" s="154">
        <v>40.6</v>
      </c>
      <c r="C45" s="154">
        <v>4.7800000000000002E-2</v>
      </c>
      <c r="D45" s="1">
        <f t="shared" si="11"/>
        <v>1.0610524203210698E-4</v>
      </c>
      <c r="E45" s="1">
        <f t="shared" si="12"/>
        <v>4.8368347456516961E-7</v>
      </c>
      <c r="F45" s="1">
        <f t="shared" si="13"/>
        <v>4.8245647175369904E-5</v>
      </c>
      <c r="G45" s="1">
        <f t="shared" si="14"/>
        <v>3.4985305064039407E-6</v>
      </c>
      <c r="H45" s="1" t="e">
        <f t="shared" si="15"/>
        <v>#N/A</v>
      </c>
      <c r="I45" s="1">
        <f t="shared" si="16"/>
        <v>9.7051179875704409E-6</v>
      </c>
      <c r="J45" s="1">
        <f t="shared" si="17"/>
        <v>3.3529306142075896E-6</v>
      </c>
      <c r="K45" s="1">
        <f t="shared" si="18"/>
        <v>2.5443305756644643E-6</v>
      </c>
      <c r="L45" s="1">
        <f t="shared" si="19"/>
        <v>-1.3635145458522799E-4</v>
      </c>
      <c r="M45" s="1" t="e">
        <f t="shared" si="21"/>
        <v>#N/A</v>
      </c>
      <c r="N45" s="1" t="e">
        <f t="shared" si="20"/>
        <v>#N/A</v>
      </c>
      <c r="O45" s="1" t="e">
        <f t="shared" si="22"/>
        <v>#N/A</v>
      </c>
    </row>
    <row r="46" spans="1:15" x14ac:dyDescent="0.35">
      <c r="A46" s="39" t="s">
        <v>192</v>
      </c>
      <c r="B46" s="154">
        <v>11500</v>
      </c>
      <c r="C46" s="154">
        <v>8.5099999999999995E-2</v>
      </c>
      <c r="D46" s="1">
        <f t="shared" si="11"/>
        <v>2.7467393250074702E-5</v>
      </c>
      <c r="E46" s="1">
        <f t="shared" si="12"/>
        <v>2.2188199492951758E-8</v>
      </c>
      <c r="F46" s="1">
        <f t="shared" si="13"/>
        <v>3.3592666659254829E-6</v>
      </c>
      <c r="G46" s="1">
        <f t="shared" si="14"/>
        <v>2.5927054991999996E-7</v>
      </c>
      <c r="H46" s="1" t="e">
        <f t="shared" si="15"/>
        <v>#N/A</v>
      </c>
      <c r="I46" s="1">
        <f t="shared" si="16"/>
        <v>7.192309093975199E-7</v>
      </c>
      <c r="J46" s="1">
        <f t="shared" si="17"/>
        <v>1.5381028558179424E-7</v>
      </c>
      <c r="K46" s="1">
        <f t="shared" si="18"/>
        <v>1.1671706261954069E-7</v>
      </c>
      <c r="L46" s="1">
        <f t="shared" si="19"/>
        <v>-3.5218154032199133E-5</v>
      </c>
      <c r="M46" s="1" t="e">
        <f t="shared" si="21"/>
        <v>#N/A</v>
      </c>
      <c r="N46" s="1" t="e">
        <f t="shared" si="20"/>
        <v>#N/A</v>
      </c>
      <c r="O46" s="1" t="e">
        <f t="shared" si="22"/>
        <v>#N/A</v>
      </c>
    </row>
    <row r="47" spans="1:15" x14ac:dyDescent="0.35">
      <c r="A47" s="376" t="s">
        <v>198</v>
      </c>
      <c r="B47" s="377"/>
      <c r="C47" s="330">
        <f>SUM(C28:C46)</f>
        <v>1</v>
      </c>
      <c r="D47" s="88">
        <f>SUM(D28:D46)*1000</f>
        <v>2.4951016288319008</v>
      </c>
      <c r="E47" s="88">
        <f>SUM(E28:E46)*1000</f>
        <v>8.2057024911274066E-3</v>
      </c>
      <c r="F47" s="88">
        <f t="shared" ref="F47:L47" si="23">SUM(F28:F46)*1000</f>
        <v>0.81378657325338899</v>
      </c>
      <c r="G47" s="88">
        <f t="shared" si="23"/>
        <v>6.7217582759313638E-2</v>
      </c>
      <c r="H47" s="88" t="e">
        <f t="shared" si="23"/>
        <v>#N/A</v>
      </c>
      <c r="I47" s="88">
        <f t="shared" si="23"/>
        <v>0.18646530888448931</v>
      </c>
      <c r="J47" s="88">
        <f t="shared" si="23"/>
        <v>5.688255344740651E-2</v>
      </c>
      <c r="K47" s="88">
        <f t="shared" si="23"/>
        <v>4.3164633155496616E-2</v>
      </c>
      <c r="L47" s="88">
        <f t="shared" si="23"/>
        <v>-3.0665410493699183</v>
      </c>
      <c r="M47" s="1" t="e">
        <f>+SUM(M28:M46)</f>
        <v>#N/A</v>
      </c>
      <c r="N47" s="1" t="e">
        <f>+SUM(N28:N46)</f>
        <v>#N/A</v>
      </c>
      <c r="O47" s="1" t="e">
        <f>SUM(O28:O46)</f>
        <v>#N/A</v>
      </c>
    </row>
    <row r="48" spans="1:15" x14ac:dyDescent="0.35">
      <c r="A48" s="86"/>
      <c r="B48" s="86"/>
      <c r="C48" s="86"/>
      <c r="D48" s="86"/>
      <c r="E48" s="3"/>
    </row>
    <row r="49" spans="1:16" ht="21" x14ac:dyDescent="0.5">
      <c r="A49" s="84"/>
      <c r="B49" s="86"/>
      <c r="C49" s="86"/>
      <c r="D49" s="86"/>
      <c r="E49" s="3"/>
    </row>
    <row r="50" spans="1:16" ht="21" x14ac:dyDescent="0.5">
      <c r="A50" s="76" t="s">
        <v>199</v>
      </c>
      <c r="B50" s="86"/>
      <c r="C50" s="86"/>
      <c r="D50" s="86"/>
      <c r="E50" s="3"/>
    </row>
    <row r="51" spans="1:16" x14ac:dyDescent="0.35">
      <c r="A51" s="264" t="s">
        <v>200</v>
      </c>
      <c r="B51" s="86"/>
      <c r="C51" s="86"/>
      <c r="D51" s="86"/>
      <c r="E51" s="3"/>
    </row>
    <row r="52" spans="1:16" ht="43.5" x14ac:dyDescent="0.35">
      <c r="A52" s="108" t="s">
        <v>201</v>
      </c>
      <c r="B52" s="108" t="s">
        <v>152</v>
      </c>
      <c r="C52" s="108" t="s">
        <v>1009</v>
      </c>
      <c r="D52" s="108" t="s">
        <v>1010</v>
      </c>
      <c r="E52" s="108" t="s">
        <v>1013</v>
      </c>
      <c r="F52" s="108" t="s">
        <v>1008</v>
      </c>
      <c r="G52" s="108" t="s">
        <v>154</v>
      </c>
      <c r="H52" s="108" t="s">
        <v>155</v>
      </c>
      <c r="I52" s="108" t="s">
        <v>156</v>
      </c>
      <c r="J52" s="108" t="s">
        <v>157</v>
      </c>
      <c r="K52" s="108" t="s">
        <v>202</v>
      </c>
      <c r="L52" s="103" t="s">
        <v>985</v>
      </c>
      <c r="M52" s="103" t="s">
        <v>989</v>
      </c>
    </row>
    <row r="53" spans="1:16" x14ac:dyDescent="0.35">
      <c r="A53" s="88" t="s">
        <v>203</v>
      </c>
      <c r="B53" s="88" t="s">
        <v>204</v>
      </c>
      <c r="C53" s="88">
        <f>'A1 - Raw Material Supply'!F54</f>
        <v>14.520561533443052</v>
      </c>
      <c r="D53" s="88">
        <f>'C3'' - Secondary Raw Material '!F321</f>
        <v>0.16679033795373477</v>
      </c>
      <c r="E53" s="88">
        <f>+'A2 - Transport'!Z119</f>
        <v>13.548793458252014</v>
      </c>
      <c r="F53" s="88">
        <f>+'C2''- Transport Secondary'!H59</f>
        <v>1.1429629848</v>
      </c>
      <c r="G53" s="88" t="e">
        <f>'A3 - Production '!D207</f>
        <v>#N/A</v>
      </c>
      <c r="H53" s="88">
        <f>'A4 - Transport'!B18</f>
        <v>3.1706428177787993</v>
      </c>
      <c r="I53" s="88">
        <f>'A5 - Construction'!E140</f>
        <v>1.1562033017188762</v>
      </c>
      <c r="J53" s="88">
        <f>'C1 - Deconstruction'!B88</f>
        <v>0.87737079908012983</v>
      </c>
      <c r="K53" s="1">
        <f>'D- Benefits &amp; Burdens'!N162</f>
        <v>-22.494739914875993</v>
      </c>
      <c r="L53" s="1" t="e">
        <f>SUM(C53:G53)</f>
        <v>#N/A</v>
      </c>
      <c r="M53" s="1" t="e">
        <f>SUM(C53:J53)</f>
        <v>#N/A</v>
      </c>
    </row>
    <row r="54" spans="1:16" x14ac:dyDescent="0.35">
      <c r="A54" s="258" t="s">
        <v>57</v>
      </c>
      <c r="B54" s="338" t="e">
        <f>+SUM(C54:M54)</f>
        <v>#N/A</v>
      </c>
      <c r="C54" s="325">
        <f t="shared" ref="C54:M54" si="24">+C5-C53</f>
        <v>0</v>
      </c>
      <c r="D54" s="325">
        <f t="shared" si="24"/>
        <v>0</v>
      </c>
      <c r="E54" s="325">
        <f t="shared" si="24"/>
        <v>0</v>
      </c>
      <c r="F54" s="325">
        <f t="shared" si="24"/>
        <v>0</v>
      </c>
      <c r="G54" s="325" t="e">
        <f t="shared" si="24"/>
        <v>#N/A</v>
      </c>
      <c r="H54" s="325">
        <f t="shared" si="24"/>
        <v>0</v>
      </c>
      <c r="I54" s="325">
        <f t="shared" si="24"/>
        <v>0</v>
      </c>
      <c r="J54" s="325">
        <f t="shared" si="24"/>
        <v>0</v>
      </c>
      <c r="K54" s="325">
        <f t="shared" si="24"/>
        <v>0</v>
      </c>
      <c r="L54" s="325" t="e">
        <f t="shared" si="24"/>
        <v>#N/A</v>
      </c>
      <c r="M54" s="325" t="e">
        <f t="shared" si="24"/>
        <v>#N/A</v>
      </c>
      <c r="N54" s="259"/>
      <c r="O54" s="259"/>
    </row>
    <row r="55" spans="1:16" x14ac:dyDescent="0.35">
      <c r="A55" s="86"/>
      <c r="B55" s="86"/>
      <c r="C55" s="242"/>
      <c r="D55" s="242"/>
    </row>
    <row r="56" spans="1:16" ht="21" x14ac:dyDescent="0.5">
      <c r="A56" s="76" t="s">
        <v>205</v>
      </c>
      <c r="B56" s="86"/>
      <c r="C56" s="86"/>
      <c r="D56" s="86"/>
      <c r="E56" s="3"/>
    </row>
    <row r="57" spans="1:16" x14ac:dyDescent="0.35">
      <c r="A57" s="11" t="s">
        <v>206</v>
      </c>
      <c r="B57" s="86"/>
      <c r="C57" s="86"/>
      <c r="D57" s="86"/>
      <c r="E57" s="3"/>
      <c r="O57" s="15" t="s">
        <v>214</v>
      </c>
    </row>
    <row r="58" spans="1:16" x14ac:dyDescent="0.35">
      <c r="A58" s="378" t="s">
        <v>207</v>
      </c>
      <c r="B58" s="104" t="s">
        <v>208</v>
      </c>
      <c r="C58" s="380" t="s">
        <v>209</v>
      </c>
      <c r="D58" s="380"/>
      <c r="E58" s="380" t="s">
        <v>58</v>
      </c>
      <c r="F58" s="380"/>
      <c r="G58" s="380" t="s">
        <v>210</v>
      </c>
      <c r="H58" s="380"/>
      <c r="I58" s="378" t="s">
        <v>211</v>
      </c>
      <c r="J58" s="379"/>
      <c r="K58" s="378" t="s">
        <v>212</v>
      </c>
      <c r="L58" s="379"/>
      <c r="M58" s="378" t="s">
        <v>1014</v>
      </c>
      <c r="N58" s="379"/>
      <c r="O58" s="103" t="s">
        <v>362</v>
      </c>
      <c r="P58" s="336" t="s">
        <v>1005</v>
      </c>
    </row>
    <row r="59" spans="1:16" ht="29" x14ac:dyDescent="0.35">
      <c r="A59" s="378"/>
      <c r="B59" s="104" t="s">
        <v>215</v>
      </c>
      <c r="C59" s="103" t="s">
        <v>1009</v>
      </c>
      <c r="D59" s="103" t="s">
        <v>1013</v>
      </c>
      <c r="E59" s="103" t="s">
        <v>1009</v>
      </c>
      <c r="F59" s="103" t="s">
        <v>1013</v>
      </c>
      <c r="G59" s="103" t="s">
        <v>1009</v>
      </c>
      <c r="H59" s="103" t="s">
        <v>1013</v>
      </c>
      <c r="I59" s="103" t="s">
        <v>1010</v>
      </c>
      <c r="J59" s="103" t="s">
        <v>1008</v>
      </c>
      <c r="K59" s="103" t="s">
        <v>1010</v>
      </c>
      <c r="L59" s="103" t="s">
        <v>1008</v>
      </c>
      <c r="M59" s="103" t="s">
        <v>1009</v>
      </c>
      <c r="N59" s="103" t="s">
        <v>1013</v>
      </c>
      <c r="O59" s="103" t="s">
        <v>216</v>
      </c>
      <c r="P59" s="248" t="s">
        <v>217</v>
      </c>
    </row>
    <row r="60" spans="1:16" x14ac:dyDescent="0.35">
      <c r="A60" s="243" t="s">
        <v>203</v>
      </c>
      <c r="B60" s="243" t="s">
        <v>204</v>
      </c>
      <c r="C60" s="244">
        <f>'A1 - Raw Material Supply'!K115</f>
        <v>2.257590932111079</v>
      </c>
      <c r="D60" s="244">
        <f>'A2 - Transport'!L119</f>
        <v>12.067875368229734</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1.1429629848</v>
      </c>
      <c r="K60" s="245">
        <f>'C3'' - Secondary Raw Material '!C321+'C3'' - Secondary Raw Material '!D321+'C3'' - Secondary Raw Material '!E321</f>
        <v>0</v>
      </c>
      <c r="L60" s="245">
        <f>'C2''- Transport Secondary'!$G$59</f>
        <v>0</v>
      </c>
      <c r="M60" s="245">
        <f>'A1 - Raw Material Supply'!Y$115</f>
        <v>0.39650621956855164</v>
      </c>
      <c r="N60" s="245">
        <f>'A2 - Transport'!$Y$119</f>
        <v>0.39336976060199996</v>
      </c>
      <c r="O60" s="245" t="e">
        <f>'A3 - Production '!D207</f>
        <v>#N/A</v>
      </c>
      <c r="P60" s="245">
        <f>'D- Benefits &amp; Burdens'!N162</f>
        <v>-22.494739914875993</v>
      </c>
    </row>
    <row r="61" spans="1:16" x14ac:dyDescent="0.35">
      <c r="A61" s="258" t="s">
        <v>57</v>
      </c>
      <c r="B61" s="338" t="e">
        <f>+SUM(C60:O60)-SUM(C53:G53)</f>
        <v>#N/A</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218</v>
      </c>
      <c r="B63" s="86"/>
      <c r="C63" s="86"/>
      <c r="D63" s="86"/>
      <c r="E63" s="3"/>
    </row>
    <row r="65" spans="1:40" ht="29" x14ac:dyDescent="0.35">
      <c r="A65" s="380" t="s">
        <v>207</v>
      </c>
      <c r="B65" s="104" t="s">
        <v>208</v>
      </c>
      <c r="C65" s="380" t="s">
        <v>219</v>
      </c>
      <c r="D65" s="380"/>
      <c r="E65" s="380"/>
      <c r="F65" s="380" t="s">
        <v>58</v>
      </c>
      <c r="G65" s="380"/>
      <c r="H65" s="380"/>
      <c r="I65" s="380" t="s">
        <v>210</v>
      </c>
      <c r="J65" s="380"/>
      <c r="K65" s="380"/>
      <c r="L65" s="378" t="s">
        <v>211</v>
      </c>
      <c r="M65" s="387"/>
      <c r="N65" s="379"/>
      <c r="O65" s="378" t="s">
        <v>212</v>
      </c>
      <c r="P65" s="387"/>
      <c r="Q65" s="379"/>
      <c r="R65" s="378" t="s">
        <v>213</v>
      </c>
      <c r="S65" s="387"/>
      <c r="T65" s="379"/>
      <c r="U65" s="104" t="s">
        <v>220</v>
      </c>
      <c r="V65" s="103" t="s">
        <v>221</v>
      </c>
      <c r="W65" s="104" t="s">
        <v>222</v>
      </c>
      <c r="X65" s="104" t="s">
        <v>223</v>
      </c>
      <c r="Y65" s="103" t="s">
        <v>224</v>
      </c>
      <c r="Z65" s="388" t="s">
        <v>225</v>
      </c>
      <c r="AA65" s="390" t="s">
        <v>226</v>
      </c>
      <c r="AB65" s="320" t="s">
        <v>227</v>
      </c>
      <c r="AC65" s="322"/>
      <c r="AD65" s="388" t="s">
        <v>228</v>
      </c>
      <c r="AE65" s="384" t="s">
        <v>229</v>
      </c>
      <c r="AF65" s="384"/>
      <c r="AG65" s="384"/>
      <c r="AH65" s="384"/>
      <c r="AI65" s="384"/>
      <c r="AJ65" s="384"/>
      <c r="AK65" s="384"/>
      <c r="AL65" s="381"/>
      <c r="AM65" s="384" t="s">
        <v>230</v>
      </c>
      <c r="AN65" s="384" t="s">
        <v>231</v>
      </c>
    </row>
    <row r="66" spans="1:40" ht="43.5" x14ac:dyDescent="0.35">
      <c r="A66" s="380"/>
      <c r="B66" s="104" t="s">
        <v>215</v>
      </c>
      <c r="C66" s="104" t="s">
        <v>232</v>
      </c>
      <c r="D66" s="104" t="s">
        <v>233</v>
      </c>
      <c r="E66" s="104" t="s">
        <v>198</v>
      </c>
      <c r="F66" s="104" t="s">
        <v>232</v>
      </c>
      <c r="G66" s="104" t="s">
        <v>233</v>
      </c>
      <c r="H66" s="104" t="s">
        <v>198</v>
      </c>
      <c r="I66" s="104" t="s">
        <v>232</v>
      </c>
      <c r="J66" s="104" t="s">
        <v>233</v>
      </c>
      <c r="K66" s="104" t="s">
        <v>198</v>
      </c>
      <c r="L66" s="104" t="s">
        <v>234</v>
      </c>
      <c r="M66" s="104" t="s">
        <v>235</v>
      </c>
      <c r="N66" s="104" t="s">
        <v>198</v>
      </c>
      <c r="O66" s="104" t="s">
        <v>234</v>
      </c>
      <c r="P66" s="104" t="s">
        <v>235</v>
      </c>
      <c r="Q66" s="104" t="s">
        <v>198</v>
      </c>
      <c r="R66" s="104" t="s">
        <v>232</v>
      </c>
      <c r="S66" s="104" t="s">
        <v>233</v>
      </c>
      <c r="T66" s="104" t="s">
        <v>198</v>
      </c>
      <c r="U66" s="104" t="s">
        <v>236</v>
      </c>
      <c r="V66" s="104" t="s">
        <v>237</v>
      </c>
      <c r="W66" s="104" t="s">
        <v>238</v>
      </c>
      <c r="X66" s="104" t="s">
        <v>238</v>
      </c>
      <c r="Y66" s="104" t="s">
        <v>238</v>
      </c>
      <c r="Z66" s="389"/>
      <c r="AA66" s="391"/>
      <c r="AB66" s="104" t="s">
        <v>239</v>
      </c>
      <c r="AC66" s="103" t="s">
        <v>240</v>
      </c>
      <c r="AD66" s="389"/>
      <c r="AE66" s="247" t="s">
        <v>241</v>
      </c>
      <c r="AF66" s="247" t="s">
        <v>242</v>
      </c>
      <c r="AG66" s="103" t="s">
        <v>243</v>
      </c>
      <c r="AH66" s="103" t="s">
        <v>244</v>
      </c>
      <c r="AI66" s="103" t="s">
        <v>245</v>
      </c>
      <c r="AJ66" s="103" t="s">
        <v>246</v>
      </c>
      <c r="AK66" s="103" t="s">
        <v>247</v>
      </c>
      <c r="AL66" s="103" t="s">
        <v>248</v>
      </c>
      <c r="AM66" s="390"/>
      <c r="AN66" s="390"/>
    </row>
    <row r="67" spans="1:40" x14ac:dyDescent="0.35">
      <c r="A67" s="39" t="s">
        <v>160</v>
      </c>
      <c r="B67" s="39" t="s">
        <v>161</v>
      </c>
      <c r="C67" s="13">
        <f>'A1 - Raw Material Supply'!K114</f>
        <v>3.5123816629792567E-2</v>
      </c>
      <c r="D67" s="1">
        <f>'A2 - Transport'!L118</f>
        <v>2.2378748584909954E-2</v>
      </c>
      <c r="E67" s="62">
        <f>SUM(C67:D67)</f>
        <v>5.7502565214702525E-2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1.7043983999999999E-3</v>
      </c>
      <c r="N67" s="62">
        <f t="shared" ref="N67" si="25">SUM(L67:M67)</f>
        <v>1.9176377117742817E-3</v>
      </c>
      <c r="O67" s="1">
        <f>'C3'' - Secondary Raw Material '!C320+'C3'' - Secondary Raw Material '!D320+'C3'' - Secondary Raw Material '!E320</f>
        <v>0</v>
      </c>
      <c r="P67" s="1">
        <f>'C2''- Transport Secondary'!G58</f>
        <v>0</v>
      </c>
      <c r="Q67" s="62">
        <f t="shared" ref="Q67" si="26">SUM(O67:P67)</f>
        <v>0</v>
      </c>
      <c r="R67" s="1">
        <f>'A1 - Raw Material Supply'!Y114</f>
        <v>3.1617303944124261E-3</v>
      </c>
      <c r="S67" s="1">
        <f>'A2 - Transport'!Y118</f>
        <v>5.8659711599999998E-4</v>
      </c>
      <c r="T67" s="62">
        <f>SUM(R67:S67)</f>
        <v>3.7483275104124259E-3</v>
      </c>
      <c r="U67" s="62" t="e">
        <f>'A3 - Production '!D206</f>
        <v>#N/A</v>
      </c>
      <c r="V67" s="62">
        <f>'A4 - Transport'!B17</f>
        <v>4.7280958503999994E-3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7.4379816E-3</v>
      </c>
      <c r="AC67" s="1">
        <f>'D- Benefits &amp; Burdens'!C161</f>
        <v>9.7208322691190062E-4</v>
      </c>
      <c r="AD67" s="62">
        <f>SUM(AB67:AC67)</f>
        <v>8.4100648269119001E-3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-9.2344379326345885E-2</v>
      </c>
    </row>
    <row r="68" spans="1:40" x14ac:dyDescent="0.35">
      <c r="A68" s="39" t="s">
        <v>162</v>
      </c>
      <c r="B68" s="39" t="s">
        <v>163</v>
      </c>
      <c r="C68" s="13">
        <f>'A1 - Raw Material Supply'!K115</f>
        <v>2.257590932111079</v>
      </c>
      <c r="D68" s="1">
        <f>'A2 - Transport'!L119</f>
        <v>12.067875368229734</v>
      </c>
      <c r="E68" s="62">
        <f t="shared" ref="E68:E85" si="27">SUM(C68:D68)</f>
        <v>14.325466300340812</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1.1429629848</v>
      </c>
      <c r="N68" s="62">
        <f t="shared" ref="N68:N85" si="30">SUM(L68:M68)</f>
        <v>1.3097533227537348</v>
      </c>
      <c r="O68" s="1">
        <f>'C3'' - Secondary Raw Material '!C321+'C3'' - Secondary Raw Material '!D321+'C3'' - Secondary Raw Material '!E321</f>
        <v>0</v>
      </c>
      <c r="P68" s="1">
        <f>'C2''- Transport Secondary'!G59</f>
        <v>0</v>
      </c>
      <c r="Q68" s="62">
        <f t="shared" ref="Q68:Q85" si="31">SUM(O68:P68)</f>
        <v>0</v>
      </c>
      <c r="R68" s="1">
        <f>'A1 - Raw Material Supply'!Y115</f>
        <v>0.39650621956855164</v>
      </c>
      <c r="S68" s="1">
        <f>'A2 - Transport'!Y119</f>
        <v>0.39336976060199996</v>
      </c>
      <c r="T68" s="62">
        <f t="shared" ref="T68:T85" si="32">SUM(R68:S68)</f>
        <v>0.78987598017055161</v>
      </c>
      <c r="U68" s="62" t="e">
        <f>'A3 - Production '!D207</f>
        <v>#N/A</v>
      </c>
      <c r="V68" s="62">
        <f>'A4 - Transport'!B18</f>
        <v>3.1706428177787993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2.7188439432</v>
      </c>
      <c r="AC68" s="1">
        <f>'D- Benefits &amp; Burdens'!C162</f>
        <v>0.76033864762898462</v>
      </c>
      <c r="AD68" s="62">
        <f t="shared" ref="AD68:AD85" si="34">SUM(AB68:AC68)</f>
        <v>3.4791825908289846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-22.494739914875993</v>
      </c>
    </row>
    <row r="69" spans="1:40" x14ac:dyDescent="0.35">
      <c r="A69" s="39" t="s">
        <v>164</v>
      </c>
      <c r="B69" s="39" t="s">
        <v>163</v>
      </c>
      <c r="C69" s="13">
        <f>'A1 - Raw Material Supply'!K116</f>
        <v>4.3074191235738827E-3</v>
      </c>
      <c r="D69" s="1">
        <f>'A2 - Transport'!L120</f>
        <v>5.5244784892048279E-3</v>
      </c>
      <c r="E69" s="62">
        <f t="shared" si="27"/>
        <v>9.8318976127787106E-3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5.3417016000000006E-4</v>
      </c>
      <c r="N69" s="62">
        <f t="shared" si="30"/>
        <v>5.6864149224607977E-4</v>
      </c>
      <c r="O69" s="1">
        <f>'C3'' - Secondary Raw Material '!C322+'C3'' - Secondary Raw Material '!D322+'C3'' - Secondary Raw Material '!E322</f>
        <v>0</v>
      </c>
      <c r="P69" s="1">
        <f>'C2''- Transport Secondary'!G60</f>
        <v>0</v>
      </c>
      <c r="Q69" s="62">
        <f t="shared" si="31"/>
        <v>0</v>
      </c>
      <c r="R69" s="1">
        <f>'A1 - Raw Material Supply'!Y116</f>
        <v>6.4768551795028245E-2</v>
      </c>
      <c r="S69" s="1">
        <f>'A2 - Transport'!Y120</f>
        <v>1.8384356340000001E-4</v>
      </c>
      <c r="T69" s="62">
        <f t="shared" si="32"/>
        <v>6.4952395358428242E-2</v>
      </c>
      <c r="U69" s="62" t="e">
        <f>'A3 - Production '!D208</f>
        <v>#N/A</v>
      </c>
      <c r="V69" s="62">
        <f>'A4 - Transport'!B19</f>
        <v>1.48181769996E-3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1.2566198399999999E-3</v>
      </c>
      <c r="AC69" s="1">
        <f>'D- Benefits &amp; Burdens'!C163</f>
        <v>1.5714271260259654E-4</v>
      </c>
      <c r="AD69" s="62">
        <f t="shared" si="34"/>
        <v>1.4137625526025965E-3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-6.9545976880582047E-2</v>
      </c>
    </row>
    <row r="70" spans="1:40" x14ac:dyDescent="0.35">
      <c r="A70" s="39" t="s">
        <v>165</v>
      </c>
      <c r="B70" s="39" t="s">
        <v>163</v>
      </c>
      <c r="C70" s="13">
        <f>'A1 - Raw Material Supply'!K117</f>
        <v>2.2526938635434131</v>
      </c>
      <c r="D70" s="1">
        <f>'A2 - Transport'!L121</f>
        <v>12.06088063805373</v>
      </c>
      <c r="E70" s="62">
        <f t="shared" si="27"/>
        <v>14.313574501597143</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1.1423379024</v>
      </c>
      <c r="N70" s="62">
        <f t="shared" si="30"/>
        <v>1.3090863931170025</v>
      </c>
      <c r="O70" s="1">
        <f>'C3'' - Secondary Raw Material '!C323+'C3'' - Secondary Raw Material '!D323+'C3'' - Secondary Raw Material '!E323</f>
        <v>0</v>
      </c>
      <c r="P70" s="1">
        <f>'C2''- Transport Secondary'!G61</f>
        <v>0</v>
      </c>
      <c r="Q70" s="62">
        <f t="shared" si="31"/>
        <v>0</v>
      </c>
      <c r="R70" s="1">
        <f>'A1 - Raw Material Supply'!Y117</f>
        <v>0.33146437672202239</v>
      </c>
      <c r="S70" s="1">
        <f>'A2 - Transport'!Y121</f>
        <v>0.39315462807599999</v>
      </c>
      <c r="T70" s="62">
        <f t="shared" si="32"/>
        <v>0.72461900479802233</v>
      </c>
      <c r="U70" s="62" t="e">
        <f>'A3 - Production '!D209</f>
        <v>#N/A</v>
      </c>
      <c r="V70" s="62">
        <f>'A4 - Transport'!B20</f>
        <v>3.1689088044743996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2.7173735400000001</v>
      </c>
      <c r="AC70" s="1">
        <f>'D- Benefits &amp; Burdens'!C164</f>
        <v>0.76014788075498918</v>
      </c>
      <c r="AD70" s="62">
        <f t="shared" si="34"/>
        <v>3.4775214207549894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-22.424931714340261</v>
      </c>
    </row>
    <row r="71" spans="1:40" x14ac:dyDescent="0.35">
      <c r="A71" s="39" t="s">
        <v>166</v>
      </c>
      <c r="B71" s="39" t="s">
        <v>163</v>
      </c>
      <c r="C71" s="13">
        <f>'A1 - Raw Material Supply'!K118</f>
        <v>5.8964944409195367E-4</v>
      </c>
      <c r="D71" s="1">
        <f>'A2 - Transport'!L122</f>
        <v>1.470237240999544E-3</v>
      </c>
      <c r="E71" s="62">
        <f t="shared" si="27"/>
        <v>2.0598866850914978E-3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9.0910799999999997E-5</v>
      </c>
      <c r="N71" s="62">
        <f t="shared" si="30"/>
        <v>9.8286704486254625E-5</v>
      </c>
      <c r="O71" s="1">
        <f>'C3'' - Secondary Raw Material '!C324+'C3'' - Secondary Raw Material '!D324+'C3'' - Secondary Raw Material '!E324</f>
        <v>0</v>
      </c>
      <c r="P71" s="1">
        <f>'C2''- Transport Secondary'!G62</f>
        <v>0</v>
      </c>
      <c r="Q71" s="62">
        <f t="shared" si="31"/>
        <v>0</v>
      </c>
      <c r="R71" s="1">
        <f>'A1 - Raw Material Supply'!Y118</f>
        <v>2.7329105150085956E-4</v>
      </c>
      <c r="S71" s="1">
        <f>'A2 - Transport'!Y122</f>
        <v>3.1288467E-5</v>
      </c>
      <c r="T71" s="62">
        <f t="shared" si="32"/>
        <v>3.0457951850085957E-4</v>
      </c>
      <c r="U71" s="62" t="e">
        <f>'A3 - Production '!D210</f>
        <v>#N/A</v>
      </c>
      <c r="V71" s="62">
        <f>'A4 - Transport'!B21</f>
        <v>2.5219160979999996E-4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2.1377831999999997E-4</v>
      </c>
      <c r="AC71" s="1">
        <f>'D- Benefits &amp; Burdens'!C165</f>
        <v>3.3624161392820239E-5</v>
      </c>
      <c r="AD71" s="62">
        <f t="shared" si="34"/>
        <v>2.4740248139282022E-4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-8.7887545434272678E-3</v>
      </c>
    </row>
    <row r="72" spans="1:40" x14ac:dyDescent="0.35">
      <c r="A72" s="39" t="s">
        <v>167</v>
      </c>
      <c r="B72" s="39" t="s">
        <v>168</v>
      </c>
      <c r="C72" s="13">
        <f>'A1 - Raw Material Supply'!K119</f>
        <v>15.105125447103942</v>
      </c>
      <c r="D72" s="1">
        <f>'A2 - Transport'!L123</f>
        <v>10.457363622615427</v>
      </c>
      <c r="E72" s="62">
        <f t="shared" si="27"/>
        <v>25.562489069719369</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0.98167643279999994</v>
      </c>
      <c r="N72" s="62">
        <f t="shared" si="30"/>
        <v>1.0553695122018876</v>
      </c>
      <c r="O72" s="1">
        <f>'C3'' - Secondary Raw Material '!C325+'C3'' - Secondary Raw Material '!D325+'C3'' - Secondary Raw Material '!E325</f>
        <v>0</v>
      </c>
      <c r="P72" s="1">
        <f>'C2''- Transport Secondary'!G63</f>
        <v>0</v>
      </c>
      <c r="Q72" s="62">
        <f t="shared" si="31"/>
        <v>0</v>
      </c>
      <c r="R72" s="1">
        <f>'A1 - Raw Material Supply'!Y119</f>
        <v>1.6559907158953788</v>
      </c>
      <c r="S72" s="1">
        <f>'A2 - Transport'!Y123</f>
        <v>0.33786030562200003</v>
      </c>
      <c r="T72" s="62">
        <f t="shared" si="32"/>
        <v>1.9938510215173788</v>
      </c>
      <c r="U72" s="62" t="e">
        <f>'A3 - Production '!D211</f>
        <v>#N/A</v>
      </c>
      <c r="V72" s="62">
        <f>'A4 - Transport'!B22</f>
        <v>2.7232249621667997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2.3106187104</v>
      </c>
      <c r="AC72" s="1">
        <f>'D- Benefits &amp; Burdens'!C166</f>
        <v>0.33594090053099462</v>
      </c>
      <c r="AD72" s="62">
        <f t="shared" si="34"/>
        <v>2.6465596109309946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-683.71146769254324</v>
      </c>
    </row>
    <row r="73" spans="1:40" ht="29" x14ac:dyDescent="0.35">
      <c r="A73" s="39" t="s">
        <v>169</v>
      </c>
      <c r="B73" s="39" t="s">
        <v>170</v>
      </c>
      <c r="C73" s="13">
        <f>'A1 - Raw Material Supply'!K120</f>
        <v>31.054793647495167</v>
      </c>
      <c r="D73" s="1">
        <f>'A2 - Transport'!L124</f>
        <v>161.70293896056825</v>
      </c>
      <c r="E73" s="62">
        <f t="shared" si="27"/>
        <v>192.75773260806341</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15.383093471999999</v>
      </c>
      <c r="N73" s="62">
        <f t="shared" si="30"/>
        <v>17.598515012349871</v>
      </c>
      <c r="O73" s="1">
        <f>'C3'' - Secondary Raw Material '!C326+'C3'' - Secondary Raw Material '!D326+'C3'' - Secondary Raw Material '!E326</f>
        <v>0</v>
      </c>
      <c r="P73" s="1">
        <f>'C2''- Transport Secondary'!G64</f>
        <v>0</v>
      </c>
      <c r="Q73" s="62">
        <f t="shared" si="31"/>
        <v>0</v>
      </c>
      <c r="R73" s="1">
        <f>'A1 - Raw Material Supply'!Y120</f>
        <v>4.5769593135824742</v>
      </c>
      <c r="S73" s="1">
        <f>'A2 - Transport'!Y124</f>
        <v>5.2943480032800005</v>
      </c>
      <c r="T73" s="62">
        <f t="shared" si="32"/>
        <v>9.8713073168624739</v>
      </c>
      <c r="U73" s="62" t="e">
        <f>'A3 - Production '!D212</f>
        <v>#N/A</v>
      </c>
      <c r="V73" s="62">
        <f>'A4 - Transport'!B23</f>
        <v>42.673555907631993</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36.555785447999995</v>
      </c>
      <c r="AC73" s="1">
        <f>'D- Benefits &amp; Burdens'!C167</f>
        <v>10.099329724872872</v>
      </c>
      <c r="AD73" s="62">
        <f t="shared" si="34"/>
        <v>46.655115172872868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-1209.2378412170788</v>
      </c>
    </row>
    <row r="74" spans="1:40" ht="29" x14ac:dyDescent="0.35">
      <c r="A74" s="39" t="s">
        <v>171</v>
      </c>
      <c r="B74" s="39" t="s">
        <v>172</v>
      </c>
      <c r="C74" s="13">
        <f>'A1 - Raw Material Supply'!K121</f>
        <v>1.4384535895084423E-4</v>
      </c>
      <c r="D74" s="1">
        <f>'A2 - Transport'!L125</f>
        <v>3.2171550773345866E-4</v>
      </c>
      <c r="E74" s="62">
        <f t="shared" si="27"/>
        <v>4.6556086668430289E-4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2.6659368E-5</v>
      </c>
      <c r="N74" s="62">
        <f t="shared" si="30"/>
        <v>2.8422567302644863E-5</v>
      </c>
      <c r="O74" s="1">
        <f>'C3'' - Secondary Raw Material '!C327+'C3'' - Secondary Raw Material '!D327+'C3'' - Secondary Raw Material '!E327</f>
        <v>0</v>
      </c>
      <c r="P74" s="1">
        <f>'C2''- Transport Secondary'!G65</f>
        <v>0</v>
      </c>
      <c r="Q74" s="62">
        <f t="shared" si="31"/>
        <v>0</v>
      </c>
      <c r="R74" s="1">
        <f>'A1 - Raw Material Supply'!Y121</f>
        <v>1.0455421592807452E-4</v>
      </c>
      <c r="S74" s="1">
        <f>'A2 - Transport'!Y125</f>
        <v>9.1752658200000002E-6</v>
      </c>
      <c r="T74" s="62">
        <f t="shared" si="32"/>
        <v>1.1372948174807452E-4</v>
      </c>
      <c r="U74" s="62" t="e">
        <f>'A3 - Production '!D213</f>
        <v>#N/A</v>
      </c>
      <c r="V74" s="62">
        <f>'A4 - Transport'!B24</f>
        <v>7.3954567907999981E-5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6.2546400000000008E-5</v>
      </c>
      <c r="AC74" s="1">
        <f>'D- Benefits &amp; Burdens'!C168</f>
        <v>8.0378071638972046E-6</v>
      </c>
      <c r="AD74" s="62">
        <f t="shared" si="34"/>
        <v>7.0584207163897216E-5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-8.6112063596716505E-4</v>
      </c>
    </row>
    <row r="75" spans="1:40" ht="29" x14ac:dyDescent="0.35">
      <c r="A75" s="39" t="s">
        <v>173</v>
      </c>
      <c r="B75" s="39" t="s">
        <v>174</v>
      </c>
      <c r="C75" s="13">
        <f>'A1 - Raw Material Supply'!K122</f>
        <v>1.3318101023214563E-2</v>
      </c>
      <c r="D75" s="1">
        <f>'A2 - Transport'!L126</f>
        <v>6.1208276808725681E-3</v>
      </c>
      <c r="E75" s="62">
        <f t="shared" si="27"/>
        <v>1.943892870408713E-2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3.7149983999999997E-4</v>
      </c>
      <c r="N75" s="62">
        <f t="shared" si="30"/>
        <v>4.1972019579255139E-4</v>
      </c>
      <c r="O75" s="1">
        <f>'C3'' - Secondary Raw Material '!C328+'C3'' - Secondary Raw Material '!D328+'C3'' - Secondary Raw Material '!E328</f>
        <v>0</v>
      </c>
      <c r="P75" s="1">
        <f>'C2''- Transport Secondary'!G66</f>
        <v>0</v>
      </c>
      <c r="Q75" s="62">
        <f t="shared" si="31"/>
        <v>0</v>
      </c>
      <c r="R75" s="1">
        <f>'A1 - Raw Material Supply'!Y122</f>
        <v>6.2470787853480963E-4</v>
      </c>
      <c r="S75" s="1">
        <f>'A2 - Transport'!Y126</f>
        <v>1.278578616E-4</v>
      </c>
      <c r="T75" s="62">
        <f t="shared" si="32"/>
        <v>7.5256574013480963E-4</v>
      </c>
      <c r="U75" s="62" t="e">
        <f>'A3 - Production '!D214</f>
        <v>#N/A</v>
      </c>
      <c r="V75" s="62">
        <f>'A4 - Transport'!B25</f>
        <v>1.0305611950399997E-3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2.6687471999999996E-3</v>
      </c>
      <c r="AC75" s="1">
        <f>'D- Benefits &amp; Burdens'!C169</f>
        <v>2.1981968836628309E-4</v>
      </c>
      <c r="AD75" s="62">
        <f t="shared" si="34"/>
        <v>2.8885668883662828E-3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-2.9158587268845206E-2</v>
      </c>
    </row>
    <row r="76" spans="1:40" x14ac:dyDescent="0.35">
      <c r="A76" s="39" t="s">
        <v>175</v>
      </c>
      <c r="B76" s="39" t="s">
        <v>176</v>
      </c>
      <c r="C76" s="13">
        <f>'A1 - Raw Material Supply'!K123</f>
        <v>0.17618729939659733</v>
      </c>
      <c r="D76" s="1">
        <f>'A2 - Transport'!L127</f>
        <v>6.6515150411635623E-2</v>
      </c>
      <c r="E76" s="62">
        <f t="shared" si="27"/>
        <v>0.24270244980823297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4.0211496000000001E-3</v>
      </c>
      <c r="N76" s="62">
        <f t="shared" si="30"/>
        <v>4.5453642866623081E-3</v>
      </c>
      <c r="O76" s="1">
        <f>'C3'' - Secondary Raw Material '!C329+'C3'' - Secondary Raw Material '!D329+'C3'' - Secondary Raw Material '!E329</f>
        <v>0</v>
      </c>
      <c r="P76" s="1">
        <f>'C2''- Transport Secondary'!G67</f>
        <v>0</v>
      </c>
      <c r="Q76" s="62">
        <f t="shared" si="31"/>
        <v>0</v>
      </c>
      <c r="R76" s="1">
        <f>'A1 - Raw Material Supply'!Y123</f>
        <v>6.411655528666526E-3</v>
      </c>
      <c r="S76" s="1">
        <f>'A2 - Transport'!Y127</f>
        <v>1.3839456539999999E-3</v>
      </c>
      <c r="T76" s="62">
        <f t="shared" si="32"/>
        <v>7.7956011826665261E-3</v>
      </c>
      <c r="U76" s="62" t="e">
        <f>'A3 - Production '!D215</f>
        <v>#N/A</v>
      </c>
      <c r="V76" s="62">
        <f>'A4 - Transport'!B26</f>
        <v>1.1154892387599999E-2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2.9111963999999997E-2</v>
      </c>
      <c r="AC76" s="1">
        <f>'D- Benefits &amp; Burdens'!C170</f>
        <v>2.3897108838200898E-3</v>
      </c>
      <c r="AD76" s="62">
        <f t="shared" si="34"/>
        <v>3.1501674883820087E-2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-0.33632827070436905</v>
      </c>
    </row>
    <row r="77" spans="1:40" x14ac:dyDescent="0.35">
      <c r="A77" s="39" t="s">
        <v>177</v>
      </c>
      <c r="B77" s="39" t="s">
        <v>178</v>
      </c>
      <c r="C77" s="13">
        <f>'A1 - Raw Material Supply'!K124</f>
        <v>3.5692543894392867E-10</v>
      </c>
      <c r="D77" s="1">
        <f>'A2 - Transport'!L128</f>
        <v>1.0974941679522655E-9</v>
      </c>
      <c r="E77" s="62">
        <f t="shared" si="27"/>
        <v>1.4544196068961941E-9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1.0130183999999999E-10</v>
      </c>
      <c r="N77" s="62">
        <f t="shared" si="30"/>
        <v>1.114944868949731E-10</v>
      </c>
      <c r="O77" s="1">
        <f>'C3'' - Secondary Raw Material '!C330+'C3'' - Secondary Raw Material '!D330+'C3'' - Secondary Raw Material '!E330</f>
        <v>0</v>
      </c>
      <c r="P77" s="1">
        <f>'C2''- Transport Secondary'!G68</f>
        <v>0</v>
      </c>
      <c r="Q77" s="62">
        <f t="shared" si="31"/>
        <v>0</v>
      </c>
      <c r="R77" s="1">
        <f>'A1 - Raw Material Supply'!Y124</f>
        <v>2.080170793013574E-10</v>
      </c>
      <c r="S77" s="1">
        <f>'A2 - Transport'!Y128</f>
        <v>3.4864716599999999E-11</v>
      </c>
      <c r="T77" s="62">
        <f t="shared" si="32"/>
        <v>2.4288179590135739E-10</v>
      </c>
      <c r="U77" s="62" t="e">
        <f>'A3 - Production '!D216</f>
        <v>#N/A</v>
      </c>
      <c r="V77" s="62">
        <f>'A4 - Transport'!B27</f>
        <v>2.8101693203999996E-10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2.5413527999999998E-10</v>
      </c>
      <c r="AC77" s="1">
        <f>'D- Benefits &amp; Burdens'!C171</f>
        <v>4.6464702038275903E-11</v>
      </c>
      <c r="AD77" s="62">
        <f t="shared" si="34"/>
        <v>3.005999820382759E-10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-1.2753929221029702E-8</v>
      </c>
    </row>
    <row r="78" spans="1:40" x14ac:dyDescent="0.35">
      <c r="A78" s="39" t="s">
        <v>179</v>
      </c>
      <c r="B78" s="39" t="s">
        <v>178</v>
      </c>
      <c r="C78" s="13">
        <f>'A1 - Raw Material Supply'!K125</f>
        <v>8.4961887941133851E-9</v>
      </c>
      <c r="D78" s="1">
        <f>'A2 - Transport'!L129</f>
        <v>8.4480920043352312E-8</v>
      </c>
      <c r="E78" s="62">
        <f t="shared" si="27"/>
        <v>9.2977108837465704E-8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8.2424160000000005E-9</v>
      </c>
      <c r="N78" s="62">
        <f t="shared" si="30"/>
        <v>8.5140916372642074E-9</v>
      </c>
      <c r="O78" s="1">
        <f>'C3'' - Secondary Raw Material '!C331+'C3'' - Secondary Raw Material '!D331+'C3'' - Secondary Raw Material '!E331</f>
        <v>0</v>
      </c>
      <c r="P78" s="1">
        <f>'C2''- Transport Secondary'!G69</f>
        <v>0</v>
      </c>
      <c r="Q78" s="62">
        <f t="shared" si="31"/>
        <v>0</v>
      </c>
      <c r="R78" s="1">
        <f>'A1 - Raw Material Supply'!Y125</f>
        <v>9.2094708994056835E-9</v>
      </c>
      <c r="S78" s="1">
        <f>'A2 - Transport'!Y129</f>
        <v>2.8367648400000001E-9</v>
      </c>
      <c r="T78" s="62">
        <f t="shared" si="32"/>
        <v>1.2046235739405683E-8</v>
      </c>
      <c r="U78" s="62" t="e">
        <f>'A3 - Production '!D217</f>
        <v>#N/A</v>
      </c>
      <c r="V78" s="62">
        <f>'A4 - Transport'!B28</f>
        <v>2.2864919895999999E-8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1.948548E-8</v>
      </c>
      <c r="AC78" s="1">
        <f>'D- Benefits &amp; Burdens'!C172</f>
        <v>1.2384739377919393E-9</v>
      </c>
      <c r="AD78" s="62">
        <f t="shared" si="34"/>
        <v>2.0723953937791938E-8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-4.0422182106369618E-7</v>
      </c>
    </row>
    <row r="79" spans="1:40" ht="29" x14ac:dyDescent="0.35">
      <c r="A79" s="39" t="s">
        <v>180</v>
      </c>
      <c r="B79" s="39" t="s">
        <v>181</v>
      </c>
      <c r="C79" s="13">
        <f>'A1 - Raw Material Supply'!K126</f>
        <v>6.1999922579962938E-2</v>
      </c>
      <c r="D79" s="1">
        <f>'A2 - Transport'!L130</f>
        <v>9.0170686749313708E-2</v>
      </c>
      <c r="E79" s="62">
        <f t="shared" si="27"/>
        <v>0.15217060932927665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6.9754032000000007E-3</v>
      </c>
      <c r="N79" s="62">
        <f t="shared" si="30"/>
        <v>7.6406018827901495E-3</v>
      </c>
      <c r="O79" s="1">
        <f>'C3'' - Secondary Raw Material '!C332+'C3'' - Secondary Raw Material '!D332+'C3'' - Secondary Raw Material '!E332</f>
        <v>0</v>
      </c>
      <c r="P79" s="1">
        <f>'C2''- Transport Secondary'!G70</f>
        <v>0</v>
      </c>
      <c r="Q79" s="62">
        <f t="shared" si="31"/>
        <v>0</v>
      </c>
      <c r="R79" s="1">
        <f>'A1 - Raw Material Supply'!Y126</f>
        <v>6.4504996529228517E-2</v>
      </c>
      <c r="S79" s="1">
        <f>'A2 - Transport'!Y130</f>
        <v>2.4007012680000001E-3</v>
      </c>
      <c r="T79" s="62">
        <f t="shared" si="32"/>
        <v>6.6905697797228519E-2</v>
      </c>
      <c r="U79" s="62" t="e">
        <f>'A3 - Production '!D218</f>
        <v>#N/A</v>
      </c>
      <c r="V79" s="62">
        <f>'A4 - Transport'!B29</f>
        <v>1.9350155999199998E-2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1.6457750399999999E-2</v>
      </c>
      <c r="AC79" s="1">
        <f>'D- Benefits &amp; Burdens'!C173</f>
        <v>3.0324074708544474E-3</v>
      </c>
      <c r="AD79" s="62">
        <f t="shared" si="34"/>
        <v>1.9490157870854445E-2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-0.56467359053857702</v>
      </c>
    </row>
    <row r="80" spans="1:40" x14ac:dyDescent="0.35">
      <c r="A80" s="39" t="s">
        <v>182</v>
      </c>
      <c r="B80" s="39" t="s">
        <v>183</v>
      </c>
      <c r="C80" s="13">
        <f>'A1 - Raw Material Supply'!K127</f>
        <v>391.20196233776971</v>
      </c>
      <c r="D80" s="1">
        <f>'A2 - Transport'!L131</f>
        <v>14.66175958222102</v>
      </c>
      <c r="E80" s="62">
        <f t="shared" si="27"/>
        <v>405.86372191999072</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0.97031890079999994</v>
      </c>
      <c r="N80" s="62">
        <f t="shared" si="30"/>
        <v>1.0842235333752179</v>
      </c>
      <c r="O80" s="1">
        <f>'C3'' - Secondary Raw Material '!C333+'C3'' - Secondary Raw Material '!D333+'C3'' - Secondary Raw Material '!E333</f>
        <v>0</v>
      </c>
      <c r="P80" s="1">
        <f>'C2''- Transport Secondary'!G71</f>
        <v>0</v>
      </c>
      <c r="Q80" s="62">
        <f t="shared" si="31"/>
        <v>0</v>
      </c>
      <c r="R80" s="1">
        <f>'A1 - Raw Material Supply'!Y127</f>
        <v>1.7720097836370334</v>
      </c>
      <c r="S80" s="1">
        <f>'A2 - Transport'!Y131</f>
        <v>0.33395142169200004</v>
      </c>
      <c r="T80" s="62">
        <f t="shared" si="32"/>
        <v>2.1059612053290335</v>
      </c>
      <c r="U80" s="62" t="e">
        <f>'A3 - Production '!D219</f>
        <v>#N/A</v>
      </c>
      <c r="V80" s="62">
        <f>'A4 - Transport'!B30</f>
        <v>2.6917185374248001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2.2939029119999996</v>
      </c>
      <c r="AC80" s="1">
        <f>'D- Benefits &amp; Burdens'!C174</f>
        <v>0.51925126691056267</v>
      </c>
      <c r="AD80" s="62">
        <f t="shared" si="34"/>
        <v>2.8131541789105623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-501.35961764632674</v>
      </c>
    </row>
    <row r="81" spans="1:40" ht="29" x14ac:dyDescent="0.35">
      <c r="A81" s="39" t="s">
        <v>184</v>
      </c>
      <c r="B81" s="39" t="s">
        <v>185</v>
      </c>
      <c r="C81" s="13">
        <f>'A1 - Raw Material Supply'!K128</f>
        <v>4.742706305592335E-6</v>
      </c>
      <c r="D81" s="1">
        <f>'A2 - Transport'!L132</f>
        <v>1.3479236630035266E-5</v>
      </c>
      <c r="E81" s="62">
        <f t="shared" si="27"/>
        <v>1.82219429356276E-5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1.2609863999999999E-6</v>
      </c>
      <c r="N81" s="62">
        <f t="shared" si="30"/>
        <v>1.2869943346718556E-6</v>
      </c>
      <c r="O81" s="1">
        <f>'C3'' - Secondary Raw Material '!C334+'C3'' - Secondary Raw Material '!D334+'C3'' - Secondary Raw Material '!E334</f>
        <v>0</v>
      </c>
      <c r="P81" s="1">
        <f>'C2''- Transport Secondary'!G72</f>
        <v>0</v>
      </c>
      <c r="Q81" s="62">
        <f t="shared" si="31"/>
        <v>0</v>
      </c>
      <c r="R81" s="1">
        <f>'A1 - Raw Material Supply'!Y128</f>
        <v>1.2122921902345966E-4</v>
      </c>
      <c r="S81" s="1">
        <f>'A2 - Transport'!Y132</f>
        <v>4.3398948600000003E-7</v>
      </c>
      <c r="T81" s="62">
        <f t="shared" si="32"/>
        <v>1.2166320850945966E-4</v>
      </c>
      <c r="U81" s="62" t="e">
        <f>'A3 - Production '!D220</f>
        <v>#N/A</v>
      </c>
      <c r="V81" s="62">
        <f>'A4 - Transport'!B31</f>
        <v>3.4980463283999992E-6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2.9470727999999997E-6</v>
      </c>
      <c r="AC81" s="1">
        <f>'D- Benefits &amp; Burdens'!C175</f>
        <v>1.1856105166899467E-7</v>
      </c>
      <c r="AD81" s="62">
        <f t="shared" si="34"/>
        <v>3.0656338516689942E-6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-1.6744695790738401E-5</v>
      </c>
    </row>
    <row r="82" spans="1:40" x14ac:dyDescent="0.35">
      <c r="A82" s="39" t="s">
        <v>186</v>
      </c>
      <c r="B82" s="39" t="s">
        <v>187</v>
      </c>
      <c r="C82" s="13">
        <f>'A1 - Raw Material Supply'!K129</f>
        <v>3.5702259662986992E-8</v>
      </c>
      <c r="D82" s="1">
        <f>'A2 - Transport'!L133</f>
        <v>2.6609888187588262E-7</v>
      </c>
      <c r="E82" s="62">
        <f t="shared" si="27"/>
        <v>3.0180114153886963E-7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2.5414703999999998E-8</v>
      </c>
      <c r="N82" s="62">
        <f t="shared" si="30"/>
        <v>2.9173260481509775E-8</v>
      </c>
      <c r="O82" s="1">
        <f>'C3'' - Secondary Raw Material '!C335+'C3'' - Secondary Raw Material '!D335+'C3'' - Secondary Raw Material '!E335</f>
        <v>0</v>
      </c>
      <c r="P82" s="1">
        <f>'C2''- Transport Secondary'!G73</f>
        <v>0</v>
      </c>
      <c r="Q82" s="62">
        <f t="shared" si="31"/>
        <v>0</v>
      </c>
      <c r="R82" s="1">
        <f>'A1 - Raw Material Supply'!Y129</f>
        <v>4.0525650071250718E-9</v>
      </c>
      <c r="S82" s="1">
        <f>'A2 - Transport'!Y133</f>
        <v>8.7468939600000005E-9</v>
      </c>
      <c r="T82" s="62">
        <f t="shared" si="32"/>
        <v>1.2799458967125071E-8</v>
      </c>
      <c r="U82" s="62" t="e">
        <f>'A3 - Production '!D221</f>
        <v>#N/A</v>
      </c>
      <c r="V82" s="62">
        <f>'A4 - Transport'!B32</f>
        <v>7.0501800823999998E-8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6.0477647999999988E-8</v>
      </c>
      <c r="AC82" s="1">
        <f>'D- Benefits &amp; Burdens'!C176</f>
        <v>1.7133940654170295E-8</v>
      </c>
      <c r="AD82" s="62">
        <f t="shared" si="34"/>
        <v>7.7611588654170277E-8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-2.0366864110190814E-7</v>
      </c>
    </row>
    <row r="83" spans="1:40" x14ac:dyDescent="0.35">
      <c r="A83" s="39" t="s">
        <v>188</v>
      </c>
      <c r="B83" s="39" t="s">
        <v>189</v>
      </c>
      <c r="C83" s="13">
        <f>'A1 - Raw Material Supply'!K130</f>
        <v>6.5360368889705894E-7</v>
      </c>
      <c r="D83" s="1">
        <f>'A2 - Transport'!L134</f>
        <v>7.2341062152913949E-7</v>
      </c>
      <c r="E83" s="62">
        <f t="shared" si="27"/>
        <v>1.3770143104261983E-6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7.0844903999999993E-8</v>
      </c>
      <c r="N83" s="62">
        <f t="shared" si="30"/>
        <v>7.2487665399318644E-8</v>
      </c>
      <c r="O83" s="1">
        <f>'C3'' - Secondary Raw Material '!C336+'C3'' - Secondary Raw Material '!D336+'C3'' - Secondary Raw Material '!E336</f>
        <v>0</v>
      </c>
      <c r="P83" s="1">
        <f>'C2''- Transport Secondary'!G74</f>
        <v>0</v>
      </c>
      <c r="Q83" s="62">
        <f t="shared" si="31"/>
        <v>0</v>
      </c>
      <c r="R83" s="1">
        <f>'A1 - Raw Material Supply'!Y130</f>
        <v>4.238240379536734E-8</v>
      </c>
      <c r="S83" s="1">
        <f>'A2 - Transport'!Y134</f>
        <v>2.4382454459999998E-8</v>
      </c>
      <c r="T83" s="62">
        <f t="shared" si="32"/>
        <v>6.6764858255367335E-8</v>
      </c>
      <c r="U83" s="62" t="e">
        <f>'A3 - Production '!D222</f>
        <v>#N/A</v>
      </c>
      <c r="V83" s="62">
        <f>'A4 - Transport'!B33</f>
        <v>1.9652769952399998E-7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1.8384240000000001E-7</v>
      </c>
      <c r="AC83" s="1">
        <f>'D- Benefits &amp; Burdens'!C177</f>
        <v>7.4887730072320456E-9</v>
      </c>
      <c r="AD83" s="62">
        <f t="shared" si="34"/>
        <v>1.9133117300723205E-7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-1.7360814144658524E-6</v>
      </c>
    </row>
    <row r="84" spans="1:40" ht="29" x14ac:dyDescent="0.35">
      <c r="A84" s="39" t="s">
        <v>190</v>
      </c>
      <c r="B84" s="39" t="s">
        <v>191</v>
      </c>
      <c r="C84" s="13">
        <f>'A1 - Raw Material Supply'!K131</f>
        <v>4.2361407169931642E-2</v>
      </c>
      <c r="D84" s="1">
        <f>'A2 - Transport'!L135</f>
        <v>3.7128325857464485E-2</v>
      </c>
      <c r="E84" s="62">
        <f t="shared" si="27"/>
        <v>7.948973302739612E-2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2.9715551999999995E-3</v>
      </c>
      <c r="N84" s="62">
        <f t="shared" si="30"/>
        <v>3.3823825863461476E-3</v>
      </c>
      <c r="O84" s="1">
        <f>'C3'' - Secondary Raw Material '!C337+'C3'' - Secondary Raw Material '!D337+'C3'' - Secondary Raw Material '!E337</f>
        <v>0</v>
      </c>
      <c r="P84" s="1">
        <f>'C2''- Transport Secondary'!G75</f>
        <v>0</v>
      </c>
      <c r="Q84" s="62">
        <f t="shared" si="31"/>
        <v>0</v>
      </c>
      <c r="R84" s="1">
        <f>'A1 - Raw Material Supply'!Y131</f>
        <v>2.1167156369696081E-3</v>
      </c>
      <c r="S84" s="1">
        <f>'A2 - Transport'!Y135</f>
        <v>1.0227102479999999E-3</v>
      </c>
      <c r="T84" s="62">
        <f t="shared" si="32"/>
        <v>3.139425884969608E-3</v>
      </c>
      <c r="U84" s="62" t="e">
        <f>'A3 - Production '!D223</f>
        <v>#N/A</v>
      </c>
      <c r="V84" s="62">
        <f>'A4 - Transport'!B34</f>
        <v>8.2432592111999978E-3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1.1710523999999998E-2</v>
      </c>
      <c r="AC84" s="1">
        <f>'D- Benefits &amp; Burdens'!C178</f>
        <v>1.872817953219971E-3</v>
      </c>
      <c r="AD84" s="62">
        <f t="shared" si="34"/>
        <v>1.3583341953219969E-2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-0.11581316017071666</v>
      </c>
    </row>
    <row r="85" spans="1:40" ht="29" x14ac:dyDescent="0.35">
      <c r="A85" s="39" t="s">
        <v>192</v>
      </c>
      <c r="B85" s="39" t="s">
        <v>193</v>
      </c>
      <c r="C85" s="13">
        <f>'A1 - Raw Material Supply'!K132</f>
        <v>3.0979806680888267</v>
      </c>
      <c r="D85" s="1">
        <f>'A2 - Transport'!L136</f>
        <v>0.40855866696891496</v>
      </c>
      <c r="E85" s="62">
        <f t="shared" si="27"/>
        <v>3.5065393350577416</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3.5036560799999998E-2</v>
      </c>
      <c r="N85" s="62">
        <f t="shared" si="30"/>
        <v>3.8034966136885368E-2</v>
      </c>
      <c r="O85" s="1">
        <f>'C3'' - Secondary Raw Material '!C338+'C3'' - Secondary Raw Material '!D338+'C3'' - Secondary Raw Material '!E338</f>
        <v>0</v>
      </c>
      <c r="P85" s="1">
        <f>'C2''- Transport Secondary'!G76</f>
        <v>0</v>
      </c>
      <c r="Q85" s="62">
        <f t="shared" si="31"/>
        <v>0</v>
      </c>
      <c r="R85" s="1">
        <f>'A1 - Raw Material Supply'!Y132</f>
        <v>0.20012990288499521</v>
      </c>
      <c r="S85" s="1">
        <f>'A2 - Transport'!Y136</f>
        <v>1.2058416342E-2</v>
      </c>
      <c r="T85" s="62">
        <f t="shared" si="32"/>
        <v>0.21218831922699521</v>
      </c>
      <c r="U85" s="62" t="e">
        <f>'A3 - Production '!D224</f>
        <v>#N/A</v>
      </c>
      <c r="V85" s="62">
        <f>'A4 - Transport'!B35</f>
        <v>9.7193366134799994E-2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8.2508865599999995E-2</v>
      </c>
      <c r="AC85" s="1">
        <f>'D- Benefits &amp; Burdens'!C179</f>
        <v>1.366867821518138E-2</v>
      </c>
      <c r="AD85" s="62">
        <f t="shared" si="34"/>
        <v>9.6177543815181371E-2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-4.7592100043512344</v>
      </c>
    </row>
    <row r="86" spans="1:40" x14ac:dyDescent="0.35">
      <c r="A86" s="148" t="s">
        <v>57</v>
      </c>
      <c r="B86" s="338" t="e">
        <f>+SUM(C67:C85,F67:F85,I67:I85,R67:R85)-SUM(C4:C22)+SUM(L67:L85,O67:O85)-SUM(D4:D22)+SUM(D67:D85,G67:G85,J67:J85,S67:S85)-SUM(E4:E22)+SUM(M67:M85,P67:P85)-SUM(F4:F22)+SUM(U67:U85)-SUM(G4:G22)+SUM(V67:V85)-SUM(H4:H22)+SUM(Z67:Z85)-SUM(I4:I22)+SUM(AA67:AA85)-SUM(J4:J22)+SUM(AN67:AN85)-SUM(K4:K22)</f>
        <v>#N/A</v>
      </c>
      <c r="C86" s="338"/>
      <c r="G86" s="319"/>
      <c r="H86" s="319"/>
      <c r="I86" s="319"/>
      <c r="J86" s="319"/>
      <c r="K86" s="319"/>
      <c r="L86" s="319"/>
      <c r="M86" s="319"/>
      <c r="U86" s="338" t="e">
        <f>+SUM(U67:U85)-SUM(G4:G22)</f>
        <v>#N/A</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253</v>
      </c>
    </row>
    <row r="90" spans="1:40" x14ac:dyDescent="0.35">
      <c r="A90" s="328" t="s">
        <v>195</v>
      </c>
    </row>
    <row r="91" spans="1:40" ht="43.5" x14ac:dyDescent="0.35">
      <c r="A91" s="103" t="s">
        <v>151</v>
      </c>
      <c r="B91" s="103" t="s">
        <v>196</v>
      </c>
      <c r="C91" s="103" t="s">
        <v>197</v>
      </c>
      <c r="D91" s="108" t="s">
        <v>1009</v>
      </c>
      <c r="E91" s="103" t="s">
        <v>1010</v>
      </c>
      <c r="F91" s="108" t="s">
        <v>1013</v>
      </c>
      <c r="G91" s="108" t="s">
        <v>1008</v>
      </c>
      <c r="H91" s="108" t="s">
        <v>154</v>
      </c>
      <c r="I91" s="108" t="s">
        <v>155</v>
      </c>
      <c r="J91" s="103" t="s">
        <v>156</v>
      </c>
      <c r="K91" s="103" t="s">
        <v>157</v>
      </c>
      <c r="L91" s="103" t="s">
        <v>159</v>
      </c>
      <c r="M91" s="103" t="s">
        <v>985</v>
      </c>
      <c r="N91" s="103" t="s">
        <v>989</v>
      </c>
      <c r="O91" s="103" t="s">
        <v>1004</v>
      </c>
    </row>
    <row r="92" spans="1:40" x14ac:dyDescent="0.35">
      <c r="A92" s="39" t="s">
        <v>160</v>
      </c>
      <c r="B92" s="154">
        <v>55.6</v>
      </c>
      <c r="C92" s="154">
        <v>6.2E-2</v>
      </c>
      <c r="D92" s="1">
        <f>((C4/$B92)*$C92)*Input!$C$31</f>
        <v>1.6556743485400333E-5</v>
      </c>
      <c r="E92" s="1">
        <f>((D4/$B92)*$C92)*Input!$C$31</f>
        <v>4.5654690060450572E-8</v>
      </c>
      <c r="F92" s="1">
        <f>((E4/$B92)*$C92)*Input!$C$31</f>
        <v>5.2641177651083636E-6</v>
      </c>
      <c r="G92" s="1">
        <f>((F4/$B92)*$C92)*Input!$C$31</f>
        <v>3.6491292362589919E-7</v>
      </c>
      <c r="H92" s="1" t="e">
        <f>((G4/$B92)*$C92)*Input!$C$31</f>
        <v>#N/A</v>
      </c>
      <c r="I92" s="1">
        <f>((H4/$B92)*$C92)*Input!$C$31</f>
        <v>1.0122887230784459E-6</v>
      </c>
      <c r="J92" s="1">
        <f>((I4/$B92)*$C92)*Input!$C$31</f>
        <v>3.164817820651399E-7</v>
      </c>
      <c r="K92" s="1">
        <f>((J4/$B92)*$C92)*Input!$C$31</f>
        <v>2.4015834724913239E-7</v>
      </c>
      <c r="L92" s="1">
        <f>((K4/$B92)*$C92)*Input!$C$31</f>
        <v>-1.9770998048575925E-5</v>
      </c>
      <c r="M92" s="1" t="e">
        <f>(SUM(D92:H92))*1000</f>
        <v>#N/A</v>
      </c>
      <c r="N92" s="1" t="e">
        <f>SUM(D92:K92)*1000</f>
        <v>#N/A</v>
      </c>
      <c r="O92" s="1" t="e">
        <f>SUM(D92:L92)*1000</f>
        <v>#N/A</v>
      </c>
    </row>
    <row r="93" spans="1:40" x14ac:dyDescent="0.35">
      <c r="A93" s="39" t="s">
        <v>162</v>
      </c>
      <c r="B93" s="154">
        <v>8100</v>
      </c>
      <c r="C93" s="154">
        <v>0.21059999999999998</v>
      </c>
      <c r="D93" s="1">
        <f>((C5/$B93)*$C93)*Input!$C$31</f>
        <v>7.2486643174947719E-5</v>
      </c>
      <c r="E93" s="1">
        <f>((D5/$B93)*$C93)*Input!$C$31</f>
        <v>8.3261736706504406E-7</v>
      </c>
      <c r="F93" s="1">
        <f>((E5/$B93)*$C93)*Input!$C$31</f>
        <v>6.763557694359404E-5</v>
      </c>
      <c r="G93" s="1">
        <f>((F5/$B93)*$C93)*Input!$C$31</f>
        <v>5.7056712201215997E-6</v>
      </c>
      <c r="H93" s="1" t="e">
        <f>((G5/$B93)*$C93)*Input!$C$31</f>
        <v>#N/A</v>
      </c>
      <c r="I93" s="1">
        <f>((H5/$B93)*$C93)*Input!$C$31</f>
        <v>1.5827848946351764E-5</v>
      </c>
      <c r="J93" s="1">
        <f>((I5/$B93)*$C93)*Input!$C$31</f>
        <v>5.7717668821806292E-6</v>
      </c>
      <c r="K93" s="1">
        <f>((J5/$B93)*$C93)*Input!$C$31</f>
        <v>4.3798350290080077E-6</v>
      </c>
      <c r="L93" s="1">
        <f>((K5/$B93)*$C93)*Input!$C$31</f>
        <v>-1.1229374165506095E-4</v>
      </c>
      <c r="M93" s="1" t="e">
        <f>(SUM(D93:H93))*1000</f>
        <v>#N/A</v>
      </c>
      <c r="N93" s="1" t="e">
        <f>SUM(D93:K93)*1000</f>
        <v>#N/A</v>
      </c>
      <c r="O93" s="1" t="e">
        <f>SUM(D93:L93)*1000</f>
        <v>#N/A</v>
      </c>
    </row>
    <row r="94" spans="1:40" x14ac:dyDescent="0.35">
      <c r="A94" s="39" t="s">
        <v>164</v>
      </c>
      <c r="B94" s="333"/>
      <c r="C94" s="333"/>
      <c r="D94" s="333"/>
      <c r="E94" s="333"/>
      <c r="F94" s="333"/>
      <c r="G94" s="333"/>
      <c r="H94" s="333"/>
      <c r="I94" s="333"/>
      <c r="J94" s="333"/>
      <c r="K94" s="333"/>
      <c r="L94" s="333"/>
      <c r="M94" s="333"/>
      <c r="N94" s="333"/>
      <c r="O94" s="333"/>
    </row>
    <row r="95" spans="1:40" x14ac:dyDescent="0.35">
      <c r="A95" s="39" t="s">
        <v>165</v>
      </c>
      <c r="B95" s="333"/>
      <c r="C95" s="333"/>
      <c r="D95" s="333"/>
      <c r="E95" s="333"/>
      <c r="F95" s="333"/>
      <c r="G95" s="333"/>
      <c r="H95" s="333"/>
      <c r="I95" s="333"/>
      <c r="J95" s="333"/>
      <c r="K95" s="333"/>
      <c r="L95" s="333"/>
      <c r="M95" s="333"/>
      <c r="N95" s="333"/>
      <c r="O95" s="333"/>
    </row>
    <row r="96" spans="1:40" x14ac:dyDescent="0.35">
      <c r="A96" s="39" t="s">
        <v>166</v>
      </c>
      <c r="B96" s="333"/>
      <c r="C96" s="333"/>
      <c r="D96" s="333"/>
      <c r="E96" s="333"/>
      <c r="F96" s="333"/>
      <c r="G96" s="333"/>
      <c r="H96" s="333"/>
      <c r="I96" s="333"/>
      <c r="J96" s="333"/>
      <c r="K96" s="333"/>
      <c r="L96" s="333"/>
      <c r="M96" s="333"/>
      <c r="N96" s="333"/>
      <c r="O96" s="333"/>
    </row>
    <row r="97" spans="1:18" x14ac:dyDescent="0.35">
      <c r="A97" s="39" t="s">
        <v>167</v>
      </c>
      <c r="B97" s="154">
        <v>42700</v>
      </c>
      <c r="C97" s="154">
        <v>1.9199999999999998E-2</v>
      </c>
      <c r="D97" s="1">
        <f>((C9/$B97)*$C97)*Input!$C$31</f>
        <v>5.6004003910509409E-5</v>
      </c>
      <c r="E97" s="1">
        <f>((D9/$B97)*$C97)*Input!$C$31</f>
        <v>6.3621116605882512E-9</v>
      </c>
      <c r="F97" s="1">
        <f>((E9/$B97)*$C97)*Input!$C$31</f>
        <v>1.0126208778228926E-6</v>
      </c>
      <c r="G97" s="1">
        <f>((F9/$B97)*$C97)*Input!$C$31</f>
        <v>8.4750632362386864E-8</v>
      </c>
      <c r="H97" s="1" t="e">
        <f>((G9/$B97)*$C97)*Input!$C$31</f>
        <v>#N/A</v>
      </c>
      <c r="I97" s="1">
        <f>((H9/$B97)*$C97)*Input!$C$31</f>
        <v>2.3510296254172575E-7</v>
      </c>
      <c r="J97" s="1">
        <f>((I9/$B97)*$C97)*Input!$C$31</f>
        <v>4.4102641664511286E-8</v>
      </c>
      <c r="K97" s="1">
        <f>((J9/$B97)*$C97)*Input!$C$31</f>
        <v>3.3466752690648508E-8</v>
      </c>
      <c r="L97" s="1">
        <f>((K9/$B97)*$C97)*Input!$C$31</f>
        <v>-5.9026556311517361E-5</v>
      </c>
      <c r="M97" s="1" t="e">
        <f t="shared" ref="M97:M110" si="37">(SUM(D97:H97))*1000</f>
        <v>#N/A</v>
      </c>
      <c r="N97" s="1" t="e">
        <f t="shared" ref="N97:N110" si="38">SUM(D97:K97)*1000</f>
        <v>#N/A</v>
      </c>
      <c r="O97" s="1" t="e">
        <f t="shared" ref="O97:O110" si="39">SUM(D97:L97)*1000</f>
        <v>#N/A</v>
      </c>
    </row>
    <row r="98" spans="1:18" x14ac:dyDescent="0.35">
      <c r="A98" s="39" t="s">
        <v>169</v>
      </c>
      <c r="B98" s="154">
        <v>65000</v>
      </c>
      <c r="C98" s="154">
        <v>7.5499999999999998E-2</v>
      </c>
      <c r="D98" s="1">
        <f>((C10/$B98)*$C98)*Input!$C$31</f>
        <v>2.3474534377081267E-4</v>
      </c>
      <c r="E98" s="1">
        <f>((D10/$B98)*$C98)*Input!$C$31</f>
        <v>4.9407308690633505E-7</v>
      </c>
      <c r="F98" s="1">
        <f>((E10/$B98)*$C98)*Input!$C$31</f>
        <v>4.050730054137521E-5</v>
      </c>
      <c r="G98" s="1">
        <f>((F10/$B98)*$C98)*Input!$C$31</f>
        <v>3.4306665072324921E-6</v>
      </c>
      <c r="H98" s="1" t="e">
        <f>((G10/$B98)*$C98)*Input!$C$31</f>
        <v>#N/A</v>
      </c>
      <c r="I98" s="1">
        <f>((H10/$B98)*$C98)*Input!$C$31</f>
        <v>9.5168594836466681E-6</v>
      </c>
      <c r="J98" s="1">
        <f>((I10/$B98)*$C98)*Input!$C$31</f>
        <v>3.4249521967513378E-6</v>
      </c>
      <c r="K98" s="1">
        <f>((J10/$B98)*$C98)*Input!$C$31</f>
        <v>2.5989832767365709E-6</v>
      </c>
      <c r="L98" s="1">
        <f>((K10/$B98)*$C98)*Input!$C$31</f>
        <v>-2.6967864225050422E-4</v>
      </c>
      <c r="M98" s="1" t="e">
        <f t="shared" si="37"/>
        <v>#N/A</v>
      </c>
      <c r="N98" s="1" t="e">
        <f t="shared" si="38"/>
        <v>#N/A</v>
      </c>
      <c r="O98" s="1" t="e">
        <f t="shared" si="39"/>
        <v>#N/A</v>
      </c>
    </row>
    <row r="99" spans="1:18" x14ac:dyDescent="0.35">
      <c r="A99" s="39" t="s">
        <v>171</v>
      </c>
      <c r="B99" s="154">
        <v>1.61</v>
      </c>
      <c r="C99" s="154">
        <v>2.7999999999999997E-2</v>
      </c>
      <c r="D99" s="1">
        <f>((C11/$B99)*$C99)*Input!$C$31</f>
        <v>1.1064765992942224E-6</v>
      </c>
      <c r="E99" s="1">
        <f>((D11/$B99)*$C99)*Input!$C$31</f>
        <v>5.8875524540489382E-9</v>
      </c>
      <c r="F99" s="1">
        <f>((E11/$B99)*$C99)*Input!$C$31</f>
        <v>1.1895906165813158E-6</v>
      </c>
      <c r="G99" s="1">
        <f>((F11/$B99)*$C99)*Input!$C$31</f>
        <v>8.9019107060869563E-8</v>
      </c>
      <c r="H99" s="1" t="e">
        <f>((G11/$B99)*$C99)*Input!$C$31</f>
        <v>#N/A</v>
      </c>
      <c r="I99" s="1">
        <f>((H11/$B99)*$C99)*Input!$C$31</f>
        <v>2.4694394849279989E-7</v>
      </c>
      <c r="J99" s="1">
        <f>((I11/$B99)*$C99)*Input!$C$31</f>
        <v>4.0812961169865106E-8</v>
      </c>
      <c r="K99" s="1">
        <f>((J11/$B99)*$C99)*Input!$C$31</f>
        <v>3.0970418698161943E-8</v>
      </c>
      <c r="L99" s="1">
        <f>((K11/$B99)*$C99)*Input!$C$31</f>
        <v>-2.8753941235773161E-6</v>
      </c>
      <c r="M99" s="1" t="e">
        <f t="shared" si="37"/>
        <v>#N/A</v>
      </c>
      <c r="N99" s="1" t="e">
        <f t="shared" si="38"/>
        <v>#N/A</v>
      </c>
      <c r="O99" s="1" t="e">
        <f t="shared" si="39"/>
        <v>#N/A</v>
      </c>
    </row>
    <row r="100" spans="1:18" x14ac:dyDescent="0.35">
      <c r="A100" s="39" t="s">
        <v>173</v>
      </c>
      <c r="B100" s="154">
        <v>19.5</v>
      </c>
      <c r="C100" s="154">
        <v>2.9600000000000001E-2</v>
      </c>
      <c r="D100" s="1">
        <f>((C12/$B100)*$C100)*Input!$C$31</f>
        <v>6.9925660025141574E-6</v>
      </c>
      <c r="E100" s="1">
        <f>((D12/$B100)*$C100)*Input!$C$31</f>
        <v>1.4053637232832214E-8</v>
      </c>
      <c r="F100" s="1">
        <f>((E12/$B100)*$C100)*Input!$C$31</f>
        <v>1.9241781703299786E-6</v>
      </c>
      <c r="G100" s="1">
        <f>((F12/$B100)*$C100)*Input!$C$31</f>
        <v>1.0827219952246153E-7</v>
      </c>
      <c r="H100" s="1" t="e">
        <f>((G12/$B100)*$C100)*Input!$C$31</f>
        <v>#N/A</v>
      </c>
      <c r="I100" s="1">
        <f>((H12/$B100)*$C100)*Input!$C$31</f>
        <v>3.0035309659750394E-7</v>
      </c>
      <c r="J100" s="1">
        <f>((I12/$B100)*$C100)*Input!$C$31</f>
        <v>9.7420881623653393E-8</v>
      </c>
      <c r="K100" s="1">
        <f>((J12/$B100)*$C100)*Input!$C$31</f>
        <v>7.3926649950025875E-8</v>
      </c>
      <c r="L100" s="1">
        <f>((K12/$B100)*$C100)*Input!$C$31</f>
        <v>-8.4981581110923634E-6</v>
      </c>
      <c r="M100" s="1" t="e">
        <f t="shared" si="37"/>
        <v>#N/A</v>
      </c>
      <c r="N100" s="1" t="e">
        <f t="shared" si="38"/>
        <v>#N/A</v>
      </c>
      <c r="O100" s="1" t="e">
        <f t="shared" si="39"/>
        <v>#N/A</v>
      </c>
    </row>
    <row r="101" spans="1:18" x14ac:dyDescent="0.35">
      <c r="A101" s="39" t="s">
        <v>175</v>
      </c>
      <c r="B101" s="154">
        <v>177</v>
      </c>
      <c r="C101" s="154">
        <v>3.7100000000000001E-2</v>
      </c>
      <c r="D101" s="1">
        <f>((C13/$B101)*$C101)*Input!$C$31</f>
        <v>1.1783267967204831E-5</v>
      </c>
      <c r="E101" s="1">
        <f>((D13/$B101)*$C101)*Input!$C$31</f>
        <v>2.1096531390016671E-8</v>
      </c>
      <c r="F101" s="1">
        <f>((E13/$B101)*$C101)*Input!$C$31</f>
        <v>2.8865173099098669E-6</v>
      </c>
      <c r="G101" s="1">
        <f>((F13/$B101)*$C101)*Input!$C$31</f>
        <v>1.6182741712271187E-7</v>
      </c>
      <c r="H101" s="1" t="e">
        <f>((G13/$B101)*$C101)*Input!$C$31</f>
        <v>#N/A</v>
      </c>
      <c r="I101" s="1">
        <f>((H13/$B101)*$C101)*Input!$C$31</f>
        <v>4.48918245510465E-7</v>
      </c>
      <c r="J101" s="1">
        <f>((I13/$B101)*$C101)*Input!$C$31</f>
        <v>1.4624275930611246E-7</v>
      </c>
      <c r="K101" s="1">
        <f>((J13/$B101)*$C101)*Input!$C$31</f>
        <v>1.1097453743760765E-7</v>
      </c>
      <c r="L101" s="1">
        <f>((K13/$B101)*$C101)*Input!$C$31</f>
        <v>-1.3535217728143288E-5</v>
      </c>
      <c r="M101" s="1" t="e">
        <f t="shared" si="37"/>
        <v>#N/A</v>
      </c>
      <c r="N101" s="1" t="e">
        <f t="shared" si="38"/>
        <v>#N/A</v>
      </c>
      <c r="O101" s="1" t="e">
        <f t="shared" si="39"/>
        <v>#N/A</v>
      </c>
      <c r="R101" s="87" t="e">
        <f>+Results!B23+Results!B54+Results!B61+Results!B86+Results!B112+Results!B119+Results!B126+Results!B152+Results!B160</f>
        <v>#N/A</v>
      </c>
    </row>
    <row r="102" spans="1:18" x14ac:dyDescent="0.35">
      <c r="A102" s="39" t="s">
        <v>177</v>
      </c>
      <c r="B102" s="154">
        <v>1.6900000000000001E-5</v>
      </c>
      <c r="C102" s="154">
        <v>2.1299999999999999E-2</v>
      </c>
      <c r="D102" s="1">
        <f>((C14/$B102)*$C102)*Input!$C$31</f>
        <v>2.8025553445256092E-6</v>
      </c>
      <c r="E102" s="1">
        <f>((D14/$B102)*$C102)*Input!$C$31</f>
        <v>2.4664999255433163E-9</v>
      </c>
      <c r="F102" s="1">
        <f>((E14/$B102)*$C102)*Input!$C$31</f>
        <v>2.9734278281813342E-7</v>
      </c>
      <c r="G102" s="1">
        <f>((F14/$B102)*$C102)*Input!$C$31</f>
        <v>2.4513846441656803E-8</v>
      </c>
      <c r="H102" s="1" t="e">
        <f>((G14/$B102)*$C102)*Input!$C$31</f>
        <v>#N/A</v>
      </c>
      <c r="I102" s="1">
        <f>((H14/$B102)*$C102)*Input!$C$31</f>
        <v>6.8002771909513823E-8</v>
      </c>
      <c r="J102" s="1">
        <f>((I14/$B102)*$C102)*Input!$C$31</f>
        <v>1.7097964981602147E-8</v>
      </c>
      <c r="K102" s="1">
        <f>((J14/$B102)*$C102)*Input!$C$31</f>
        <v>1.2974582563681187E-8</v>
      </c>
      <c r="L102" s="1">
        <f>((K14/$B102)*$C102)*Input!$C$31</f>
        <v>-3.0862999374155659E-6</v>
      </c>
      <c r="M102" s="1" t="e">
        <f t="shared" si="37"/>
        <v>#N/A</v>
      </c>
      <c r="N102" s="1" t="e">
        <f t="shared" si="38"/>
        <v>#N/A</v>
      </c>
      <c r="O102" s="1" t="e">
        <f t="shared" si="39"/>
        <v>#N/A</v>
      </c>
    </row>
    <row r="103" spans="1:18" x14ac:dyDescent="0.35">
      <c r="A103" s="39" t="s">
        <v>179</v>
      </c>
      <c r="B103" s="154">
        <v>2.3000000000000001E-4</v>
      </c>
      <c r="C103" s="154">
        <v>1.84E-2</v>
      </c>
      <c r="D103" s="1">
        <f>((C15/$B103)*$C103)*Input!$C$31</f>
        <v>5.1539906273156164E-6</v>
      </c>
      <c r="E103" s="1">
        <f>((D15/$B103)*$C103)*Input!$C$31</f>
        <v>4.1729377883782286E-9</v>
      </c>
      <c r="F103" s="1">
        <f>((E15/$B103)*$C103)*Input!$C$31</f>
        <v>1.4616649894034275E-6</v>
      </c>
      <c r="G103" s="1">
        <f>((F15/$B103)*$C103)*Input!$C$31</f>
        <v>1.2660350976E-7</v>
      </c>
      <c r="H103" s="1" t="e">
        <f>((G15/$B103)*$C103)*Input!$C$31</f>
        <v>#N/A</v>
      </c>
      <c r="I103" s="1">
        <f>((H15/$B103)*$C103)*Input!$C$31</f>
        <v>3.5120516960255995E-7</v>
      </c>
      <c r="J103" s="1">
        <f>((I15/$B103)*$C103)*Input!$C$31</f>
        <v>2.8927121966313752E-8</v>
      </c>
      <c r="K103" s="1">
        <f>((J15/$B103)*$C103)*Input!$C$31</f>
        <v>2.1950994325082815E-8</v>
      </c>
      <c r="L103" s="1">
        <f>((K15/$B103)*$C103)*Input!$C$31</f>
        <v>-6.2088471715383732E-6</v>
      </c>
      <c r="M103" s="1" t="e">
        <f t="shared" si="37"/>
        <v>#N/A</v>
      </c>
      <c r="N103" s="1" t="e">
        <f t="shared" si="38"/>
        <v>#N/A</v>
      </c>
      <c r="O103" s="1" t="e">
        <f t="shared" si="39"/>
        <v>#N/A</v>
      </c>
    </row>
    <row r="104" spans="1:18" x14ac:dyDescent="0.35">
      <c r="A104" s="39" t="s">
        <v>180</v>
      </c>
      <c r="B104" s="154">
        <v>4220</v>
      </c>
      <c r="C104" s="154">
        <v>5.0099999999999999E-2</v>
      </c>
      <c r="D104" s="1">
        <f>((C16/$B104)*$C104)*Input!$C$31</f>
        <v>7.5887493097222437E-7</v>
      </c>
      <c r="E104" s="1">
        <f>((D16/$B104)*$C104)*Input!$C$31</f>
        <v>1.5162746847144538E-9</v>
      </c>
      <c r="F104" s="1">
        <f>((E16/$B104)*$C104)*Input!$C$31</f>
        <v>2.2613918700209601E-7</v>
      </c>
      <c r="G104" s="1">
        <f>((F16/$B104)*$C104)*Input!$C$31</f>
        <v>1.5899952242047395E-8</v>
      </c>
      <c r="H104" s="1" t="e">
        <f>((G16/$B104)*$C104)*Input!$C$31</f>
        <v>#N/A</v>
      </c>
      <c r="I104" s="1">
        <f>((H16/$B104)*$C104)*Input!$C$31</f>
        <v>4.410735085011958E-8</v>
      </c>
      <c r="J104" s="1">
        <f>((I16/$B104)*$C104)*Input!$C$31</f>
        <v>1.0510931378206635E-8</v>
      </c>
      <c r="K104" s="1">
        <f>((J16/$B104)*$C104)*Input!$C$31</f>
        <v>7.9760923089076543E-9</v>
      </c>
      <c r="L104" s="1">
        <f>((K16/$B104)*$C104)*Input!$C$31</f>
        <v>-1.2871346450494503E-6</v>
      </c>
      <c r="M104" s="1" t="e">
        <f t="shared" si="37"/>
        <v>#N/A</v>
      </c>
      <c r="N104" s="1" t="e">
        <f t="shared" si="38"/>
        <v>#N/A</v>
      </c>
      <c r="O104" s="1" t="e">
        <f t="shared" si="39"/>
        <v>#N/A</v>
      </c>
    </row>
    <row r="105" spans="1:18" x14ac:dyDescent="0.35">
      <c r="A105" s="39" t="s">
        <v>182</v>
      </c>
      <c r="B105" s="154">
        <v>819000</v>
      </c>
      <c r="C105" s="154">
        <v>7.9399999999999998E-2</v>
      </c>
      <c r="D105" s="1">
        <f>((C17/$B105)*$C105)*Input!$C$31</f>
        <v>7.4349634546379934E-6</v>
      </c>
      <c r="E105" s="1">
        <f>((D17/$B105)*$C105)*Input!$C$31</f>
        <v>2.1202116516272084E-9</v>
      </c>
      <c r="F105" s="1">
        <f>((E17/$B105)*$C105)*Input!$C$31</f>
        <v>2.9631471529599258E-7</v>
      </c>
      <c r="G105" s="1">
        <f>((F17/$B105)*$C105)*Input!$C$31</f>
        <v>1.8061437825294064E-8</v>
      </c>
      <c r="H105" s="1" t="e">
        <f>((G17/$B105)*$C105)*Input!$C$31</f>
        <v>#N/A</v>
      </c>
      <c r="I105" s="1">
        <f>((H17/$B105)*$C105)*Input!$C$31</f>
        <v>5.0103431940578251E-8</v>
      </c>
      <c r="J105" s="1">
        <f>((I17/$B105)*$C105)*Input!$C$31</f>
        <v>1.469746834276571E-8</v>
      </c>
      <c r="K105" s="1">
        <f>((J17/$B105)*$C105)*Input!$C$31</f>
        <v>1.115299491462846E-8</v>
      </c>
      <c r="L105" s="1">
        <f>((K17/$B105)*$C105)*Input!$C$31</f>
        <v>-9.3322675202621748E-6</v>
      </c>
      <c r="M105" s="1" t="e">
        <f t="shared" si="37"/>
        <v>#N/A</v>
      </c>
      <c r="N105" s="1" t="e">
        <f t="shared" si="38"/>
        <v>#N/A</v>
      </c>
      <c r="O105" s="1" t="e">
        <f t="shared" si="39"/>
        <v>#N/A</v>
      </c>
    </row>
    <row r="106" spans="1:18" x14ac:dyDescent="0.35">
      <c r="A106" s="39" t="s">
        <v>184</v>
      </c>
      <c r="B106" s="154">
        <v>65000</v>
      </c>
      <c r="C106" s="154">
        <v>8.3199999999999996E-2</v>
      </c>
      <c r="D106" s="1">
        <f>((C18/$B106)*$C106)*Input!$C$31</f>
        <v>3.1602311085047592E-11</v>
      </c>
      <c r="E106" s="1">
        <f>((D18/$B106)*$C106)*Input!$C$31</f>
        <v>6.3917100249552833E-15</v>
      </c>
      <c r="F106" s="1">
        <f>((E18/$B106)*$C106)*Input!$C$31</f>
        <v>3.7141894820844167E-12</v>
      </c>
      <c r="G106" s="1">
        <f>((F18/$B106)*$C106)*Input!$C$31</f>
        <v>3.0990001766399994E-13</v>
      </c>
      <c r="H106" s="1" t="e">
        <f>((G18/$B106)*$C106)*Input!$C$31</f>
        <v>#N/A</v>
      </c>
      <c r="I106" s="1">
        <f>((H18/$B106)*$C106)*Input!$C$31</f>
        <v>8.596798656675838E-13</v>
      </c>
      <c r="J106" s="1">
        <f>((I18/$B106)*$C106)*Input!$C$31</f>
        <v>4.4307819776304149E-14</v>
      </c>
      <c r="K106" s="1">
        <f>((J18/$B106)*$C106)*Input!$C$31</f>
        <v>3.36224496028004E-14</v>
      </c>
      <c r="L106" s="1">
        <f>((K18/$B106)*$C106)*Input!$C$31</f>
        <v>-4.1151764375318697E-12</v>
      </c>
      <c r="M106" s="1" t="e">
        <f t="shared" si="37"/>
        <v>#N/A</v>
      </c>
      <c r="N106" s="1" t="e">
        <f t="shared" si="38"/>
        <v>#N/A</v>
      </c>
      <c r="O106" s="1" t="e">
        <f t="shared" si="39"/>
        <v>#N/A</v>
      </c>
    </row>
    <row r="107" spans="1:18" x14ac:dyDescent="0.35">
      <c r="A107" s="39" t="s">
        <v>186</v>
      </c>
      <c r="B107" s="154">
        <v>5.3600000000000002E-2</v>
      </c>
      <c r="C107" s="154">
        <v>6.3099999999999989E-2</v>
      </c>
      <c r="D107" s="1">
        <f>((C19/$B107)*$C107)*Input!$C$31</f>
        <v>9.3394624593450642E-9</v>
      </c>
      <c r="E107" s="1">
        <f>((D19/$B107)*$C107)*Input!$C$31</f>
        <v>8.4954596053707516E-10</v>
      </c>
      <c r="F107" s="1">
        <f>((E19/$B107)*$C107)*Input!$C$31</f>
        <v>6.7589319818703867E-8</v>
      </c>
      <c r="G107" s="1">
        <f>((F19/$B107)*$C107)*Input!$C$31</f>
        <v>5.7444817518805957E-9</v>
      </c>
      <c r="H107" s="1" t="e">
        <f>((G19/$B107)*$C107)*Input!$C$31</f>
        <v>#N/A</v>
      </c>
      <c r="I107" s="1">
        <f>((H19/$B107)*$C107)*Input!$C$31</f>
        <v>1.5935511517591878E-8</v>
      </c>
      <c r="J107" s="1">
        <f>((I19/$B107)*$C107)*Input!$C$31</f>
        <v>5.8891171790020722E-9</v>
      </c>
      <c r="K107" s="1">
        <f>((J19/$B107)*$C107)*Input!$C$31</f>
        <v>4.4688848730462096E-9</v>
      </c>
      <c r="L107" s="1">
        <f>((K19/$B107)*$C107)*Input!$C$31</f>
        <v>-4.6035192549959649E-8</v>
      </c>
      <c r="M107" s="1" t="e">
        <f t="shared" si="37"/>
        <v>#N/A</v>
      </c>
      <c r="N107" s="1" t="e">
        <f t="shared" si="38"/>
        <v>#N/A</v>
      </c>
      <c r="O107" s="1" t="e">
        <f t="shared" si="39"/>
        <v>#N/A</v>
      </c>
    </row>
    <row r="108" spans="1:18" x14ac:dyDescent="0.35">
      <c r="A108" s="39" t="s">
        <v>188</v>
      </c>
      <c r="B108" s="154">
        <v>5.9500000000000004E-4</v>
      </c>
      <c r="C108" s="154">
        <v>8.9600000000000013E-2</v>
      </c>
      <c r="D108" s="1">
        <f>((C20/$B108)*$C108)*Input!$C$31</f>
        <v>3.7578766428640854E-5</v>
      </c>
      <c r="E108" s="1">
        <f>((D20/$B108)*$C108)*Input!$C$31</f>
        <v>4.7497063705476585E-8</v>
      </c>
      <c r="F108" s="1">
        <f>((E20/$B108)*$C108)*Input!$C$31</f>
        <v>2.3569921673872505E-5</v>
      </c>
      <c r="G108" s="1">
        <f>((F20/$B108)*$C108)*Input!$C$31</f>
        <v>2.0483345420047058E-6</v>
      </c>
      <c r="H108" s="1" t="e">
        <f>((G20/$B108)*$C108)*Input!$C$31</f>
        <v>#N/A</v>
      </c>
      <c r="I108" s="1">
        <f>((H20/$B108)*$C108)*Input!$C$31</f>
        <v>5.6821938158844994E-6</v>
      </c>
      <c r="J108" s="1">
        <f>((I20/$B108)*$C108)*Input!$C$31</f>
        <v>3.2925325622553048E-7</v>
      </c>
      <c r="K108" s="1">
        <f>((J20/$B108)*$C108)*Input!$C$31</f>
        <v>2.4984982492686832E-7</v>
      </c>
      <c r="L108" s="1">
        <f>((K20/$B108)*$C108)*Input!$C$31</f>
        <v>-5.0195219814015049E-5</v>
      </c>
      <c r="M108" s="1" t="e">
        <f t="shared" si="37"/>
        <v>#N/A</v>
      </c>
      <c r="N108" s="1" t="e">
        <f t="shared" si="38"/>
        <v>#N/A</v>
      </c>
      <c r="O108" s="1" t="e">
        <f t="shared" si="39"/>
        <v>#N/A</v>
      </c>
    </row>
    <row r="109" spans="1:18" x14ac:dyDescent="0.35">
      <c r="A109" s="39" t="s">
        <v>190</v>
      </c>
      <c r="B109" s="154">
        <v>40.6</v>
      </c>
      <c r="C109" s="154">
        <v>4.7800000000000002E-2</v>
      </c>
      <c r="D109" s="1">
        <f>((C21/$B109)*$C109)*Input!$C$31</f>
        <v>2.0372206470164541E-5</v>
      </c>
      <c r="E109" s="1">
        <f>((D21/$B109)*$C109)*Input!$C$31</f>
        <v>9.2867227116512568E-8</v>
      </c>
      <c r="F109" s="1">
        <f>((E21/$B109)*$C109)*Input!$C$31</f>
        <v>9.263164257671022E-6</v>
      </c>
      <c r="G109" s="1">
        <f>((F21/$B109)*$C109)*Input!$C$31</f>
        <v>6.7171785722955667E-7</v>
      </c>
      <c r="H109" s="1" t="e">
        <f>((G21/$B109)*$C109)*Input!$C$31</f>
        <v>#N/A</v>
      </c>
      <c r="I109" s="1">
        <f>((H21/$B109)*$C109)*Input!$C$31</f>
        <v>1.8633826536135247E-6</v>
      </c>
      <c r="J109" s="1">
        <f>((I21/$B109)*$C109)*Input!$C$31</f>
        <v>6.4376267792785716E-7</v>
      </c>
      <c r="K109" s="1">
        <f>((J21/$B109)*$C109)*Input!$C$31</f>
        <v>4.8851147052757718E-7</v>
      </c>
      <c r="L109" s="1">
        <f>((K21/$B109)*$C109)*Input!$C$31</f>
        <v>-2.6179479280363774E-5</v>
      </c>
      <c r="M109" s="1" t="e">
        <f t="shared" si="37"/>
        <v>#N/A</v>
      </c>
      <c r="N109" s="1" t="e">
        <f t="shared" si="38"/>
        <v>#N/A</v>
      </c>
      <c r="O109" s="1" t="e">
        <f t="shared" si="39"/>
        <v>#N/A</v>
      </c>
    </row>
    <row r="110" spans="1:18" x14ac:dyDescent="0.35">
      <c r="A110" s="39" t="s">
        <v>192</v>
      </c>
      <c r="B110" s="154">
        <v>11500</v>
      </c>
      <c r="C110" s="154">
        <v>8.5099999999999995E-2</v>
      </c>
      <c r="D110" s="1">
        <f>((C22/$B110)*$C110)*Input!$C$31</f>
        <v>5.273739504014343E-6</v>
      </c>
      <c r="E110" s="1">
        <f>((D22/$B110)*$C110)*Input!$C$31</f>
        <v>4.2601343026467376E-9</v>
      </c>
      <c r="F110" s="1">
        <f>((E22/$B110)*$C110)*Input!$C$31</f>
        <v>6.4497919985769275E-7</v>
      </c>
      <c r="G110" s="1">
        <f>((F22/$B110)*$C110)*Input!$C$31</f>
        <v>4.9779945584639993E-8</v>
      </c>
      <c r="H110" s="1" t="e">
        <f>((G22/$B110)*$C110)*Input!$C$31</f>
        <v>#N/A</v>
      </c>
      <c r="I110" s="1">
        <f>((H22/$B110)*$C110)*Input!$C$31</f>
        <v>1.3809233460432382E-7</v>
      </c>
      <c r="J110" s="1">
        <f>((I22/$B110)*$C110)*Input!$C$31</f>
        <v>2.9531574831704496E-8</v>
      </c>
      <c r="K110" s="1">
        <f>((J22/$B110)*$C110)*Input!$C$31</f>
        <v>2.2409676022951813E-8</v>
      </c>
      <c r="L110" s="1">
        <f>((K22/$B110)*$C110)*Input!$C$31</f>
        <v>-6.761885574182234E-6</v>
      </c>
      <c r="M110" s="1" t="e">
        <f t="shared" si="37"/>
        <v>#N/A</v>
      </c>
      <c r="N110" s="1" t="e">
        <f t="shared" si="38"/>
        <v>#N/A</v>
      </c>
      <c r="O110" s="1" t="e">
        <f t="shared" si="39"/>
        <v>#N/A</v>
      </c>
    </row>
    <row r="111" spans="1:18" x14ac:dyDescent="0.35">
      <c r="A111" s="376" t="s">
        <v>198</v>
      </c>
      <c r="B111" s="377"/>
      <c r="C111" s="330">
        <f>SUM(C92:C110)</f>
        <v>1</v>
      </c>
      <c r="D111" s="13">
        <f>SUM(D92:D110)*1000</f>
        <v>0.479059512735725</v>
      </c>
      <c r="E111" s="13">
        <f t="shared" ref="E111:L111" si="40">SUM(E92:E110)*1000</f>
        <v>1.575494878296462E-3</v>
      </c>
      <c r="F111" s="13">
        <f t="shared" si="40"/>
        <v>0.15624702206465074</v>
      </c>
      <c r="G111" s="13">
        <f>SUM(G92:G110)*1000</f>
        <v>1.2905775889788217E-2</v>
      </c>
      <c r="H111" s="13" t="e">
        <f t="shared" si="40"/>
        <v>#N/A</v>
      </c>
      <c r="I111" s="13">
        <f t="shared" si="40"/>
        <v>3.5801339305821953E-2</v>
      </c>
      <c r="J111" s="13">
        <f t="shared" si="40"/>
        <v>1.0921450261902051E-2</v>
      </c>
      <c r="K111" s="13">
        <f t="shared" si="40"/>
        <v>8.2876095658553448E-3</v>
      </c>
      <c r="L111" s="13">
        <f t="shared" si="40"/>
        <v>-0.58877588147902438</v>
      </c>
      <c r="M111" s="1" t="e">
        <f>SUM(M92:M110)</f>
        <v>#N/A</v>
      </c>
      <c r="N111" s="1" t="e">
        <f>SUM(N92:N110)</f>
        <v>#N/A</v>
      </c>
      <c r="O111" s="1" t="e">
        <f>SUM(O92:O110)</f>
        <v>#N/A</v>
      </c>
    </row>
    <row r="112" spans="1:18" x14ac:dyDescent="0.35">
      <c r="A112" s="148" t="s">
        <v>57</v>
      </c>
      <c r="B112" s="337" t="e">
        <f>+SUM(D47:L47)*Input!$C$31-SUM(Results!D111:L111)</f>
        <v>#N/A</v>
      </c>
      <c r="C112" s="256"/>
      <c r="D112" s="337">
        <f>+D47*Input!$C$31-D111</f>
        <v>0</v>
      </c>
      <c r="E112" s="337">
        <f>+E47*Input!$C$31-E111</f>
        <v>0</v>
      </c>
      <c r="F112" s="337">
        <f>+F47*Input!$C$31-F111</f>
        <v>0</v>
      </c>
      <c r="G112" s="337">
        <f>+G47*Input!$C$31-G111</f>
        <v>0</v>
      </c>
      <c r="H112" s="337" t="e">
        <f>+H47*Input!$C$31-H111</f>
        <v>#N/A</v>
      </c>
      <c r="I112" s="337">
        <f>+I47*Input!$C$31-I111</f>
        <v>0</v>
      </c>
      <c r="J112" s="337">
        <f>+J47*Input!$C$31-J111</f>
        <v>0</v>
      </c>
      <c r="K112" s="337">
        <f>+K47*Input!$C$31-K111</f>
        <v>0</v>
      </c>
      <c r="L112" s="337">
        <f>+L47*Input!$C$31-L111</f>
        <v>0</v>
      </c>
      <c r="M112" s="337" t="e">
        <f>+M47*Input!$C$31-M111</f>
        <v>#N/A</v>
      </c>
      <c r="N112" s="337" t="e">
        <f>+N47*Input!$C$31-N111</f>
        <v>#N/A</v>
      </c>
      <c r="O112" s="337" t="e">
        <f>+O47*Input!$C$31-O111</f>
        <v>#N/A</v>
      </c>
    </row>
    <row r="113" spans="1:28" x14ac:dyDescent="0.35">
      <c r="A113" s="24"/>
      <c r="B113" s="24"/>
      <c r="C113" s="24"/>
      <c r="D113" s="24"/>
    </row>
    <row r="115" spans="1:28" ht="21" x14ac:dyDescent="0.5">
      <c r="A115" s="76" t="s">
        <v>254</v>
      </c>
    </row>
    <row r="117" spans="1:28" ht="43.5" x14ac:dyDescent="0.35">
      <c r="A117" s="246" t="s">
        <v>151</v>
      </c>
      <c r="B117" s="246" t="s">
        <v>152</v>
      </c>
      <c r="C117" s="108" t="s">
        <v>1009</v>
      </c>
      <c r="D117" s="108" t="s">
        <v>1010</v>
      </c>
      <c r="E117" s="108" t="s">
        <v>1013</v>
      </c>
      <c r="F117" s="108" t="s">
        <v>1008</v>
      </c>
      <c r="G117" s="108" t="s">
        <v>154</v>
      </c>
      <c r="H117" s="108" t="s">
        <v>155</v>
      </c>
      <c r="I117" s="108" t="s">
        <v>156</v>
      </c>
      <c r="J117" s="108" t="s">
        <v>157</v>
      </c>
      <c r="K117" s="108" t="s">
        <v>202</v>
      </c>
      <c r="L117" s="103" t="s">
        <v>985</v>
      </c>
      <c r="M117" s="103" t="s">
        <v>989</v>
      </c>
    </row>
    <row r="118" spans="1:28" x14ac:dyDescent="0.35">
      <c r="A118" s="1" t="s">
        <v>162</v>
      </c>
      <c r="B118" s="1" t="s">
        <v>255</v>
      </c>
      <c r="C118" s="1">
        <f>'A1 - Raw Material Supply'!$Z$115*Input!$C$31</f>
        <v>2.7879478144210661</v>
      </c>
      <c r="D118" s="1">
        <f>'C3'' - Secondary Raw Material '!$F$321*Input!$C$31</f>
        <v>3.2023744887117074E-2</v>
      </c>
      <c r="E118" s="1">
        <f>'A2 - Transport'!$Z$119*Input!$C$31</f>
        <v>2.6013683439843867</v>
      </c>
      <c r="F118" s="1">
        <f>('C2''- Transport Secondary'!$D$59+'C2''- Transport Secondary'!$G$59)*Input!$C$31</f>
        <v>0.21944889308160001</v>
      </c>
      <c r="G118" s="1" t="e">
        <f>'A3 - Production '!$D$207*Input!$C$31</f>
        <v>#N/A</v>
      </c>
      <c r="H118" s="1">
        <f>'A4 - Transport'!$B$18*Input!$C$31</f>
        <v>0.60876342101352943</v>
      </c>
      <c r="I118" s="1">
        <f>'A5 - Construction'!$E$140*Input!$C$31</f>
        <v>0.22199103393002423</v>
      </c>
      <c r="J118" s="1">
        <f>'C1 - Deconstruction'!$B$88*Input!$C$31</f>
        <v>0.16845519342338494</v>
      </c>
      <c r="K118" s="1">
        <f>'D- Benefits &amp; Burdens'!$N$162*Input!$C$31</f>
        <v>-4.3189900636561909</v>
      </c>
      <c r="L118" s="1" t="e">
        <f>SUM(C118:G118)</f>
        <v>#N/A</v>
      </c>
      <c r="M118" s="1" t="e">
        <f>SUM(C118:J118)</f>
        <v>#N/A</v>
      </c>
    </row>
    <row r="119" spans="1:28" x14ac:dyDescent="0.35">
      <c r="A119" s="148" t="s">
        <v>57</v>
      </c>
      <c r="B119" s="338" t="e">
        <f>+SUM(E134,H134,K134,N134,Q134,T134,U134,V134,Z134,AA134,AD134,AM134)-SUM(C118:K118)</f>
        <v>#N/A</v>
      </c>
      <c r="L119" s="257" t="e">
        <f>+L118-L53*Input!$C$31</f>
        <v>#N/A</v>
      </c>
      <c r="M119" s="257" t="e">
        <f>+M118-M53*Input!$C$31</f>
        <v>#N/A</v>
      </c>
    </row>
    <row r="121" spans="1:28" ht="21" x14ac:dyDescent="0.5">
      <c r="A121" s="76" t="s">
        <v>256</v>
      </c>
    </row>
    <row r="122" spans="1:28" x14ac:dyDescent="0.35">
      <c r="A122" s="11" t="s">
        <v>257</v>
      </c>
      <c r="O122" s="15" t="s">
        <v>214</v>
      </c>
      <c r="P122" s="15" t="s">
        <v>260</v>
      </c>
      <c r="Q122" s="15" t="s">
        <v>1015</v>
      </c>
      <c r="R122" s="15" t="s">
        <v>252</v>
      </c>
      <c r="S122" s="15"/>
    </row>
    <row r="123" spans="1:28" ht="14.5" customHeight="1" x14ac:dyDescent="0.35">
      <c r="A123" s="384" t="s">
        <v>207</v>
      </c>
      <c r="B123" s="384" t="s">
        <v>251</v>
      </c>
      <c r="C123" s="381" t="s">
        <v>258</v>
      </c>
      <c r="D123" s="382"/>
      <c r="E123" s="381" t="s">
        <v>58</v>
      </c>
      <c r="F123" s="382"/>
      <c r="G123" s="381" t="s">
        <v>210</v>
      </c>
      <c r="H123" s="382"/>
      <c r="I123" s="381" t="s">
        <v>211</v>
      </c>
      <c r="J123" s="382"/>
      <c r="K123" s="378" t="s">
        <v>212</v>
      </c>
      <c r="L123" s="379"/>
      <c r="M123" s="381" t="s">
        <v>1014</v>
      </c>
      <c r="N123" s="382"/>
      <c r="O123" s="103" t="s">
        <v>362</v>
      </c>
      <c r="P123" s="103" t="s">
        <v>362</v>
      </c>
      <c r="Q123" s="103" t="s">
        <v>362</v>
      </c>
      <c r="R123" s="103" t="s">
        <v>362</v>
      </c>
      <c r="S123" s="381" t="s">
        <v>227</v>
      </c>
      <c r="T123" s="382"/>
      <c r="U123" s="384" t="s">
        <v>229</v>
      </c>
      <c r="V123" s="384"/>
      <c r="W123" s="384"/>
      <c r="X123" s="384"/>
      <c r="Y123" s="384"/>
      <c r="Z123" s="384"/>
      <c r="AA123" s="384"/>
      <c r="AB123" s="384"/>
    </row>
    <row r="124" spans="1:28" ht="43.5" x14ac:dyDescent="0.35">
      <c r="A124" s="384"/>
      <c r="B124" s="384"/>
      <c r="C124" s="103" t="s">
        <v>1009</v>
      </c>
      <c r="D124" s="103" t="s">
        <v>1013</v>
      </c>
      <c r="E124" s="103" t="s">
        <v>1009</v>
      </c>
      <c r="F124" s="103" t="s">
        <v>1013</v>
      </c>
      <c r="G124" s="103" t="s">
        <v>1009</v>
      </c>
      <c r="H124" s="103" t="s">
        <v>1013</v>
      </c>
      <c r="I124" s="103" t="s">
        <v>1010</v>
      </c>
      <c r="J124" s="103" t="s">
        <v>1008</v>
      </c>
      <c r="K124" s="103" t="s">
        <v>1010</v>
      </c>
      <c r="L124" s="103" t="s">
        <v>1008</v>
      </c>
      <c r="M124" s="103" t="s">
        <v>1009</v>
      </c>
      <c r="N124" s="103" t="s">
        <v>1013</v>
      </c>
      <c r="O124" s="103" t="s">
        <v>216</v>
      </c>
      <c r="P124" s="103" t="s">
        <v>261</v>
      </c>
      <c r="Q124" s="103" t="s">
        <v>262</v>
      </c>
      <c r="R124" s="108" t="s">
        <v>157</v>
      </c>
      <c r="S124" s="103" t="s">
        <v>158</v>
      </c>
      <c r="T124" s="103" t="s">
        <v>263</v>
      </c>
      <c r="U124" s="103" t="s">
        <v>264</v>
      </c>
      <c r="V124" s="103" t="s">
        <v>210</v>
      </c>
      <c r="W124" s="103" t="s">
        <v>209</v>
      </c>
      <c r="X124" s="103" t="s">
        <v>265</v>
      </c>
      <c r="Y124" s="103" t="s">
        <v>266</v>
      </c>
      <c r="Z124" s="103" t="s">
        <v>267</v>
      </c>
      <c r="AA124" s="103" t="s">
        <v>268</v>
      </c>
      <c r="AB124" s="103" t="s">
        <v>269</v>
      </c>
    </row>
    <row r="125" spans="1:28" x14ac:dyDescent="0.35">
      <c r="A125" s="1" t="s">
        <v>162</v>
      </c>
      <c r="B125" s="1" t="s">
        <v>255</v>
      </c>
      <c r="C125" s="1">
        <f>C68*Input!$C$31</f>
        <v>0.43345745896532717</v>
      </c>
      <c r="D125" s="1">
        <f>D68*Input!$C$31</f>
        <v>2.3170320707001091</v>
      </c>
      <c r="E125" s="1">
        <f>F68*Input!$C$31</f>
        <v>2.2550015999999999</v>
      </c>
      <c r="F125" s="1">
        <f>G68*Input!$C$31</f>
        <v>0.17695871073893374</v>
      </c>
      <c r="G125" s="1">
        <f>I68*Input!$C$31</f>
        <v>2.3359561298576807E-2</v>
      </c>
      <c r="H125" s="1">
        <f>J68*Input!$C$31</f>
        <v>3.1850568509759994E-2</v>
      </c>
      <c r="I125" s="1">
        <f>L68*Input!C31</f>
        <v>3.2023744887117074E-2</v>
      </c>
      <c r="J125" s="1">
        <f>M68*Input!C31</f>
        <v>0.21944889308160001</v>
      </c>
      <c r="K125" s="1">
        <f>O68*Input!$C$31</f>
        <v>0</v>
      </c>
      <c r="L125" s="1">
        <f>P68*Input!$C$31</f>
        <v>0</v>
      </c>
      <c r="M125" s="1">
        <f>R68*Input!$C$31</f>
        <v>7.612919415716192E-2</v>
      </c>
      <c r="N125" s="1">
        <f>S68*Input!$C$31</f>
        <v>7.5526994035583994E-2</v>
      </c>
      <c r="O125" s="1" t="e">
        <f>U68*Input!$C$31</f>
        <v>#N/A</v>
      </c>
      <c r="P125" s="1">
        <f>V68*Input!$C$31</f>
        <v>0.60876342101352943</v>
      </c>
      <c r="Q125" s="1">
        <f>Z68*Input!$C$31</f>
        <v>0.22199103393002423</v>
      </c>
      <c r="R125" s="1">
        <f>AA68*Input!$C$31</f>
        <v>0.16845519342338494</v>
      </c>
      <c r="S125" s="1">
        <f>$AC$68*Input!$C$31</f>
        <v>0.14598502034476504</v>
      </c>
      <c r="T125" s="1">
        <f>$AB$68*Input!$C$31</f>
        <v>0.52201803709439998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57</v>
      </c>
      <c r="B126" s="338" t="e">
        <f>+SUM(C118:J118)-SUM(C125:R125)</f>
        <v>#N/A</v>
      </c>
    </row>
    <row r="127" spans="1:28" x14ac:dyDescent="0.35">
      <c r="A127" s="24"/>
      <c r="B127" s="24"/>
      <c r="C127" s="24"/>
      <c r="D127" s="24"/>
    </row>
    <row r="128" spans="1:28" ht="15" customHeight="1" x14ac:dyDescent="0.5">
      <c r="A128" s="76"/>
    </row>
    <row r="129" spans="1:40" ht="21" x14ac:dyDescent="0.5">
      <c r="A129" s="76" t="s">
        <v>1006</v>
      </c>
      <c r="F129" s="37"/>
      <c r="G129" s="37"/>
      <c r="H129" s="37"/>
      <c r="I129" s="37"/>
      <c r="J129" s="37"/>
      <c r="K129" s="37"/>
      <c r="L129" s="37"/>
      <c r="M129" s="37"/>
      <c r="N129" s="37"/>
      <c r="O129" s="37"/>
      <c r="P129" s="37"/>
      <c r="Q129" s="37"/>
      <c r="R129" s="16"/>
      <c r="S129" s="16"/>
    </row>
    <row r="131" spans="1:40" ht="29" x14ac:dyDescent="0.35">
      <c r="A131" s="385" t="s">
        <v>207</v>
      </c>
      <c r="B131" s="385" t="s">
        <v>251</v>
      </c>
      <c r="C131" s="378" t="s">
        <v>219</v>
      </c>
      <c r="D131" s="387"/>
      <c r="E131" s="379"/>
      <c r="F131" s="378" t="s">
        <v>58</v>
      </c>
      <c r="G131" s="387"/>
      <c r="H131" s="379"/>
      <c r="I131" s="378" t="s">
        <v>210</v>
      </c>
      <c r="J131" s="387"/>
      <c r="K131" s="379"/>
      <c r="L131" s="378" t="s">
        <v>211</v>
      </c>
      <c r="M131" s="387"/>
      <c r="N131" s="379"/>
      <c r="O131" s="378" t="s">
        <v>212</v>
      </c>
      <c r="P131" s="387"/>
      <c r="Q131" s="379"/>
      <c r="R131" s="378" t="s">
        <v>213</v>
      </c>
      <c r="S131" s="387"/>
      <c r="T131" s="379"/>
      <c r="U131" s="104" t="s">
        <v>138</v>
      </c>
      <c r="V131" s="103" t="s">
        <v>221</v>
      </c>
      <c r="W131" s="104" t="s">
        <v>222</v>
      </c>
      <c r="X131" s="104" t="s">
        <v>223</v>
      </c>
      <c r="Y131" s="103" t="s">
        <v>224</v>
      </c>
      <c r="Z131" s="390" t="s">
        <v>225</v>
      </c>
      <c r="AA131" s="321" t="s">
        <v>252</v>
      </c>
      <c r="AB131" s="320" t="s">
        <v>227</v>
      </c>
      <c r="AC131" s="322"/>
      <c r="AD131" s="390" t="s">
        <v>228</v>
      </c>
      <c r="AE131" s="381" t="s">
        <v>229</v>
      </c>
      <c r="AF131" s="383"/>
      <c r="AG131" s="383"/>
      <c r="AH131" s="383"/>
      <c r="AI131" s="383"/>
      <c r="AJ131" s="383"/>
      <c r="AK131" s="383"/>
      <c r="AL131" s="382"/>
      <c r="AM131" s="390" t="s">
        <v>230</v>
      </c>
      <c r="AN131" s="390" t="s">
        <v>231</v>
      </c>
    </row>
    <row r="132" spans="1:40" ht="43.5" x14ac:dyDescent="0.35">
      <c r="A132" s="386"/>
      <c r="B132" s="386"/>
      <c r="C132" s="104" t="s">
        <v>232</v>
      </c>
      <c r="D132" s="104" t="s">
        <v>233</v>
      </c>
      <c r="E132" s="104" t="s">
        <v>198</v>
      </c>
      <c r="F132" s="104" t="s">
        <v>232</v>
      </c>
      <c r="G132" s="104" t="s">
        <v>233</v>
      </c>
      <c r="H132" s="104" t="s">
        <v>198</v>
      </c>
      <c r="I132" s="104" t="s">
        <v>232</v>
      </c>
      <c r="J132" s="104" t="s">
        <v>233</v>
      </c>
      <c r="K132" s="104" t="s">
        <v>198</v>
      </c>
      <c r="L132" s="104" t="s">
        <v>234</v>
      </c>
      <c r="M132" s="104" t="s">
        <v>235</v>
      </c>
      <c r="N132" s="104" t="s">
        <v>198</v>
      </c>
      <c r="O132" s="104" t="s">
        <v>250</v>
      </c>
      <c r="P132" s="104" t="s">
        <v>235</v>
      </c>
      <c r="Q132" s="104" t="s">
        <v>198</v>
      </c>
      <c r="R132" s="104" t="s">
        <v>232</v>
      </c>
      <c r="S132" s="104" t="s">
        <v>233</v>
      </c>
      <c r="T132" s="104" t="s">
        <v>198</v>
      </c>
      <c r="U132" s="104" t="s">
        <v>236</v>
      </c>
      <c r="V132" s="104" t="s">
        <v>237</v>
      </c>
      <c r="W132" s="104" t="s">
        <v>238</v>
      </c>
      <c r="X132" s="104" t="s">
        <v>238</v>
      </c>
      <c r="Y132" s="104" t="s">
        <v>238</v>
      </c>
      <c r="Z132" s="391"/>
      <c r="AA132" s="103" t="s">
        <v>249</v>
      </c>
      <c r="AB132" s="104" t="str">
        <f>'D- Benefits &amp; Burdens'!B186</f>
        <v>Transport</v>
      </c>
      <c r="AC132" s="104" t="str">
        <f>'D- Benefits &amp; Burdens'!C186</f>
        <v>Waste processing</v>
      </c>
      <c r="AD132" s="391"/>
      <c r="AE132" s="103" t="s">
        <v>241</v>
      </c>
      <c r="AF132" s="103" t="s">
        <v>242</v>
      </c>
      <c r="AG132" s="103" t="s">
        <v>243</v>
      </c>
      <c r="AH132" s="103" t="s">
        <v>244</v>
      </c>
      <c r="AI132" s="103" t="s">
        <v>245</v>
      </c>
      <c r="AJ132" s="103" t="s">
        <v>246</v>
      </c>
      <c r="AK132" s="103" t="s">
        <v>247</v>
      </c>
      <c r="AL132" s="103" t="s">
        <v>248</v>
      </c>
      <c r="AM132" s="391"/>
      <c r="AN132" s="391"/>
    </row>
    <row r="133" spans="1:40" x14ac:dyDescent="0.35">
      <c r="A133" s="39" t="s">
        <v>160</v>
      </c>
      <c r="B133" s="39" t="s">
        <v>161</v>
      </c>
      <c r="C133" s="1">
        <f>C67*Input!$C$31</f>
        <v>6.7437727929201734E-3</v>
      </c>
      <c r="D133" s="1">
        <f>D67*Input!$C$31</f>
        <v>4.2967197283027116E-3</v>
      </c>
      <c r="E133" s="62">
        <f>E67*Input!$C$31</f>
        <v>1.1040492521222885E-2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3.272444928E-4</v>
      </c>
      <c r="N133" s="62">
        <f>N67*Input!$C$31</f>
        <v>3.681864406606621E-4</v>
      </c>
      <c r="O133" s="1">
        <f>O67*Input!$C$31</f>
        <v>0</v>
      </c>
      <c r="P133" s="1">
        <f>P67*Input!$C$31</f>
        <v>0</v>
      </c>
      <c r="Q133" s="62">
        <f>Q67*Input!$C$31</f>
        <v>0</v>
      </c>
      <c r="R133" s="1">
        <f>R67*Input!$C$31</f>
        <v>6.0705223572718578E-4</v>
      </c>
      <c r="S133" s="1">
        <f>S67*Input!$C$31</f>
        <v>1.12626646272E-4</v>
      </c>
      <c r="T133" s="62">
        <f>T67*Input!$C$31</f>
        <v>7.1967888199918578E-4</v>
      </c>
      <c r="U133" s="62" t="e">
        <f>U67*Input!$C$31</f>
        <v>#N/A</v>
      </c>
      <c r="V133" s="62">
        <f>V67*Input!$C$31</f>
        <v>9.0779440327679994E-4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1.4280924672E-3</v>
      </c>
      <c r="AC133" s="89">
        <f>AC67*Input!$C$31</f>
        <v>1.8663997956708492E-4</v>
      </c>
      <c r="AD133" s="250">
        <f>AD67*Input!$C$31</f>
        <v>1.6147324467670849E-3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-1.7730120830658409E-2</v>
      </c>
    </row>
    <row r="134" spans="1:40" x14ac:dyDescent="0.35">
      <c r="A134" s="39" t="s">
        <v>162</v>
      </c>
      <c r="B134" s="39" t="s">
        <v>163</v>
      </c>
      <c r="C134" s="1">
        <f>C68*Input!$C$31</f>
        <v>0.43345745896532717</v>
      </c>
      <c r="D134" s="1">
        <f>D68*Input!$C$31</f>
        <v>2.3170320707001091</v>
      </c>
      <c r="E134" s="62">
        <f>E68*Input!$C$31</f>
        <v>2.7504895296654359</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0.21944889308160001</v>
      </c>
      <c r="N134" s="62">
        <f>N68*Input!$C$31</f>
        <v>0.25147263796871711</v>
      </c>
      <c r="O134" s="1">
        <f>O68*Input!$C$31</f>
        <v>0</v>
      </c>
      <c r="P134" s="1">
        <f>P68*Input!$C$31</f>
        <v>0</v>
      </c>
      <c r="Q134" s="62">
        <f>Q68*Input!$C$31</f>
        <v>0</v>
      </c>
      <c r="R134" s="1">
        <f>R68*Input!$C$31</f>
        <v>7.612919415716192E-2</v>
      </c>
      <c r="S134" s="1">
        <f>S68*Input!$C$31</f>
        <v>7.5526994035583994E-2</v>
      </c>
      <c r="T134" s="62">
        <f>T68*Input!$C$31</f>
        <v>0.1516561881927459</v>
      </c>
      <c r="U134" s="62" t="e">
        <f>U68*Input!$C$31</f>
        <v>#N/A</v>
      </c>
      <c r="V134" s="62">
        <f>V68*Input!$C$31</f>
        <v>0.60876342101352943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0.52201803709439998</v>
      </c>
      <c r="AC134" s="1">
        <f>AC68*Input!$C$31</f>
        <v>0.14598502034476504</v>
      </c>
      <c r="AD134" s="62">
        <f>AD68*Input!$C$31</f>
        <v>0.6680030574391651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-4.3189900636561909</v>
      </c>
    </row>
    <row r="135" spans="1:40" x14ac:dyDescent="0.35">
      <c r="A135" s="39" t="s">
        <v>164</v>
      </c>
      <c r="B135" s="39" t="s">
        <v>163</v>
      </c>
      <c r="C135" s="1">
        <f>C69*Input!$C$31</f>
        <v>8.2702447172618555E-4</v>
      </c>
      <c r="D135" s="1">
        <f>D69*Input!$C$31</f>
        <v>1.060699869927327E-3</v>
      </c>
      <c r="E135" s="62">
        <f>E69*Input!$C$31</f>
        <v>1.8877243416535125E-3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1.0256067072000001E-4</v>
      </c>
      <c r="N135" s="62">
        <f>N69*Input!$C$31</f>
        <v>1.0917916651124732E-4</v>
      </c>
      <c r="O135" s="1">
        <f>O69*Input!$C$31</f>
        <v>0</v>
      </c>
      <c r="P135" s="1">
        <f>P69*Input!$C$31</f>
        <v>0</v>
      </c>
      <c r="Q135" s="62">
        <f>Q69*Input!$C$31</f>
        <v>0</v>
      </c>
      <c r="R135" s="1">
        <f>R69*Input!$C$31</f>
        <v>1.2435561944645424E-2</v>
      </c>
      <c r="S135" s="1">
        <f>S69*Input!$C$31</f>
        <v>3.5297964172800001E-5</v>
      </c>
      <c r="T135" s="62">
        <f>T69*Input!$C$31</f>
        <v>1.2470859908818223E-2</v>
      </c>
      <c r="U135" s="62" t="e">
        <f>U69*Input!$C$31</f>
        <v>#N/A</v>
      </c>
      <c r="V135" s="62">
        <f>V69*Input!$C$31</f>
        <v>2.8450899839231998E-4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2.4127100927999999E-4</v>
      </c>
      <c r="AC135" s="1">
        <f>AC69*Input!$C$31</f>
        <v>3.0171400819698537E-5</v>
      </c>
      <c r="AD135" s="62">
        <f>AD69*Input!$C$31</f>
        <v>2.7144241009969855E-4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-1.3352827561071753E-2</v>
      </c>
    </row>
    <row r="136" spans="1:40" x14ac:dyDescent="0.35">
      <c r="A136" s="39" t="s">
        <v>165</v>
      </c>
      <c r="B136" s="39" t="s">
        <v>163</v>
      </c>
      <c r="C136" s="1">
        <f>C70*Input!$C$31</f>
        <v>0.43251722180033531</v>
      </c>
      <c r="D136" s="1">
        <f>D70*Input!$C$31</f>
        <v>2.3156890825063163</v>
      </c>
      <c r="E136" s="62">
        <f>E70*Input!$C$31</f>
        <v>2.7482063043066516</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0.2193288772608</v>
      </c>
      <c r="N136" s="62">
        <f>N70*Input!$C$31</f>
        <v>0.2513445874784645</v>
      </c>
      <c r="O136" s="1">
        <f>O70*Input!$C$31</f>
        <v>0</v>
      </c>
      <c r="P136" s="1">
        <f>P70*Input!$C$31</f>
        <v>0</v>
      </c>
      <c r="Q136" s="62">
        <f>Q70*Input!$C$31</f>
        <v>0</v>
      </c>
      <c r="R136" s="1">
        <f>R70*Input!$C$31</f>
        <v>6.3641160330628305E-2</v>
      </c>
      <c r="S136" s="1">
        <f>S70*Input!$C$31</f>
        <v>7.5485688590592001E-2</v>
      </c>
      <c r="T136" s="62">
        <f>T70*Input!$C$31</f>
        <v>0.13912684892122029</v>
      </c>
      <c r="U136" s="62" t="e">
        <f>U70*Input!$C$31</f>
        <v>#N/A</v>
      </c>
      <c r="V136" s="62">
        <f>V70*Input!$C$31</f>
        <v>0.60843049045908471</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0.52173571967999999</v>
      </c>
      <c r="AC136" s="1">
        <f>AC70*Input!$C$31</f>
        <v>0.14594839310495791</v>
      </c>
      <c r="AD136" s="62">
        <f>AD70*Input!$C$31</f>
        <v>0.66768411278495798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-4.3055868891533304</v>
      </c>
    </row>
    <row r="137" spans="1:40" x14ac:dyDescent="0.35">
      <c r="A137" s="39" t="s">
        <v>166</v>
      </c>
      <c r="B137" s="39" t="s">
        <v>163</v>
      </c>
      <c r="C137" s="1">
        <f>C71*Input!$C$31</f>
        <v>1.132126932656551E-4</v>
      </c>
      <c r="D137" s="1">
        <f>D71*Input!$C$31</f>
        <v>2.8228555027191247E-4</v>
      </c>
      <c r="E137" s="62">
        <f>E71*Input!$C$31</f>
        <v>3.9549824353756759E-4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1.74548736E-5</v>
      </c>
      <c r="N137" s="62">
        <f>N71*Input!$C$31</f>
        <v>1.8871047261360887E-5</v>
      </c>
      <c r="O137" s="1">
        <f>O71*Input!$C$31</f>
        <v>0</v>
      </c>
      <c r="P137" s="1">
        <f>P71*Input!$C$31</f>
        <v>0</v>
      </c>
      <c r="Q137" s="62">
        <f>Q71*Input!$C$31</f>
        <v>0</v>
      </c>
      <c r="R137" s="1">
        <f>R71*Input!$C$31</f>
        <v>5.247188188816504E-5</v>
      </c>
      <c r="S137" s="1">
        <f>S71*Input!$C$31</f>
        <v>6.0073856639999999E-6</v>
      </c>
      <c r="T137" s="62">
        <f>T71*Input!$C$31</f>
        <v>5.8479267552165041E-5</v>
      </c>
      <c r="U137" s="62" t="e">
        <f>U71*Input!$C$31</f>
        <v>#N/A</v>
      </c>
      <c r="V137" s="62">
        <f>V71*Input!$C$31</f>
        <v>4.8420789081599995E-5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4.1045437439999992E-5</v>
      </c>
      <c r="AC137" s="1">
        <f>AC71*Input!$C$31</f>
        <v>6.4558389874214863E-6</v>
      </c>
      <c r="AD137" s="62">
        <f>AD71*Input!$C$31</f>
        <v>4.7501276427421485E-5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-1.6874408723380355E-3</v>
      </c>
    </row>
    <row r="138" spans="1:40" x14ac:dyDescent="0.35">
      <c r="A138" s="39" t="s">
        <v>167</v>
      </c>
      <c r="B138" s="39" t="s">
        <v>168</v>
      </c>
      <c r="C138" s="1">
        <f>C72*Input!$C$31</f>
        <v>2.9001840858439571</v>
      </c>
      <c r="D138" s="1">
        <f>D72*Input!$C$31</f>
        <v>2.0078138155421619</v>
      </c>
      <c r="E138" s="62">
        <f>E72*Input!$C$31</f>
        <v>4.9079979013861186</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0.1884818750976</v>
      </c>
      <c r="N138" s="62">
        <f>N72*Input!$C$31</f>
        <v>0.20263094634276241</v>
      </c>
      <c r="O138" s="1">
        <f>O72*Input!$C$31</f>
        <v>0</v>
      </c>
      <c r="P138" s="1">
        <f>P72*Input!$C$31</f>
        <v>0</v>
      </c>
      <c r="Q138" s="62">
        <f>Q72*Input!$C$31</f>
        <v>0</v>
      </c>
      <c r="R138" s="1">
        <f>R72*Input!$C$31</f>
        <v>0.31795021745191276</v>
      </c>
      <c r="S138" s="1">
        <f>S72*Input!$C$31</f>
        <v>6.4869178679424003E-2</v>
      </c>
      <c r="T138" s="62">
        <f>T72*Input!$C$31</f>
        <v>0.38281939613133675</v>
      </c>
      <c r="U138" s="62" t="e">
        <f>U72*Input!$C$31</f>
        <v>#N/A</v>
      </c>
      <c r="V138" s="62">
        <f>V72*Input!$C$31</f>
        <v>0.52285919273602555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0.44363879239679999</v>
      </c>
      <c r="AC138" s="1">
        <f>AC72*Input!$C$31</f>
        <v>6.4500652901950964E-2</v>
      </c>
      <c r="AD138" s="62">
        <f>AD72*Input!$C$31</f>
        <v>0.50813944529875099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-131.2726017969683</v>
      </c>
    </row>
    <row r="139" spans="1:40" ht="29" x14ac:dyDescent="0.35">
      <c r="A139" s="39" t="s">
        <v>169</v>
      </c>
      <c r="B139" s="39" t="s">
        <v>170</v>
      </c>
      <c r="C139" s="1">
        <f>C73*Input!$C$31</f>
        <v>5.9625203803190718</v>
      </c>
      <c r="D139" s="1">
        <f>D73*Input!$C$31</f>
        <v>31.046964280429105</v>
      </c>
      <c r="E139" s="62">
        <f>E73*Input!$C$31</f>
        <v>37.009484660748171</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2.9535539466239999</v>
      </c>
      <c r="N139" s="62">
        <f>N73*Input!$C$31</f>
        <v>3.3789148823711752</v>
      </c>
      <c r="O139" s="1">
        <f>O73*Input!$C$31</f>
        <v>0</v>
      </c>
      <c r="P139" s="1">
        <f>P73*Input!$C$31</f>
        <v>0</v>
      </c>
      <c r="Q139" s="62">
        <f>Q73*Input!$C$31</f>
        <v>0</v>
      </c>
      <c r="R139" s="1">
        <f>R73*Input!$C$31</f>
        <v>0.8787761882078351</v>
      </c>
      <c r="S139" s="1">
        <f>S73*Input!$C$31</f>
        <v>1.0165148166297602</v>
      </c>
      <c r="T139" s="62">
        <f>T73*Input!$C$31</f>
        <v>1.8952910048375951</v>
      </c>
      <c r="U139" s="62" t="e">
        <f>U73*Input!$C$31</f>
        <v>#N/A</v>
      </c>
      <c r="V139" s="62">
        <f>V73*Input!$C$31</f>
        <v>8.1933227342653421</v>
      </c>
      <c r="W139" s="1">
        <f>W73*Input!$C$31</f>
        <v>1.0398912984946673</v>
      </c>
      <c r="X139" s="1">
        <f>X73*Input!$C$31</f>
        <v>1.3983556416476195</v>
      </c>
      <c r="Y139" s="1">
        <f>Y73*Input!$C$31</f>
        <v>0.51038740143171268</v>
      </c>
      <c r="Z139" s="250">
        <f>Z73*Input!$C$31</f>
        <v>2.9486343415739995</v>
      </c>
      <c r="AA139" s="250">
        <f>AA73*Input!$C$31</f>
        <v>2.2375352713626104</v>
      </c>
      <c r="AB139" s="89">
        <f>AB73*Input!$C$31</f>
        <v>7.0187108060159993</v>
      </c>
      <c r="AC139" s="1">
        <f>AC73*Input!$C$31</f>
        <v>1.9390713071755914</v>
      </c>
      <c r="AD139" s="62">
        <f>AD73*Input!$C$31</f>
        <v>8.9577821131915911</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-232.17366551367914</v>
      </c>
    </row>
    <row r="140" spans="1:40" ht="29" x14ac:dyDescent="0.35">
      <c r="A140" s="39" t="s">
        <v>171</v>
      </c>
      <c r="B140" s="39" t="s">
        <v>172</v>
      </c>
      <c r="C140" s="1">
        <f>C74*Input!$C$31</f>
        <v>2.7618308918562093E-5</v>
      </c>
      <c r="D140" s="1">
        <f>D74*Input!$C$31</f>
        <v>6.1769377484824063E-5</v>
      </c>
      <c r="E140" s="62">
        <f>E74*Input!$C$31</f>
        <v>8.9387686403386159E-5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5.1185986559999998E-6</v>
      </c>
      <c r="N140" s="62">
        <f>N74*Input!$C$31</f>
        <v>5.4571329221078142E-6</v>
      </c>
      <c r="O140" s="1">
        <f>O74*Input!$C$31</f>
        <v>0</v>
      </c>
      <c r="P140" s="1">
        <f>P74*Input!$C$31</f>
        <v>0</v>
      </c>
      <c r="Q140" s="62">
        <f>Q74*Input!$C$31</f>
        <v>0</v>
      </c>
      <c r="R140" s="1">
        <f>R74*Input!$C$31</f>
        <v>2.0074409458190309E-5</v>
      </c>
      <c r="S140" s="1">
        <f>S74*Input!$C$31</f>
        <v>1.7616510374400001E-6</v>
      </c>
      <c r="T140" s="62">
        <f>T74*Input!$C$31</f>
        <v>2.1836060495630307E-5</v>
      </c>
      <c r="U140" s="62" t="e">
        <f>U74*Input!$C$31</f>
        <v>#N/A</v>
      </c>
      <c r="V140" s="62">
        <f>V74*Input!$C$31</f>
        <v>1.4199277038335996E-5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1.2008908800000003E-5</v>
      </c>
      <c r="AC140" s="1">
        <f>AC74*Input!$C$31</f>
        <v>1.5432589754682634E-6</v>
      </c>
      <c r="AD140" s="62">
        <f>AD74*Input!$C$31</f>
        <v>1.3552167775468265E-5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-1.6533516210569569E-4</v>
      </c>
    </row>
    <row r="141" spans="1:40" ht="29" x14ac:dyDescent="0.35">
      <c r="A141" s="39" t="s">
        <v>173</v>
      </c>
      <c r="B141" s="39" t="s">
        <v>174</v>
      </c>
      <c r="C141" s="1">
        <f>C75*Input!$C$31</f>
        <v>2.5570753964571963E-3</v>
      </c>
      <c r="D141" s="1">
        <f>D75*Input!$C$31</f>
        <v>1.175198914727533E-3</v>
      </c>
      <c r="E141" s="62">
        <f>E75*Input!$C$31</f>
        <v>3.7322743111847289E-3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7.1327969279999989E-5</v>
      </c>
      <c r="N141" s="62">
        <f>N75*Input!$C$31</f>
        <v>8.0586277592169863E-5</v>
      </c>
      <c r="O141" s="1">
        <f>O75*Input!$C$31</f>
        <v>0</v>
      </c>
      <c r="P141" s="1">
        <f>P75*Input!$C$31</f>
        <v>0</v>
      </c>
      <c r="Q141" s="62">
        <f>Q75*Input!$C$31</f>
        <v>0</v>
      </c>
      <c r="R141" s="1">
        <f>R75*Input!$C$31</f>
        <v>1.1994391267868346E-4</v>
      </c>
      <c r="S141" s="1">
        <f>S75*Input!$C$31</f>
        <v>2.4548709427199999E-5</v>
      </c>
      <c r="T141" s="62">
        <f>T75*Input!$C$31</f>
        <v>1.4449262210588346E-4</v>
      </c>
      <c r="U141" s="62" t="e">
        <f>U75*Input!$C$31</f>
        <v>#N/A</v>
      </c>
      <c r="V141" s="62">
        <f>V75*Input!$C$31</f>
        <v>1.9786774944767995E-4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5.1239946239999988E-4</v>
      </c>
      <c r="AC141" s="1">
        <f>AC75*Input!$C$31</f>
        <v>4.220538016632635E-5</v>
      </c>
      <c r="AD141" s="62">
        <f>AD75*Input!$C$31</f>
        <v>5.5460484256632627E-4</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-5.5984487556182795E-3</v>
      </c>
    </row>
    <row r="142" spans="1:40" x14ac:dyDescent="0.35">
      <c r="A142" s="39" t="s">
        <v>175</v>
      </c>
      <c r="B142" s="39" t="s">
        <v>176</v>
      </c>
      <c r="C142" s="1">
        <f>C76*Input!$C$31</f>
        <v>3.3827961484146685E-2</v>
      </c>
      <c r="D142" s="1">
        <f>D76*Input!$C$31</f>
        <v>1.2770908879034039E-2</v>
      </c>
      <c r="E142" s="62">
        <f>E76*Input!$C$31</f>
        <v>4.6598870363180729E-2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7.7206072320000008E-4</v>
      </c>
      <c r="N142" s="62">
        <f>N76*Input!$C$31</f>
        <v>8.7270994303916319E-4</v>
      </c>
      <c r="O142" s="1">
        <f>O76*Input!$C$31</f>
        <v>0</v>
      </c>
      <c r="P142" s="1">
        <f>P76*Input!$C$31</f>
        <v>0</v>
      </c>
      <c r="Q142" s="62">
        <f>Q76*Input!$C$31</f>
        <v>0</v>
      </c>
      <c r="R142" s="1">
        <f>R76*Input!$C$31</f>
        <v>1.2310378615039729E-3</v>
      </c>
      <c r="S142" s="1">
        <f>S76*Input!$C$31</f>
        <v>2.6571756556799999E-4</v>
      </c>
      <c r="T142" s="62">
        <f>T76*Input!$C$31</f>
        <v>1.4967554270719731E-3</v>
      </c>
      <c r="U142" s="62" t="e">
        <f>U76*Input!$C$31</f>
        <v>#N/A</v>
      </c>
      <c r="V142" s="62">
        <f>V76*Input!$C$31</f>
        <v>2.1417393384191999E-3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5.5894970879999993E-3</v>
      </c>
      <c r="AC142" s="1">
        <f>AC76*Input!$C$31</f>
        <v>4.5882448969345726E-4</v>
      </c>
      <c r="AD142" s="62">
        <f>AD76*Input!$C$31</f>
        <v>6.048321577693457E-3</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-6.4575027975238855E-2</v>
      </c>
    </row>
    <row r="143" spans="1:40" x14ac:dyDescent="0.35">
      <c r="A143" s="39" t="s">
        <v>177</v>
      </c>
      <c r="B143" s="39" t="s">
        <v>178</v>
      </c>
      <c r="C143" s="1">
        <f>C77*Input!$C$31</f>
        <v>6.8529684277234306E-11</v>
      </c>
      <c r="D143" s="1">
        <f>D77*Input!$C$31</f>
        <v>2.1071888024683498E-10</v>
      </c>
      <c r="E143" s="62">
        <f>E77*Input!$C$31</f>
        <v>2.7924856452406929E-10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1.9449953279999998E-11</v>
      </c>
      <c r="N143" s="62">
        <f>N77*Input!$C$31</f>
        <v>2.1406941483834835E-11</v>
      </c>
      <c r="O143" s="1">
        <f>O77*Input!$C$31</f>
        <v>0</v>
      </c>
      <c r="P143" s="1">
        <f>P77*Input!$C$31</f>
        <v>0</v>
      </c>
      <c r="Q143" s="62">
        <f>Q77*Input!$C$31</f>
        <v>0</v>
      </c>
      <c r="R143" s="1">
        <f>R77*Input!$C$31</f>
        <v>3.9939279225860623E-11</v>
      </c>
      <c r="S143" s="1">
        <f>S77*Input!$C$31</f>
        <v>6.6940255872000002E-12</v>
      </c>
      <c r="T143" s="62">
        <f>T77*Input!$C$31</f>
        <v>4.6633304813060619E-11</v>
      </c>
      <c r="U143" s="62" t="e">
        <f>U77*Input!$C$31</f>
        <v>#N/A</v>
      </c>
      <c r="V143" s="62">
        <f>V77*Input!$C$31</f>
        <v>5.3955250951679991E-11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4.8793973759999995E-11</v>
      </c>
      <c r="AC143" s="1">
        <f>AC77*Input!$C$31</f>
        <v>8.9212227913489734E-12</v>
      </c>
      <c r="AD143" s="62">
        <f>AD77*Input!$C$31</f>
        <v>5.7715196551348973E-11</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-2.4487544104377029E-9</v>
      </c>
    </row>
    <row r="144" spans="1:40" x14ac:dyDescent="0.35">
      <c r="A144" s="39" t="s">
        <v>179</v>
      </c>
      <c r="B144" s="39" t="s">
        <v>178</v>
      </c>
      <c r="C144" s="1">
        <f>C78*Input!$C$31</f>
        <v>1.63126824846977E-9</v>
      </c>
      <c r="D144" s="1">
        <f>D78*Input!$C$31</f>
        <v>1.6220336648323644E-8</v>
      </c>
      <c r="E144" s="62">
        <f>E78*Input!$C$31</f>
        <v>1.7851604896793416E-8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1.5825438720000002E-9</v>
      </c>
      <c r="N144" s="62">
        <f>N78*Input!$C$31</f>
        <v>1.6347055943547279E-9</v>
      </c>
      <c r="O144" s="1">
        <f>O78*Input!$C$31</f>
        <v>0</v>
      </c>
      <c r="P144" s="1">
        <f>P78*Input!$C$31</f>
        <v>0</v>
      </c>
      <c r="Q144" s="62">
        <f>Q78*Input!$C$31</f>
        <v>0</v>
      </c>
      <c r="R144" s="1">
        <f>R78*Input!$C$31</f>
        <v>1.7682184126858913E-9</v>
      </c>
      <c r="S144" s="1">
        <f>S78*Input!$C$31</f>
        <v>5.4465884928000008E-10</v>
      </c>
      <c r="T144" s="62">
        <f>T78*Input!$C$31</f>
        <v>2.3128772619658913E-9</v>
      </c>
      <c r="U144" s="62" t="e">
        <f>U78*Input!$C$31</f>
        <v>#N/A</v>
      </c>
      <c r="V144" s="62">
        <f>V78*Input!$C$31</f>
        <v>4.3900646200319998E-9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3.7412121599999998E-9</v>
      </c>
      <c r="AC144" s="1">
        <f>AC78*Input!$C$31</f>
        <v>2.3778699605605235E-10</v>
      </c>
      <c r="AD144" s="62">
        <f>AD78*Input!$C$31</f>
        <v>3.9789991560560525E-9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-7.7610589644229672E-8</v>
      </c>
    </row>
    <row r="145" spans="1:40" ht="29" x14ac:dyDescent="0.35">
      <c r="A145" s="39" t="s">
        <v>180</v>
      </c>
      <c r="B145" s="39" t="s">
        <v>181</v>
      </c>
      <c r="C145" s="1">
        <f>C79*Input!$C$31</f>
        <v>1.1903985135352884E-2</v>
      </c>
      <c r="D145" s="1">
        <f>D79*Input!$C$31</f>
        <v>1.7312771855868232E-2</v>
      </c>
      <c r="E145" s="62">
        <f>E79*Input!$C$31</f>
        <v>2.9216756991221116E-2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1.3392774144000003E-3</v>
      </c>
      <c r="N145" s="62">
        <f>N79*Input!$C$31</f>
        <v>1.4669955614957087E-3</v>
      </c>
      <c r="O145" s="1">
        <f>O79*Input!$C$31</f>
        <v>0</v>
      </c>
      <c r="P145" s="1">
        <f>P79*Input!$C$31</f>
        <v>0</v>
      </c>
      <c r="Q145" s="62">
        <f>Q79*Input!$C$31</f>
        <v>0</v>
      </c>
      <c r="R145" s="1">
        <f>R79*Input!$C$31</f>
        <v>1.2384959333611875E-2</v>
      </c>
      <c r="S145" s="1">
        <f>S79*Input!$C$31</f>
        <v>4.6093464345600005E-4</v>
      </c>
      <c r="T145" s="62">
        <f>T79*Input!$C$31</f>
        <v>1.2845893977067877E-2</v>
      </c>
      <c r="U145" s="62" t="e">
        <f>U79*Input!$C$31</f>
        <v>#N/A</v>
      </c>
      <c r="V145" s="62">
        <f>V79*Input!$C$31</f>
        <v>3.7152299518463995E-3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3.1598880768E-3</v>
      </c>
      <c r="AC145" s="1">
        <f>AC79*Input!$C$31</f>
        <v>5.8222223440405397E-4</v>
      </c>
      <c r="AD145" s="62">
        <f>AD79*Input!$C$31</f>
        <v>3.7421103112040537E-3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-0.10841732938340679</v>
      </c>
    </row>
    <row r="146" spans="1:40" x14ac:dyDescent="0.35">
      <c r="A146" s="39" t="s">
        <v>182</v>
      </c>
      <c r="B146" s="39" t="s">
        <v>183</v>
      </c>
      <c r="C146" s="1">
        <f>C80*Input!$C$31</f>
        <v>75.110776768851792</v>
      </c>
      <c r="D146" s="1">
        <f>D80*Input!$C$31</f>
        <v>2.8150578397864359</v>
      </c>
      <c r="E146" s="62">
        <f>E80*Input!$C$31</f>
        <v>77.925834608638226</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0.18630122895359999</v>
      </c>
      <c r="N146" s="62">
        <f>N80*Input!$C$31</f>
        <v>0.20817091840804186</v>
      </c>
      <c r="O146" s="1">
        <f>O80*Input!$C$31</f>
        <v>0</v>
      </c>
      <c r="P146" s="1">
        <f>P80*Input!$C$31</f>
        <v>0</v>
      </c>
      <c r="Q146" s="62">
        <f>Q80*Input!$C$31</f>
        <v>0</v>
      </c>
      <c r="R146" s="1">
        <f>R80*Input!$C$31</f>
        <v>0.34022587845831043</v>
      </c>
      <c r="S146" s="1">
        <f>S80*Input!$C$31</f>
        <v>6.411867296486401E-2</v>
      </c>
      <c r="T146" s="62">
        <f>T80*Input!$C$31</f>
        <v>0.40434455142317444</v>
      </c>
      <c r="U146" s="62" t="e">
        <f>U80*Input!$C$31</f>
        <v>#N/A</v>
      </c>
      <c r="V146" s="62">
        <f>V80*Input!$C$31</f>
        <v>0.51680995918556161</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0.44042935910399994</v>
      </c>
      <c r="AC146" s="1">
        <f>AC80*Input!$C$31</f>
        <v>9.9696243246828034E-2</v>
      </c>
      <c r="AD146" s="62">
        <f>AD80*Input!$C$31</f>
        <v>0.54012560235082796</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-96.261046588094743</v>
      </c>
    </row>
    <row r="147" spans="1:40" ht="29" x14ac:dyDescent="0.35">
      <c r="A147" s="39" t="s">
        <v>184</v>
      </c>
      <c r="B147" s="39" t="s">
        <v>185</v>
      </c>
      <c r="C147" s="1">
        <f>C81*Input!$C$31</f>
        <v>9.1059961067372839E-7</v>
      </c>
      <c r="D147" s="1">
        <f>D81*Input!$C$31</f>
        <v>2.5880134329667713E-6</v>
      </c>
      <c r="E147" s="62">
        <f>E81*Input!$C$31</f>
        <v>3.4986130436404995E-6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2.4210938880000001E-7</v>
      </c>
      <c r="N147" s="62">
        <f>N81*Input!$C$31</f>
        <v>2.4710291225699627E-7</v>
      </c>
      <c r="O147" s="1">
        <f>O81*Input!$C$31</f>
        <v>0</v>
      </c>
      <c r="P147" s="1">
        <f>P81*Input!$C$31</f>
        <v>0</v>
      </c>
      <c r="Q147" s="62">
        <f>Q81*Input!$C$31</f>
        <v>0</v>
      </c>
      <c r="R147" s="1">
        <f>R81*Input!$C$31</f>
        <v>2.3276010052504255E-5</v>
      </c>
      <c r="S147" s="1">
        <f>S81*Input!$C$31</f>
        <v>8.3325981312000005E-8</v>
      </c>
      <c r="T147" s="62">
        <f>T81*Input!$C$31</f>
        <v>2.3359336033816256E-5</v>
      </c>
      <c r="U147" s="62" t="e">
        <f>U81*Input!$C$31</f>
        <v>#N/A</v>
      </c>
      <c r="V147" s="62">
        <f>V81*Input!$C$31</f>
        <v>6.7162489505279985E-7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5.6583797759999998E-7</v>
      </c>
      <c r="AC147" s="1">
        <f>AC81*Input!$C$31</f>
        <v>2.2763721920446975E-8</v>
      </c>
      <c r="AD147" s="62">
        <f>AD81*Input!$C$31</f>
        <v>5.8860169952044689E-7</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-3.2149815918217731E-6</v>
      </c>
    </row>
    <row r="148" spans="1:40" x14ac:dyDescent="0.35">
      <c r="A148" s="39" t="s">
        <v>186</v>
      </c>
      <c r="B148" s="39" t="s">
        <v>187</v>
      </c>
      <c r="C148" s="1">
        <f>C82*Input!$C$31</f>
        <v>6.8548338552935026E-9</v>
      </c>
      <c r="D148" s="1">
        <f>D82*Input!$C$31</f>
        <v>5.1090985320169463E-8</v>
      </c>
      <c r="E148" s="62">
        <f>E82*Input!$C$31</f>
        <v>5.7945819175462968E-8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4.8796231679999997E-9</v>
      </c>
      <c r="N148" s="62">
        <f>N82*Input!$C$31</f>
        <v>5.6012660124498768E-9</v>
      </c>
      <c r="O148" s="1">
        <f>O82*Input!$C$31</f>
        <v>0</v>
      </c>
      <c r="P148" s="1">
        <f>P82*Input!$C$31</f>
        <v>0</v>
      </c>
      <c r="Q148" s="62">
        <f>Q82*Input!$C$31</f>
        <v>0</v>
      </c>
      <c r="R148" s="1">
        <f>R82*Input!$C$31</f>
        <v>7.7809248136801377E-10</v>
      </c>
      <c r="S148" s="1">
        <f>S82*Input!$C$31</f>
        <v>1.6794036403200001E-9</v>
      </c>
      <c r="T148" s="62">
        <f>T82*Input!$C$31</f>
        <v>2.4574961216880138E-9</v>
      </c>
      <c r="U148" s="62" t="e">
        <f>U82*Input!$C$31</f>
        <v>#N/A</v>
      </c>
      <c r="V148" s="62">
        <f>V82*Input!$C$31</f>
        <v>1.3536345758208001E-8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1.1611708415999997E-8</v>
      </c>
      <c r="AC148" s="1">
        <f>AC82*Input!$C$31</f>
        <v>3.2897166056006967E-9</v>
      </c>
      <c r="AD148" s="62">
        <f>AD82*Input!$C$31</f>
        <v>1.4901425021600692E-8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-3.9104379091566362E-8</v>
      </c>
    </row>
    <row r="149" spans="1:40" x14ac:dyDescent="0.35">
      <c r="A149" s="39" t="s">
        <v>188</v>
      </c>
      <c r="B149" s="39" t="s">
        <v>189</v>
      </c>
      <c r="C149" s="1">
        <f>C83*Input!$C$31</f>
        <v>1.2549190826823533E-7</v>
      </c>
      <c r="D149" s="1">
        <f>D83*Input!$C$31</f>
        <v>1.3889483933359479E-7</v>
      </c>
      <c r="E149" s="62">
        <f>E83*Input!$C$31</f>
        <v>2.643867476018301E-7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1.3602221568E-8</v>
      </c>
      <c r="N149" s="62">
        <f>N83*Input!$C$31</f>
        <v>1.391763175666918E-8</v>
      </c>
      <c r="O149" s="1">
        <f>O83*Input!$C$31</f>
        <v>0</v>
      </c>
      <c r="P149" s="1">
        <f>P83*Input!$C$31</f>
        <v>0</v>
      </c>
      <c r="Q149" s="62">
        <f>Q83*Input!$C$31</f>
        <v>0</v>
      </c>
      <c r="R149" s="1">
        <f>R83*Input!$C$31</f>
        <v>8.1374215287105299E-9</v>
      </c>
      <c r="S149" s="1">
        <f>S83*Input!$C$31</f>
        <v>4.6814312563199999E-9</v>
      </c>
      <c r="T149" s="62">
        <f>T83*Input!$C$31</f>
        <v>1.2818852785030529E-8</v>
      </c>
      <c r="U149" s="62" t="e">
        <f>U83*Input!$C$31</f>
        <v>#N/A</v>
      </c>
      <c r="V149" s="62">
        <f>V83*Input!$C$31</f>
        <v>3.7733318308607997E-8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3.52977408E-8</v>
      </c>
      <c r="AC149" s="1">
        <f>AC83*Input!$C$31</f>
        <v>1.4378444173885529E-9</v>
      </c>
      <c r="AD149" s="62">
        <f>AD83*Input!$C$31</f>
        <v>3.6735585217388553E-8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-3.3332763157744366E-7</v>
      </c>
    </row>
    <row r="150" spans="1:40" ht="29" x14ac:dyDescent="0.35">
      <c r="A150" s="39" t="s">
        <v>190</v>
      </c>
      <c r="B150" s="39" t="s">
        <v>191</v>
      </c>
      <c r="C150" s="1">
        <f>C84*Input!$C$31</f>
        <v>8.1333901766268753E-3</v>
      </c>
      <c r="D150" s="1">
        <f>D84*Input!$C$31</f>
        <v>7.128638564633181E-3</v>
      </c>
      <c r="E150" s="62">
        <f>E84*Input!$C$31</f>
        <v>1.5262028741260055E-2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5.705385983999999E-4</v>
      </c>
      <c r="N150" s="62">
        <f>N84*Input!$C$31</f>
        <v>6.4941745657846038E-4</v>
      </c>
      <c r="O150" s="1">
        <f>O84*Input!$C$31</f>
        <v>0</v>
      </c>
      <c r="P150" s="1">
        <f>P84*Input!$C$31</f>
        <v>0</v>
      </c>
      <c r="Q150" s="62">
        <f>Q84*Input!$C$31</f>
        <v>0</v>
      </c>
      <c r="R150" s="1">
        <f>R84*Input!$C$31</f>
        <v>4.0640940229816477E-4</v>
      </c>
      <c r="S150" s="1">
        <f>S84*Input!$C$31</f>
        <v>1.9636036761599998E-4</v>
      </c>
      <c r="T150" s="62">
        <f>T84*Input!$C$31</f>
        <v>6.0276976991416472E-4</v>
      </c>
      <c r="U150" s="62" t="e">
        <f>U84*Input!$C$31</f>
        <v>#N/A</v>
      </c>
      <c r="V150" s="62">
        <f>V84*Input!$C$31</f>
        <v>1.5827057685503995E-3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2.2484206079999998E-3</v>
      </c>
      <c r="AC150" s="1">
        <f>AC84*Input!$C$31</f>
        <v>3.5958104701823445E-4</v>
      </c>
      <c r="AD150" s="62">
        <f>AD84*Input!$C$31</f>
        <v>2.6080016550182341E-3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-2.2236126752777599E-2</v>
      </c>
    </row>
    <row r="151" spans="1:40" ht="29" x14ac:dyDescent="0.35">
      <c r="A151" s="39" t="s">
        <v>192</v>
      </c>
      <c r="B151" s="39" t="s">
        <v>193</v>
      </c>
      <c r="C151" s="1">
        <f>C85*Input!$C$31</f>
        <v>0.59481228827305477</v>
      </c>
      <c r="D151" s="1">
        <f>D85*Input!$C$31</f>
        <v>7.8443264058031675E-2</v>
      </c>
      <c r="E151" s="62">
        <f>E85*Input!$C$31</f>
        <v>0.67325555233108636</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6.7270196735999994E-3</v>
      </c>
      <c r="N151" s="62">
        <f>N85*Input!$C$31</f>
        <v>7.3027134982819909E-3</v>
      </c>
      <c r="O151" s="1">
        <f>O85*Input!$C$31</f>
        <v>0</v>
      </c>
      <c r="P151" s="1">
        <f>P85*Input!$C$31</f>
        <v>0</v>
      </c>
      <c r="Q151" s="62">
        <f>Q85*Input!$C$31</f>
        <v>0</v>
      </c>
      <c r="R151" s="1">
        <f>R85*Input!$C$31</f>
        <v>3.8424941353919079E-2</v>
      </c>
      <c r="S151" s="1">
        <f>S85*Input!$C$31</f>
        <v>2.3152159376640001E-3</v>
      </c>
      <c r="T151" s="62">
        <f>T85*Input!$C$31</f>
        <v>4.0740157291583083E-2</v>
      </c>
      <c r="U151" s="62" t="e">
        <f>U85*Input!$C$31</f>
        <v>#N/A</v>
      </c>
      <c r="V151" s="62">
        <f>V85*Input!$C$31</f>
        <v>1.8661126297881598E-2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1.5841702195199998E-2</v>
      </c>
      <c r="AC151" s="1">
        <f>AC85*Input!$C$31</f>
        <v>2.6243862173148248E-3</v>
      </c>
      <c r="AD151" s="62">
        <f>AD85*Input!$C$31</f>
        <v>1.8466088412514823E-2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-0.91376832083543702</v>
      </c>
    </row>
    <row r="152" spans="1:40" x14ac:dyDescent="0.35">
      <c r="A152" s="148" t="s">
        <v>57</v>
      </c>
      <c r="B152" s="338" t="e">
        <f>+SUM(E133:E151,H133:H151,K133:K151,N133:N151,Q133:Q151,T133:T151,U133:V151,Z133:Z151,AA133:AA151,AD133:AD151,AM133:AM151)-SUM(C4:K22)*Input!$C$31</f>
        <v>#N/A</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t="e">
        <f>+SUM(U133:U151)-SUM(U67:U85)*Input!$C$31</f>
        <v>#N/A</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270</v>
      </c>
    </row>
    <row r="156" spans="1:40" ht="14.5" customHeight="1" x14ac:dyDescent="0.35">
      <c r="A156" s="11" t="s">
        <v>271</v>
      </c>
      <c r="O156" s="15" t="s">
        <v>214</v>
      </c>
      <c r="P156" s="15" t="s">
        <v>260</v>
      </c>
      <c r="Q156" s="15" t="s">
        <v>1015</v>
      </c>
      <c r="R156" s="15" t="s">
        <v>252</v>
      </c>
    </row>
    <row r="157" spans="1:40" ht="14.5" customHeight="1" x14ac:dyDescent="0.35">
      <c r="A157" s="384" t="s">
        <v>207</v>
      </c>
      <c r="B157" s="384" t="s">
        <v>208</v>
      </c>
      <c r="C157" s="381" t="s">
        <v>258</v>
      </c>
      <c r="D157" s="382"/>
      <c r="E157" s="381" t="s">
        <v>58</v>
      </c>
      <c r="F157" s="382"/>
      <c r="G157" s="381" t="s">
        <v>210</v>
      </c>
      <c r="H157" s="382"/>
      <c r="I157" s="383" t="s">
        <v>211</v>
      </c>
      <c r="J157" s="382"/>
      <c r="K157" s="378" t="s">
        <v>212</v>
      </c>
      <c r="L157" s="379"/>
      <c r="M157" s="381" t="s">
        <v>1014</v>
      </c>
      <c r="N157" s="382"/>
      <c r="O157" s="103" t="s">
        <v>362</v>
      </c>
      <c r="P157" s="103" t="s">
        <v>362</v>
      </c>
      <c r="Q157" s="103" t="s">
        <v>362</v>
      </c>
      <c r="R157" s="103" t="s">
        <v>362</v>
      </c>
      <c r="S157" s="381" t="s">
        <v>227</v>
      </c>
      <c r="T157" s="382"/>
      <c r="U157" s="384" t="s">
        <v>229</v>
      </c>
      <c r="V157" s="384"/>
      <c r="W157" s="384"/>
      <c r="X157" s="384"/>
      <c r="Y157" s="384"/>
      <c r="Z157" s="384"/>
      <c r="AA157" s="384"/>
      <c r="AB157" s="384"/>
    </row>
    <row r="158" spans="1:40" ht="43.5" x14ac:dyDescent="0.35">
      <c r="A158" s="384"/>
      <c r="B158" s="384"/>
      <c r="C158" s="103" t="s">
        <v>1009</v>
      </c>
      <c r="D158" s="103" t="s">
        <v>1013</v>
      </c>
      <c r="E158" s="103" t="s">
        <v>1009</v>
      </c>
      <c r="F158" s="103" t="s">
        <v>1013</v>
      </c>
      <c r="G158" s="103" t="s">
        <v>1009</v>
      </c>
      <c r="H158" s="103" t="s">
        <v>1013</v>
      </c>
      <c r="I158" s="103" t="s">
        <v>1010</v>
      </c>
      <c r="J158" s="103" t="s">
        <v>1008</v>
      </c>
      <c r="K158" s="103" t="s">
        <v>1010</v>
      </c>
      <c r="L158" s="103" t="s">
        <v>1008</v>
      </c>
      <c r="M158" s="103" t="s">
        <v>1009</v>
      </c>
      <c r="N158" s="103" t="s">
        <v>1013</v>
      </c>
      <c r="O158" s="103" t="s">
        <v>216</v>
      </c>
      <c r="P158" s="103" t="s">
        <v>261</v>
      </c>
      <c r="Q158" s="103" t="s">
        <v>262</v>
      </c>
      <c r="R158" s="108" t="s">
        <v>157</v>
      </c>
      <c r="S158" s="103" t="s">
        <v>158</v>
      </c>
      <c r="T158" s="103" t="s">
        <v>263</v>
      </c>
      <c r="U158" s="103" t="s">
        <v>264</v>
      </c>
      <c r="V158" s="103" t="s">
        <v>210</v>
      </c>
      <c r="W158" s="103" t="s">
        <v>209</v>
      </c>
      <c r="X158" s="103" t="s">
        <v>265</v>
      </c>
      <c r="Y158" s="103" t="s">
        <v>266</v>
      </c>
      <c r="Z158" s="103" t="s">
        <v>267</v>
      </c>
      <c r="AA158" s="103" t="s">
        <v>268</v>
      </c>
      <c r="AB158" s="103" t="s">
        <v>269</v>
      </c>
    </row>
    <row r="159" spans="1:40" x14ac:dyDescent="0.35">
      <c r="A159" s="1" t="s">
        <v>162</v>
      </c>
      <c r="B159" s="53" t="s">
        <v>272</v>
      </c>
      <c r="C159" s="1">
        <f>+C125/Input!$C$31</f>
        <v>2.257590932111079</v>
      </c>
      <c r="D159" s="1">
        <f>+D125/Input!$C$31</f>
        <v>12.067875368229734</v>
      </c>
      <c r="E159" s="1">
        <f>+E125/Input!$C$31</f>
        <v>11.7448</v>
      </c>
      <c r="F159" s="1">
        <f>+F125/Input!$C$31</f>
        <v>0.92165995176527982</v>
      </c>
      <c r="G159" s="1">
        <f>+G125/Input!$C$31</f>
        <v>0.12166438176342087</v>
      </c>
      <c r="H159" s="1">
        <f>+H125/Input!$C$31</f>
        <v>0.16588837765499997</v>
      </c>
      <c r="I159" s="1">
        <f>+I125/Input!$C$31</f>
        <v>0.16679033795373477</v>
      </c>
      <c r="J159" s="1">
        <f>+J125/Input!$C$31</f>
        <v>1.1429629848</v>
      </c>
      <c r="K159" s="1">
        <f>+K125/Input!$C$31</f>
        <v>0</v>
      </c>
      <c r="L159" s="1">
        <f>+L125/Input!$C$31</f>
        <v>0</v>
      </c>
      <c r="M159" s="1">
        <f>+M125/Input!$C$31</f>
        <v>0.39650621956855164</v>
      </c>
      <c r="N159" s="1">
        <f>+N125/Input!$C$31</f>
        <v>0.39336976060199996</v>
      </c>
      <c r="O159" s="1" t="e">
        <f>+O125/Input!$C$31</f>
        <v>#N/A</v>
      </c>
      <c r="P159" s="1">
        <f>+P125/Input!$C$31</f>
        <v>3.1706428177787989</v>
      </c>
      <c r="Q159" s="1">
        <f>+Q125/Input!$C$31</f>
        <v>1.1562033017188762</v>
      </c>
      <c r="R159" s="1">
        <f>+R125/Input!$C$31</f>
        <v>0.87737079908012994</v>
      </c>
      <c r="S159" s="1">
        <f>+S125/Input!$C$31</f>
        <v>0.76033864762898462</v>
      </c>
      <c r="T159" s="1">
        <f>+T125/Input!$C$31</f>
        <v>2.7188439432</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57</v>
      </c>
      <c r="B160" s="338" t="e">
        <f>+SUM(C125:R125)-(SUM(C159:R159)*Input!C31)</f>
        <v>#N/A</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1031</v>
      </c>
    </row>
    <row r="2" spans="1:3" ht="21" x14ac:dyDescent="0.5">
      <c r="A2" s="354" t="s">
        <v>1034</v>
      </c>
      <c r="B2" s="188">
        <f>Input!$F$63</f>
        <v>20</v>
      </c>
    </row>
    <row r="3" spans="1:3" ht="21" x14ac:dyDescent="0.5">
      <c r="A3" s="354" t="s">
        <v>822</v>
      </c>
      <c r="B3" s="154">
        <f>Input!$D$63</f>
        <v>20</v>
      </c>
    </row>
    <row r="4" spans="1:3" ht="21" x14ac:dyDescent="0.5">
      <c r="A4" s="76"/>
    </row>
    <row r="5" spans="1:3" ht="21" x14ac:dyDescent="0.5">
      <c r="A5" s="355" t="s">
        <v>627</v>
      </c>
    </row>
    <row r="6" spans="1:3" x14ac:dyDescent="0.35">
      <c r="A6" s="392" t="s">
        <v>207</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160</v>
      </c>
      <c r="B8" s="154">
        <f>'A4 - Transport'!$B$17</f>
        <v>4.7280958503999994E-3</v>
      </c>
      <c r="C8" s="154">
        <f>$B$2*B8</f>
        <v>9.4561917007999985E-2</v>
      </c>
    </row>
    <row r="9" spans="1:3" x14ac:dyDescent="0.35">
      <c r="A9" s="1" t="s">
        <v>162</v>
      </c>
      <c r="B9" s="154">
        <f>'A4 - Transport'!$B$18</f>
        <v>3.1706428177787993</v>
      </c>
      <c r="C9" s="154">
        <f t="shared" ref="C9:C26" si="0">$B$2*B9</f>
        <v>63.412856355575983</v>
      </c>
    </row>
    <row r="10" spans="1:3" x14ac:dyDescent="0.35">
      <c r="A10" s="1" t="s">
        <v>164</v>
      </c>
      <c r="B10" s="154">
        <f>'A4 - Transport'!$B$19</f>
        <v>1.48181769996E-3</v>
      </c>
      <c r="C10" s="154">
        <f t="shared" si="0"/>
        <v>2.9636353999199998E-2</v>
      </c>
    </row>
    <row r="11" spans="1:3" x14ac:dyDescent="0.35">
      <c r="A11" s="1" t="s">
        <v>165</v>
      </c>
      <c r="B11" s="154">
        <f>'A4 - Transport'!$B$20</f>
        <v>3.1689088044743996</v>
      </c>
      <c r="C11" s="154">
        <f t="shared" si="0"/>
        <v>63.378176089487994</v>
      </c>
    </row>
    <row r="12" spans="1:3" x14ac:dyDescent="0.35">
      <c r="A12" s="1" t="s">
        <v>166</v>
      </c>
      <c r="B12" s="154">
        <f>'A4 - Transport'!$B$21</f>
        <v>2.5219160979999996E-4</v>
      </c>
      <c r="C12" s="154">
        <f t="shared" si="0"/>
        <v>5.043832195999999E-3</v>
      </c>
    </row>
    <row r="13" spans="1:3" x14ac:dyDescent="0.35">
      <c r="A13" s="1" t="s">
        <v>167</v>
      </c>
      <c r="B13" s="154">
        <f>'A4 - Transport'!$B$22</f>
        <v>2.7232249621667997</v>
      </c>
      <c r="C13" s="154">
        <f t="shared" si="0"/>
        <v>54.464499243335993</v>
      </c>
    </row>
    <row r="14" spans="1:3" x14ac:dyDescent="0.35">
      <c r="A14" s="1" t="s">
        <v>169</v>
      </c>
      <c r="B14" s="154">
        <f>'A4 - Transport'!$B$23</f>
        <v>42.673555907631993</v>
      </c>
      <c r="C14" s="154">
        <f t="shared" si="0"/>
        <v>853.47111815263986</v>
      </c>
    </row>
    <row r="15" spans="1:3" x14ac:dyDescent="0.35">
      <c r="A15" s="1" t="s">
        <v>171</v>
      </c>
      <c r="B15" s="154">
        <f>'A4 - Transport'!$B$24</f>
        <v>7.3954567907999981E-5</v>
      </c>
      <c r="C15" s="154">
        <f t="shared" si="0"/>
        <v>1.4790913581599996E-3</v>
      </c>
    </row>
    <row r="16" spans="1:3" x14ac:dyDescent="0.35">
      <c r="A16" s="1" t="s">
        <v>173</v>
      </c>
      <c r="B16" s="154">
        <f>'A4 - Transport'!$B$25</f>
        <v>1.0305611950399997E-3</v>
      </c>
      <c r="C16" s="154">
        <f t="shared" si="0"/>
        <v>2.0611223900799995E-2</v>
      </c>
    </row>
    <row r="17" spans="1:3" x14ac:dyDescent="0.35">
      <c r="A17" s="1" t="s">
        <v>175</v>
      </c>
      <c r="B17" s="154">
        <f>'A4 - Transport'!$B$26</f>
        <v>1.1154892387599999E-2</v>
      </c>
      <c r="C17" s="154">
        <f t="shared" si="0"/>
        <v>0.22309784775199998</v>
      </c>
    </row>
    <row r="18" spans="1:3" x14ac:dyDescent="0.35">
      <c r="A18" s="1" t="s">
        <v>177</v>
      </c>
      <c r="B18" s="154">
        <f>'A4 - Transport'!$B$27</f>
        <v>2.8101693203999996E-10</v>
      </c>
      <c r="C18" s="154">
        <f t="shared" si="0"/>
        <v>5.6203386407999992E-9</v>
      </c>
    </row>
    <row r="19" spans="1:3" x14ac:dyDescent="0.35">
      <c r="A19" s="1" t="s">
        <v>179</v>
      </c>
      <c r="B19" s="154">
        <f>'A4 - Transport'!$B$28</f>
        <v>2.2864919895999999E-8</v>
      </c>
      <c r="C19" s="154">
        <f t="shared" si="0"/>
        <v>4.5729839791999997E-7</v>
      </c>
    </row>
    <row r="20" spans="1:3" x14ac:dyDescent="0.35">
      <c r="A20" s="1" t="s">
        <v>180</v>
      </c>
      <c r="B20" s="154">
        <f>'A4 - Transport'!$B$29</f>
        <v>1.9350155999199998E-2</v>
      </c>
      <c r="C20" s="154">
        <f t="shared" si="0"/>
        <v>0.38700311998399994</v>
      </c>
    </row>
    <row r="21" spans="1:3" x14ac:dyDescent="0.35">
      <c r="A21" s="1" t="s">
        <v>182</v>
      </c>
      <c r="B21" s="154">
        <f>'A4 - Transport'!$B$30</f>
        <v>2.6917185374248001</v>
      </c>
      <c r="C21" s="154">
        <f t="shared" si="0"/>
        <v>53.834370748495999</v>
      </c>
    </row>
    <row r="22" spans="1:3" x14ac:dyDescent="0.35">
      <c r="A22" s="1" t="s">
        <v>184</v>
      </c>
      <c r="B22" s="154">
        <f>'A4 - Transport'!$B$31</f>
        <v>3.4980463283999992E-6</v>
      </c>
      <c r="C22" s="154">
        <f t="shared" si="0"/>
        <v>6.996092656799998E-5</v>
      </c>
    </row>
    <row r="23" spans="1:3" x14ac:dyDescent="0.35">
      <c r="A23" s="1" t="s">
        <v>186</v>
      </c>
      <c r="B23" s="154">
        <f>'A4 - Transport'!$B$32</f>
        <v>7.0501800823999998E-8</v>
      </c>
      <c r="C23" s="154">
        <f t="shared" si="0"/>
        <v>1.4100360164799999E-6</v>
      </c>
    </row>
    <row r="24" spans="1:3" x14ac:dyDescent="0.35">
      <c r="A24" s="1" t="s">
        <v>188</v>
      </c>
      <c r="B24" s="154">
        <f>'A4 - Transport'!$B$33</f>
        <v>1.9652769952399998E-7</v>
      </c>
      <c r="C24" s="154">
        <f t="shared" si="0"/>
        <v>3.9305539904799995E-6</v>
      </c>
    </row>
    <row r="25" spans="1:3" x14ac:dyDescent="0.35">
      <c r="A25" s="1" t="s">
        <v>190</v>
      </c>
      <c r="B25" s="154">
        <f>'A4 - Transport'!$B$34</f>
        <v>8.2432592111999978E-3</v>
      </c>
      <c r="C25" s="154">
        <f t="shared" si="0"/>
        <v>0.16486518422399996</v>
      </c>
    </row>
    <row r="26" spans="1:3" x14ac:dyDescent="0.35">
      <c r="A26" s="1" t="s">
        <v>192</v>
      </c>
      <c r="B26" s="154">
        <f>'A4 - Transport'!$B$35</f>
        <v>9.7193366134799994E-2</v>
      </c>
      <c r="C26" s="154">
        <f t="shared" si="0"/>
        <v>1.9438673226959999</v>
      </c>
    </row>
    <row r="28" spans="1:3" ht="21" x14ac:dyDescent="0.5">
      <c r="A28" s="76" t="s">
        <v>1033</v>
      </c>
    </row>
    <row r="29" spans="1:3" x14ac:dyDescent="0.35">
      <c r="A29" s="356" t="s">
        <v>1035</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160</v>
      </c>
      <c r="B30" s="154">
        <f>Results!$I$28*1000</f>
        <v>5.2723370993669055E-3</v>
      </c>
      <c r="C30" s="177">
        <f>$B$2*B30</f>
        <v>0.10544674198733811</v>
      </c>
    </row>
    <row r="31" spans="1:3" x14ac:dyDescent="0.35">
      <c r="A31" s="1" t="s">
        <v>162</v>
      </c>
      <c r="B31" s="154">
        <f>Results!$I$29*1000</f>
        <v>8.2436713262248773E-2</v>
      </c>
      <c r="C31" s="177">
        <f t="shared" ref="C31:C45" si="1">$B$2*B31</f>
        <v>1.6487342652449755</v>
      </c>
    </row>
    <row r="32" spans="1:3" x14ac:dyDescent="0.35">
      <c r="A32" s="1" t="s">
        <v>167</v>
      </c>
      <c r="B32" s="154">
        <f>Results!$I$33*1000</f>
        <v>1.2244945965714882E-3</v>
      </c>
      <c r="C32" s="177">
        <f t="shared" si="1"/>
        <v>2.4489891931429763E-2</v>
      </c>
    </row>
    <row r="33" spans="1:3" x14ac:dyDescent="0.35">
      <c r="A33" s="1" t="s">
        <v>169</v>
      </c>
      <c r="B33" s="154">
        <f>Results!$I$34*1000</f>
        <v>4.9566976477326392E-2</v>
      </c>
      <c r="C33" s="177">
        <f t="shared" si="1"/>
        <v>0.99133952954652782</v>
      </c>
    </row>
    <row r="34" spans="1:3" x14ac:dyDescent="0.35">
      <c r="A34" s="1" t="s">
        <v>171</v>
      </c>
      <c r="B34" s="154">
        <f>Results!$I$35*1000</f>
        <v>1.2861663983999995E-3</v>
      </c>
      <c r="C34" s="177">
        <f t="shared" si="1"/>
        <v>2.572332796799999E-2</v>
      </c>
    </row>
    <row r="35" spans="1:3" x14ac:dyDescent="0.35">
      <c r="A35" s="1" t="s">
        <v>173</v>
      </c>
      <c r="B35" s="154">
        <f>Results!$I$36*1000</f>
        <v>1.5643390447786663E-3</v>
      </c>
      <c r="C35" s="177">
        <f t="shared" si="1"/>
        <v>3.1286780895573324E-2</v>
      </c>
    </row>
    <row r="36" spans="1:3" x14ac:dyDescent="0.35">
      <c r="A36" s="1" t="s">
        <v>175</v>
      </c>
      <c r="B36" s="154">
        <f>Results!$I$37*1000</f>
        <v>2.3381158620336719E-3</v>
      </c>
      <c r="C36" s="177">
        <f t="shared" si="1"/>
        <v>4.6762317240673437E-2</v>
      </c>
    </row>
    <row r="37" spans="1:3" x14ac:dyDescent="0.35">
      <c r="A37" s="1" t="s">
        <v>177</v>
      </c>
      <c r="B37" s="154">
        <f>Results!$I$38*1000</f>
        <v>3.5418110369538449E-4</v>
      </c>
      <c r="C37" s="177">
        <f t="shared" si="1"/>
        <v>7.0836220739076902E-3</v>
      </c>
    </row>
    <row r="38" spans="1:3" x14ac:dyDescent="0.35">
      <c r="A38" s="1" t="s">
        <v>179</v>
      </c>
      <c r="B38" s="154">
        <f>Results!$I$39*1000</f>
        <v>1.8291935916799997E-3</v>
      </c>
      <c r="C38" s="177">
        <f t="shared" si="1"/>
        <v>3.6583871833599992E-2</v>
      </c>
    </row>
    <row r="39" spans="1:3" x14ac:dyDescent="0.35">
      <c r="A39" s="1" t="s">
        <v>180</v>
      </c>
      <c r="B39" s="154">
        <f>Results!$I$40*1000</f>
        <v>2.2972578567770615E-4</v>
      </c>
      <c r="C39" s="177">
        <f t="shared" si="1"/>
        <v>4.5945157135541233E-3</v>
      </c>
    </row>
    <row r="40" spans="1:3" x14ac:dyDescent="0.35">
      <c r="A40" s="1" t="s">
        <v>182</v>
      </c>
      <c r="B40" s="154">
        <f>Results!$I$41*1000</f>
        <v>2.6095537469051174E-4</v>
      </c>
      <c r="C40" s="177">
        <f t="shared" si="1"/>
        <v>5.2191074938102346E-3</v>
      </c>
    </row>
    <row r="41" spans="1:3" x14ac:dyDescent="0.35">
      <c r="A41" s="1" t="s">
        <v>184</v>
      </c>
      <c r="B41" s="154">
        <f>Results!$I$42*1000</f>
        <v>4.4774993003519989E-9</v>
      </c>
      <c r="C41" s="177">
        <f t="shared" si="1"/>
        <v>8.9549986007039975E-8</v>
      </c>
    </row>
    <row r="42" spans="1:3" x14ac:dyDescent="0.35">
      <c r="A42" s="1" t="s">
        <v>186</v>
      </c>
      <c r="B42" s="154">
        <f>Results!$I$43*1000</f>
        <v>8.2997455820791029E-5</v>
      </c>
      <c r="C42" s="177">
        <f t="shared" si="1"/>
        <v>1.6599491164158205E-3</v>
      </c>
    </row>
    <row r="43" spans="1:3" x14ac:dyDescent="0.35">
      <c r="A43" s="1" t="s">
        <v>188</v>
      </c>
      <c r="B43" s="154">
        <f>Results!$I$44*1000</f>
        <v>2.9594759457731767E-2</v>
      </c>
      <c r="C43" s="177">
        <f t="shared" si="1"/>
        <v>0.59189518915463535</v>
      </c>
    </row>
    <row r="44" spans="1:3" x14ac:dyDescent="0.35">
      <c r="A44" s="1" t="s">
        <v>190</v>
      </c>
      <c r="B44" s="154">
        <f>Results!$I$45*1000</f>
        <v>9.7051179875704413E-3</v>
      </c>
      <c r="C44" s="177">
        <f t="shared" si="1"/>
        <v>0.19410235975140883</v>
      </c>
    </row>
    <row r="45" spans="1:3" x14ac:dyDescent="0.35">
      <c r="A45" s="1" t="s">
        <v>192</v>
      </c>
      <c r="B45" s="154">
        <f>Results!$I$46*1000</f>
        <v>7.1923090939751992E-4</v>
      </c>
      <c r="C45" s="177">
        <f t="shared" si="1"/>
        <v>1.4384618187950398E-2</v>
      </c>
    </row>
    <row r="46" spans="1:3" x14ac:dyDescent="0.35">
      <c r="A46" s="1" t="s">
        <v>1036</v>
      </c>
      <c r="B46" s="154">
        <f>SUM(B30:B45)</f>
        <v>0.18646530888448931</v>
      </c>
      <c r="C46" s="177">
        <f>SUM(C30:C45)</f>
        <v>3.7293061776897862</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273</v>
      </c>
    </row>
    <row r="3" spans="1:23" s="15" customFormat="1" ht="101" customHeight="1" x14ac:dyDescent="0.35">
      <c r="A3" s="104" t="s">
        <v>274</v>
      </c>
      <c r="B3" s="104" t="s">
        <v>275</v>
      </c>
      <c r="C3" s="103" t="s">
        <v>276</v>
      </c>
      <c r="D3" s="103" t="s">
        <v>56</v>
      </c>
      <c r="E3" s="103" t="s">
        <v>277</v>
      </c>
      <c r="F3" s="103" t="s">
        <v>278</v>
      </c>
      <c r="G3" s="103" t="s">
        <v>279</v>
      </c>
      <c r="H3" s="103" t="s">
        <v>280</v>
      </c>
      <c r="I3" s="103" t="s">
        <v>281</v>
      </c>
      <c r="J3" s="103" t="s">
        <v>282</v>
      </c>
      <c r="K3" s="103" t="s">
        <v>283</v>
      </c>
      <c r="L3" s="103" t="s">
        <v>284</v>
      </c>
      <c r="M3" s="103" t="s">
        <v>285</v>
      </c>
      <c r="N3" s="103" t="s">
        <v>286</v>
      </c>
      <c r="O3" s="103" t="s">
        <v>287</v>
      </c>
      <c r="P3" s="103" t="s">
        <v>288</v>
      </c>
      <c r="Q3" s="103" t="s">
        <v>289</v>
      </c>
      <c r="R3" s="103" t="s">
        <v>290</v>
      </c>
      <c r="S3" s="103" t="s">
        <v>291</v>
      </c>
      <c r="T3" s="103" t="s">
        <v>292</v>
      </c>
      <c r="U3" s="103" t="s">
        <v>293</v>
      </c>
      <c r="V3" s="103" t="s">
        <v>294</v>
      </c>
      <c r="W3" s="103" t="s">
        <v>295</v>
      </c>
    </row>
    <row r="4" spans="1:23" x14ac:dyDescent="0.35">
      <c r="A4" s="6" t="s">
        <v>264</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209</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0.01</v>
      </c>
      <c r="D8" s="158"/>
      <c r="E8" s="158">
        <f>INDEX(LCI!H$2:H$130,MATCH('A1 - Raw Material Supply'!$B8,LCI!$D$2:$D$130,0))*$C8</f>
        <v>5.4437035301623004E-4</v>
      </c>
      <c r="F8" s="158">
        <f>INDEX(LCI!I$2:I$130,MATCH('A1 - Raw Material Supply'!$B8,LCI!$D$2:$D$130,0))*$C8</f>
        <v>2.8289132019019919E-2</v>
      </c>
      <c r="G8" s="158">
        <f>INDEX(LCI!J$2:J$130,MATCH('A1 - Raw Material Supply'!$B8,LCI!$D$2:$D$130,0))*$C8</f>
        <v>8.7197146319925684E-5</v>
      </c>
      <c r="H8" s="158">
        <f>INDEX(LCI!K$2:K$130,MATCH('A1 - Raw Material Supply'!$B8,LCI!$D$2:$D$130,0))*$C8</f>
        <v>2.8192635427601941E-2</v>
      </c>
      <c r="I8" s="158">
        <f>INDEX(LCI!L$2:L$130,MATCH('A1 - Raw Material Supply'!$B8,LCI!$D$2:$D$130,0))*$C8</f>
        <v>9.2994450980504037E-6</v>
      </c>
      <c r="J8" s="158">
        <f>INDEX(LCI!M$2:M$130,MATCH('A1 - Raw Material Supply'!$B8,LCI!$D$2:$D$130,0))*$C8</f>
        <v>0.27952928426768853</v>
      </c>
      <c r="K8" s="158">
        <f>INDEX(LCI!N$2:N$130,MATCH('A1 - Raw Material Supply'!$B8,LCI!$D$2:$D$130,0))*$C8</f>
        <v>0.4008497815495129</v>
      </c>
      <c r="L8" s="158">
        <f>INDEX(LCI!O$2:O$130,MATCH('A1 - Raw Material Supply'!$B8,LCI!$D$2:$D$130,0))*$C8</f>
        <v>2.0902872965489301E-6</v>
      </c>
      <c r="M8" s="158">
        <f>INDEX(LCI!P$2:P$130,MATCH('A1 - Raw Material Supply'!$B8,LCI!$D$2:$D$130,0))*$C8</f>
        <v>1.9554116387463481E-4</v>
      </c>
      <c r="N8" s="158">
        <f>INDEX(LCI!Q$2:Q$130,MATCH('A1 - Raw Material Supply'!$B8,LCI!$D$2:$D$130,0))*$C8</f>
        <v>2.7273698411369139E-3</v>
      </c>
      <c r="O8" s="158">
        <f>INDEX(LCI!R$2:R$130,MATCH('A1 - Raw Material Supply'!$B8,LCI!$D$2:$D$130,0))*$C8</f>
        <v>5.0981531935397976E-12</v>
      </c>
      <c r="P8" s="158">
        <f>INDEX(LCI!S$2:S$130,MATCH('A1 - Raw Material Supply'!$B8,LCI!$D$2:$D$130,0))*$C8</f>
        <v>1.3533482861304411E-10</v>
      </c>
      <c r="Q8" s="158">
        <f>INDEX(LCI!T$2:T$130,MATCH('A1 - Raw Material Supply'!$B8,LCI!$D$2:$D$130,0))*$C8</f>
        <v>1.069432948799131E-3</v>
      </c>
      <c r="R8" s="158">
        <f>INDEX(LCI!U$2:U$130,MATCH('A1 - Raw Material Supply'!$B8,LCI!$D$2:$D$130,0))*$C8</f>
        <v>0.32969231023563977</v>
      </c>
      <c r="S8" s="158">
        <f>INDEX(LCI!V$2:V$130,MATCH('A1 - Raw Material Supply'!$B8,LCI!$D$2:$D$130,0))*$C8</f>
        <v>8.1993255918724489E-8</v>
      </c>
      <c r="T8" s="158">
        <f>INDEX(LCI!W$2:W$130,MATCH('A1 - Raw Material Supply'!$B8,LCI!$D$2:$D$130,0))*$C8</f>
        <v>4.6630366302260543E-10</v>
      </c>
      <c r="U8" s="158">
        <f>INDEX(LCI!X$2:X$130,MATCH('A1 - Raw Material Supply'!$B8,LCI!$D$2:$D$130,0))*$C8</f>
        <v>8.8163964762017739E-9</v>
      </c>
      <c r="V8" s="158">
        <f>INDEX(LCI!Y$2:Y$130,MATCH('A1 - Raw Material Supply'!$B8,LCI!$D$2:$D$130,0))*$C8</f>
        <v>6.1595958319542827E-4</v>
      </c>
      <c r="W8" s="158">
        <f>INDEX(LCI!Z$2:Z$130,MATCH('A1 - Raw Material Supply'!$B8,LCI!$D$2:$D$130,0))*$C8</f>
        <v>4.0256271314971795E-2</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210</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296</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297</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259</v>
      </c>
      <c r="B20" s="158" t="str">
        <f>Input!A55</f>
        <v>Additive 1</v>
      </c>
      <c r="C20" s="154">
        <f>+Input!B55*(1-Input!E55)</f>
        <v>2E-3</v>
      </c>
      <c r="D20" s="158" t="str">
        <f>Input!$C$55</f>
        <v>Cellulose_fibres</v>
      </c>
      <c r="E20" s="158" cm="1">
        <f t="array" ref="E20">INDEX(LCI!H$2:H$130,MATCH('A1 - Raw Material Supply'!$B$20&amp;'A1 - Raw Material Supply'!$D$20,LCI!$B$2:$B$130&amp;LCI!$D$2:$D$130,0))*$C$20</f>
        <v>3.1617303944124261E-3</v>
      </c>
      <c r="F20" s="158" cm="1">
        <f t="array" ref="F20">INDEX(LCI!I$2:I$130,MATCH('A1 - Raw Material Supply'!$B$20&amp;'A1 - Raw Material Supply'!$D$20,LCI!$B$2:$B$130&amp;LCI!$D$2:$D$130,0))*$C$20</f>
        <v>0.39650621956855164</v>
      </c>
      <c r="G20" s="158" cm="1">
        <f t="array" ref="G20">INDEX(LCI!J$2:J$130,MATCH('A1 - Raw Material Supply'!$B$20&amp;'A1 - Raw Material Supply'!$D$20,LCI!$B$2:$B$130&amp;LCI!$D$2:$D$130,0))*$C$20</f>
        <v>6.4768551795028245E-2</v>
      </c>
      <c r="H20" s="158" cm="1">
        <f t="array" ref="H20">INDEX(LCI!K$2:K$130,MATCH('A1 - Raw Material Supply'!$B$20&amp;'A1 - Raw Material Supply'!$D$20,LCI!$B$2:$B$130&amp;LCI!$D$2:$D$130,0))*$C$20</f>
        <v>0.33146437672202239</v>
      </c>
      <c r="I20" s="158" cm="1">
        <f t="array" ref="I20">INDEX(LCI!L$2:L$130,MATCH('A1 - Raw Material Supply'!$B$20&amp;'A1 - Raw Material Supply'!$D$20,LCI!$B$2:$B$130&amp;LCI!$D$2:$D$130,0))*$C$20</f>
        <v>2.7329105150085956E-4</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1.0455421592807452E-4</v>
      </c>
      <c r="M20" s="158" cm="1">
        <f t="array" ref="M20">INDEX(LCI!P$2:P$130,MATCH('A1 - Raw Material Supply'!$B$20&amp;'A1 - Raw Material Supply'!$D$20,LCI!$B$2:$B$130&amp;LCI!$D$2:$D$130,0))*$C$20</f>
        <v>6.2470787853480963E-4</v>
      </c>
      <c r="N20" s="158" cm="1">
        <f t="array" ref="N20">INDEX(LCI!Q$2:Q$130,MATCH('A1 - Raw Material Supply'!$B$20&amp;'A1 - Raw Material Supply'!$D$20,LCI!$B$2:$B$130&amp;LCI!$D$2:$D$130,0))*$C$20</f>
        <v>6.411655528666526E-3</v>
      </c>
      <c r="O20" s="158" cm="1">
        <f t="array" ref="O20">INDEX(LCI!R$2:R$130,MATCH('A1 - Raw Material Supply'!$B$20&amp;'A1 - Raw Material Supply'!$D$20,LCI!$B$2:$B$130&amp;LCI!$D$2:$D$130,0))*$C$20</f>
        <v>2.080170793013574E-10</v>
      </c>
      <c r="P20" s="158" cm="1">
        <f t="array" ref="P20">INDEX(LCI!S$2:S$130,MATCH('A1 - Raw Material Supply'!$B$20&amp;'A1 - Raw Material Supply'!$D$20,LCI!$B$2:$B$130&amp;LCI!$D$2:$D$130,0))*$C$20</f>
        <v>9.2094708994056835E-9</v>
      </c>
      <c r="Q20" s="158" cm="1">
        <f t="array" ref="Q20">INDEX(LCI!T$2:T$130,MATCH('A1 - Raw Material Supply'!$B$20&amp;'A1 - Raw Material Supply'!$D$20,LCI!$B$2:$B$130&amp;LCI!$D$2:$D$130,0))*$C$20</f>
        <v>6.4504996529228517E-2</v>
      </c>
      <c r="R20" s="158" cm="1">
        <f t="array" ref="R20">INDEX(LCI!U$2:U$130,MATCH('A1 - Raw Material Supply'!$B$20&amp;'A1 - Raw Material Supply'!$D$20,LCI!$B$2:$B$130&amp;LCI!$D$2:$D$130,0))*$C$20</f>
        <v>1.7720097836370334</v>
      </c>
      <c r="S20" s="158" cm="1">
        <f t="array" ref="S20">INDEX(LCI!V$2:V$130,MATCH('A1 - Raw Material Supply'!$B$20&amp;'A1 - Raw Material Supply'!$D$20,LCI!$B$2:$B$130&amp;LCI!$D$2:$D$130,0))*$C$20</f>
        <v>1.2122921902345966E-4</v>
      </c>
      <c r="T20" s="158" cm="1">
        <f t="array" ref="T20">INDEX(LCI!W$2:W$130,MATCH('A1 - Raw Material Supply'!$B$20&amp;'A1 - Raw Material Supply'!$D$20,LCI!$B$2:$B$130&amp;LCI!$D$2:$D$130,0))*$C$20</f>
        <v>4.0525650071250718E-9</v>
      </c>
      <c r="U20" s="158" cm="1">
        <f t="array" ref="U20">INDEX(LCI!X$2:X$130,MATCH('A1 - Raw Material Supply'!$B$20&amp;'A1 - Raw Material Supply'!$D$20,LCI!$B$2:$B$130&amp;LCI!$D$2:$D$130,0))*$C$20</f>
        <v>4.238240379536734E-8</v>
      </c>
      <c r="V20" s="158" cm="1">
        <f t="array" ref="V20">INDEX(LCI!Y$2:Y$130,MATCH('A1 - Raw Material Supply'!$B$20&amp;'A1 - Raw Material Supply'!$D$20,LCI!$B$2:$B$130&amp;LCI!$D$2:$D$130,0))*$C$20</f>
        <v>2.1167156369696081E-3</v>
      </c>
      <c r="W20" s="158" cm="1">
        <f t="array" ref="W20">INDEX(LCI!Z$2:Z$130,MATCH('A1 - Raw Material Supply'!$B$20&amp;'A1 - Raw Material Supply'!$D$20,LCI!$B$2:$B$130&amp;LCI!$D$2:$D$130,0))*$C$20</f>
        <v>0.20012990288499521</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198</v>
      </c>
      <c r="B23" s="158"/>
      <c r="C23" s="158">
        <f>SUM(C4:C22)</f>
        <v>0.69865999999999995</v>
      </c>
      <c r="D23" s="158"/>
      <c r="E23" s="158">
        <f>SUM(E4:E22)</f>
        <v>7.7331563994309349E-2</v>
      </c>
      <c r="F23" s="158">
        <f t="shared" ref="F23:W23" si="0">SUM(F4:F22)</f>
        <v>14.520561533443052</v>
      </c>
      <c r="G23" s="158">
        <f t="shared" si="0"/>
        <v>0.1175093683129754</v>
      </c>
      <c r="H23" s="158">
        <f t="shared" si="0"/>
        <v>14.40419960460769</v>
      </c>
      <c r="I23" s="158">
        <f t="shared" si="0"/>
        <v>6.9409605223877072E-3</v>
      </c>
      <c r="J23" s="158">
        <f t="shared" si="0"/>
        <v>648.70089165005197</v>
      </c>
      <c r="K23" s="158">
        <f t="shared" si="0"/>
        <v>1052.5970850650401</v>
      </c>
      <c r="L23" s="158">
        <f t="shared" si="0"/>
        <v>3.3136668989280102E-4</v>
      </c>
      <c r="M23" s="158">
        <f t="shared" si="0"/>
        <v>2.3992651507781886E-2</v>
      </c>
      <c r="N23" s="158">
        <f t="shared" si="0"/>
        <v>0.2927951524869799</v>
      </c>
      <c r="O23" s="158">
        <f t="shared" si="0"/>
        <v>1.1581373562813673E-8</v>
      </c>
      <c r="P23" s="158">
        <f t="shared" si="0"/>
        <v>3.3554626479919386E-7</v>
      </c>
      <c r="Q23" s="158">
        <f t="shared" si="0"/>
        <v>0.33292292588809747</v>
      </c>
      <c r="R23" s="158">
        <f t="shared" si="0"/>
        <v>399.43030209307551</v>
      </c>
      <c r="S23" s="158">
        <f t="shared" si="0"/>
        <v>1.2859013299579912E-4</v>
      </c>
      <c r="T23" s="158">
        <f t="shared" si="0"/>
        <v>4.1319597515591624E-8</v>
      </c>
      <c r="U23" s="158">
        <f t="shared" si="0"/>
        <v>1.2997213323707975E-6</v>
      </c>
      <c r="V23" s="158">
        <f t="shared" si="0"/>
        <v>9.0122862479153631E-2</v>
      </c>
      <c r="W23" s="158">
        <f t="shared" si="0"/>
        <v>3.7118098986587431</v>
      </c>
    </row>
    <row r="26" spans="1:23" ht="23.5" x14ac:dyDescent="0.55000000000000004">
      <c r="A26" s="100" t="s">
        <v>298</v>
      </c>
    </row>
    <row r="27" spans="1:23" ht="116" x14ac:dyDescent="0.35">
      <c r="A27" s="104" t="s">
        <v>274</v>
      </c>
      <c r="B27" s="104" t="s">
        <v>275</v>
      </c>
      <c r="C27" s="103" t="s">
        <v>276</v>
      </c>
      <c r="D27" s="103" t="s">
        <v>56</v>
      </c>
      <c r="E27" s="103" t="s">
        <v>277</v>
      </c>
      <c r="F27" s="103" t="s">
        <v>278</v>
      </c>
      <c r="G27" s="103" t="s">
        <v>279</v>
      </c>
      <c r="H27" s="103" t="s">
        <v>280</v>
      </c>
      <c r="I27" s="103" t="s">
        <v>281</v>
      </c>
      <c r="J27" s="103" t="s">
        <v>282</v>
      </c>
      <c r="K27" s="103" t="s">
        <v>283</v>
      </c>
      <c r="L27" s="103" t="s">
        <v>284</v>
      </c>
      <c r="M27" s="103" t="s">
        <v>285</v>
      </c>
      <c r="N27" s="103" t="s">
        <v>286</v>
      </c>
      <c r="O27" s="103" t="s">
        <v>287</v>
      </c>
      <c r="P27" s="103" t="s">
        <v>288</v>
      </c>
      <c r="Q27" s="103" t="s">
        <v>289</v>
      </c>
      <c r="R27" s="103" t="s">
        <v>290</v>
      </c>
      <c r="S27" s="103" t="s">
        <v>291</v>
      </c>
      <c r="T27" s="103" t="s">
        <v>292</v>
      </c>
      <c r="U27" s="103" t="s">
        <v>293</v>
      </c>
      <c r="V27" s="103" t="s">
        <v>294</v>
      </c>
      <c r="W27" s="103" t="s">
        <v>295</v>
      </c>
    </row>
    <row r="28" spans="1:23" ht="14" customHeight="1" x14ac:dyDescent="0.35">
      <c r="A28" s="6" t="s">
        <v>264</v>
      </c>
      <c r="B28" s="158" t="s">
        <v>299</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209</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210</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296</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297</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259</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198</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300</v>
      </c>
    </row>
    <row r="51" spans="1:25" x14ac:dyDescent="0.35">
      <c r="A51" t="s">
        <v>301</v>
      </c>
    </row>
    <row r="53" spans="1:25" ht="86.5" customHeight="1" x14ac:dyDescent="0.35">
      <c r="A53" s="384" t="s">
        <v>302</v>
      </c>
      <c r="B53" s="384"/>
      <c r="C53" s="384"/>
      <c r="D53" s="384"/>
      <c r="E53" s="294" t="s">
        <v>277</v>
      </c>
      <c r="F53" s="294" t="s">
        <v>278</v>
      </c>
      <c r="G53" s="294" t="s">
        <v>279</v>
      </c>
      <c r="H53" s="294" t="s">
        <v>280</v>
      </c>
      <c r="I53" s="294" t="s">
        <v>281</v>
      </c>
      <c r="J53" s="294" t="s">
        <v>282</v>
      </c>
      <c r="K53" s="294" t="s">
        <v>283</v>
      </c>
      <c r="L53" s="294" t="s">
        <v>284</v>
      </c>
      <c r="M53" s="294" t="s">
        <v>285</v>
      </c>
      <c r="N53" s="294" t="s">
        <v>286</v>
      </c>
      <c r="O53" s="294" t="s">
        <v>287</v>
      </c>
      <c r="P53" s="294" t="s">
        <v>288</v>
      </c>
      <c r="Q53" s="294" t="s">
        <v>289</v>
      </c>
      <c r="R53" s="294" t="s">
        <v>290</v>
      </c>
      <c r="S53" s="294" t="s">
        <v>291</v>
      </c>
      <c r="T53" s="294" t="s">
        <v>292</v>
      </c>
      <c r="U53" s="294" t="s">
        <v>293</v>
      </c>
      <c r="V53" s="294" t="s">
        <v>294</v>
      </c>
      <c r="W53" s="294" t="s">
        <v>295</v>
      </c>
    </row>
    <row r="54" spans="1:25" x14ac:dyDescent="0.35">
      <c r="A54" s="403" t="s">
        <v>303</v>
      </c>
      <c r="B54" s="403"/>
      <c r="C54" s="403"/>
      <c r="D54" s="403"/>
      <c r="E54" s="154">
        <f>E23+E47</f>
        <v>7.7331563994309349E-2</v>
      </c>
      <c r="F54" s="154">
        <f t="shared" ref="F54:W54" si="2">F23+F47</f>
        <v>14.520561533443052</v>
      </c>
      <c r="G54" s="154">
        <f t="shared" si="2"/>
        <v>0.1175093683129754</v>
      </c>
      <c r="H54" s="154">
        <f t="shared" si="2"/>
        <v>14.40419960460769</v>
      </c>
      <c r="I54" s="154">
        <f t="shared" si="2"/>
        <v>6.9409605223877072E-3</v>
      </c>
      <c r="J54" s="154">
        <f t="shared" si="2"/>
        <v>648.70089165005197</v>
      </c>
      <c r="K54" s="154">
        <f t="shared" si="2"/>
        <v>1052.5970850650401</v>
      </c>
      <c r="L54" s="154">
        <f t="shared" si="2"/>
        <v>3.3136668989280102E-4</v>
      </c>
      <c r="M54" s="154">
        <f t="shared" si="2"/>
        <v>2.3992651507781886E-2</v>
      </c>
      <c r="N54" s="154">
        <f t="shared" si="2"/>
        <v>0.2927951524869799</v>
      </c>
      <c r="O54" s="154">
        <f t="shared" si="2"/>
        <v>1.1581373562813673E-8</v>
      </c>
      <c r="P54" s="154">
        <f t="shared" si="2"/>
        <v>3.3554626479919386E-7</v>
      </c>
      <c r="Q54" s="154">
        <f t="shared" si="2"/>
        <v>0.33292292588809747</v>
      </c>
      <c r="R54" s="154">
        <f t="shared" si="2"/>
        <v>399.43030209307551</v>
      </c>
      <c r="S54" s="154">
        <f t="shared" si="2"/>
        <v>1.2859013299579912E-4</v>
      </c>
      <c r="T54" s="154">
        <f t="shared" si="2"/>
        <v>4.1319597515591624E-8</v>
      </c>
      <c r="U54" s="154">
        <f t="shared" si="2"/>
        <v>1.2997213323707975E-6</v>
      </c>
      <c r="V54" s="154">
        <f t="shared" si="2"/>
        <v>9.0122862479153631E-2</v>
      </c>
      <c r="W54" s="154">
        <f t="shared" si="2"/>
        <v>3.7118098986587431</v>
      </c>
    </row>
    <row r="57" spans="1:25" x14ac:dyDescent="0.35">
      <c r="A57" t="s">
        <v>304</v>
      </c>
    </row>
    <row r="59" spans="1:25" x14ac:dyDescent="0.35">
      <c r="E59" s="68"/>
    </row>
    <row r="61" spans="1:25" ht="23.5" x14ac:dyDescent="0.55000000000000004">
      <c r="A61" s="100" t="s">
        <v>305</v>
      </c>
    </row>
    <row r="63" spans="1:25" x14ac:dyDescent="0.35">
      <c r="B63" s="378" t="s">
        <v>219</v>
      </c>
      <c r="C63" s="387"/>
      <c r="D63" s="387"/>
      <c r="E63" s="387"/>
      <c r="F63" s="387"/>
      <c r="G63" s="387"/>
      <c r="H63" s="387"/>
      <c r="I63" s="387"/>
      <c r="J63" s="387"/>
      <c r="K63" s="387"/>
      <c r="L63" s="387" t="s">
        <v>306</v>
      </c>
      <c r="M63" s="387"/>
      <c r="N63" s="379"/>
      <c r="O63" s="104" t="s">
        <v>264</v>
      </c>
      <c r="P63" s="378" t="s">
        <v>211</v>
      </c>
      <c r="Q63" s="387"/>
      <c r="R63" s="379"/>
      <c r="S63" s="378" t="s">
        <v>307</v>
      </c>
      <c r="T63" s="387"/>
      <c r="U63" s="379"/>
      <c r="V63" s="380" t="s">
        <v>213</v>
      </c>
      <c r="W63" s="380"/>
      <c r="X63" s="380"/>
      <c r="Y63" s="380"/>
    </row>
    <row r="64" spans="1:25" ht="43.5" x14ac:dyDescent="0.35">
      <c r="B64" s="103" t="s">
        <v>61</v>
      </c>
      <c r="C64" s="103" t="s">
        <v>64</v>
      </c>
      <c r="D64" s="103" t="s">
        <v>65</v>
      </c>
      <c r="E64" s="103" t="s">
        <v>66</v>
      </c>
      <c r="F64" s="103" t="s">
        <v>69</v>
      </c>
      <c r="G64" s="103" t="s">
        <v>70</v>
      </c>
      <c r="H64" s="103" t="s">
        <v>71</v>
      </c>
      <c r="I64" s="103" t="s">
        <v>73</v>
      </c>
      <c r="J64" s="103" t="s">
        <v>74</v>
      </c>
      <c r="K64" s="103" t="s">
        <v>308</v>
      </c>
      <c r="L64" s="104" t="s">
        <v>309</v>
      </c>
      <c r="M64" s="104" t="s">
        <v>310</v>
      </c>
      <c r="N64" s="104" t="s">
        <v>311</v>
      </c>
      <c r="O64" s="104" t="s">
        <v>198</v>
      </c>
      <c r="P64" s="249" t="s">
        <v>79</v>
      </c>
      <c r="Q64" s="249" t="s">
        <v>81</v>
      </c>
      <c r="R64" s="249" t="s">
        <v>312</v>
      </c>
      <c r="S64" s="104" t="s">
        <v>313</v>
      </c>
      <c r="T64" s="104" t="s">
        <v>314</v>
      </c>
      <c r="U64" s="104" t="s">
        <v>321</v>
      </c>
      <c r="V64" s="104" t="s">
        <v>88</v>
      </c>
      <c r="W64" s="104" t="s">
        <v>91</v>
      </c>
      <c r="X64" s="104" t="s">
        <v>93</v>
      </c>
      <c r="Y64" s="104" t="s">
        <v>315</v>
      </c>
    </row>
    <row r="65" spans="1:25" x14ac:dyDescent="0.35">
      <c r="A65" s="1" t="s">
        <v>316</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5.4437035301623004E-4</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3.1617303944124261E-3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3.1617303944124261E-3</v>
      </c>
    </row>
    <row r="66" spans="1:25" x14ac:dyDescent="0.35">
      <c r="A66" s="1" t="s">
        <v>278</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2.8289132019019919E-2</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0.39650621956855164</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0.39650621956855164</v>
      </c>
    </row>
    <row r="67" spans="1:25" x14ac:dyDescent="0.35">
      <c r="A67" s="1" t="s">
        <v>279</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8.7197146319925684E-5</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6.4768551795028245E-2</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6.4768551795028245E-2</v>
      </c>
    </row>
    <row r="68" spans="1:25" x14ac:dyDescent="0.35">
      <c r="A68" s="1" t="s">
        <v>280</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2.8192635427601941E-2</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2.2526938635434131</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0.33146437672202239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0.33146437672202239</v>
      </c>
    </row>
    <row r="69" spans="1:25" x14ac:dyDescent="0.35">
      <c r="A69" s="1" t="s">
        <v>281</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9.2994450980504037E-6</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5.8964944409195367E-4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2.7329105150085956E-4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2.7329105150085956E-4</v>
      </c>
    </row>
    <row r="70" spans="1:25" x14ac:dyDescent="0.35">
      <c r="A70" s="1" t="s">
        <v>282</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0.27952928426768853</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1.6559907158953788</v>
      </c>
    </row>
    <row r="71" spans="1:25" x14ac:dyDescent="0.35">
      <c r="A71" s="1" t="s">
        <v>283</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0.4008497815495129</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4.5769593135824742</v>
      </c>
    </row>
    <row r="72" spans="1:25" x14ac:dyDescent="0.35">
      <c r="A72" s="1" t="s">
        <v>284</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2.0902872965489301E-6</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1.0455421592807452E-4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1.0455421592807452E-4</v>
      </c>
    </row>
    <row r="73" spans="1:25" x14ac:dyDescent="0.35">
      <c r="A73" s="1" t="s">
        <v>285</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1.9554116387463481E-4</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6.2470787853480963E-4</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6.2470787853480963E-4</v>
      </c>
    </row>
    <row r="74" spans="1:25" x14ac:dyDescent="0.35">
      <c r="A74" s="1" t="s">
        <v>286</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2.7273698411369139E-3</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6.411655528666526E-3</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6.411655528666526E-3</v>
      </c>
    </row>
    <row r="75" spans="1:25" x14ac:dyDescent="0.35">
      <c r="A75" s="1" t="s">
        <v>287</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5.0981531935397976E-12</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2.080170793013574E-10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2.080170793013574E-10</v>
      </c>
    </row>
    <row r="76" spans="1:25" x14ac:dyDescent="0.35">
      <c r="A76" s="1" t="s">
        <v>317</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1.3533482861304411E-10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9.2094708994056835E-9</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9.2094708994056835E-9</v>
      </c>
    </row>
    <row r="77" spans="1:25" x14ac:dyDescent="0.35">
      <c r="A77" s="1" t="s">
        <v>289</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1.069432948799131E-3</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6.4504996529228517E-2</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6.4504996529228517E-2</v>
      </c>
    </row>
    <row r="78" spans="1:25" x14ac:dyDescent="0.35">
      <c r="A78" s="1" t="s">
        <v>290</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0.32969231023563977</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1.7720097836370334</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1.7720097836370334</v>
      </c>
    </row>
    <row r="79" spans="1:25" x14ac:dyDescent="0.35">
      <c r="A79" s="1" t="s">
        <v>291</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8.1993255918724489E-8</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1.2122921902345966E-4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1.2122921902345966E-4</v>
      </c>
    </row>
    <row r="80" spans="1:25" x14ac:dyDescent="0.35">
      <c r="A80" s="1" t="s">
        <v>292</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4.6630366302260543E-10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3.5702259662986992E-8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4.0525650071250718E-9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4.0525650071250718E-9</v>
      </c>
    </row>
    <row r="81" spans="1:25" x14ac:dyDescent="0.35">
      <c r="A81" s="1" t="s">
        <v>293</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8.8163964762017739E-9</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6.5360368889705894E-7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4.238240379536734E-8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4.238240379536734E-8</v>
      </c>
    </row>
    <row r="82" spans="1:25" x14ac:dyDescent="0.35">
      <c r="A82" s="1" t="s">
        <v>294</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6.1595958319542827E-4</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2.1167156369696081E-3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2.1167156369696081E-3</v>
      </c>
    </row>
    <row r="83" spans="1:25" x14ac:dyDescent="0.35">
      <c r="A83" s="1" t="s">
        <v>295</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4.0256271314971795E-2</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0.20012990288499521</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0.20012990288499521</v>
      </c>
    </row>
    <row r="84" spans="1:25" x14ac:dyDescent="0.35">
      <c r="K84">
        <f>+SUM(K65:K83)</f>
        <v>445.30418379770373</v>
      </c>
      <c r="N84">
        <f>+SUM(N65:N83)</f>
        <v>3.5860956936697885</v>
      </c>
      <c r="O84">
        <f>+SUM(O65:O83)</f>
        <v>1676.3414996832948</v>
      </c>
      <c r="R84">
        <f>+SUM(R65:R83)</f>
        <v>0</v>
      </c>
      <c r="U84">
        <f>+SUM(U65:U83)</f>
        <v>0</v>
      </c>
      <c r="Y84">
        <f>+SUM(Y65:Y83)</f>
        <v>9.0751478003922035</v>
      </c>
    </row>
    <row r="85" spans="1:25" ht="23.5" x14ac:dyDescent="0.55000000000000004">
      <c r="A85" s="100" t="s">
        <v>318</v>
      </c>
    </row>
    <row r="87" spans="1:25" x14ac:dyDescent="0.35">
      <c r="B87" s="378" t="s">
        <v>219</v>
      </c>
      <c r="C87" s="387"/>
      <c r="D87" s="387"/>
      <c r="E87" s="387"/>
      <c r="F87" s="387"/>
      <c r="G87" s="387"/>
      <c r="H87" s="387"/>
      <c r="I87" s="387"/>
      <c r="J87" s="387"/>
      <c r="K87" s="387"/>
      <c r="L87" s="387" t="s">
        <v>306</v>
      </c>
      <c r="M87" s="387"/>
      <c r="N87" s="379"/>
      <c r="O87" s="104" t="s">
        <v>264</v>
      </c>
      <c r="P87" s="378" t="s">
        <v>211</v>
      </c>
      <c r="Q87" s="387"/>
      <c r="R87" s="379"/>
      <c r="S87" s="378" t="s">
        <v>307</v>
      </c>
      <c r="T87" s="387"/>
      <c r="U87" s="379"/>
      <c r="V87" s="380" t="s">
        <v>213</v>
      </c>
      <c r="W87" s="380"/>
      <c r="X87" s="380"/>
      <c r="Y87" s="380"/>
    </row>
    <row r="88" spans="1:25" ht="43.5" x14ac:dyDescent="0.35">
      <c r="B88" s="103" t="s">
        <v>61</v>
      </c>
      <c r="C88" s="103" t="s">
        <v>64</v>
      </c>
      <c r="D88" s="103" t="s">
        <v>65</v>
      </c>
      <c r="E88" s="103" t="s">
        <v>66</v>
      </c>
      <c r="F88" s="103" t="s">
        <v>69</v>
      </c>
      <c r="G88" s="103" t="s">
        <v>70</v>
      </c>
      <c r="H88" s="103" t="s">
        <v>71</v>
      </c>
      <c r="I88" s="103" t="s">
        <v>73</v>
      </c>
      <c r="J88" s="103" t="s">
        <v>74</v>
      </c>
      <c r="K88" s="103" t="s">
        <v>308</v>
      </c>
      <c r="L88" s="104" t="s">
        <v>309</v>
      </c>
      <c r="M88" s="104" t="s">
        <v>310</v>
      </c>
      <c r="N88" s="104" t="s">
        <v>311</v>
      </c>
      <c r="O88" s="104" t="s">
        <v>198</v>
      </c>
      <c r="P88" s="249" t="s">
        <v>79</v>
      </c>
      <c r="Q88" s="249" t="s">
        <v>81</v>
      </c>
      <c r="R88" s="249" t="s">
        <v>312</v>
      </c>
      <c r="S88" s="104" t="s">
        <v>313</v>
      </c>
      <c r="T88" s="104" t="s">
        <v>314</v>
      </c>
      <c r="U88" s="104" t="s">
        <v>321</v>
      </c>
      <c r="V88" s="104" t="s">
        <v>88</v>
      </c>
      <c r="W88" s="104" t="s">
        <v>91</v>
      </c>
      <c r="X88" s="104" t="s">
        <v>93</v>
      </c>
      <c r="Y88" s="104" t="s">
        <v>315</v>
      </c>
    </row>
    <row r="89" spans="1:25" x14ac:dyDescent="0.35">
      <c r="A89" s="1" t="s">
        <v>316</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278</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279</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280</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281</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282</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283</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284</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285</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286</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287</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317</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289</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290</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291</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292</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293</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294</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295</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319</v>
      </c>
    </row>
    <row r="112" spans="1:26" x14ac:dyDescent="0.35">
      <c r="B112" s="378" t="s">
        <v>219</v>
      </c>
      <c r="C112" s="387"/>
      <c r="D112" s="387"/>
      <c r="E112" s="387"/>
      <c r="F112" s="387"/>
      <c r="G112" s="387"/>
      <c r="H112" s="387"/>
      <c r="I112" s="387"/>
      <c r="J112" s="387"/>
      <c r="K112" s="387"/>
      <c r="L112" s="387" t="s">
        <v>306</v>
      </c>
      <c r="M112" s="387"/>
      <c r="N112" s="379"/>
      <c r="O112" s="104" t="s">
        <v>264</v>
      </c>
      <c r="P112" s="378" t="s">
        <v>211</v>
      </c>
      <c r="Q112" s="387"/>
      <c r="R112" s="379"/>
      <c r="S112" s="378" t="s">
        <v>307</v>
      </c>
      <c r="T112" s="387"/>
      <c r="U112" s="379"/>
      <c r="V112" s="380" t="s">
        <v>213</v>
      </c>
      <c r="W112" s="380"/>
      <c r="X112" s="380"/>
      <c r="Y112" s="380"/>
      <c r="Z112" s="402" t="s">
        <v>320</v>
      </c>
    </row>
    <row r="113" spans="1:26" ht="43.5" x14ac:dyDescent="0.35">
      <c r="B113" s="103" t="s">
        <v>61</v>
      </c>
      <c r="C113" s="103" t="s">
        <v>64</v>
      </c>
      <c r="D113" s="103" t="s">
        <v>65</v>
      </c>
      <c r="E113" s="103" t="s">
        <v>66</v>
      </c>
      <c r="F113" s="103" t="s">
        <v>69</v>
      </c>
      <c r="G113" s="103" t="s">
        <v>70</v>
      </c>
      <c r="H113" s="103" t="s">
        <v>71</v>
      </c>
      <c r="I113" s="103" t="s">
        <v>73</v>
      </c>
      <c r="J113" s="103" t="s">
        <v>74</v>
      </c>
      <c r="K113" s="103" t="s">
        <v>308</v>
      </c>
      <c r="L113" s="104" t="s">
        <v>309</v>
      </c>
      <c r="M113" s="104" t="s">
        <v>310</v>
      </c>
      <c r="N113" s="104" t="s">
        <v>311</v>
      </c>
      <c r="O113" s="104" t="s">
        <v>198</v>
      </c>
      <c r="P113" s="249" t="s">
        <v>79</v>
      </c>
      <c r="Q113" s="249" t="s">
        <v>81</v>
      </c>
      <c r="R113" s="249" t="s">
        <v>312</v>
      </c>
      <c r="S113" s="104" t="s">
        <v>313</v>
      </c>
      <c r="T113" s="104" t="s">
        <v>314</v>
      </c>
      <c r="U113" s="104" t="s">
        <v>321</v>
      </c>
      <c r="V113" s="104" t="s">
        <v>88</v>
      </c>
      <c r="W113" s="104" t="s">
        <v>91</v>
      </c>
      <c r="X113" s="104" t="s">
        <v>93</v>
      </c>
      <c r="Y113" s="104" t="s">
        <v>315</v>
      </c>
      <c r="Z113" s="402"/>
    </row>
    <row r="114" spans="1:26" x14ac:dyDescent="0.35">
      <c r="A114" s="1" t="s">
        <v>316</v>
      </c>
      <c r="B114" s="154">
        <f>B65+B89</f>
        <v>2.7762888003827727E-3</v>
      </c>
      <c r="C114" s="154">
        <f t="shared" ref="C114:L114" si="6">C65+C89</f>
        <v>5.5525776007655453E-3</v>
      </c>
      <c r="D114" s="154">
        <f t="shared" si="6"/>
        <v>1.9216273461472918E-2</v>
      </c>
      <c r="E114" s="154">
        <f t="shared" si="6"/>
        <v>5.4437035301623004E-4</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3.1617303944124261E-3</v>
      </c>
      <c r="W114" s="154">
        <f t="shared" si="7"/>
        <v>0</v>
      </c>
      <c r="X114" s="154">
        <f t="shared" si="7"/>
        <v>0</v>
      </c>
      <c r="Y114" s="251">
        <f t="shared" si="7"/>
        <v>3.1617303944124261E-3</v>
      </c>
      <c r="Z114" s="251">
        <f>K114+N114+O114+Y114</f>
        <v>7.7331563994309349E-2</v>
      </c>
    </row>
    <row r="115" spans="1:26" x14ac:dyDescent="0.35">
      <c r="A115" s="1" t="s">
        <v>278</v>
      </c>
      <c r="B115" s="154">
        <f t="shared" ref="B115:K132" si="8">B66+B90</f>
        <v>0.14427457329700158</v>
      </c>
      <c r="C115" s="154">
        <f t="shared" si="8"/>
        <v>0.28854914659400316</v>
      </c>
      <c r="D115" s="154">
        <f t="shared" si="8"/>
        <v>0.99860636027140315</v>
      </c>
      <c r="E115" s="154">
        <f t="shared" si="8"/>
        <v>2.8289132019019919E-2</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0.39650621956855164</v>
      </c>
      <c r="W115" s="154">
        <f t="shared" si="9"/>
        <v>0</v>
      </c>
      <c r="X115" s="154">
        <f t="shared" si="9"/>
        <v>0</v>
      </c>
      <c r="Y115" s="251">
        <f t="shared" si="9"/>
        <v>0.39650621956855164</v>
      </c>
      <c r="Z115" s="251">
        <f t="shared" ref="Z115:Z132" si="10">K115+N115+O115+Y115</f>
        <v>14.520561533443052</v>
      </c>
    </row>
    <row r="116" spans="1:26" x14ac:dyDescent="0.35">
      <c r="A116" s="1" t="s">
        <v>279</v>
      </c>
      <c r="B116" s="154">
        <f t="shared" si="8"/>
        <v>4.4470544623162093E-4</v>
      </c>
      <c r="C116" s="154">
        <f t="shared" si="8"/>
        <v>8.8941089246324186E-4</v>
      </c>
      <c r="D116" s="154">
        <f t="shared" si="8"/>
        <v>3.0780592650933762E-3</v>
      </c>
      <c r="E116" s="154">
        <f t="shared" si="8"/>
        <v>8.7197146319925684E-5</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6.4768551795028245E-2</v>
      </c>
      <c r="W116" s="154">
        <f t="shared" si="11"/>
        <v>0</v>
      </c>
      <c r="X116" s="154">
        <f t="shared" si="11"/>
        <v>0</v>
      </c>
      <c r="Y116" s="251">
        <f t="shared" si="11"/>
        <v>6.4768551795028245E-2</v>
      </c>
      <c r="Z116" s="251">
        <f t="shared" si="10"/>
        <v>0.1175093683129754</v>
      </c>
    </row>
    <row r="117" spans="1:26" x14ac:dyDescent="0.35">
      <c r="A117" s="1" t="s">
        <v>280</v>
      </c>
      <c r="B117" s="154">
        <f t="shared" si="8"/>
        <v>0.1437824406807699</v>
      </c>
      <c r="C117" s="154">
        <f t="shared" si="8"/>
        <v>0.28756488136153979</v>
      </c>
      <c r="D117" s="154">
        <f t="shared" si="8"/>
        <v>0.99520003059434847</v>
      </c>
      <c r="E117" s="154">
        <f t="shared" si="8"/>
        <v>2.8192635427601941E-2</v>
      </c>
      <c r="F117" s="154">
        <f t="shared" si="8"/>
        <v>0</v>
      </c>
      <c r="G117" s="154">
        <f t="shared" si="8"/>
        <v>0</v>
      </c>
      <c r="H117" s="154">
        <f t="shared" si="8"/>
        <v>0.79795387547915309</v>
      </c>
      <c r="I117" s="154">
        <f t="shared" si="8"/>
        <v>0</v>
      </c>
      <c r="J117" s="154">
        <f t="shared" si="8"/>
        <v>0</v>
      </c>
      <c r="K117" s="251">
        <f t="shared" si="8"/>
        <v>2.2526938635434131</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0.33146437672202239</v>
      </c>
      <c r="W117" s="154">
        <f t="shared" si="12"/>
        <v>0</v>
      </c>
      <c r="X117" s="154">
        <f t="shared" si="12"/>
        <v>0</v>
      </c>
      <c r="Y117" s="251">
        <f t="shared" si="12"/>
        <v>0.33146437672202239</v>
      </c>
      <c r="Z117" s="251">
        <f t="shared" si="10"/>
        <v>14.404199604607689</v>
      </c>
    </row>
    <row r="118" spans="1:26" x14ac:dyDescent="0.35">
      <c r="A118" s="1" t="s">
        <v>281</v>
      </c>
      <c r="B118" s="154">
        <f t="shared" si="8"/>
        <v>4.7427170000057053E-5</v>
      </c>
      <c r="C118" s="154">
        <f t="shared" si="8"/>
        <v>9.4854340000114106E-5</v>
      </c>
      <c r="D118" s="154">
        <f t="shared" si="8"/>
        <v>3.2827041196117923E-4</v>
      </c>
      <c r="E118" s="154">
        <f t="shared" si="8"/>
        <v>9.2994450980504037E-6</v>
      </c>
      <c r="F118" s="154">
        <f t="shared" si="8"/>
        <v>0</v>
      </c>
      <c r="G118" s="154">
        <f t="shared" si="8"/>
        <v>0</v>
      </c>
      <c r="H118" s="154">
        <f t="shared" si="8"/>
        <v>1.0979807703255282E-4</v>
      </c>
      <c r="I118" s="154">
        <f t="shared" si="8"/>
        <v>0</v>
      </c>
      <c r="J118" s="154">
        <f t="shared" si="8"/>
        <v>0</v>
      </c>
      <c r="K118" s="251">
        <f t="shared" si="8"/>
        <v>5.8964944409195367E-4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2.7329105150085956E-4</v>
      </c>
      <c r="W118" s="154">
        <f t="shared" si="13"/>
        <v>0</v>
      </c>
      <c r="X118" s="154">
        <f t="shared" si="13"/>
        <v>0</v>
      </c>
      <c r="Y118" s="251">
        <f t="shared" si="13"/>
        <v>2.7329105150085956E-4</v>
      </c>
      <c r="Z118" s="251">
        <f t="shared" si="10"/>
        <v>6.9409605223877081E-3</v>
      </c>
    </row>
    <row r="119" spans="1:26" x14ac:dyDescent="0.35">
      <c r="A119" s="1" t="s">
        <v>282</v>
      </c>
      <c r="B119" s="154">
        <f t="shared" si="8"/>
        <v>1.4255993497652113</v>
      </c>
      <c r="C119" s="154">
        <f t="shared" si="8"/>
        <v>2.8511986995304226</v>
      </c>
      <c r="D119" s="154">
        <f t="shared" si="8"/>
        <v>9.8673837346494029</v>
      </c>
      <c r="E119" s="154">
        <f t="shared" si="8"/>
        <v>0.27952928426768853</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1.6559907158953788</v>
      </c>
      <c r="W119" s="154">
        <f t="shared" si="14"/>
        <v>0</v>
      </c>
      <c r="X119" s="154">
        <f t="shared" si="14"/>
        <v>0</v>
      </c>
      <c r="Y119" s="251">
        <f t="shared" si="14"/>
        <v>1.6559907158953788</v>
      </c>
      <c r="Z119" s="251">
        <f t="shared" si="10"/>
        <v>648.70089165005197</v>
      </c>
    </row>
    <row r="120" spans="1:26" x14ac:dyDescent="0.35">
      <c r="A120" s="1" t="s">
        <v>283</v>
      </c>
      <c r="B120" s="154">
        <f t="shared" si="8"/>
        <v>2.0443338859025153</v>
      </c>
      <c r="C120" s="154">
        <f t="shared" si="8"/>
        <v>4.0886677718050306</v>
      </c>
      <c r="D120" s="154">
        <f t="shared" si="8"/>
        <v>14.149997288697804</v>
      </c>
      <c r="E120" s="154">
        <f t="shared" si="8"/>
        <v>0.4008497815495129</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4.5769593135824742</v>
      </c>
      <c r="W120" s="154">
        <f t="shared" si="15"/>
        <v>0</v>
      </c>
      <c r="X120" s="154">
        <f t="shared" si="15"/>
        <v>0</v>
      </c>
      <c r="Y120" s="251">
        <f t="shared" si="15"/>
        <v>4.5769593135824742</v>
      </c>
      <c r="Z120" s="251">
        <f t="shared" si="10"/>
        <v>1052.5970850650401</v>
      </c>
    </row>
    <row r="121" spans="1:26" x14ac:dyDescent="0.35">
      <c r="A121" s="1" t="s">
        <v>284</v>
      </c>
      <c r="B121" s="154">
        <f t="shared" si="8"/>
        <v>1.0660465212399542E-5</v>
      </c>
      <c r="C121" s="154">
        <f t="shared" si="8"/>
        <v>2.1320930424799085E-5</v>
      </c>
      <c r="D121" s="154">
        <f t="shared" si="8"/>
        <v>7.3787141568177228E-5</v>
      </c>
      <c r="E121" s="154">
        <f t="shared" si="8"/>
        <v>2.0902872965489301E-6</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1.0455421592807452E-4</v>
      </c>
      <c r="W121" s="154">
        <f t="shared" si="16"/>
        <v>0</v>
      </c>
      <c r="X121" s="154">
        <f t="shared" si="16"/>
        <v>0</v>
      </c>
      <c r="Y121" s="251">
        <f t="shared" si="16"/>
        <v>1.0455421592807452E-4</v>
      </c>
      <c r="Z121" s="251">
        <f t="shared" si="10"/>
        <v>3.3136668989280102E-4</v>
      </c>
    </row>
    <row r="122" spans="1:26" x14ac:dyDescent="0.35">
      <c r="A122" s="1" t="s">
        <v>285</v>
      </c>
      <c r="B122" s="154">
        <f t="shared" si="8"/>
        <v>9.972599357606375E-4</v>
      </c>
      <c r="C122" s="154">
        <f t="shared" si="8"/>
        <v>1.994519871521275E-3</v>
      </c>
      <c r="D122" s="154">
        <f t="shared" si="8"/>
        <v>6.9026030847746086E-3</v>
      </c>
      <c r="E122" s="154">
        <f t="shared" si="8"/>
        <v>1.9554116387463481E-4</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6.2470787853480963E-4</v>
      </c>
      <c r="W122" s="154">
        <f t="shared" si="17"/>
        <v>0</v>
      </c>
      <c r="X122" s="154">
        <f t="shared" si="17"/>
        <v>0</v>
      </c>
      <c r="Y122" s="251">
        <f t="shared" si="17"/>
        <v>6.2470787853480963E-4</v>
      </c>
      <c r="Z122" s="251">
        <f t="shared" si="10"/>
        <v>2.399265150778189E-2</v>
      </c>
    </row>
    <row r="123" spans="1:26" x14ac:dyDescent="0.35">
      <c r="A123" s="1" t="s">
        <v>286</v>
      </c>
      <c r="B123" s="154">
        <f t="shared" si="8"/>
        <v>1.390958618979826E-2</v>
      </c>
      <c r="C123" s="154">
        <f t="shared" si="8"/>
        <v>2.7819172379596521E-2</v>
      </c>
      <c r="D123" s="154">
        <f t="shared" si="8"/>
        <v>9.6276155392133064E-2</v>
      </c>
      <c r="E123" s="154">
        <f t="shared" si="8"/>
        <v>2.7273698411369139E-3</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6.411655528666526E-3</v>
      </c>
      <c r="W123" s="154">
        <f t="shared" si="18"/>
        <v>0</v>
      </c>
      <c r="X123" s="154">
        <f t="shared" si="18"/>
        <v>0</v>
      </c>
      <c r="Y123" s="251">
        <f t="shared" si="18"/>
        <v>6.411655528666526E-3</v>
      </c>
      <c r="Z123" s="251">
        <f t="shared" si="10"/>
        <v>0.29279515248697985</v>
      </c>
    </row>
    <row r="124" spans="1:26" x14ac:dyDescent="0.35">
      <c r="A124" s="1" t="s">
        <v>287</v>
      </c>
      <c r="B124" s="154">
        <f t="shared" si="8"/>
        <v>2.6000581287052966E-11</v>
      </c>
      <c r="C124" s="154">
        <f t="shared" si="8"/>
        <v>5.2001162574105932E-11</v>
      </c>
      <c r="D124" s="154">
        <f t="shared" si="8"/>
        <v>1.7996480773195484E-10</v>
      </c>
      <c r="E124" s="154">
        <f t="shared" si="8"/>
        <v>5.0981531935397976E-12</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2.080170793013574E-10</v>
      </c>
      <c r="W124" s="154">
        <f t="shared" si="19"/>
        <v>0</v>
      </c>
      <c r="X124" s="154">
        <f t="shared" si="19"/>
        <v>0</v>
      </c>
      <c r="Y124" s="251">
        <f t="shared" si="19"/>
        <v>2.080170793013574E-10</v>
      </c>
      <c r="Z124" s="251">
        <f t="shared" si="10"/>
        <v>1.1581373562813673E-8</v>
      </c>
    </row>
    <row r="125" spans="1:26" x14ac:dyDescent="0.35">
      <c r="A125" s="1" t="s">
        <v>317</v>
      </c>
      <c r="B125" s="154">
        <f t="shared" si="8"/>
        <v>6.902076259265248E-10</v>
      </c>
      <c r="C125" s="154">
        <f t="shared" si="8"/>
        <v>1.3804152518530496E-9</v>
      </c>
      <c r="D125" s="154">
        <f t="shared" si="8"/>
        <v>4.7773194500404562E-9</v>
      </c>
      <c r="E125" s="154">
        <f t="shared" si="8"/>
        <v>1.3533482861304411E-10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9.2094708994056835E-9</v>
      </c>
      <c r="W125" s="154">
        <f t="shared" si="20"/>
        <v>0</v>
      </c>
      <c r="X125" s="154">
        <f t="shared" si="20"/>
        <v>0</v>
      </c>
      <c r="Y125" s="251">
        <f t="shared" si="20"/>
        <v>9.2094708994056835E-9</v>
      </c>
      <c r="Z125" s="251">
        <f t="shared" si="10"/>
        <v>3.3554626479919381E-7</v>
      </c>
    </row>
    <row r="126" spans="1:26" x14ac:dyDescent="0.35">
      <c r="A126" s="1" t="s">
        <v>289</v>
      </c>
      <c r="B126" s="154">
        <f t="shared" si="8"/>
        <v>5.4541080388755677E-3</v>
      </c>
      <c r="C126" s="154">
        <f t="shared" si="8"/>
        <v>1.0908216077751135E-2</v>
      </c>
      <c r="D126" s="154">
        <f t="shared" si="8"/>
        <v>3.7750983092609318E-2</v>
      </c>
      <c r="E126" s="154">
        <f t="shared" si="8"/>
        <v>1.069432948799131E-3</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6.4504996529228517E-2</v>
      </c>
      <c r="W126" s="154">
        <f t="shared" si="21"/>
        <v>0</v>
      </c>
      <c r="X126" s="154">
        <f t="shared" si="21"/>
        <v>0</v>
      </c>
      <c r="Y126" s="251">
        <f t="shared" si="21"/>
        <v>6.4504996529228517E-2</v>
      </c>
      <c r="Z126" s="251">
        <f t="shared" si="10"/>
        <v>0.33292292588809747</v>
      </c>
    </row>
    <row r="127" spans="1:26" x14ac:dyDescent="0.35">
      <c r="A127" s="1" t="s">
        <v>290</v>
      </c>
      <c r="B127" s="154">
        <f t="shared" si="8"/>
        <v>1.6814307822017627</v>
      </c>
      <c r="C127" s="154">
        <f t="shared" si="8"/>
        <v>3.3628615644035253</v>
      </c>
      <c r="D127" s="154">
        <f t="shared" si="8"/>
        <v>11.638138551318084</v>
      </c>
      <c r="E127" s="154">
        <f t="shared" si="8"/>
        <v>0.32969231023563977</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1.7720097836370334</v>
      </c>
      <c r="W127" s="154">
        <f t="shared" si="22"/>
        <v>0</v>
      </c>
      <c r="X127" s="154">
        <f t="shared" si="22"/>
        <v>0</v>
      </c>
      <c r="Y127" s="251">
        <f t="shared" si="22"/>
        <v>1.7720097836370334</v>
      </c>
      <c r="Z127" s="251">
        <f t="shared" si="10"/>
        <v>399.43030209307545</v>
      </c>
    </row>
    <row r="128" spans="1:26" x14ac:dyDescent="0.35">
      <c r="A128" s="1" t="s">
        <v>291</v>
      </c>
      <c r="B128" s="154">
        <f t="shared" si="8"/>
        <v>4.1816560518549485E-7</v>
      </c>
      <c r="C128" s="154">
        <f t="shared" si="8"/>
        <v>8.363312103709897E-7</v>
      </c>
      <c r="D128" s="154">
        <f t="shared" si="8"/>
        <v>2.8943619339309744E-6</v>
      </c>
      <c r="E128" s="154">
        <f t="shared" si="8"/>
        <v>8.1993255918724489E-8</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1.2122921902345966E-4</v>
      </c>
      <c r="W128" s="154">
        <f t="shared" si="23"/>
        <v>0</v>
      </c>
      <c r="X128" s="154">
        <f t="shared" si="23"/>
        <v>0</v>
      </c>
      <c r="Y128" s="251">
        <f t="shared" si="23"/>
        <v>1.2122921902345966E-4</v>
      </c>
      <c r="Z128" s="251">
        <f t="shared" si="10"/>
        <v>1.2859013299579912E-4</v>
      </c>
    </row>
    <row r="129" spans="1:26" x14ac:dyDescent="0.35">
      <c r="A129" s="1" t="s">
        <v>292</v>
      </c>
      <c r="B129" s="154">
        <f t="shared" si="8"/>
        <v>2.3781486814152874E-9</v>
      </c>
      <c r="C129" s="154">
        <f t="shared" si="8"/>
        <v>4.7562973628305749E-9</v>
      </c>
      <c r="D129" s="154">
        <f t="shared" si="8"/>
        <v>1.6460519304697971E-8</v>
      </c>
      <c r="E129" s="154">
        <f t="shared" si="8"/>
        <v>4.6630366302260543E-10</v>
      </c>
      <c r="F129" s="154">
        <f t="shared" si="8"/>
        <v>0</v>
      </c>
      <c r="G129" s="154">
        <f t="shared" si="8"/>
        <v>0</v>
      </c>
      <c r="H129" s="154">
        <f t="shared" si="8"/>
        <v>1.1640990651020557E-8</v>
      </c>
      <c r="I129" s="154">
        <f t="shared" si="8"/>
        <v>0</v>
      </c>
      <c r="J129" s="154">
        <f t="shared" si="8"/>
        <v>0</v>
      </c>
      <c r="K129" s="251">
        <f t="shared" si="8"/>
        <v>3.5702259662986992E-8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4.0525650071250718E-9</v>
      </c>
      <c r="W129" s="154">
        <f t="shared" si="24"/>
        <v>0</v>
      </c>
      <c r="X129" s="154">
        <f t="shared" si="24"/>
        <v>0</v>
      </c>
      <c r="Y129" s="251">
        <f t="shared" si="24"/>
        <v>4.0525650071250718E-9</v>
      </c>
      <c r="Z129" s="251">
        <f t="shared" si="10"/>
        <v>4.1319597515591618E-8</v>
      </c>
    </row>
    <row r="130" spans="1:26" x14ac:dyDescent="0.35">
      <c r="A130" s="1" t="s">
        <v>293</v>
      </c>
      <c r="B130" s="154">
        <f t="shared" si="8"/>
        <v>4.4963622028629042E-8</v>
      </c>
      <c r="C130" s="154">
        <f t="shared" si="8"/>
        <v>8.9927244057258084E-8</v>
      </c>
      <c r="D130" s="154">
        <f t="shared" si="8"/>
        <v>3.1121879560992262E-7</v>
      </c>
      <c r="E130" s="154">
        <f t="shared" si="8"/>
        <v>8.8163964762017739E-9</v>
      </c>
      <c r="F130" s="154">
        <f t="shared" si="8"/>
        <v>0</v>
      </c>
      <c r="G130" s="154">
        <f t="shared" si="8"/>
        <v>0</v>
      </c>
      <c r="H130" s="154">
        <f t="shared" si="8"/>
        <v>1.9867763072504735E-7</v>
      </c>
      <c r="I130" s="154">
        <f t="shared" si="8"/>
        <v>0</v>
      </c>
      <c r="J130" s="154">
        <f t="shared" si="8"/>
        <v>0</v>
      </c>
      <c r="K130" s="251">
        <f t="shared" si="8"/>
        <v>6.5360368889705894E-7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4.238240379536734E-8</v>
      </c>
      <c r="W130" s="154">
        <f t="shared" si="25"/>
        <v>0</v>
      </c>
      <c r="X130" s="154">
        <f t="shared" si="25"/>
        <v>0</v>
      </c>
      <c r="Y130" s="251">
        <f t="shared" si="25"/>
        <v>4.238240379536734E-8</v>
      </c>
      <c r="Z130" s="251">
        <f t="shared" si="10"/>
        <v>1.2997213323707977E-6</v>
      </c>
    </row>
    <row r="131" spans="1:26" x14ac:dyDescent="0.35">
      <c r="A131" s="1" t="s">
        <v>294</v>
      </c>
      <c r="B131" s="154">
        <f t="shared" si="8"/>
        <v>3.1413938742966838E-3</v>
      </c>
      <c r="C131" s="154">
        <f t="shared" si="8"/>
        <v>6.2827877485933676E-3</v>
      </c>
      <c r="D131" s="154">
        <f t="shared" si="8"/>
        <v>2.1743373286798616E-2</v>
      </c>
      <c r="E131" s="154">
        <f t="shared" si="8"/>
        <v>6.1595958319542827E-4</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2.1167156369696081E-3</v>
      </c>
      <c r="W131" s="154">
        <f t="shared" si="26"/>
        <v>0</v>
      </c>
      <c r="X131" s="154">
        <f t="shared" si="26"/>
        <v>0</v>
      </c>
      <c r="Y131" s="251">
        <f t="shared" si="26"/>
        <v>2.1167156369696081E-3</v>
      </c>
      <c r="Z131" s="251">
        <f t="shared" si="10"/>
        <v>9.0122862479153631E-2</v>
      </c>
    </row>
    <row r="132" spans="1:26" x14ac:dyDescent="0.35">
      <c r="A132" s="1" t="s">
        <v>295</v>
      </c>
      <c r="B132" s="154">
        <f t="shared" si="8"/>
        <v>0.20530698370635614</v>
      </c>
      <c r="C132" s="154">
        <f t="shared" si="8"/>
        <v>0.41061396741271228</v>
      </c>
      <c r="D132" s="154">
        <f t="shared" si="8"/>
        <v>1.4210463774185043</v>
      </c>
      <c r="E132" s="154">
        <f t="shared" si="8"/>
        <v>4.0256271314971795E-2</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0.20012990288499521</v>
      </c>
      <c r="W132" s="154">
        <f t="shared" si="27"/>
        <v>0</v>
      </c>
      <c r="X132" s="154">
        <f t="shared" si="27"/>
        <v>0</v>
      </c>
      <c r="Y132" s="251">
        <f t="shared" si="27"/>
        <v>0.20012990288499521</v>
      </c>
      <c r="Z132" s="251">
        <f t="shared" si="10"/>
        <v>3.7118098986587436</v>
      </c>
    </row>
    <row r="133" spans="1:26" x14ac:dyDescent="0.35">
      <c r="K133">
        <f>+SUM(K114:K132)</f>
        <v>445.30418379770373</v>
      </c>
      <c r="N133">
        <f>+SUM(N114:N132)</f>
        <v>3.5860956936697885</v>
      </c>
      <c r="O133">
        <f>+SUM(O114:O132)</f>
        <v>1676.3414996832948</v>
      </c>
      <c r="R133">
        <f>+SUM(R114:R132)</f>
        <v>0</v>
      </c>
      <c r="U133">
        <f>+SUM(U114:U132)</f>
        <v>0</v>
      </c>
      <c r="Y133">
        <f>+SUM(Y114:Y132)</f>
        <v>9.0751478003922035</v>
      </c>
      <c r="Z133">
        <f>+SUM(Z114:Z132)</f>
        <v>2134.3069269750604</v>
      </c>
    </row>
    <row r="136" spans="1:26" x14ac:dyDescent="0.35">
      <c r="B136" s="205" t="s">
        <v>322</v>
      </c>
      <c r="C136" s="205" t="s">
        <v>323</v>
      </c>
      <c r="D136" s="205" t="s">
        <v>198</v>
      </c>
    </row>
    <row r="137" spans="1:26" x14ac:dyDescent="0.35">
      <c r="A137" s="95" t="s">
        <v>324</v>
      </c>
      <c r="B137" s="1">
        <f>+SUM(E4:W22)</f>
        <v>2134.3069269750608</v>
      </c>
      <c r="C137" s="1">
        <f>+SUM(E28:W46)</f>
        <v>0</v>
      </c>
      <c r="D137" s="1">
        <f>+SUM(E54:W54)</f>
        <v>2134.3069269750604</v>
      </c>
    </row>
    <row r="138" spans="1:26" x14ac:dyDescent="0.35">
      <c r="A138" s="95" t="s">
        <v>325</v>
      </c>
      <c r="B138" s="1">
        <f>+SUM(B65:J83,L65:M83,O65:O83,P65:Q83,S65:T83,V65:X83)</f>
        <v>2134.3069269750599</v>
      </c>
      <c r="C138" s="1">
        <f>+SUM(B89:J107,L89:M107,O89:O107,P89:Q107,S89:T107,V89:X107)</f>
        <v>0</v>
      </c>
      <c r="D138" s="1">
        <f>+SUM(B114:G132,H114:J132,L114:M132,O114:O132,P114:Q132,S114:T132,V114:X132)</f>
        <v>2134.3069269750599</v>
      </c>
    </row>
    <row r="139" spans="1:26" x14ac:dyDescent="0.35">
      <c r="A139" s="148" t="s">
        <v>57</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975</v>
      </c>
    </row>
    <row r="2" spans="1:3" ht="38.5" customHeight="1" x14ac:dyDescent="0.35">
      <c r="A2" s="335" t="s">
        <v>1001</v>
      </c>
    </row>
    <row r="3" spans="1:3" ht="17.5" customHeight="1" x14ac:dyDescent="0.55000000000000004">
      <c r="A3" s="100"/>
    </row>
    <row r="4" spans="1:3" ht="17.5" customHeight="1" x14ac:dyDescent="0.55000000000000004">
      <c r="A4" s="228" t="s">
        <v>976</v>
      </c>
      <c r="B4" s="110"/>
    </row>
    <row r="5" spans="1:3" ht="17.5" customHeight="1" x14ac:dyDescent="0.55000000000000004">
      <c r="A5" s="228"/>
      <c r="B5" s="110"/>
    </row>
    <row r="6" spans="1:3" ht="17.5" customHeight="1" x14ac:dyDescent="0.35">
      <c r="A6" s="306" t="s">
        <v>353</v>
      </c>
      <c r="B6" s="306" t="s">
        <v>31</v>
      </c>
      <c r="C6" s="306" t="s">
        <v>32</v>
      </c>
    </row>
    <row r="7" spans="1:3" ht="17.5" customHeight="1" x14ac:dyDescent="0.35">
      <c r="A7" s="1" t="s">
        <v>354</v>
      </c>
      <c r="B7" s="96" t="s">
        <v>355</v>
      </c>
      <c r="C7" s="96" t="s">
        <v>35</v>
      </c>
    </row>
    <row r="8" spans="1:3" ht="17.5" customHeight="1" x14ac:dyDescent="0.35">
      <c r="A8" s="1" t="s">
        <v>356</v>
      </c>
      <c r="B8" s="96" t="s">
        <v>357</v>
      </c>
      <c r="C8" s="96" t="s">
        <v>35</v>
      </c>
    </row>
    <row r="9" spans="1:3" ht="17.5" customHeight="1" x14ac:dyDescent="0.35">
      <c r="A9" s="1" t="s">
        <v>358</v>
      </c>
      <c r="B9" s="96" t="s">
        <v>359</v>
      </c>
      <c r="C9" s="96" t="s">
        <v>35</v>
      </c>
    </row>
    <row r="10" spans="1:3" ht="17.5" customHeight="1" x14ac:dyDescent="0.35">
      <c r="A10" s="1" t="s">
        <v>360</v>
      </c>
      <c r="B10" s="96" t="s">
        <v>361</v>
      </c>
      <c r="C10" s="96" t="s">
        <v>35</v>
      </c>
    </row>
    <row r="11" spans="1:3" ht="17.5" customHeight="1" x14ac:dyDescent="0.35">
      <c r="B11"/>
    </row>
    <row r="12" spans="1:3" ht="17.5" customHeight="1" x14ac:dyDescent="0.35">
      <c r="A12" t="s">
        <v>362</v>
      </c>
      <c r="B12"/>
    </row>
    <row r="13" spans="1:3" ht="17.5" customHeight="1" x14ac:dyDescent="0.35">
      <c r="A13" s="62" t="s">
        <v>363</v>
      </c>
      <c r="B13" s="62" t="s">
        <v>31</v>
      </c>
      <c r="C13" s="62" t="s">
        <v>32</v>
      </c>
    </row>
    <row r="14" spans="1:3" ht="17.5" customHeight="1" x14ac:dyDescent="0.35">
      <c r="A14" s="1" t="s">
        <v>364</v>
      </c>
      <c r="B14" s="96" t="s">
        <v>365</v>
      </c>
      <c r="C14" s="96" t="s">
        <v>35</v>
      </c>
    </row>
    <row r="15" spans="1:3" ht="17.5" customHeight="1" x14ac:dyDescent="0.35">
      <c r="A15" s="1" t="s">
        <v>356</v>
      </c>
      <c r="B15" s="96" t="s">
        <v>366</v>
      </c>
      <c r="C15" s="96" t="s">
        <v>35</v>
      </c>
    </row>
    <row r="16" spans="1:3" ht="17.5" customHeight="1" x14ac:dyDescent="0.35">
      <c r="A16" s="1" t="s">
        <v>358</v>
      </c>
      <c r="B16" s="96" t="s">
        <v>367</v>
      </c>
      <c r="C16" s="96" t="s">
        <v>35</v>
      </c>
    </row>
    <row r="17" spans="1:4" ht="17.5" customHeight="1" x14ac:dyDescent="0.35">
      <c r="A17" s="1" t="s">
        <v>360</v>
      </c>
      <c r="B17" s="96" t="s">
        <v>368</v>
      </c>
      <c r="C17" s="96" t="s">
        <v>35</v>
      </c>
    </row>
    <row r="18" spans="1:4" ht="17.5" customHeight="1" x14ac:dyDescent="0.55000000000000004">
      <c r="A18" s="100"/>
    </row>
    <row r="19" spans="1:4" ht="15" customHeight="1" x14ac:dyDescent="0.55000000000000004">
      <c r="A19" s="100"/>
    </row>
    <row r="20" spans="1:4" ht="15" customHeight="1" x14ac:dyDescent="0.35">
      <c r="A20" s="1" t="s">
        <v>369</v>
      </c>
      <c r="B20" s="90">
        <v>0.51</v>
      </c>
      <c r="C20" s="2" t="s">
        <v>370</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990</v>
      </c>
    </row>
    <row r="27" spans="1:4" ht="13.25" customHeight="1" x14ac:dyDescent="0.45">
      <c r="A27" s="74" t="s">
        <v>991</v>
      </c>
    </row>
    <row r="28" spans="1:4" ht="13.25" customHeight="1" x14ac:dyDescent="0.4">
      <c r="A28" s="81"/>
    </row>
    <row r="29" spans="1:4" ht="13.25" customHeight="1" x14ac:dyDescent="0.35">
      <c r="A29" s="62" t="s">
        <v>372</v>
      </c>
      <c r="B29" s="304" t="s">
        <v>373</v>
      </c>
      <c r="C29" s="295" t="s">
        <v>328</v>
      </c>
      <c r="D29" s="62" t="s">
        <v>329</v>
      </c>
    </row>
    <row r="30" spans="1:4" x14ac:dyDescent="0.35">
      <c r="A30" s="2" t="s">
        <v>374</v>
      </c>
      <c r="B30" s="90" t="s">
        <v>375</v>
      </c>
      <c r="C30" s="224" t="s">
        <v>376</v>
      </c>
      <c r="D30" s="30" t="s">
        <v>377</v>
      </c>
    </row>
    <row r="31" spans="1:4" x14ac:dyDescent="0.35">
      <c r="A31" s="2" t="s">
        <v>378</v>
      </c>
      <c r="B31" s="90">
        <v>1</v>
      </c>
      <c r="C31" s="33"/>
      <c r="D31" s="1"/>
    </row>
    <row r="32" spans="1:4" x14ac:dyDescent="0.35">
      <c r="A32" s="2" t="s">
        <v>409</v>
      </c>
      <c r="B32" s="90">
        <v>263.2</v>
      </c>
      <c r="C32" s="224" t="s">
        <v>376</v>
      </c>
      <c r="D32" s="30" t="s">
        <v>377</v>
      </c>
    </row>
    <row r="33" spans="1:4" ht="29" x14ac:dyDescent="0.35">
      <c r="A33" s="2" t="s">
        <v>379</v>
      </c>
      <c r="B33" s="90">
        <v>0.51</v>
      </c>
      <c r="C33" s="53" t="s">
        <v>380</v>
      </c>
      <c r="D33" s="1"/>
    </row>
    <row r="34" spans="1:4" ht="43.5" x14ac:dyDescent="0.35">
      <c r="A34" s="1" t="s">
        <v>381</v>
      </c>
      <c r="B34" s="90">
        <v>0.25</v>
      </c>
      <c r="C34" s="39" t="s">
        <v>382</v>
      </c>
      <c r="D34" s="214" t="s">
        <v>383</v>
      </c>
    </row>
    <row r="35" spans="1:4" x14ac:dyDescent="0.35">
      <c r="A35" s="2" t="s">
        <v>384</v>
      </c>
      <c r="B35" s="90">
        <v>2.2000000000000002</v>
      </c>
      <c r="C35" s="1" t="s">
        <v>385</v>
      </c>
      <c r="D35" s="30" t="s">
        <v>386</v>
      </c>
    </row>
    <row r="36" spans="1:4" x14ac:dyDescent="0.35">
      <c r="A36" s="2" t="s">
        <v>387</v>
      </c>
      <c r="B36" s="90">
        <v>0.45</v>
      </c>
      <c r="C36" s="1" t="s">
        <v>388</v>
      </c>
      <c r="D36" s="1"/>
    </row>
    <row r="37" spans="1:4" x14ac:dyDescent="0.35">
      <c r="A37" s="2" t="s">
        <v>389</v>
      </c>
      <c r="B37" s="152">
        <f>60/$B$36</f>
        <v>133.33333333333334</v>
      </c>
      <c r="C37" s="1"/>
      <c r="D37" s="1"/>
    </row>
    <row r="38" spans="1:4" x14ac:dyDescent="0.35">
      <c r="A38" s="2" t="s">
        <v>390</v>
      </c>
      <c r="B38" s="90">
        <v>5.4</v>
      </c>
      <c r="C38" s="224" t="s">
        <v>376</v>
      </c>
      <c r="D38" s="30" t="s">
        <v>377</v>
      </c>
    </row>
    <row r="39" spans="1:4" x14ac:dyDescent="0.35">
      <c r="A39" s="2" t="s">
        <v>391</v>
      </c>
      <c r="B39" s="152">
        <f>$B$35*$B$37*$B$38</f>
        <v>1584.0000000000002</v>
      </c>
      <c r="C39" s="8"/>
      <c r="D39" s="1"/>
    </row>
    <row r="40" spans="1:4" x14ac:dyDescent="0.35">
      <c r="A40" s="2" t="s">
        <v>392</v>
      </c>
      <c r="B40" s="152">
        <f>(Input!$B$51+Input!$B$52)/'C3'' - Secondary Raw Material '!$B$39</f>
        <v>1.8939393939393937E-4</v>
      </c>
      <c r="C40" s="13" t="s">
        <v>393</v>
      </c>
      <c r="D40" s="1"/>
    </row>
    <row r="41" spans="1:4" x14ac:dyDescent="0.35">
      <c r="A41" s="1" t="s">
        <v>394</v>
      </c>
      <c r="B41" s="152">
        <f>$B$32*$B$33*$B$34</f>
        <v>33.558</v>
      </c>
      <c r="C41" s="13" t="s">
        <v>395</v>
      </c>
      <c r="D41" s="1" t="s">
        <v>396</v>
      </c>
    </row>
    <row r="42" spans="1:4" ht="19.25" customHeight="1" x14ac:dyDescent="0.5">
      <c r="A42" s="76"/>
    </row>
    <row r="43" spans="1:4" ht="13.25" customHeight="1" x14ac:dyDescent="0.45">
      <c r="A43" s="116" t="s">
        <v>992</v>
      </c>
      <c r="B43" s="116"/>
      <c r="C43" s="116"/>
    </row>
    <row r="44" spans="1:4" ht="13.25" customHeight="1" x14ac:dyDescent="0.45">
      <c r="A44" s="75"/>
      <c r="B44" s="75"/>
      <c r="C44" s="75"/>
    </row>
    <row r="45" spans="1:4" ht="13.25" customHeight="1" x14ac:dyDescent="0.35">
      <c r="A45" s="62" t="s">
        <v>372</v>
      </c>
      <c r="B45" s="304" t="s">
        <v>373</v>
      </c>
      <c r="C45" s="295" t="s">
        <v>328</v>
      </c>
      <c r="D45" s="62" t="s">
        <v>329</v>
      </c>
    </row>
    <row r="46" spans="1:4" ht="13.25" customHeight="1" x14ac:dyDescent="0.35">
      <c r="A46" s="1" t="s">
        <v>379</v>
      </c>
      <c r="B46" s="90">
        <v>0.51</v>
      </c>
      <c r="C46" s="1" t="s">
        <v>380</v>
      </c>
      <c r="D46" s="1"/>
    </row>
    <row r="47" spans="1:4" ht="13.25" customHeight="1" x14ac:dyDescent="0.35">
      <c r="A47" s="1" t="s">
        <v>404</v>
      </c>
      <c r="B47" s="90" t="s">
        <v>405</v>
      </c>
      <c r="C47" s="46" t="s">
        <v>405</v>
      </c>
      <c r="D47" s="30" t="s">
        <v>406</v>
      </c>
    </row>
    <row r="48" spans="1:4" ht="13.25" customHeight="1" x14ac:dyDescent="0.35">
      <c r="A48" s="1" t="s">
        <v>407</v>
      </c>
      <c r="B48" s="90">
        <v>1</v>
      </c>
      <c r="C48" s="1"/>
      <c r="D48" s="1"/>
    </row>
    <row r="49" spans="1:4" ht="13.25" customHeight="1" x14ac:dyDescent="0.35">
      <c r="A49" s="1" t="s">
        <v>408</v>
      </c>
      <c r="B49" s="90">
        <v>400</v>
      </c>
      <c r="C49" s="1"/>
      <c r="D49" s="1"/>
    </row>
    <row r="50" spans="1:4" ht="13.25" customHeight="1" x14ac:dyDescent="0.35">
      <c r="A50" s="1" t="s">
        <v>409</v>
      </c>
      <c r="B50" s="90">
        <v>200</v>
      </c>
      <c r="C50" s="39" t="s">
        <v>382</v>
      </c>
      <c r="D50" s="214" t="s">
        <v>383</v>
      </c>
    </row>
    <row r="51" spans="1:4" ht="13.25" customHeight="1" x14ac:dyDescent="0.35">
      <c r="A51" s="1" t="s">
        <v>381</v>
      </c>
      <c r="B51" s="90">
        <v>0.25</v>
      </c>
      <c r="C51" s="221" t="s">
        <v>382</v>
      </c>
      <c r="D51" s="1"/>
    </row>
    <row r="52" spans="1:4" ht="13.25" customHeight="1" x14ac:dyDescent="0.35">
      <c r="A52" s="1" t="s">
        <v>410</v>
      </c>
      <c r="B52" s="152">
        <f>Input!$B$51+Input!$B$52</f>
        <v>0.3</v>
      </c>
      <c r="C52" s="1"/>
      <c r="D52" s="1"/>
    </row>
    <row r="53" spans="1:4" ht="13.25" customHeight="1" x14ac:dyDescent="0.35">
      <c r="A53" s="1" t="s">
        <v>411</v>
      </c>
      <c r="B53" s="152">
        <f>$B$52/$B$49</f>
        <v>7.5000000000000002E-4</v>
      </c>
      <c r="C53" s="1" t="s">
        <v>412</v>
      </c>
      <c r="D53" s="1"/>
    </row>
    <row r="54" spans="1:4" ht="13.25" customHeight="1" x14ac:dyDescent="0.35">
      <c r="A54" s="2" t="s">
        <v>394</v>
      </c>
      <c r="B54" s="152">
        <f>$B$50*$B$51*$B$46</f>
        <v>25.5</v>
      </c>
      <c r="C54" s="1" t="s">
        <v>395</v>
      </c>
      <c r="D54" s="1" t="s">
        <v>396</v>
      </c>
    </row>
    <row r="55" spans="1:4" ht="13.25" customHeight="1" x14ac:dyDescent="0.35"/>
    <row r="56" spans="1:4" ht="13.25" customHeight="1" x14ac:dyDescent="0.45">
      <c r="A56" s="116" t="s">
        <v>993</v>
      </c>
      <c r="B56" s="116"/>
      <c r="C56" s="116"/>
    </row>
    <row r="57" spans="1:4" ht="18.5" x14ac:dyDescent="0.45">
      <c r="A57" s="74"/>
    </row>
    <row r="58" spans="1:4" ht="12.65" customHeight="1" x14ac:dyDescent="0.35">
      <c r="A58" s="62" t="s">
        <v>372</v>
      </c>
      <c r="B58" s="304" t="s">
        <v>373</v>
      </c>
      <c r="C58" s="305" t="s">
        <v>328</v>
      </c>
      <c r="D58" s="62" t="s">
        <v>329</v>
      </c>
    </row>
    <row r="59" spans="1:4" x14ac:dyDescent="0.35">
      <c r="A59" s="1" t="s">
        <v>379</v>
      </c>
      <c r="B59" s="90">
        <v>0.51</v>
      </c>
      <c r="C59" s="141" t="s">
        <v>380</v>
      </c>
      <c r="D59" s="1"/>
    </row>
    <row r="60" spans="1:4" x14ac:dyDescent="0.35">
      <c r="A60" s="1" t="s">
        <v>413</v>
      </c>
      <c r="B60" s="90" t="s">
        <v>414</v>
      </c>
      <c r="C60" s="199" t="s">
        <v>414</v>
      </c>
      <c r="D60" s="30" t="s">
        <v>415</v>
      </c>
    </row>
    <row r="61" spans="1:4" x14ac:dyDescent="0.35">
      <c r="A61" s="1" t="s">
        <v>416</v>
      </c>
      <c r="B61" s="90">
        <v>1</v>
      </c>
      <c r="C61" s="141"/>
      <c r="D61" s="1"/>
    </row>
    <row r="62" spans="1:4" ht="43.5" x14ac:dyDescent="0.35">
      <c r="A62" s="1" t="s">
        <v>381</v>
      </c>
      <c r="B62" s="90">
        <v>0.25</v>
      </c>
      <c r="C62" s="220" t="s">
        <v>382</v>
      </c>
      <c r="D62" s="214" t="s">
        <v>383</v>
      </c>
    </row>
    <row r="63" spans="1:4" x14ac:dyDescent="0.35">
      <c r="A63" s="1" t="s">
        <v>408</v>
      </c>
      <c r="B63" s="90">
        <v>500</v>
      </c>
      <c r="C63" s="141"/>
      <c r="D63" s="1"/>
    </row>
    <row r="64" spans="1:4" x14ac:dyDescent="0.35">
      <c r="A64" s="1" t="s">
        <v>409</v>
      </c>
      <c r="B64" s="113">
        <v>55</v>
      </c>
      <c r="C64" s="141"/>
      <c r="D64" s="1"/>
    </row>
    <row r="65" spans="1:4" x14ac:dyDescent="0.35">
      <c r="A65" s="1" t="s">
        <v>410</v>
      </c>
      <c r="B65" s="152">
        <f>Input!$B$51+Input!$B$52</f>
        <v>0.3</v>
      </c>
      <c r="C65" s="141"/>
      <c r="D65" s="1"/>
    </row>
    <row r="66" spans="1:4" ht="29" x14ac:dyDescent="0.35">
      <c r="A66" s="6" t="s">
        <v>417</v>
      </c>
      <c r="B66" s="152">
        <f>$B$65/$B$49</f>
        <v>7.5000000000000002E-4</v>
      </c>
      <c r="C66" s="218" t="s">
        <v>418</v>
      </c>
      <c r="D66" s="1"/>
    </row>
    <row r="67" spans="1:4" x14ac:dyDescent="0.35">
      <c r="A67" s="6" t="s">
        <v>394</v>
      </c>
      <c r="B67" s="152">
        <f>$B$64*$B$62*$B$59</f>
        <v>7.0125000000000002</v>
      </c>
      <c r="C67" s="141" t="s">
        <v>395</v>
      </c>
      <c r="D67" s="1" t="s">
        <v>396</v>
      </c>
    </row>
    <row r="68" spans="1:4" x14ac:dyDescent="0.35">
      <c r="A68" s="55"/>
      <c r="C68" s="28"/>
    </row>
    <row r="69" spans="1:4" ht="18.5" x14ac:dyDescent="0.45">
      <c r="A69" s="116" t="s">
        <v>994</v>
      </c>
      <c r="B69" s="116"/>
      <c r="C69" s="116"/>
    </row>
    <row r="70" spans="1:4" ht="18.5" x14ac:dyDescent="0.45">
      <c r="A70" s="74"/>
    </row>
    <row r="71" spans="1:4" x14ac:dyDescent="0.35">
      <c r="A71" s="62" t="s">
        <v>372</v>
      </c>
      <c r="B71" s="304" t="s">
        <v>373</v>
      </c>
      <c r="C71" s="305" t="s">
        <v>328</v>
      </c>
      <c r="D71" s="62" t="s">
        <v>329</v>
      </c>
    </row>
    <row r="72" spans="1:4" x14ac:dyDescent="0.35">
      <c r="A72" s="1" t="s">
        <v>419</v>
      </c>
      <c r="B72" s="90" t="s">
        <v>420</v>
      </c>
      <c r="C72" s="141" t="s">
        <v>420</v>
      </c>
      <c r="D72" s="30" t="s">
        <v>421</v>
      </c>
    </row>
    <row r="73" spans="1:4" x14ac:dyDescent="0.35">
      <c r="A73" s="1" t="s">
        <v>422</v>
      </c>
      <c r="B73" s="90">
        <v>1</v>
      </c>
      <c r="C73" s="141"/>
      <c r="D73" s="1"/>
    </row>
    <row r="74" spans="1:4" x14ac:dyDescent="0.35">
      <c r="A74" s="1" t="s">
        <v>409</v>
      </c>
      <c r="B74" s="90">
        <v>99</v>
      </c>
      <c r="C74" s="141"/>
      <c r="D74" s="1"/>
    </row>
    <row r="75" spans="1:4" ht="29" x14ac:dyDescent="0.35">
      <c r="A75" s="2" t="s">
        <v>379</v>
      </c>
      <c r="B75" s="90">
        <v>0.51</v>
      </c>
      <c r="C75" s="218" t="s">
        <v>380</v>
      </c>
      <c r="D75" s="1"/>
    </row>
    <row r="76" spans="1:4" x14ac:dyDescent="0.35">
      <c r="A76" s="1" t="s">
        <v>408</v>
      </c>
      <c r="B76" s="90">
        <v>500</v>
      </c>
      <c r="C76" s="141"/>
      <c r="D76" s="1"/>
    </row>
    <row r="77" spans="1:4" ht="43.5" x14ac:dyDescent="0.35">
      <c r="A77" s="1" t="s">
        <v>381</v>
      </c>
      <c r="B77" s="90">
        <v>0.25</v>
      </c>
      <c r="C77" s="222" t="s">
        <v>382</v>
      </c>
      <c r="D77" s="1"/>
    </row>
    <row r="78" spans="1:4" x14ac:dyDescent="0.35">
      <c r="A78" s="1" t="s">
        <v>410</v>
      </c>
      <c r="B78" s="152">
        <f>Input!$B$51+Input!$B$52</f>
        <v>0.3</v>
      </c>
      <c r="C78" s="141"/>
      <c r="D78" s="1"/>
    </row>
    <row r="79" spans="1:4" ht="29" x14ac:dyDescent="0.35">
      <c r="A79" s="2" t="s">
        <v>411</v>
      </c>
      <c r="B79" s="152">
        <f>$B$78/$B$49</f>
        <v>7.5000000000000002E-4</v>
      </c>
      <c r="C79" s="218" t="s">
        <v>418</v>
      </c>
      <c r="D79" s="1"/>
    </row>
    <row r="80" spans="1:4" x14ac:dyDescent="0.35">
      <c r="A80" s="2" t="s">
        <v>394</v>
      </c>
      <c r="B80" s="152">
        <f>$B$74*$B$77*$B$75</f>
        <v>12.6225</v>
      </c>
      <c r="C80" s="141" t="s">
        <v>395</v>
      </c>
      <c r="D80" s="1" t="s">
        <v>396</v>
      </c>
    </row>
    <row r="83" spans="1:4" ht="23.5" x14ac:dyDescent="0.55000000000000004">
      <c r="A83" s="100" t="s">
        <v>995</v>
      </c>
    </row>
    <row r="84" spans="1:4" ht="18.5" x14ac:dyDescent="0.45">
      <c r="A84" s="334" t="s">
        <v>996</v>
      </c>
      <c r="B84" s="47"/>
      <c r="C84" s="11"/>
    </row>
    <row r="85" spans="1:4" x14ac:dyDescent="0.35">
      <c r="A85" s="62" t="s">
        <v>372</v>
      </c>
      <c r="B85" s="304" t="s">
        <v>373</v>
      </c>
      <c r="C85" s="295" t="s">
        <v>328</v>
      </c>
      <c r="D85" s="62" t="s">
        <v>329</v>
      </c>
    </row>
    <row r="86" spans="1:4" x14ac:dyDescent="0.35">
      <c r="A86" s="2" t="s">
        <v>374</v>
      </c>
      <c r="B86" s="90" t="s">
        <v>375</v>
      </c>
      <c r="C86" s="202" t="s">
        <v>376</v>
      </c>
      <c r="D86" s="30" t="s">
        <v>377</v>
      </c>
    </row>
    <row r="87" spans="1:4" x14ac:dyDescent="0.35">
      <c r="A87" s="2" t="s">
        <v>378</v>
      </c>
      <c r="B87" s="90">
        <v>1</v>
      </c>
      <c r="C87" s="33"/>
      <c r="D87" s="1"/>
    </row>
    <row r="88" spans="1:4" x14ac:dyDescent="0.35">
      <c r="A88" s="2" t="s">
        <v>409</v>
      </c>
      <c r="B88" s="90">
        <v>263.2</v>
      </c>
      <c r="C88" s="202" t="s">
        <v>376</v>
      </c>
      <c r="D88" s="30" t="s">
        <v>377</v>
      </c>
    </row>
    <row r="89" spans="1:4" x14ac:dyDescent="0.35">
      <c r="A89" s="2" t="s">
        <v>379</v>
      </c>
      <c r="B89" s="90">
        <v>0.51</v>
      </c>
      <c r="C89" s="141" t="s">
        <v>380</v>
      </c>
      <c r="D89" s="1"/>
    </row>
    <row r="90" spans="1:4" ht="43.5" x14ac:dyDescent="0.35">
      <c r="A90" s="1" t="s">
        <v>381</v>
      </c>
      <c r="B90" s="90">
        <v>0.25</v>
      </c>
      <c r="C90" s="39" t="s">
        <v>382</v>
      </c>
      <c r="D90" s="214" t="s">
        <v>383</v>
      </c>
    </row>
    <row r="91" spans="1:4" x14ac:dyDescent="0.35">
      <c r="A91" s="2" t="s">
        <v>397</v>
      </c>
      <c r="B91" s="90">
        <v>2.2999999999999998</v>
      </c>
      <c r="C91" t="s">
        <v>398</v>
      </c>
      <c r="D91" s="30" t="s">
        <v>399</v>
      </c>
    </row>
    <row r="92" spans="1:4" x14ac:dyDescent="0.35">
      <c r="A92" s="2" t="s">
        <v>387</v>
      </c>
      <c r="B92" s="90">
        <v>0.45</v>
      </c>
      <c r="C92" s="141" t="s">
        <v>388</v>
      </c>
      <c r="D92" s="1"/>
    </row>
    <row r="93" spans="1:4" x14ac:dyDescent="0.35">
      <c r="A93" s="2" t="s">
        <v>389</v>
      </c>
      <c r="B93" s="152">
        <f>60/$B$36</f>
        <v>133.33333333333334</v>
      </c>
      <c r="C93" s="1"/>
      <c r="D93" s="1"/>
    </row>
    <row r="94" spans="1:4" x14ac:dyDescent="0.35">
      <c r="A94" s="2" t="s">
        <v>390</v>
      </c>
      <c r="B94" s="90">
        <v>5.4</v>
      </c>
      <c r="C94" s="202" t="s">
        <v>376</v>
      </c>
      <c r="D94" s="30" t="s">
        <v>377</v>
      </c>
    </row>
    <row r="95" spans="1:4" x14ac:dyDescent="0.35">
      <c r="A95" s="2" t="s">
        <v>391</v>
      </c>
      <c r="B95" s="152">
        <f>$B$35*$B$37*$B$38</f>
        <v>1584.0000000000002</v>
      </c>
      <c r="C95" s="8"/>
      <c r="D95" s="1"/>
    </row>
    <row r="96" spans="1:4" x14ac:dyDescent="0.35">
      <c r="A96" s="2" t="s">
        <v>400</v>
      </c>
      <c r="B96" s="152">
        <f>IF(Input!$C$53="Recycled_concrete_aggregate",Input!$B$53,0)/B95</f>
        <v>0</v>
      </c>
      <c r="C96" s="13" t="s">
        <v>401</v>
      </c>
      <c r="D96" s="1"/>
    </row>
    <row r="97" spans="1:4" x14ac:dyDescent="0.35">
      <c r="A97" s="2" t="s">
        <v>402</v>
      </c>
      <c r="B97" s="152">
        <f>IF(Input!$C$54="Recycled_concrete_aggregate",Input!$B$54,0)/B95</f>
        <v>0</v>
      </c>
      <c r="C97" s="8"/>
      <c r="D97" s="1"/>
    </row>
    <row r="98" spans="1:4" x14ac:dyDescent="0.35">
      <c r="A98" s="2" t="s">
        <v>403</v>
      </c>
      <c r="B98" s="152">
        <f>$B$96+$B$97</f>
        <v>0</v>
      </c>
      <c r="C98" s="8"/>
      <c r="D98" s="1"/>
    </row>
    <row r="99" spans="1:4" x14ac:dyDescent="0.35">
      <c r="A99" s="2" t="s">
        <v>394</v>
      </c>
      <c r="B99" s="2">
        <f>$B$88*$B$89*$B$90</f>
        <v>33.558</v>
      </c>
      <c r="C99" s="1" t="s">
        <v>395</v>
      </c>
      <c r="D99" s="1" t="s">
        <v>396</v>
      </c>
    </row>
    <row r="101" spans="1:4" ht="18.5" x14ac:dyDescent="0.45">
      <c r="A101" s="116" t="s">
        <v>997</v>
      </c>
      <c r="B101" s="116"/>
      <c r="C101" s="116"/>
    </row>
    <row r="102" spans="1:4" x14ac:dyDescent="0.35">
      <c r="A102" s="27"/>
      <c r="B102" s="27"/>
      <c r="C102" s="27"/>
    </row>
    <row r="103" spans="1:4" x14ac:dyDescent="0.35">
      <c r="A103" s="62" t="s">
        <v>372</v>
      </c>
      <c r="B103" s="304" t="s">
        <v>373</v>
      </c>
      <c r="C103" s="295" t="s">
        <v>328</v>
      </c>
      <c r="D103" s="62" t="s">
        <v>329</v>
      </c>
    </row>
    <row r="104" spans="1:4" x14ac:dyDescent="0.35">
      <c r="A104" s="48" t="s">
        <v>423</v>
      </c>
      <c r="B104" s="48"/>
      <c r="C104" s="48"/>
      <c r="D104" s="1"/>
    </row>
    <row r="105" spans="1:4" ht="29" x14ac:dyDescent="0.35">
      <c r="A105" s="89" t="s">
        <v>379</v>
      </c>
      <c r="B105" s="90">
        <v>0.51</v>
      </c>
      <c r="C105" s="53" t="s">
        <v>380</v>
      </c>
      <c r="D105" s="1"/>
    </row>
    <row r="106" spans="1:4" ht="29" x14ac:dyDescent="0.35">
      <c r="A106" s="1" t="s">
        <v>404</v>
      </c>
      <c r="B106" s="90" t="s">
        <v>405</v>
      </c>
      <c r="C106" s="46" t="s">
        <v>405</v>
      </c>
      <c r="D106" s="123" t="s">
        <v>406</v>
      </c>
    </row>
    <row r="107" spans="1:4" x14ac:dyDescent="0.35">
      <c r="A107" s="1" t="s">
        <v>407</v>
      </c>
      <c r="B107" s="90">
        <v>1</v>
      </c>
      <c r="C107" s="1"/>
      <c r="D107" s="1"/>
    </row>
    <row r="108" spans="1:4" x14ac:dyDescent="0.35">
      <c r="A108" s="1" t="s">
        <v>408</v>
      </c>
      <c r="B108" s="90">
        <v>400</v>
      </c>
      <c r="C108" s="1"/>
      <c r="D108" s="1"/>
    </row>
    <row r="109" spans="1:4" x14ac:dyDescent="0.35">
      <c r="A109" s="1" t="s">
        <v>409</v>
      </c>
      <c r="B109" s="90">
        <v>200</v>
      </c>
      <c r="C109" s="1"/>
      <c r="D109" s="1"/>
    </row>
    <row r="110" spans="1:4" ht="43.5" x14ac:dyDescent="0.35">
      <c r="A110" s="1" t="s">
        <v>381</v>
      </c>
      <c r="B110" s="90">
        <v>0.25</v>
      </c>
      <c r="C110" s="39" t="s">
        <v>382</v>
      </c>
      <c r="D110" s="1"/>
    </row>
    <row r="111" spans="1:4" x14ac:dyDescent="0.35">
      <c r="A111" s="1" t="s">
        <v>424</v>
      </c>
      <c r="B111" s="152">
        <f>IF(Input!$C$53="Recycled_concrete_aggregate",Input!$B$53,0)</f>
        <v>0</v>
      </c>
      <c r="C111" s="1"/>
      <c r="D111" s="1"/>
    </row>
    <row r="112" spans="1:4" x14ac:dyDescent="0.35">
      <c r="A112" s="1" t="s">
        <v>425</v>
      </c>
      <c r="B112" s="152">
        <f>IF(Input!$C$54="Recycled_concrete_aggregate",Input!$B$54,0)</f>
        <v>0</v>
      </c>
      <c r="C112" s="1"/>
      <c r="D112" s="1"/>
    </row>
    <row r="113" spans="1:4" ht="29" x14ac:dyDescent="0.35">
      <c r="A113" s="1" t="s">
        <v>426</v>
      </c>
      <c r="B113" s="152">
        <f>IF(Input!$C$53="Recycled_concrete_aggregate",($B$111/$B$108),0)</f>
        <v>0</v>
      </c>
      <c r="C113" s="53" t="s">
        <v>427</v>
      </c>
      <c r="D113" s="1"/>
    </row>
    <row r="114" spans="1:4" x14ac:dyDescent="0.35">
      <c r="A114" s="9" t="s">
        <v>428</v>
      </c>
      <c r="B114" s="90">
        <f>IF(Input!$C$54="Recycled_concrete_aggregate",$B$112/$B$108,0)</f>
        <v>0</v>
      </c>
      <c r="C114" s="1"/>
      <c r="D114" s="1"/>
    </row>
    <row r="115" spans="1:4" x14ac:dyDescent="0.35">
      <c r="A115" s="1" t="s">
        <v>429</v>
      </c>
      <c r="B115" s="90">
        <f>B113+B114</f>
        <v>0</v>
      </c>
      <c r="C115" s="1"/>
      <c r="D115" s="1"/>
    </row>
    <row r="116" spans="1:4" x14ac:dyDescent="0.35">
      <c r="A116" s="2" t="s">
        <v>394</v>
      </c>
      <c r="B116" s="90">
        <f>$B$109*$B$105*$B$110</f>
        <v>25.5</v>
      </c>
      <c r="C116" s="1" t="s">
        <v>395</v>
      </c>
      <c r="D116" s="1" t="s">
        <v>396</v>
      </c>
    </row>
    <row r="118" spans="1:4" ht="18.5" x14ac:dyDescent="0.45">
      <c r="A118" s="116" t="s">
        <v>998</v>
      </c>
      <c r="B118" s="116"/>
      <c r="C118" s="116"/>
    </row>
    <row r="119" spans="1:4" x14ac:dyDescent="0.35">
      <c r="A119" s="32"/>
    </row>
    <row r="120" spans="1:4" x14ac:dyDescent="0.35">
      <c r="A120" s="62" t="s">
        <v>372</v>
      </c>
      <c r="B120" s="304" t="s">
        <v>373</v>
      </c>
      <c r="C120" s="295" t="s">
        <v>328</v>
      </c>
      <c r="D120" s="62" t="s">
        <v>329</v>
      </c>
    </row>
    <row r="121" spans="1:4" x14ac:dyDescent="0.35">
      <c r="A121" s="48" t="s">
        <v>430</v>
      </c>
      <c r="B121" s="48"/>
      <c r="C121" s="48"/>
      <c r="D121" s="1"/>
    </row>
    <row r="122" spans="1:4" ht="29" x14ac:dyDescent="0.35">
      <c r="A122" s="1" t="s">
        <v>379</v>
      </c>
      <c r="B122" s="90">
        <v>0.51</v>
      </c>
      <c r="C122" s="53" t="s">
        <v>380</v>
      </c>
      <c r="D122" s="1"/>
    </row>
    <row r="123" spans="1:4" ht="29" x14ac:dyDescent="0.35">
      <c r="A123" s="1" t="s">
        <v>413</v>
      </c>
      <c r="B123" s="90" t="s">
        <v>414</v>
      </c>
      <c r="C123" s="219" t="s">
        <v>414</v>
      </c>
      <c r="D123" s="123" t="s">
        <v>415</v>
      </c>
    </row>
    <row r="124" spans="1:4" x14ac:dyDescent="0.35">
      <c r="A124" s="1" t="s">
        <v>431</v>
      </c>
      <c r="B124" s="90">
        <v>1</v>
      </c>
      <c r="C124" s="1"/>
      <c r="D124" s="1"/>
    </row>
    <row r="125" spans="1:4" x14ac:dyDescent="0.35">
      <c r="A125" s="1" t="s">
        <v>408</v>
      </c>
      <c r="B125" s="90">
        <v>500</v>
      </c>
      <c r="C125" s="1"/>
      <c r="D125" s="1"/>
    </row>
    <row r="126" spans="1:4" x14ac:dyDescent="0.35">
      <c r="A126" s="1" t="s">
        <v>409</v>
      </c>
      <c r="B126" s="90">
        <v>55</v>
      </c>
      <c r="C126" s="1"/>
      <c r="D126" s="1"/>
    </row>
    <row r="127" spans="1:4" ht="43.5" x14ac:dyDescent="0.35">
      <c r="A127" s="1" t="s">
        <v>381</v>
      </c>
      <c r="B127" s="90">
        <v>0.25</v>
      </c>
      <c r="C127" s="53" t="s">
        <v>382</v>
      </c>
      <c r="D127" s="1"/>
    </row>
    <row r="128" spans="1:4" x14ac:dyDescent="0.35">
      <c r="A128" s="1" t="s">
        <v>424</v>
      </c>
      <c r="B128" s="152">
        <f>IF(Input!$C$53="Recycled_concrete_aggregate",Input!$B$53,0)</f>
        <v>0</v>
      </c>
      <c r="C128" s="1"/>
      <c r="D128" s="1"/>
    </row>
    <row r="129" spans="1:4" x14ac:dyDescent="0.35">
      <c r="A129" s="1" t="s">
        <v>425</v>
      </c>
      <c r="B129" s="152">
        <f>IF(Input!$C$54="Recycled_concrete_aggregate",Input!$B$54,0)</f>
        <v>0</v>
      </c>
      <c r="C129" s="1"/>
      <c r="D129" s="1"/>
    </row>
    <row r="130" spans="1:4" ht="29" x14ac:dyDescent="0.35">
      <c r="A130" s="6" t="s">
        <v>432</v>
      </c>
      <c r="B130" s="152">
        <f>($B$128)/$B$108</f>
        <v>0</v>
      </c>
      <c r="C130" s="53" t="s">
        <v>418</v>
      </c>
      <c r="D130" s="1"/>
    </row>
    <row r="131" spans="1:4" x14ac:dyDescent="0.35">
      <c r="A131" s="6" t="s">
        <v>433</v>
      </c>
      <c r="B131" s="152">
        <f>$B$129/$B$108</f>
        <v>0</v>
      </c>
      <c r="C131" s="53"/>
      <c r="D131" s="1"/>
    </row>
    <row r="132" spans="1:4" x14ac:dyDescent="0.35">
      <c r="A132" s="6" t="s">
        <v>429</v>
      </c>
      <c r="B132" s="152">
        <f>B130+B131</f>
        <v>0</v>
      </c>
      <c r="C132" s="53"/>
      <c r="D132" s="1"/>
    </row>
    <row r="133" spans="1:4" x14ac:dyDescent="0.35">
      <c r="A133" s="6" t="s">
        <v>394</v>
      </c>
      <c r="B133" s="152">
        <f>$B$126*$B$122*$B$127</f>
        <v>7.0125000000000002</v>
      </c>
      <c r="C133" s="1" t="s">
        <v>395</v>
      </c>
      <c r="D133" s="1" t="s">
        <v>434</v>
      </c>
    </row>
    <row r="134" spans="1:4" x14ac:dyDescent="0.35">
      <c r="A134" s="55"/>
      <c r="C134" s="28"/>
    </row>
    <row r="135" spans="1:4" ht="18.5" x14ac:dyDescent="0.45">
      <c r="A135" s="116" t="s">
        <v>999</v>
      </c>
      <c r="B135" s="116"/>
      <c r="C135" s="116"/>
    </row>
    <row r="137" spans="1:4" x14ac:dyDescent="0.35">
      <c r="A137" s="62" t="s">
        <v>372</v>
      </c>
      <c r="B137" s="304" t="s">
        <v>373</v>
      </c>
      <c r="C137" s="295" t="s">
        <v>328</v>
      </c>
      <c r="D137" s="62" t="s">
        <v>329</v>
      </c>
    </row>
    <row r="138" spans="1:4" x14ac:dyDescent="0.35">
      <c r="A138" s="1" t="s">
        <v>435</v>
      </c>
      <c r="B138" s="2"/>
      <c r="C138" s="1"/>
      <c r="D138" s="1"/>
    </row>
    <row r="139" spans="1:4" x14ac:dyDescent="0.35">
      <c r="A139" s="1" t="s">
        <v>419</v>
      </c>
      <c r="B139" s="90" t="s">
        <v>420</v>
      </c>
      <c r="C139" s="1" t="s">
        <v>420</v>
      </c>
      <c r="D139" s="30" t="s">
        <v>421</v>
      </c>
    </row>
    <row r="140" spans="1:4" x14ac:dyDescent="0.35">
      <c r="A140" s="1" t="s">
        <v>422</v>
      </c>
      <c r="B140" s="90">
        <v>1</v>
      </c>
      <c r="C140" s="1"/>
      <c r="D140" s="1"/>
    </row>
    <row r="141" spans="1:4" x14ac:dyDescent="0.35">
      <c r="A141" s="2" t="s">
        <v>409</v>
      </c>
      <c r="B141" s="90">
        <v>99</v>
      </c>
      <c r="C141" s="1"/>
      <c r="D141" s="1"/>
    </row>
    <row r="142" spans="1:4" ht="29" x14ac:dyDescent="0.35">
      <c r="A142" s="2" t="s">
        <v>379</v>
      </c>
      <c r="B142" s="90">
        <v>0.51</v>
      </c>
      <c r="C142" s="53" t="s">
        <v>380</v>
      </c>
      <c r="D142" s="1"/>
    </row>
    <row r="143" spans="1:4" ht="43.5" x14ac:dyDescent="0.35">
      <c r="A143" s="1" t="s">
        <v>381</v>
      </c>
      <c r="B143" s="90">
        <v>0.25</v>
      </c>
      <c r="C143" s="53" t="s">
        <v>382</v>
      </c>
      <c r="D143" s="1"/>
    </row>
    <row r="144" spans="1:4" x14ac:dyDescent="0.35">
      <c r="A144" s="1" t="s">
        <v>408</v>
      </c>
      <c r="B144" s="90">
        <v>500</v>
      </c>
      <c r="C144" s="1"/>
      <c r="D144" s="1"/>
    </row>
    <row r="145" spans="1:4" x14ac:dyDescent="0.35">
      <c r="A145" s="1" t="s">
        <v>424</v>
      </c>
      <c r="B145" s="152">
        <f>IF(Input!$C$53="Recycled_concrete_aggregate",Input!$B$53,0)</f>
        <v>0</v>
      </c>
      <c r="C145" s="1"/>
      <c r="D145" s="1"/>
    </row>
    <row r="146" spans="1:4" x14ac:dyDescent="0.35">
      <c r="A146" s="1" t="s">
        <v>425</v>
      </c>
      <c r="B146" s="152">
        <f>IF(Input!$C$54="Recycled_concrete_aggregate",Input!$B$54,0)</f>
        <v>0</v>
      </c>
      <c r="C146" s="1"/>
      <c r="D146" s="1"/>
    </row>
    <row r="147" spans="1:4" ht="29" x14ac:dyDescent="0.35">
      <c r="A147" s="6" t="s">
        <v>426</v>
      </c>
      <c r="B147" s="152">
        <f>($B$145)/$B$108</f>
        <v>0</v>
      </c>
      <c r="C147" s="53" t="s">
        <v>418</v>
      </c>
      <c r="D147" s="1"/>
    </row>
    <row r="148" spans="1:4" x14ac:dyDescent="0.35">
      <c r="A148" s="6" t="s">
        <v>428</v>
      </c>
      <c r="B148" s="152">
        <f>$B$146/$B$108</f>
        <v>0</v>
      </c>
      <c r="C148" s="1"/>
      <c r="D148" s="1"/>
    </row>
    <row r="149" spans="1:4" x14ac:dyDescent="0.35">
      <c r="A149" s="1" t="s">
        <v>436</v>
      </c>
      <c r="B149" s="152">
        <f>B147+B148</f>
        <v>0</v>
      </c>
      <c r="C149" s="1"/>
      <c r="D149" s="1"/>
    </row>
    <row r="150" spans="1:4" x14ac:dyDescent="0.35">
      <c r="A150" s="6" t="s">
        <v>394</v>
      </c>
      <c r="B150" s="152">
        <f>$B$141*$B$142*$B$143</f>
        <v>12.6225</v>
      </c>
      <c r="C150" s="1" t="s">
        <v>395</v>
      </c>
      <c r="D150" s="1" t="s">
        <v>396</v>
      </c>
    </row>
    <row r="153" spans="1:4" ht="21" x14ac:dyDescent="0.5">
      <c r="A153" s="99" t="s">
        <v>437</v>
      </c>
    </row>
    <row r="154" spans="1:4" ht="18.5" x14ac:dyDescent="0.45">
      <c r="A154" s="77"/>
    </row>
    <row r="155" spans="1:4" x14ac:dyDescent="0.35">
      <c r="A155" t="s">
        <v>438</v>
      </c>
    </row>
    <row r="157" spans="1:4" x14ac:dyDescent="0.35">
      <c r="A157" s="306" t="s">
        <v>439</v>
      </c>
      <c r="B157" s="302" t="s">
        <v>440</v>
      </c>
      <c r="C157" s="102" t="s">
        <v>441</v>
      </c>
      <c r="D157" s="62" t="s">
        <v>394</v>
      </c>
    </row>
    <row r="158" spans="1:4" x14ac:dyDescent="0.35">
      <c r="A158" s="1" t="s">
        <v>442</v>
      </c>
      <c r="B158" s="152">
        <v>0</v>
      </c>
      <c r="C158" s="152">
        <v>0</v>
      </c>
      <c r="D158" s="154">
        <v>0</v>
      </c>
    </row>
    <row r="159" spans="1:4" x14ac:dyDescent="0.35">
      <c r="A159" s="1" t="s">
        <v>355</v>
      </c>
      <c r="B159" s="152">
        <f>$B$53</f>
        <v>7.5000000000000002E-4</v>
      </c>
      <c r="C159" s="152">
        <f>$B$50</f>
        <v>200</v>
      </c>
      <c r="D159" s="154">
        <f>$B$54</f>
        <v>25.5</v>
      </c>
    </row>
    <row r="160" spans="1:4" x14ac:dyDescent="0.35">
      <c r="A160" s="1" t="s">
        <v>443</v>
      </c>
      <c r="B160" s="152">
        <v>0</v>
      </c>
      <c r="C160" s="152">
        <v>0</v>
      </c>
      <c r="D160" s="154">
        <v>0</v>
      </c>
    </row>
    <row r="161" spans="1:4" x14ac:dyDescent="0.35">
      <c r="A161" s="1" t="s">
        <v>365</v>
      </c>
      <c r="B161" s="152">
        <f>$B$115</f>
        <v>0</v>
      </c>
      <c r="C161" s="152">
        <f>$B$109</f>
        <v>200</v>
      </c>
      <c r="D161" s="154">
        <f>$B$116</f>
        <v>25.5</v>
      </c>
    </row>
    <row r="162" spans="1:4" x14ac:dyDescent="0.35">
      <c r="A162" s="1" t="s">
        <v>444</v>
      </c>
      <c r="B162" s="152">
        <v>0</v>
      </c>
      <c r="C162" s="152">
        <v>0</v>
      </c>
      <c r="D162" s="154">
        <v>0</v>
      </c>
    </row>
    <row r="163" spans="1:4" x14ac:dyDescent="0.35">
      <c r="A163" s="1" t="s">
        <v>359</v>
      </c>
      <c r="B163" s="152">
        <f>$B$66</f>
        <v>7.5000000000000002E-4</v>
      </c>
      <c r="C163" s="152">
        <f>$B$64</f>
        <v>55</v>
      </c>
      <c r="D163" s="154">
        <f>$B$67</f>
        <v>7.0125000000000002</v>
      </c>
    </row>
    <row r="164" spans="1:4" x14ac:dyDescent="0.35">
      <c r="A164" s="1" t="s">
        <v>445</v>
      </c>
      <c r="B164" s="152">
        <v>0</v>
      </c>
      <c r="C164" s="152">
        <v>0</v>
      </c>
      <c r="D164" s="154">
        <v>0</v>
      </c>
    </row>
    <row r="165" spans="1:4" x14ac:dyDescent="0.35">
      <c r="A165" s="1" t="s">
        <v>367</v>
      </c>
      <c r="B165" s="152">
        <f>$B$132</f>
        <v>0</v>
      </c>
      <c r="C165" s="152">
        <f>$B$126</f>
        <v>55</v>
      </c>
      <c r="D165" s="154">
        <f>$B$133</f>
        <v>7.0125000000000002</v>
      </c>
    </row>
    <row r="166" spans="1:4" x14ac:dyDescent="0.35">
      <c r="A166" s="1" t="s">
        <v>446</v>
      </c>
      <c r="B166" s="152">
        <v>0</v>
      </c>
      <c r="C166" s="152">
        <v>0</v>
      </c>
      <c r="D166" s="154">
        <v>0</v>
      </c>
    </row>
    <row r="167" spans="1:4" x14ac:dyDescent="0.35">
      <c r="A167" s="1" t="s">
        <v>361</v>
      </c>
      <c r="B167" s="152">
        <f>$B$79</f>
        <v>7.5000000000000002E-4</v>
      </c>
      <c r="C167" s="152">
        <f>$B$74</f>
        <v>99</v>
      </c>
      <c r="D167" s="154">
        <f>B80</f>
        <v>12.6225</v>
      </c>
    </row>
    <row r="168" spans="1:4" x14ac:dyDescent="0.35">
      <c r="A168" s="1" t="s">
        <v>447</v>
      </c>
      <c r="B168" s="152">
        <v>0</v>
      </c>
      <c r="C168" s="152">
        <v>0</v>
      </c>
      <c r="D168" s="154">
        <v>0</v>
      </c>
    </row>
    <row r="169" spans="1:4" x14ac:dyDescent="0.35">
      <c r="A169" s="1" t="s">
        <v>368</v>
      </c>
      <c r="B169" s="152">
        <f>$B$149</f>
        <v>0</v>
      </c>
      <c r="C169" s="152">
        <f>$B$141</f>
        <v>99</v>
      </c>
      <c r="D169" s="154">
        <f>B150</f>
        <v>12.6225</v>
      </c>
    </row>
    <row r="170" spans="1:4" x14ac:dyDescent="0.35">
      <c r="A170" s="1" t="s">
        <v>448</v>
      </c>
      <c r="B170" s="152">
        <v>0</v>
      </c>
      <c r="C170" s="152">
        <f>$B$32</f>
        <v>263.2</v>
      </c>
      <c r="D170" s="154">
        <v>0</v>
      </c>
    </row>
    <row r="171" spans="1:4" x14ac:dyDescent="0.35">
      <c r="A171" s="1" t="s">
        <v>357</v>
      </c>
      <c r="B171" s="152">
        <f>$B$40</f>
        <v>1.8939393939393937E-4</v>
      </c>
      <c r="C171" s="152">
        <f>$B$32</f>
        <v>263.2</v>
      </c>
      <c r="D171" s="154">
        <f>$B$41</f>
        <v>33.558</v>
      </c>
    </row>
    <row r="172" spans="1:4" x14ac:dyDescent="0.35">
      <c r="A172" s="1" t="s">
        <v>366</v>
      </c>
      <c r="B172" s="152">
        <f>$B$98</f>
        <v>0</v>
      </c>
      <c r="C172" s="152">
        <f>$B$88</f>
        <v>263.2</v>
      </c>
      <c r="D172" s="154">
        <f>$B$99</f>
        <v>33.558</v>
      </c>
    </row>
    <row r="175" spans="1:4" ht="23.5" x14ac:dyDescent="0.55000000000000004">
      <c r="A175" s="100" t="s">
        <v>1000</v>
      </c>
    </row>
    <row r="176" spans="1:4" ht="23.5" x14ac:dyDescent="0.55000000000000004">
      <c r="A176" s="100"/>
    </row>
    <row r="177" spans="1:26" ht="72" customHeight="1" x14ac:dyDescent="0.35">
      <c r="A177" s="302" t="s">
        <v>449</v>
      </c>
      <c r="B177" s="300" t="s">
        <v>450</v>
      </c>
      <c r="C177" s="302" t="s">
        <v>451</v>
      </c>
      <c r="D177" s="302" t="s">
        <v>452</v>
      </c>
      <c r="E177" s="302" t="s">
        <v>440</v>
      </c>
      <c r="F177" s="103" t="s">
        <v>441</v>
      </c>
      <c r="G177" s="104" t="s">
        <v>394</v>
      </c>
      <c r="H177" s="103" t="s">
        <v>277</v>
      </c>
      <c r="I177" s="103" t="s">
        <v>278</v>
      </c>
      <c r="J177" s="103" t="s">
        <v>279</v>
      </c>
      <c r="K177" s="103" t="s">
        <v>280</v>
      </c>
      <c r="L177" s="103" t="s">
        <v>281</v>
      </c>
      <c r="M177" s="103" t="s">
        <v>282</v>
      </c>
      <c r="N177" s="103" t="s">
        <v>283</v>
      </c>
      <c r="O177" s="103" t="s">
        <v>284</v>
      </c>
      <c r="P177" s="103" t="s">
        <v>285</v>
      </c>
      <c r="Q177" s="103" t="s">
        <v>286</v>
      </c>
      <c r="R177" s="103" t="s">
        <v>287</v>
      </c>
      <c r="S177" s="103" t="s">
        <v>288</v>
      </c>
      <c r="T177" s="103" t="s">
        <v>289</v>
      </c>
      <c r="U177" s="103" t="s">
        <v>290</v>
      </c>
      <c r="V177" s="103" t="s">
        <v>291</v>
      </c>
      <c r="W177" s="103" t="s">
        <v>292</v>
      </c>
      <c r="X177" s="103" t="s">
        <v>293</v>
      </c>
      <c r="Y177" s="103" t="s">
        <v>294</v>
      </c>
      <c r="Z177" s="103" t="s">
        <v>295</v>
      </c>
    </row>
    <row r="178" spans="1:26" ht="25.5" customHeight="1" x14ac:dyDescent="0.35">
      <c r="A178" s="52" t="s">
        <v>453</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454</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455</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456</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360</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198</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457</v>
      </c>
    </row>
    <row r="187" spans="1:26" x14ac:dyDescent="0.35">
      <c r="A187" s="1" t="s">
        <v>364</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356</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358</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360</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198</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977</v>
      </c>
      <c r="B194"/>
      <c r="L194" s="3"/>
      <c r="M194" s="3"/>
      <c r="N194" s="3"/>
    </row>
    <row r="195" spans="1:14" x14ac:dyDescent="0.35">
      <c r="B195"/>
      <c r="L195" s="3"/>
      <c r="M195" s="3"/>
      <c r="N195" s="3"/>
    </row>
    <row r="196" spans="1:14" ht="16" x14ac:dyDescent="0.4">
      <c r="A196" s="81" t="s">
        <v>458</v>
      </c>
      <c r="B196" s="47"/>
      <c r="C196" s="29"/>
      <c r="L196" s="3"/>
      <c r="M196" s="3"/>
      <c r="N196" s="3"/>
    </row>
    <row r="197" spans="1:14" x14ac:dyDescent="0.35">
      <c r="A197" s="1" t="s">
        <v>459</v>
      </c>
      <c r="B197" s="22" t="s">
        <v>460</v>
      </c>
      <c r="C197" s="2" t="s">
        <v>460</v>
      </c>
      <c r="D197" s="1" t="s">
        <v>461</v>
      </c>
      <c r="L197" s="3"/>
      <c r="M197" s="3"/>
      <c r="N197" s="3"/>
    </row>
    <row r="198" spans="1:14" x14ac:dyDescent="0.35">
      <c r="A198" s="1" t="s">
        <v>462</v>
      </c>
      <c r="B198" s="119">
        <v>0.51</v>
      </c>
      <c r="C198" s="2"/>
      <c r="D198" s="1"/>
      <c r="L198" s="3"/>
      <c r="M198" s="3"/>
      <c r="N198" s="3"/>
    </row>
    <row r="199" spans="1:14" x14ac:dyDescent="0.35">
      <c r="A199" s="1" t="s">
        <v>409</v>
      </c>
      <c r="B199" s="119">
        <v>18.5</v>
      </c>
      <c r="C199" s="2"/>
      <c r="D199" s="1"/>
      <c r="L199" s="3"/>
      <c r="M199" s="3"/>
      <c r="N199" s="3"/>
    </row>
    <row r="200" spans="1:14" x14ac:dyDescent="0.35">
      <c r="A200" s="1" t="s">
        <v>381</v>
      </c>
      <c r="B200" s="119">
        <v>0.25</v>
      </c>
      <c r="C200" s="2"/>
      <c r="D200" s="1"/>
      <c r="L200" s="3"/>
      <c r="M200" s="3"/>
      <c r="N200" s="3"/>
    </row>
    <row r="201" spans="1:14" x14ac:dyDescent="0.35">
      <c r="A201" s="1" t="s">
        <v>390</v>
      </c>
      <c r="B201" s="119">
        <v>0.66</v>
      </c>
      <c r="C201" s="2"/>
      <c r="D201" s="1"/>
      <c r="L201" s="3"/>
      <c r="M201" s="3"/>
      <c r="N201" s="3"/>
    </row>
    <row r="202" spans="1:14" ht="43.5" x14ac:dyDescent="0.35">
      <c r="A202" s="143" t="s">
        <v>463</v>
      </c>
      <c r="B202" s="119">
        <v>0.37</v>
      </c>
      <c r="C202" s="144" t="s">
        <v>464</v>
      </c>
      <c r="D202" s="1"/>
      <c r="L202" s="3"/>
      <c r="M202" s="3"/>
      <c r="N202" s="3"/>
    </row>
    <row r="203" spans="1:14" x14ac:dyDescent="0.35">
      <c r="A203" s="69" t="s">
        <v>465</v>
      </c>
      <c r="B203" s="207">
        <v>0.75</v>
      </c>
      <c r="C203" s="2"/>
      <c r="D203" s="1"/>
      <c r="L203" s="3"/>
      <c r="M203" s="3"/>
      <c r="N203" s="3"/>
    </row>
    <row r="204" spans="1:14" x14ac:dyDescent="0.35">
      <c r="A204" s="69" t="s">
        <v>466</v>
      </c>
      <c r="B204" s="145">
        <v>23</v>
      </c>
      <c r="C204" s="2"/>
      <c r="D204" s="1"/>
      <c r="L204" s="3"/>
      <c r="M204" s="3"/>
      <c r="N204" s="3"/>
    </row>
    <row r="205" spans="1:14" x14ac:dyDescent="0.35">
      <c r="A205" s="69" t="s">
        <v>467</v>
      </c>
      <c r="B205" s="206">
        <f>3600/$B$204</f>
        <v>156.52173913043478</v>
      </c>
      <c r="C205" s="2"/>
      <c r="D205" s="1"/>
      <c r="L205" s="3"/>
      <c r="M205" s="3"/>
      <c r="N205" s="3"/>
    </row>
    <row r="206" spans="1:14" x14ac:dyDescent="0.35">
      <c r="A206" s="1" t="s">
        <v>468</v>
      </c>
      <c r="B206" s="208">
        <v>0.75</v>
      </c>
      <c r="C206" s="2"/>
      <c r="D206" s="1"/>
      <c r="L206" s="3"/>
      <c r="M206" s="3"/>
      <c r="N206" s="3"/>
    </row>
    <row r="207" spans="1:14" x14ac:dyDescent="0.35">
      <c r="A207" s="1" t="s">
        <v>469</v>
      </c>
      <c r="B207" s="197">
        <f>$B$202*$B$201*$B$203*$B$205*$B$206</f>
        <v>21.500217391304346</v>
      </c>
      <c r="C207" s="1" t="s">
        <v>470</v>
      </c>
      <c r="D207" s="1"/>
      <c r="L207" s="3"/>
      <c r="M207" s="3"/>
      <c r="N207" s="3"/>
    </row>
    <row r="208" spans="1:14" x14ac:dyDescent="0.35">
      <c r="A208" s="1" t="s">
        <v>394</v>
      </c>
      <c r="B208" s="154">
        <f>$B$199*$B$198*$B$200</f>
        <v>2.3587500000000001</v>
      </c>
      <c r="C208" s="39" t="s">
        <v>395</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471</v>
      </c>
      <c r="B211"/>
      <c r="L211" s="3"/>
      <c r="M211" s="3"/>
      <c r="N211" s="3"/>
    </row>
    <row r="212" spans="1:14" x14ac:dyDescent="0.35">
      <c r="A212" s="1" t="s">
        <v>472</v>
      </c>
      <c r="B212" s="96">
        <v>3.5</v>
      </c>
      <c r="C212" s="1"/>
      <c r="D212" s="1"/>
      <c r="L212" s="3"/>
      <c r="M212" s="3"/>
      <c r="N212" s="3"/>
    </row>
    <row r="213" spans="1:14" ht="43.5" x14ac:dyDescent="0.35">
      <c r="A213" s="1" t="s">
        <v>473</v>
      </c>
      <c r="B213" s="119" t="s">
        <v>474</v>
      </c>
      <c r="C213" s="1" t="s">
        <v>475</v>
      </c>
      <c r="D213" s="53" t="s">
        <v>476</v>
      </c>
      <c r="L213" s="3"/>
      <c r="M213" s="3"/>
      <c r="N213" s="3"/>
    </row>
    <row r="214" spans="1:14" ht="43.5" x14ac:dyDescent="0.35">
      <c r="A214" s="1" t="s">
        <v>381</v>
      </c>
      <c r="B214" s="96">
        <v>0.25</v>
      </c>
      <c r="C214" s="53" t="s">
        <v>382</v>
      </c>
      <c r="D214" s="123" t="s">
        <v>477</v>
      </c>
      <c r="L214" s="3"/>
      <c r="M214" s="3"/>
      <c r="N214" s="3"/>
    </row>
    <row r="215" spans="1:14" ht="29" x14ac:dyDescent="0.35">
      <c r="A215" s="1" t="s">
        <v>462</v>
      </c>
      <c r="B215" s="96">
        <v>0.51</v>
      </c>
      <c r="C215" s="53" t="s">
        <v>380</v>
      </c>
      <c r="D215" s="1"/>
      <c r="L215" s="3"/>
      <c r="M215" s="3"/>
      <c r="N215" s="3"/>
    </row>
    <row r="216" spans="1:14" x14ac:dyDescent="0.35">
      <c r="A216" s="1" t="s">
        <v>409</v>
      </c>
      <c r="B216" s="96">
        <v>42</v>
      </c>
      <c r="C216" s="1"/>
      <c r="D216" s="1"/>
      <c r="L216" s="3"/>
      <c r="M216" s="3"/>
      <c r="N216" s="3"/>
    </row>
    <row r="217" spans="1:14" x14ac:dyDescent="0.35">
      <c r="A217" s="1" t="s">
        <v>468</v>
      </c>
      <c r="B217" s="313">
        <v>0.83</v>
      </c>
      <c r="C217" s="1"/>
      <c r="D217" s="1"/>
      <c r="L217" s="3"/>
      <c r="M217" s="3"/>
      <c r="N217" s="3"/>
    </row>
    <row r="218" spans="1:14" x14ac:dyDescent="0.35">
      <c r="A218" s="1" t="s">
        <v>478</v>
      </c>
      <c r="B218" s="129">
        <v>3</v>
      </c>
      <c r="C218" s="1" t="s">
        <v>479</v>
      </c>
      <c r="D218" s="1"/>
      <c r="L218" s="3"/>
      <c r="M218" s="3"/>
      <c r="N218" s="3"/>
    </row>
    <row r="219" spans="1:14" x14ac:dyDescent="0.35">
      <c r="A219" s="1" t="s">
        <v>467</v>
      </c>
      <c r="B219" s="314">
        <f>60/$B$218</f>
        <v>20</v>
      </c>
      <c r="C219" s="1"/>
      <c r="D219" s="1"/>
      <c r="L219" s="3"/>
      <c r="M219" s="3"/>
      <c r="N219" s="3"/>
    </row>
    <row r="220" spans="1:14" x14ac:dyDescent="0.35">
      <c r="A220" s="1" t="s">
        <v>469</v>
      </c>
      <c r="B220" s="154">
        <f>B212*B219*B217</f>
        <v>58.099999999999994</v>
      </c>
      <c r="C220" s="2" t="s">
        <v>480</v>
      </c>
      <c r="D220" s="1"/>
      <c r="L220" s="3"/>
      <c r="M220" s="3"/>
      <c r="N220" s="3"/>
    </row>
    <row r="221" spans="1:14" x14ac:dyDescent="0.35">
      <c r="A221" s="1" t="s">
        <v>394</v>
      </c>
      <c r="B221" s="154">
        <f>$B$216*$B$215*$B$214</f>
        <v>5.3550000000000004</v>
      </c>
      <c r="C221" s="39" t="s">
        <v>395</v>
      </c>
      <c r="D221" s="1"/>
      <c r="L221" s="3"/>
      <c r="M221" s="3"/>
      <c r="N221" s="3"/>
    </row>
    <row r="222" spans="1:14" x14ac:dyDescent="0.35">
      <c r="B222"/>
      <c r="C222" s="85"/>
      <c r="L222" s="3"/>
      <c r="M222" s="3"/>
      <c r="N222" s="3"/>
    </row>
    <row r="223" spans="1:14" x14ac:dyDescent="0.35">
      <c r="A223" s="1" t="s">
        <v>369</v>
      </c>
      <c r="B223" s="96">
        <v>0.51</v>
      </c>
      <c r="C223" s="39" t="s">
        <v>370</v>
      </c>
      <c r="L223" s="3"/>
      <c r="M223" s="3"/>
      <c r="N223" s="3"/>
    </row>
    <row r="224" spans="1:14" x14ac:dyDescent="0.35">
      <c r="B224"/>
      <c r="L224" s="3"/>
      <c r="M224" s="3"/>
      <c r="N224" s="3"/>
    </row>
    <row r="225" spans="1:14" ht="18.5" x14ac:dyDescent="0.45">
      <c r="A225" s="116" t="s">
        <v>481</v>
      </c>
      <c r="B225"/>
      <c r="N225" s="142"/>
    </row>
    <row r="226" spans="1:14" x14ac:dyDescent="0.35">
      <c r="A226" s="62" t="s">
        <v>482</v>
      </c>
      <c r="B226" s="62" t="s">
        <v>483</v>
      </c>
      <c r="C226" s="62" t="s">
        <v>484</v>
      </c>
      <c r="D226" s="62" t="s">
        <v>32</v>
      </c>
      <c r="E226" s="62" t="s">
        <v>485</v>
      </c>
      <c r="F226" s="62" t="s">
        <v>1002</v>
      </c>
    </row>
    <row r="227" spans="1:14" x14ac:dyDescent="0.35">
      <c r="A227" s="1" t="s">
        <v>486</v>
      </c>
      <c r="B227" s="1" t="s">
        <v>67</v>
      </c>
      <c r="C227" s="96">
        <v>1</v>
      </c>
      <c r="D227" s="96" t="s">
        <v>487</v>
      </c>
      <c r="E227" s="96">
        <v>50</v>
      </c>
      <c r="F227" s="96">
        <v>1.25</v>
      </c>
    </row>
    <row r="228" spans="1:14" x14ac:dyDescent="0.35">
      <c r="B228"/>
    </row>
    <row r="229" spans="1:14" ht="18.5" x14ac:dyDescent="0.45">
      <c r="A229" s="74" t="s">
        <v>488</v>
      </c>
      <c r="B229"/>
    </row>
    <row r="230" spans="1:14" x14ac:dyDescent="0.35">
      <c r="A230" s="294" t="s">
        <v>489</v>
      </c>
      <c r="B230" s="294" t="s">
        <v>328</v>
      </c>
      <c r="C230" s="294" t="s">
        <v>484</v>
      </c>
      <c r="D230" s="294" t="s">
        <v>32</v>
      </c>
      <c r="E230" s="294" t="s">
        <v>409</v>
      </c>
      <c r="F230" s="294" t="s">
        <v>490</v>
      </c>
      <c r="G230" s="294" t="s">
        <v>491</v>
      </c>
    </row>
    <row r="231" spans="1:14" x14ac:dyDescent="0.35">
      <c r="A231" s="1" t="s">
        <v>492</v>
      </c>
      <c r="B231" s="1" t="s">
        <v>493</v>
      </c>
      <c r="C231" s="96">
        <v>1</v>
      </c>
      <c r="D231" s="96" t="s">
        <v>25</v>
      </c>
      <c r="E231" s="96">
        <v>55.93</v>
      </c>
      <c r="F231" s="96">
        <v>0.33300000000000002</v>
      </c>
      <c r="G231" s="154">
        <f>$E$231*$F$231</f>
        <v>18.624690000000001</v>
      </c>
    </row>
    <row r="232" spans="1:14" x14ac:dyDescent="0.35">
      <c r="A232" s="1" t="s">
        <v>494</v>
      </c>
      <c r="B232" s="1" t="s">
        <v>493</v>
      </c>
      <c r="C232" s="96">
        <v>1</v>
      </c>
      <c r="D232" s="96" t="s">
        <v>25</v>
      </c>
      <c r="E232" s="96">
        <v>3.73</v>
      </c>
      <c r="F232" s="96">
        <v>0.33300000000000002</v>
      </c>
      <c r="G232" s="154">
        <f>$E$232*$F$232</f>
        <v>1.2420900000000001</v>
      </c>
    </row>
    <row r="233" spans="1:14" x14ac:dyDescent="0.35">
      <c r="A233" s="1" t="s">
        <v>495</v>
      </c>
      <c r="B233" s="1" t="s">
        <v>493</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496</v>
      </c>
      <c r="B235"/>
    </row>
    <row r="236" spans="1:14" x14ac:dyDescent="0.35">
      <c r="A236" s="294" t="s">
        <v>489</v>
      </c>
      <c r="B236" s="294" t="s">
        <v>328</v>
      </c>
      <c r="C236" s="294" t="s">
        <v>484</v>
      </c>
      <c r="D236" s="294" t="s">
        <v>32</v>
      </c>
      <c r="E236" s="294" t="s">
        <v>409</v>
      </c>
      <c r="F236" s="294" t="s">
        <v>490</v>
      </c>
      <c r="G236" s="294" t="s">
        <v>491</v>
      </c>
    </row>
    <row r="237" spans="1:14" x14ac:dyDescent="0.35">
      <c r="A237" s="1" t="s">
        <v>497</v>
      </c>
      <c r="B237" s="1" t="s">
        <v>498</v>
      </c>
      <c r="C237" s="96">
        <v>1</v>
      </c>
      <c r="D237" s="96" t="s">
        <v>25</v>
      </c>
      <c r="E237" s="96">
        <v>250</v>
      </c>
      <c r="F237" s="96">
        <v>0.25</v>
      </c>
      <c r="G237" s="154">
        <f>$E$237*$F$237</f>
        <v>62.5</v>
      </c>
    </row>
    <row r="238" spans="1:14" x14ac:dyDescent="0.35">
      <c r="A238" s="1" t="s">
        <v>495</v>
      </c>
      <c r="B238" s="1" t="s">
        <v>493</v>
      </c>
      <c r="C238" s="96">
        <v>2</v>
      </c>
      <c r="D238" s="96" t="s">
        <v>25</v>
      </c>
      <c r="E238" s="96">
        <v>1.49</v>
      </c>
      <c r="F238" s="96">
        <v>0.25</v>
      </c>
      <c r="G238" s="154">
        <f>E238*F238</f>
        <v>0.3725</v>
      </c>
    </row>
    <row r="239" spans="1:14" x14ac:dyDescent="0.35">
      <c r="B239"/>
    </row>
    <row r="240" spans="1:14" x14ac:dyDescent="0.35">
      <c r="A240" s="62" t="s">
        <v>489</v>
      </c>
      <c r="B240" s="62" t="s">
        <v>328</v>
      </c>
      <c r="C240" s="62" t="s">
        <v>484</v>
      </c>
      <c r="D240" s="62" t="s">
        <v>32</v>
      </c>
      <c r="E240" s="62" t="s">
        <v>409</v>
      </c>
      <c r="F240" s="62" t="s">
        <v>490</v>
      </c>
      <c r="G240" s="62" t="s">
        <v>394</v>
      </c>
    </row>
    <row r="241" spans="1:7" x14ac:dyDescent="0.35">
      <c r="A241" s="1" t="s">
        <v>499</v>
      </c>
      <c r="B241" s="1" t="s">
        <v>106</v>
      </c>
      <c r="C241" s="96">
        <v>1</v>
      </c>
      <c r="D241" s="96" t="s">
        <v>35</v>
      </c>
      <c r="E241" s="96">
        <v>160</v>
      </c>
      <c r="F241" s="96">
        <v>0.25</v>
      </c>
      <c r="G241" s="154">
        <f>$B$208</f>
        <v>2.3587500000000001</v>
      </c>
    </row>
    <row r="242" spans="1:7" x14ac:dyDescent="0.35">
      <c r="B242"/>
    </row>
    <row r="243" spans="1:7" ht="18.5" x14ac:dyDescent="0.45">
      <c r="A243" s="74" t="s">
        <v>500</v>
      </c>
      <c r="B243"/>
    </row>
    <row r="244" spans="1:7" x14ac:dyDescent="0.35">
      <c r="A244" s="294" t="s">
        <v>489</v>
      </c>
      <c r="B244" s="294" t="s">
        <v>328</v>
      </c>
      <c r="C244" s="294" t="s">
        <v>484</v>
      </c>
      <c r="D244" s="294" t="s">
        <v>32</v>
      </c>
      <c r="E244" s="294" t="s">
        <v>409</v>
      </c>
      <c r="F244" s="294" t="s">
        <v>490</v>
      </c>
      <c r="G244" s="294" t="s">
        <v>491</v>
      </c>
    </row>
    <row r="245" spans="1:7" x14ac:dyDescent="0.35">
      <c r="A245" s="1" t="s">
        <v>501</v>
      </c>
      <c r="B245" s="1" t="s">
        <v>502</v>
      </c>
      <c r="C245" s="96">
        <v>1</v>
      </c>
      <c r="D245" s="96" t="s">
        <v>25</v>
      </c>
      <c r="E245" s="96">
        <v>160</v>
      </c>
      <c r="F245" s="96">
        <v>0.25</v>
      </c>
      <c r="G245" s="154">
        <f>$E$245*$F$245</f>
        <v>40</v>
      </c>
    </row>
    <row r="246" spans="1:7" x14ac:dyDescent="0.35">
      <c r="A246" s="1" t="s">
        <v>503</v>
      </c>
      <c r="B246" s="1" t="s">
        <v>493</v>
      </c>
      <c r="C246" s="96">
        <v>1</v>
      </c>
      <c r="D246" s="96" t="s">
        <v>25</v>
      </c>
      <c r="E246" s="96">
        <v>1.49</v>
      </c>
      <c r="F246" s="96">
        <v>0.25</v>
      </c>
      <c r="G246" s="154">
        <f>$E$246*$F$246</f>
        <v>0.3725</v>
      </c>
    </row>
    <row r="247" spans="1:7" x14ac:dyDescent="0.35">
      <c r="B247"/>
    </row>
    <row r="248" spans="1:7" ht="18.5" x14ac:dyDescent="0.45">
      <c r="A248" s="74" t="s">
        <v>504</v>
      </c>
      <c r="B248"/>
    </row>
    <row r="249" spans="1:7" x14ac:dyDescent="0.35">
      <c r="A249" s="294" t="s">
        <v>489</v>
      </c>
      <c r="B249" s="294" t="s">
        <v>328</v>
      </c>
      <c r="C249" s="294" t="s">
        <v>484</v>
      </c>
      <c r="D249" s="294" t="s">
        <v>32</v>
      </c>
      <c r="E249" s="294" t="s">
        <v>409</v>
      </c>
      <c r="F249" s="294" t="s">
        <v>490</v>
      </c>
      <c r="G249" s="294" t="s">
        <v>491</v>
      </c>
    </row>
    <row r="250" spans="1:7" x14ac:dyDescent="0.35">
      <c r="A250" s="1" t="s">
        <v>505</v>
      </c>
      <c r="B250" s="1" t="s">
        <v>506</v>
      </c>
      <c r="C250" s="96">
        <v>1</v>
      </c>
      <c r="D250" s="96" t="s">
        <v>25</v>
      </c>
      <c r="E250" s="96">
        <v>250</v>
      </c>
      <c r="F250" s="96">
        <v>2</v>
      </c>
      <c r="G250" s="154">
        <f>$E$250*$F$250</f>
        <v>500</v>
      </c>
    </row>
    <row r="251" spans="1:7" x14ac:dyDescent="0.35">
      <c r="A251" s="1" t="s">
        <v>503</v>
      </c>
      <c r="B251" s="1" t="s">
        <v>493</v>
      </c>
      <c r="C251" s="96">
        <v>1</v>
      </c>
      <c r="D251" s="96" t="s">
        <v>25</v>
      </c>
      <c r="E251" s="96">
        <v>1.49</v>
      </c>
      <c r="F251" s="96">
        <v>2</v>
      </c>
      <c r="G251" s="154">
        <f>$E$251*$F$251</f>
        <v>2.98</v>
      </c>
    </row>
    <row r="252" spans="1:7" x14ac:dyDescent="0.35">
      <c r="A252" s="1" t="s">
        <v>507</v>
      </c>
      <c r="B252" s="1"/>
      <c r="C252" s="96">
        <v>1</v>
      </c>
      <c r="D252" s="96" t="s">
        <v>25</v>
      </c>
      <c r="E252" s="96">
        <v>37</v>
      </c>
      <c r="F252" s="96">
        <v>2</v>
      </c>
      <c r="G252" s="154">
        <f>$E$252*$F$252</f>
        <v>74</v>
      </c>
    </row>
    <row r="253" spans="1:7" x14ac:dyDescent="0.35">
      <c r="A253" s="1" t="s">
        <v>508</v>
      </c>
      <c r="B253" s="1" t="s">
        <v>509</v>
      </c>
      <c r="C253" s="96">
        <v>1</v>
      </c>
      <c r="D253" s="96" t="s">
        <v>25</v>
      </c>
      <c r="E253" s="96">
        <v>3.73</v>
      </c>
      <c r="F253" s="96">
        <v>2</v>
      </c>
      <c r="G253" s="154">
        <f>$E$253*$F$253</f>
        <v>7.46</v>
      </c>
    </row>
    <row r="254" spans="1:7" x14ac:dyDescent="0.35">
      <c r="B254"/>
    </row>
    <row r="255" spans="1:7" x14ac:dyDescent="0.35">
      <c r="A255" s="62" t="s">
        <v>489</v>
      </c>
      <c r="B255" s="62" t="s">
        <v>328</v>
      </c>
      <c r="C255" s="62" t="s">
        <v>484</v>
      </c>
      <c r="D255" s="294" t="s">
        <v>32</v>
      </c>
      <c r="E255" s="294" t="s">
        <v>409</v>
      </c>
      <c r="F255" s="294" t="s">
        <v>490</v>
      </c>
      <c r="G255" s="62" t="s">
        <v>394</v>
      </c>
    </row>
    <row r="256" spans="1:7" x14ac:dyDescent="0.35">
      <c r="A256" s="1" t="s">
        <v>510</v>
      </c>
      <c r="B256" s="1"/>
      <c r="C256" s="96">
        <v>1</v>
      </c>
      <c r="D256" s="96" t="s">
        <v>35</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511</v>
      </c>
      <c r="B260"/>
    </row>
    <row r="261" spans="1:26" x14ac:dyDescent="0.35">
      <c r="B261"/>
    </row>
    <row r="262" spans="1:26" ht="72.5" x14ac:dyDescent="0.35">
      <c r="A262" s="302" t="s">
        <v>449</v>
      </c>
      <c r="B262" s="300" t="s">
        <v>450</v>
      </c>
      <c r="C262" s="302" t="s">
        <v>451</v>
      </c>
      <c r="D262" s="302" t="s">
        <v>512</v>
      </c>
      <c r="E262" s="302" t="s">
        <v>452</v>
      </c>
      <c r="F262" s="302" t="s">
        <v>513</v>
      </c>
      <c r="G262" s="302" t="s">
        <v>514</v>
      </c>
      <c r="H262" s="103" t="s">
        <v>277</v>
      </c>
      <c r="I262" s="103" t="s">
        <v>278</v>
      </c>
      <c r="J262" s="103" t="s">
        <v>279</v>
      </c>
      <c r="K262" s="103" t="s">
        <v>280</v>
      </c>
      <c r="L262" s="103" t="s">
        <v>281</v>
      </c>
      <c r="M262" s="103" t="s">
        <v>282</v>
      </c>
      <c r="N262" s="103" t="s">
        <v>283</v>
      </c>
      <c r="O262" s="103" t="s">
        <v>284</v>
      </c>
      <c r="P262" s="103" t="s">
        <v>285</v>
      </c>
      <c r="Q262" s="103" t="s">
        <v>286</v>
      </c>
      <c r="R262" s="103" t="s">
        <v>287</v>
      </c>
      <c r="S262" s="103" t="s">
        <v>288</v>
      </c>
      <c r="T262" s="103" t="s">
        <v>289</v>
      </c>
      <c r="U262" s="103" t="s">
        <v>290</v>
      </c>
      <c r="V262" s="103" t="s">
        <v>291</v>
      </c>
      <c r="W262" s="103" t="s">
        <v>292</v>
      </c>
      <c r="X262" s="103" t="s">
        <v>293</v>
      </c>
      <c r="Y262" s="103" t="s">
        <v>294</v>
      </c>
      <c r="Z262" s="103" t="s">
        <v>295</v>
      </c>
    </row>
    <row r="263" spans="1:26" x14ac:dyDescent="0.35">
      <c r="A263" s="1" t="s">
        <v>515</v>
      </c>
      <c r="B263" s="1" t="str">
        <f>$A$227</f>
        <v>Transportation</v>
      </c>
      <c r="C263" s="154">
        <f>$C$227</f>
        <v>1</v>
      </c>
      <c r="D263" s="154" t="str">
        <f>$B$227</f>
        <v>Truck</v>
      </c>
      <c r="E263" s="154" t="str">
        <f>$D$227</f>
        <v>Diesel_Euro6</v>
      </c>
      <c r="F263" s="152">
        <f>$E$227</f>
        <v>50</v>
      </c>
      <c r="G263" s="154" t="s">
        <v>516</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449</v>
      </c>
      <c r="B266" s="300" t="s">
        <v>450</v>
      </c>
      <c r="C266" s="302" t="s">
        <v>451</v>
      </c>
      <c r="D266" s="302" t="s">
        <v>409</v>
      </c>
      <c r="E266" s="302" t="s">
        <v>452</v>
      </c>
      <c r="F266" s="302" t="s">
        <v>514</v>
      </c>
      <c r="G266" s="103" t="s">
        <v>277</v>
      </c>
      <c r="H266" s="103" t="s">
        <v>278</v>
      </c>
      <c r="I266" s="103" t="s">
        <v>279</v>
      </c>
      <c r="J266" s="103" t="s">
        <v>280</v>
      </c>
      <c r="K266" s="103" t="s">
        <v>281</v>
      </c>
      <c r="L266" s="103" t="s">
        <v>282</v>
      </c>
      <c r="M266" s="103" t="s">
        <v>283</v>
      </c>
      <c r="N266" s="103" t="s">
        <v>284</v>
      </c>
      <c r="O266" s="103" t="s">
        <v>285</v>
      </c>
      <c r="P266" s="103" t="s">
        <v>286</v>
      </c>
      <c r="Q266" s="103" t="s">
        <v>287</v>
      </c>
      <c r="R266" s="103" t="s">
        <v>288</v>
      </c>
      <c r="S266" s="103" t="s">
        <v>289</v>
      </c>
      <c r="T266" s="103" t="s">
        <v>290</v>
      </c>
      <c r="U266" s="103" t="s">
        <v>291</v>
      </c>
      <c r="V266" s="103" t="s">
        <v>292</v>
      </c>
      <c r="W266" s="103" t="s">
        <v>293</v>
      </c>
      <c r="X266" s="103" t="s">
        <v>294</v>
      </c>
      <c r="Y266" s="103" t="s">
        <v>295</v>
      </c>
    </row>
    <row r="267" spans="1:26" x14ac:dyDescent="0.35">
      <c r="A267" s="401" t="s">
        <v>517</v>
      </c>
      <c r="B267" s="1" t="s">
        <v>492</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494</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495</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518</v>
      </c>
      <c r="B270" s="1" t="s">
        <v>497</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495</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519</v>
      </c>
      <c r="B272" s="1" t="s">
        <v>501</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503</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520</v>
      </c>
      <c r="B274" s="1" t="s">
        <v>505</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503</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507</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508</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449</v>
      </c>
      <c r="B280" s="300" t="s">
        <v>450</v>
      </c>
      <c r="C280" s="302" t="s">
        <v>451</v>
      </c>
      <c r="D280" s="302" t="s">
        <v>452</v>
      </c>
      <c r="E280" s="302" t="s">
        <v>490</v>
      </c>
      <c r="F280" s="302" t="s">
        <v>394</v>
      </c>
      <c r="G280" s="103" t="s">
        <v>277</v>
      </c>
      <c r="H280" s="103" t="s">
        <v>278</v>
      </c>
      <c r="I280" s="103" t="s">
        <v>279</v>
      </c>
      <c r="J280" s="103" t="s">
        <v>280</v>
      </c>
      <c r="K280" s="103" t="s">
        <v>281</v>
      </c>
      <c r="L280" s="103" t="s">
        <v>282</v>
      </c>
      <c r="M280" s="103" t="s">
        <v>283</v>
      </c>
      <c r="N280" s="103" t="s">
        <v>284</v>
      </c>
      <c r="O280" s="103" t="s">
        <v>285</v>
      </c>
      <c r="P280" s="103" t="s">
        <v>286</v>
      </c>
      <c r="Q280" s="103" t="s">
        <v>287</v>
      </c>
      <c r="R280" s="103" t="s">
        <v>288</v>
      </c>
      <c r="S280" s="103" t="s">
        <v>289</v>
      </c>
      <c r="T280" s="103" t="s">
        <v>290</v>
      </c>
      <c r="U280" s="103" t="s">
        <v>291</v>
      </c>
      <c r="V280" s="103" t="s">
        <v>292</v>
      </c>
      <c r="W280" s="103" t="s">
        <v>293</v>
      </c>
      <c r="X280" s="103" t="s">
        <v>294</v>
      </c>
      <c r="Y280" s="103" t="s">
        <v>295</v>
      </c>
    </row>
    <row r="281" spans="1:25" x14ac:dyDescent="0.35">
      <c r="A281" s="73"/>
      <c r="B281" s="1" t="s">
        <v>521</v>
      </c>
      <c r="C281" s="1">
        <v>1</v>
      </c>
      <c r="D281" s="1" t="s">
        <v>35</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522</v>
      </c>
      <c r="C282" s="1">
        <v>1</v>
      </c>
      <c r="D282" s="1" t="s">
        <v>35</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978</v>
      </c>
      <c r="B285"/>
    </row>
    <row r="286" spans="1:25" x14ac:dyDescent="0.35">
      <c r="B286"/>
    </row>
    <row r="287" spans="1:25" ht="72.5" x14ac:dyDescent="0.35">
      <c r="A287" s="102" t="s">
        <v>449</v>
      </c>
      <c r="B287" s="102"/>
      <c r="C287" s="103" t="s">
        <v>277</v>
      </c>
      <c r="D287" s="103" t="s">
        <v>278</v>
      </c>
      <c r="E287" s="103" t="s">
        <v>279</v>
      </c>
      <c r="F287" s="103" t="s">
        <v>280</v>
      </c>
      <c r="G287" s="103" t="s">
        <v>281</v>
      </c>
      <c r="H287" s="103" t="s">
        <v>282</v>
      </c>
      <c r="I287" s="103" t="s">
        <v>283</v>
      </c>
      <c r="J287" s="103" t="s">
        <v>284</v>
      </c>
      <c r="K287" s="103" t="s">
        <v>285</v>
      </c>
      <c r="L287" s="103" t="s">
        <v>286</v>
      </c>
      <c r="M287" s="103" t="s">
        <v>287</v>
      </c>
      <c r="N287" s="103" t="s">
        <v>288</v>
      </c>
      <c r="O287" s="103" t="s">
        <v>289</v>
      </c>
      <c r="P287" s="103" t="s">
        <v>290</v>
      </c>
      <c r="Q287" s="103" t="s">
        <v>291</v>
      </c>
      <c r="R287" s="103" t="s">
        <v>292</v>
      </c>
      <c r="S287" s="103" t="s">
        <v>293</v>
      </c>
      <c r="T287" s="103" t="s">
        <v>294</v>
      </c>
      <c r="U287" s="103" t="s">
        <v>295</v>
      </c>
    </row>
    <row r="288" spans="1:25" x14ac:dyDescent="0.35">
      <c r="A288" s="31" t="s">
        <v>515</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517</v>
      </c>
      <c r="B289" s="1" t="s">
        <v>492</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494</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495</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518</v>
      </c>
      <c r="B292" s="1" t="s">
        <v>497</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495</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519</v>
      </c>
      <c r="B294" s="1" t="s">
        <v>501</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503</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520</v>
      </c>
      <c r="B296" s="1" t="s">
        <v>505</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503</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507</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508</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521</v>
      </c>
      <c r="B300" s="1" t="s">
        <v>511</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522</v>
      </c>
      <c r="B301" s="1" t="s">
        <v>511</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523</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524</v>
      </c>
      <c r="B303" s="324" t="s">
        <v>57</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974</v>
      </c>
    </row>
    <row r="310" spans="1:23" ht="72.5" x14ac:dyDescent="0.35">
      <c r="A310" s="104" t="s">
        <v>274</v>
      </c>
      <c r="B310" s="104" t="s">
        <v>275</v>
      </c>
      <c r="C310" s="103" t="s">
        <v>276</v>
      </c>
      <c r="D310" s="103" t="s">
        <v>56</v>
      </c>
      <c r="E310" s="103" t="s">
        <v>277</v>
      </c>
      <c r="F310" s="103" t="s">
        <v>278</v>
      </c>
      <c r="G310" s="103" t="s">
        <v>279</v>
      </c>
      <c r="H310" s="103" t="s">
        <v>280</v>
      </c>
      <c r="I310" s="103" t="s">
        <v>281</v>
      </c>
      <c r="J310" s="103" t="s">
        <v>282</v>
      </c>
      <c r="K310" s="103" t="s">
        <v>283</v>
      </c>
      <c r="L310" s="103" t="s">
        <v>284</v>
      </c>
      <c r="M310" s="103" t="s">
        <v>285</v>
      </c>
      <c r="N310" s="103" t="s">
        <v>286</v>
      </c>
      <c r="O310" s="103" t="s">
        <v>287</v>
      </c>
      <c r="P310" s="103" t="s">
        <v>288</v>
      </c>
      <c r="Q310" s="103" t="s">
        <v>289</v>
      </c>
      <c r="R310" s="103" t="s">
        <v>290</v>
      </c>
      <c r="S310" s="103" t="s">
        <v>291</v>
      </c>
      <c r="T310" s="103" t="s">
        <v>292</v>
      </c>
      <c r="U310" s="103" t="s">
        <v>293</v>
      </c>
      <c r="V310" s="103" t="s">
        <v>294</v>
      </c>
      <c r="W310" s="103" t="s">
        <v>295</v>
      </c>
    </row>
    <row r="311" spans="1:23" x14ac:dyDescent="0.35">
      <c r="A311" s="401" t="s">
        <v>297</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198</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979</v>
      </c>
    </row>
    <row r="318" spans="1:23" x14ac:dyDescent="0.35">
      <c r="D318" s="28"/>
      <c r="E318" s="404"/>
      <c r="F318" s="404"/>
    </row>
    <row r="319" spans="1:23" x14ac:dyDescent="0.35">
      <c r="A319" s="107" t="s">
        <v>151</v>
      </c>
      <c r="B319" s="128" t="s">
        <v>526</v>
      </c>
      <c r="C319" s="107" t="s">
        <v>363</v>
      </c>
      <c r="D319" s="107" t="s">
        <v>313</v>
      </c>
      <c r="E319" s="107" t="s">
        <v>314</v>
      </c>
      <c r="F319" s="62" t="s">
        <v>527</v>
      </c>
    </row>
    <row r="320" spans="1:23" x14ac:dyDescent="0.35">
      <c r="A320" s="1" t="s">
        <v>316</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278</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279</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280</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281</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282</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283</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284</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285</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286</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287</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317</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289</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290</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291</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292</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293</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294</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295</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980</v>
      </c>
    </row>
    <row r="343" spans="1:6" x14ac:dyDescent="0.35">
      <c r="A343" s="95" t="s">
        <v>324</v>
      </c>
      <c r="B343" s="1">
        <f>SUM($H$183:$Z$183)+SUM($H$191:$Z$191)+SUM(E311:W312)</f>
        <v>2.7414618288851238</v>
      </c>
    </row>
    <row r="344" spans="1:6" x14ac:dyDescent="0.35">
      <c r="A344" s="95" t="s">
        <v>325</v>
      </c>
      <c r="B344" s="1">
        <f>SUM($B$320:$E$338)</f>
        <v>2.7414618288851238</v>
      </c>
    </row>
    <row r="345" spans="1:6" x14ac:dyDescent="0.35">
      <c r="A345" s="95" t="s">
        <v>57</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326</v>
      </c>
    </row>
    <row r="3" spans="1:25" x14ac:dyDescent="0.35">
      <c r="A3" s="408" t="s">
        <v>327</v>
      </c>
      <c r="B3" s="408"/>
      <c r="C3" s="62" t="s">
        <v>328</v>
      </c>
      <c r="D3" s="62" t="s">
        <v>329</v>
      </c>
    </row>
    <row r="4" spans="1:25" x14ac:dyDescent="0.35">
      <c r="A4" s="1" t="s">
        <v>330</v>
      </c>
      <c r="B4" s="106">
        <v>1.24</v>
      </c>
      <c r="C4" t="s">
        <v>331</v>
      </c>
      <c r="D4" s="30" t="s">
        <v>332</v>
      </c>
      <c r="E4" s="20"/>
    </row>
    <row r="5" spans="1:25" x14ac:dyDescent="0.35">
      <c r="A5" s="1" t="s">
        <v>333</v>
      </c>
      <c r="B5" s="106">
        <v>36.286999999999999</v>
      </c>
      <c r="C5" s="1"/>
      <c r="D5" s="1"/>
    </row>
    <row r="6" spans="1:25" x14ac:dyDescent="0.35">
      <c r="A6" s="1" t="s">
        <v>334</v>
      </c>
      <c r="B6" s="163">
        <f>B4/B5</f>
        <v>3.417201752693802E-2</v>
      </c>
      <c r="C6" s="1"/>
      <c r="D6" s="1"/>
    </row>
    <row r="10" spans="1:25" x14ac:dyDescent="0.35">
      <c r="A10" t="s">
        <v>335</v>
      </c>
    </row>
    <row r="12" spans="1:25" ht="23.5" x14ac:dyDescent="0.55000000000000004">
      <c r="A12" s="100" t="s">
        <v>336</v>
      </c>
    </row>
    <row r="14" spans="1:25" ht="100.25" customHeight="1" x14ac:dyDescent="0.35">
      <c r="A14" s="104" t="s">
        <v>274</v>
      </c>
      <c r="B14" s="104" t="s">
        <v>275</v>
      </c>
      <c r="C14" s="103" t="s">
        <v>276</v>
      </c>
      <c r="D14" s="103" t="s">
        <v>55</v>
      </c>
      <c r="E14" s="103" t="s">
        <v>337</v>
      </c>
      <c r="F14" s="103" t="s">
        <v>338</v>
      </c>
      <c r="G14" s="103" t="s">
        <v>277</v>
      </c>
      <c r="H14" s="103" t="s">
        <v>278</v>
      </c>
      <c r="I14" s="103" t="s">
        <v>279</v>
      </c>
      <c r="J14" s="103" t="s">
        <v>280</v>
      </c>
      <c r="K14" s="103" t="s">
        <v>281</v>
      </c>
      <c r="L14" s="103" t="s">
        <v>282</v>
      </c>
      <c r="M14" s="103" t="s">
        <v>283</v>
      </c>
      <c r="N14" s="103" t="s">
        <v>284</v>
      </c>
      <c r="O14" s="103" t="s">
        <v>285</v>
      </c>
      <c r="P14" s="103" t="s">
        <v>286</v>
      </c>
      <c r="Q14" s="103" t="s">
        <v>287</v>
      </c>
      <c r="R14" s="103" t="s">
        <v>288</v>
      </c>
      <c r="S14" s="103" t="s">
        <v>289</v>
      </c>
      <c r="T14" s="103" t="s">
        <v>290</v>
      </c>
      <c r="U14" s="103" t="s">
        <v>291</v>
      </c>
      <c r="V14" s="103" t="s">
        <v>292</v>
      </c>
      <c r="W14" s="103" t="s">
        <v>293</v>
      </c>
      <c r="X14" s="103" t="s">
        <v>294</v>
      </c>
      <c r="Y14" s="103" t="s">
        <v>295</v>
      </c>
    </row>
    <row r="15" spans="1:25" x14ac:dyDescent="0.35">
      <c r="A15" s="6" t="s">
        <v>264</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209</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0.01</v>
      </c>
      <c r="D19" s="158">
        <f>Input!$L43</f>
        <v>0</v>
      </c>
      <c r="E19" s="158" t="str">
        <f>Input!$J43</f>
        <v>Truck</v>
      </c>
      <c r="F19" s="158" t="str">
        <f>Input!$K43</f>
        <v>Diesel_Euro6</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210</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296</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297</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259</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339</v>
      </c>
      <c r="B34" s="406"/>
      <c r="C34" s="406"/>
      <c r="D34" s="406"/>
      <c r="E34" s="406"/>
      <c r="F34" s="406"/>
      <c r="G34" s="139">
        <f t="shared" ref="G34:Y34" si="0">SUM(G15:G33)</f>
        <v>2.4587109185149954E-2</v>
      </c>
      <c r="H34" s="139">
        <f t="shared" si="0"/>
        <v>13.548793458252014</v>
      </c>
      <c r="I34" s="139">
        <f t="shared" si="0"/>
        <v>6.2165938626808281E-3</v>
      </c>
      <c r="J34" s="139">
        <f t="shared" si="0"/>
        <v>13.540988819228369</v>
      </c>
      <c r="K34" s="139">
        <f t="shared" si="0"/>
        <v>1.5880288493795441E-3</v>
      </c>
      <c r="L34" s="139">
        <f t="shared" si="0"/>
        <v>11.729305415320507</v>
      </c>
      <c r="M34" s="139">
        <f t="shared" si="0"/>
        <v>181.63455678734744</v>
      </c>
      <c r="N34" s="139">
        <f t="shared" si="0"/>
        <v>3.5625760652825868E-4</v>
      </c>
      <c r="O34" s="139">
        <f t="shared" si="0"/>
        <v>6.6021738318965684E-3</v>
      </c>
      <c r="P34" s="139">
        <f t="shared" si="0"/>
        <v>7.1725286929195636E-2</v>
      </c>
      <c r="Q34" s="139">
        <f t="shared" si="0"/>
        <v>1.2287492736762654E-9</v>
      </c>
      <c r="R34" s="139">
        <f t="shared" si="0"/>
        <v>9.5160481080952313E-8</v>
      </c>
      <c r="S34" s="139">
        <f t="shared" si="0"/>
        <v>9.9208600418833712E-2</v>
      </c>
      <c r="T34" s="139">
        <f t="shared" si="0"/>
        <v>15.918985610005899</v>
      </c>
      <c r="U34" s="139">
        <f t="shared" si="0"/>
        <v>1.5113075692075265E-5</v>
      </c>
      <c r="V34" s="139">
        <f t="shared" si="0"/>
        <v>2.9902829027028264E-7</v>
      </c>
      <c r="W34" s="139">
        <f t="shared" si="0"/>
        <v>8.1520318289353945E-7</v>
      </c>
      <c r="X34" s="139">
        <f t="shared" si="0"/>
        <v>4.0978520404184482E-2</v>
      </c>
      <c r="Y34" s="139">
        <f t="shared" si="0"/>
        <v>0.45395495485479492</v>
      </c>
    </row>
    <row r="37" spans="1:25" ht="23.5" x14ac:dyDescent="0.55000000000000004">
      <c r="A37" s="100" t="s">
        <v>340</v>
      </c>
    </row>
    <row r="39" spans="1:25" ht="101.5" x14ac:dyDescent="0.35">
      <c r="A39" s="104" t="s">
        <v>274</v>
      </c>
      <c r="B39" s="104" t="s">
        <v>275</v>
      </c>
      <c r="C39" s="103" t="s">
        <v>276</v>
      </c>
      <c r="D39" s="103" t="s">
        <v>55</v>
      </c>
      <c r="E39" s="103" t="s">
        <v>337</v>
      </c>
      <c r="F39" s="103" t="s">
        <v>338</v>
      </c>
      <c r="G39" s="103" t="s">
        <v>277</v>
      </c>
      <c r="H39" s="103" t="s">
        <v>278</v>
      </c>
      <c r="I39" s="103" t="s">
        <v>279</v>
      </c>
      <c r="J39" s="103" t="s">
        <v>280</v>
      </c>
      <c r="K39" s="103" t="s">
        <v>281</v>
      </c>
      <c r="L39" s="103" t="s">
        <v>282</v>
      </c>
      <c r="M39" s="103" t="s">
        <v>283</v>
      </c>
      <c r="N39" s="103" t="s">
        <v>284</v>
      </c>
      <c r="O39" s="103" t="s">
        <v>285</v>
      </c>
      <c r="P39" s="103" t="s">
        <v>286</v>
      </c>
      <c r="Q39" s="103" t="s">
        <v>287</v>
      </c>
      <c r="R39" s="103" t="s">
        <v>288</v>
      </c>
      <c r="S39" s="103" t="s">
        <v>289</v>
      </c>
      <c r="T39" s="103" t="s">
        <v>290</v>
      </c>
      <c r="U39" s="103" t="s">
        <v>291</v>
      </c>
      <c r="V39" s="103" t="s">
        <v>292</v>
      </c>
      <c r="W39" s="103" t="s">
        <v>293</v>
      </c>
      <c r="X39" s="103" t="s">
        <v>294</v>
      </c>
      <c r="Y39" s="103" t="s">
        <v>295</v>
      </c>
    </row>
    <row r="40" spans="1:25" x14ac:dyDescent="0.35">
      <c r="A40" s="6" t="s">
        <v>264</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209</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0.01</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210</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296</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297</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259</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341</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342</v>
      </c>
    </row>
    <row r="64" spans="1:25" ht="101.5" x14ac:dyDescent="0.35">
      <c r="A64" s="104" t="s">
        <v>274</v>
      </c>
      <c r="B64" s="104" t="s">
        <v>275</v>
      </c>
      <c r="C64" s="103" t="s">
        <v>276</v>
      </c>
      <c r="D64" s="103" t="s">
        <v>55</v>
      </c>
      <c r="E64" s="103" t="s">
        <v>337</v>
      </c>
      <c r="F64" s="103" t="s">
        <v>338</v>
      </c>
      <c r="G64" s="103" t="s">
        <v>277</v>
      </c>
      <c r="H64" s="103" t="s">
        <v>278</v>
      </c>
      <c r="I64" s="103" t="s">
        <v>279</v>
      </c>
      <c r="J64" s="103" t="s">
        <v>280</v>
      </c>
      <c r="K64" s="103" t="s">
        <v>281</v>
      </c>
      <c r="L64" s="103" t="s">
        <v>282</v>
      </c>
      <c r="M64" s="103" t="s">
        <v>283</v>
      </c>
      <c r="N64" s="103" t="s">
        <v>284</v>
      </c>
      <c r="O64" s="103" t="s">
        <v>285</v>
      </c>
      <c r="P64" s="103" t="s">
        <v>286</v>
      </c>
      <c r="Q64" s="103" t="s">
        <v>287</v>
      </c>
      <c r="R64" s="103" t="s">
        <v>288</v>
      </c>
      <c r="S64" s="103" t="s">
        <v>289</v>
      </c>
      <c r="T64" s="103" t="s">
        <v>290</v>
      </c>
      <c r="U64" s="103" t="s">
        <v>291</v>
      </c>
      <c r="V64" s="103" t="s">
        <v>292</v>
      </c>
      <c r="W64" s="103" t="s">
        <v>293</v>
      </c>
      <c r="X64" s="103" t="s">
        <v>294</v>
      </c>
      <c r="Y64" s="103" t="s">
        <v>295</v>
      </c>
    </row>
    <row r="65" spans="1:25" x14ac:dyDescent="0.35">
      <c r="A65" s="6" t="s">
        <v>264</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209</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0.01</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210</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296</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297</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259</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1016</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343</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274</v>
      </c>
      <c r="B90" s="104" t="s">
        <v>275</v>
      </c>
      <c r="C90" s="103" t="s">
        <v>276</v>
      </c>
      <c r="D90" s="103" t="s">
        <v>55</v>
      </c>
      <c r="E90" s="103" t="s">
        <v>337</v>
      </c>
      <c r="F90" s="103" t="s">
        <v>338</v>
      </c>
      <c r="G90" s="103" t="s">
        <v>277</v>
      </c>
      <c r="H90" s="103" t="s">
        <v>278</v>
      </c>
      <c r="I90" s="103" t="s">
        <v>279</v>
      </c>
      <c r="J90" s="103" t="s">
        <v>280</v>
      </c>
      <c r="K90" s="103" t="s">
        <v>281</v>
      </c>
      <c r="L90" s="103" t="s">
        <v>282</v>
      </c>
      <c r="M90" s="103" t="s">
        <v>283</v>
      </c>
      <c r="N90" s="103" t="s">
        <v>284</v>
      </c>
      <c r="O90" s="103" t="s">
        <v>285</v>
      </c>
      <c r="P90" s="103" t="s">
        <v>286</v>
      </c>
      <c r="Q90" s="103" t="s">
        <v>287</v>
      </c>
      <c r="R90" s="103" t="s">
        <v>288</v>
      </c>
      <c r="S90" s="103" t="s">
        <v>289</v>
      </c>
      <c r="T90" s="103" t="s">
        <v>290</v>
      </c>
      <c r="U90" s="103" t="s">
        <v>291</v>
      </c>
      <c r="V90" s="103" t="s">
        <v>292</v>
      </c>
      <c r="W90" s="103" t="s">
        <v>293</v>
      </c>
      <c r="X90" s="103" t="s">
        <v>294</v>
      </c>
      <c r="Y90" s="103" t="s">
        <v>295</v>
      </c>
    </row>
    <row r="91" spans="1:25" x14ac:dyDescent="0.35">
      <c r="A91" s="6" t="s">
        <v>264</v>
      </c>
      <c r="B91" s="1" t="str">
        <f>Input!A39</f>
        <v>Virgin binder</v>
      </c>
      <c r="C91" s="154">
        <f>+Input!B39</f>
        <v>2.2159999999999999E-2</v>
      </c>
      <c r="D91" s="158">
        <f t="shared" ref="D91:D102" si="3">D15+D40+D65</f>
        <v>262</v>
      </c>
      <c r="E91" s="154" t="s">
        <v>344</v>
      </c>
      <c r="F91" s="154" t="s">
        <v>344</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209</v>
      </c>
      <c r="B92" s="1" t="str">
        <f>Input!A40</f>
        <v>Virgin crushed coarse aggregate 1 (&gt;2 mm)</v>
      </c>
      <c r="C92" s="154">
        <f>+Input!B40</f>
        <v>5.0999999999999997E-2</v>
      </c>
      <c r="D92" s="158">
        <f t="shared" si="3"/>
        <v>115</v>
      </c>
      <c r="E92" s="154" t="s">
        <v>344</v>
      </c>
      <c r="F92" s="154" t="s">
        <v>344</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344</v>
      </c>
      <c r="F93" s="154" t="s">
        <v>344</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344</v>
      </c>
      <c r="F94" s="154" t="s">
        <v>344</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0.01</v>
      </c>
      <c r="D95" s="158">
        <f t="shared" si="3"/>
        <v>0</v>
      </c>
      <c r="E95" s="154" t="s">
        <v>344</v>
      </c>
      <c r="F95" s="154" t="s">
        <v>344</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344</v>
      </c>
      <c r="F96" s="154" t="s">
        <v>344</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344</v>
      </c>
      <c r="F97" s="154" t="s">
        <v>344</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344</v>
      </c>
      <c r="F98" s="154" t="s">
        <v>344</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344</v>
      </c>
      <c r="F99" s="154" t="s">
        <v>344</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344</v>
      </c>
      <c r="F100" s="154" t="s">
        <v>344</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210</v>
      </c>
      <c r="B101" s="1" t="str">
        <f>Input!A49</f>
        <v>Filler 1</v>
      </c>
      <c r="C101" s="154">
        <f>+Input!B49</f>
        <v>5.4999999999999997E-3</v>
      </c>
      <c r="D101" s="158">
        <f t="shared" si="3"/>
        <v>190</v>
      </c>
      <c r="E101" s="154" t="s">
        <v>344</v>
      </c>
      <c r="F101" s="154" t="s">
        <v>344</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344</v>
      </c>
      <c r="F102" s="154" t="s">
        <v>344</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296</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297</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259</v>
      </c>
      <c r="B107" s="1" t="str">
        <f>Input!A55</f>
        <v>Additive 1</v>
      </c>
      <c r="C107" s="154">
        <f>+Input!B55</f>
        <v>2E-3</v>
      </c>
      <c r="D107" s="158">
        <f>D31+D56+D81</f>
        <v>1239</v>
      </c>
      <c r="E107" s="154" t="s">
        <v>344</v>
      </c>
      <c r="F107" s="154" t="s">
        <v>344</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0</v>
      </c>
      <c r="D108" s="158">
        <f>D32+D57+D82</f>
        <v>0</v>
      </c>
      <c r="E108" s="154" t="s">
        <v>344</v>
      </c>
      <c r="F108" s="154" t="s">
        <v>344</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344</v>
      </c>
      <c r="F109" s="154" t="s">
        <v>344</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345</v>
      </c>
      <c r="B110" s="406"/>
      <c r="C110" s="407"/>
      <c r="D110" s="407"/>
      <c r="E110" s="407"/>
      <c r="F110" s="407"/>
      <c r="G110" s="139">
        <f t="shared" ref="G110:Y110" si="19">SUM(G91:G109)</f>
        <v>2.4587109185149954E-2</v>
      </c>
      <c r="H110" s="139">
        <f t="shared" si="19"/>
        <v>13.548793458252014</v>
      </c>
      <c r="I110" s="139">
        <f t="shared" si="19"/>
        <v>6.2165938626808281E-3</v>
      </c>
      <c r="J110" s="139">
        <f t="shared" si="19"/>
        <v>13.540988819228369</v>
      </c>
      <c r="K110" s="139">
        <f t="shared" si="19"/>
        <v>1.5880288493795441E-3</v>
      </c>
      <c r="L110" s="139">
        <f t="shared" si="19"/>
        <v>11.729305415320507</v>
      </c>
      <c r="M110" s="139">
        <f t="shared" si="19"/>
        <v>181.63455678734744</v>
      </c>
      <c r="N110" s="139">
        <f t="shared" si="19"/>
        <v>3.5625760652825868E-4</v>
      </c>
      <c r="O110" s="139">
        <f t="shared" si="19"/>
        <v>6.6021738318965684E-3</v>
      </c>
      <c r="P110" s="139">
        <f t="shared" si="19"/>
        <v>7.1725286929195636E-2</v>
      </c>
      <c r="Q110" s="139">
        <f t="shared" si="19"/>
        <v>1.2287492736762654E-9</v>
      </c>
      <c r="R110" s="139">
        <f t="shared" si="19"/>
        <v>9.5160481080952313E-8</v>
      </c>
      <c r="S110" s="139">
        <f t="shared" si="19"/>
        <v>9.9208600418833712E-2</v>
      </c>
      <c r="T110" s="139">
        <f t="shared" si="19"/>
        <v>15.918985610005899</v>
      </c>
      <c r="U110" s="139">
        <f t="shared" si="19"/>
        <v>1.5113075692075265E-5</v>
      </c>
      <c r="V110" s="139">
        <f t="shared" si="19"/>
        <v>2.9902829027028264E-7</v>
      </c>
      <c r="W110" s="139">
        <f t="shared" si="19"/>
        <v>8.1520318289353945E-7</v>
      </c>
      <c r="X110" s="139">
        <f t="shared" si="19"/>
        <v>4.0978520404184482E-2</v>
      </c>
      <c r="Y110" s="139">
        <f t="shared" si="19"/>
        <v>0.45395495485479492</v>
      </c>
    </row>
    <row r="112" spans="1:25" x14ac:dyDescent="0.35">
      <c r="A112" t="s">
        <v>346</v>
      </c>
    </row>
    <row r="114" spans="1:28" x14ac:dyDescent="0.35">
      <c r="A114" s="32"/>
    </row>
    <row r="115" spans="1:28" ht="23.5" x14ac:dyDescent="0.55000000000000004">
      <c r="A115" s="100" t="s">
        <v>347</v>
      </c>
    </row>
    <row r="117" spans="1:28" ht="50" customHeight="1" x14ac:dyDescent="0.35">
      <c r="A117" s="104" t="s">
        <v>201</v>
      </c>
      <c r="B117" s="104" t="s">
        <v>264</v>
      </c>
      <c r="C117" s="103" t="s">
        <v>61</v>
      </c>
      <c r="D117" s="103" t="s">
        <v>64</v>
      </c>
      <c r="E117" s="103" t="s">
        <v>65</v>
      </c>
      <c r="F117" s="103" t="s">
        <v>66</v>
      </c>
      <c r="G117" s="103" t="s">
        <v>69</v>
      </c>
      <c r="H117" s="103" t="s">
        <v>70</v>
      </c>
      <c r="I117" s="103" t="s">
        <v>71</v>
      </c>
      <c r="J117" s="103" t="s">
        <v>73</v>
      </c>
      <c r="K117" s="103" t="s">
        <v>74</v>
      </c>
      <c r="L117" s="103" t="s">
        <v>308</v>
      </c>
      <c r="M117" s="108" t="s">
        <v>309</v>
      </c>
      <c r="N117" s="108" t="s">
        <v>310</v>
      </c>
      <c r="O117" s="103" t="s">
        <v>348</v>
      </c>
      <c r="P117" s="103" t="s">
        <v>79</v>
      </c>
      <c r="Q117" s="108" t="s">
        <v>81</v>
      </c>
      <c r="R117" s="103" t="s">
        <v>312</v>
      </c>
      <c r="S117" s="103" t="s">
        <v>313</v>
      </c>
      <c r="T117" s="103" t="s">
        <v>314</v>
      </c>
      <c r="U117" s="103" t="s">
        <v>321</v>
      </c>
      <c r="V117" s="103" t="s">
        <v>88</v>
      </c>
      <c r="W117" s="103" t="s">
        <v>91</v>
      </c>
      <c r="X117" s="103" t="s">
        <v>93</v>
      </c>
      <c r="Y117" s="103" t="s">
        <v>315</v>
      </c>
      <c r="Z117" s="103" t="s">
        <v>349</v>
      </c>
    </row>
    <row r="118" spans="1:28" x14ac:dyDescent="0.35">
      <c r="A118" s="1" t="s">
        <v>316</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0</v>
      </c>
      <c r="X118" s="154">
        <f>'A2 - Transport'!G109</f>
        <v>0</v>
      </c>
      <c r="Y118" s="154">
        <f>SUM(V118:X118)</f>
        <v>5.8659711599999998E-4</v>
      </c>
      <c r="Z118" s="154">
        <f>+SUM(B118+L118+O118+Y118)</f>
        <v>2.4587109185149954E-2</v>
      </c>
      <c r="AB118" s="87"/>
    </row>
    <row r="119" spans="1:28" x14ac:dyDescent="0.35">
      <c r="A119" s="1" t="s">
        <v>278</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0</v>
      </c>
      <c r="X119" s="154">
        <f>'A2 - Transport'!H109</f>
        <v>0</v>
      </c>
      <c r="Y119" s="154">
        <f t="shared" ref="Y119:Y136" si="24">SUM(V119:X119)</f>
        <v>0.39336976060199996</v>
      </c>
      <c r="Z119" s="154">
        <f t="shared" ref="Z119:Z136" si="25">+SUM(B119+L119+O119+Y119)</f>
        <v>13.548793458252014</v>
      </c>
      <c r="AB119" s="87"/>
    </row>
    <row r="120" spans="1:28" x14ac:dyDescent="0.35">
      <c r="A120" s="1" t="s">
        <v>279</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0</v>
      </c>
      <c r="X120" s="154">
        <f>'A2 - Transport'!I109</f>
        <v>0</v>
      </c>
      <c r="Y120" s="154">
        <f t="shared" si="24"/>
        <v>1.8384356340000001E-4</v>
      </c>
      <c r="Z120" s="154">
        <f t="shared" si="25"/>
        <v>6.2165938626808281E-3</v>
      </c>
      <c r="AB120" s="87"/>
    </row>
    <row r="121" spans="1:28" x14ac:dyDescent="0.35">
      <c r="A121" s="1" t="s">
        <v>280</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0</v>
      </c>
      <c r="X121" s="154">
        <f>'A2 - Transport'!J109</f>
        <v>0</v>
      </c>
      <c r="Y121" s="154">
        <f t="shared" si="24"/>
        <v>0.39315462807599999</v>
      </c>
      <c r="Z121" s="154">
        <f t="shared" si="25"/>
        <v>13.540988819228369</v>
      </c>
      <c r="AB121" s="87"/>
    </row>
    <row r="122" spans="1:28" x14ac:dyDescent="0.35">
      <c r="A122" s="1" t="s">
        <v>281</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0</v>
      </c>
      <c r="X122" s="154">
        <f>'A2 - Transport'!K109</f>
        <v>0</v>
      </c>
      <c r="Y122" s="154">
        <f t="shared" si="24"/>
        <v>3.1288467E-5</v>
      </c>
      <c r="Z122" s="154">
        <f t="shared" si="25"/>
        <v>1.5880288493795441E-3</v>
      </c>
      <c r="AB122" s="87"/>
    </row>
    <row r="123" spans="1:28" x14ac:dyDescent="0.35">
      <c r="A123" s="1" t="s">
        <v>282</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0</v>
      </c>
      <c r="X123" s="154">
        <f>'A2 - Transport'!L109</f>
        <v>0</v>
      </c>
      <c r="Y123" s="154">
        <f t="shared" si="24"/>
        <v>0.33786030562200003</v>
      </c>
      <c r="Z123" s="154">
        <f t="shared" si="25"/>
        <v>11.729305415320507</v>
      </c>
      <c r="AB123" s="87"/>
    </row>
    <row r="124" spans="1:28" x14ac:dyDescent="0.35">
      <c r="A124" s="1" t="s">
        <v>283</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0</v>
      </c>
      <c r="X124" s="154">
        <f>'A2 - Transport'!M109</f>
        <v>0</v>
      </c>
      <c r="Y124" s="154">
        <f t="shared" si="24"/>
        <v>5.2943480032800005</v>
      </c>
      <c r="Z124" s="154">
        <f t="shared" si="25"/>
        <v>181.63455678734744</v>
      </c>
      <c r="AB124" s="87"/>
    </row>
    <row r="125" spans="1:28" x14ac:dyDescent="0.35">
      <c r="A125" s="1" t="s">
        <v>284</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0</v>
      </c>
      <c r="X125" s="154">
        <f>'A2 - Transport'!N109</f>
        <v>0</v>
      </c>
      <c r="Y125" s="154">
        <f t="shared" si="24"/>
        <v>9.1752658200000002E-6</v>
      </c>
      <c r="Z125" s="154">
        <f t="shared" si="25"/>
        <v>3.5625760652825868E-4</v>
      </c>
      <c r="AB125" s="87"/>
    </row>
    <row r="126" spans="1:28" x14ac:dyDescent="0.35">
      <c r="A126" s="1" t="s">
        <v>285</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0</v>
      </c>
      <c r="X126" s="154">
        <f>'A2 - Transport'!O109</f>
        <v>0</v>
      </c>
      <c r="Y126" s="154">
        <f t="shared" si="24"/>
        <v>1.278578616E-4</v>
      </c>
      <c r="Z126" s="154">
        <f t="shared" si="25"/>
        <v>6.6021738318965684E-3</v>
      </c>
      <c r="AB126" s="87"/>
    </row>
    <row r="127" spans="1:28" x14ac:dyDescent="0.35">
      <c r="A127" s="1" t="s">
        <v>286</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0</v>
      </c>
      <c r="X127" s="154">
        <f>'A2 - Transport'!P109</f>
        <v>0</v>
      </c>
      <c r="Y127" s="154">
        <f t="shared" si="24"/>
        <v>1.3839456539999999E-3</v>
      </c>
      <c r="Z127" s="154">
        <f t="shared" si="25"/>
        <v>7.1725286929195636E-2</v>
      </c>
      <c r="AB127" s="87"/>
    </row>
    <row r="128" spans="1:28" x14ac:dyDescent="0.35">
      <c r="A128" s="1" t="s">
        <v>287</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0</v>
      </c>
      <c r="X128" s="154">
        <f>'A2 - Transport'!Q109</f>
        <v>0</v>
      </c>
      <c r="Y128" s="154">
        <f t="shared" si="24"/>
        <v>3.4864716599999999E-11</v>
      </c>
      <c r="Z128" s="154">
        <f t="shared" si="25"/>
        <v>1.2287492736762654E-9</v>
      </c>
      <c r="AB128" s="87"/>
    </row>
    <row r="129" spans="1:28" x14ac:dyDescent="0.35">
      <c r="A129" s="1" t="s">
        <v>317</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0</v>
      </c>
      <c r="X129" s="154">
        <f>'A2 - Transport'!R109</f>
        <v>0</v>
      </c>
      <c r="Y129" s="154">
        <f t="shared" si="24"/>
        <v>2.8367648400000001E-9</v>
      </c>
      <c r="Z129" s="154">
        <f t="shared" si="25"/>
        <v>9.5160481080952313E-8</v>
      </c>
      <c r="AB129" s="87"/>
    </row>
    <row r="130" spans="1:28" x14ac:dyDescent="0.35">
      <c r="A130" s="1" t="s">
        <v>289</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0</v>
      </c>
      <c r="X130" s="154">
        <f>'A2 - Transport'!S109</f>
        <v>0</v>
      </c>
      <c r="Y130" s="154">
        <f t="shared" si="24"/>
        <v>2.4007012680000001E-3</v>
      </c>
      <c r="Z130" s="154">
        <f t="shared" si="25"/>
        <v>9.9208600418833712E-2</v>
      </c>
      <c r="AB130" s="87"/>
    </row>
    <row r="131" spans="1:28" x14ac:dyDescent="0.35">
      <c r="A131" s="1" t="s">
        <v>290</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0</v>
      </c>
      <c r="X131" s="154">
        <f>'A2 - Transport'!T109</f>
        <v>0</v>
      </c>
      <c r="Y131" s="154">
        <f t="shared" si="24"/>
        <v>0.33395142169200004</v>
      </c>
      <c r="Z131" s="154">
        <f t="shared" si="25"/>
        <v>15.918985610005899</v>
      </c>
      <c r="AB131" s="87"/>
    </row>
    <row r="132" spans="1:28" x14ac:dyDescent="0.35">
      <c r="A132" s="1" t="s">
        <v>291</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0</v>
      </c>
      <c r="X132" s="154">
        <f>'A2 - Transport'!U109</f>
        <v>0</v>
      </c>
      <c r="Y132" s="154">
        <f t="shared" si="24"/>
        <v>4.3398948600000003E-7</v>
      </c>
      <c r="Z132" s="154">
        <f t="shared" si="25"/>
        <v>1.5113075692075265E-5</v>
      </c>
      <c r="AB132" s="87"/>
    </row>
    <row r="133" spans="1:28" x14ac:dyDescent="0.35">
      <c r="A133" s="1" t="s">
        <v>292</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0</v>
      </c>
      <c r="X133" s="154">
        <f>'A2 - Transport'!V109</f>
        <v>0</v>
      </c>
      <c r="Y133" s="154">
        <f t="shared" si="24"/>
        <v>8.7468939600000005E-9</v>
      </c>
      <c r="Z133" s="154">
        <f t="shared" si="25"/>
        <v>2.9902829027028264E-7</v>
      </c>
      <c r="AB133" s="87"/>
    </row>
    <row r="134" spans="1:28" x14ac:dyDescent="0.35">
      <c r="A134" s="1" t="s">
        <v>293</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0</v>
      </c>
      <c r="X134" s="154">
        <f>'A2 - Transport'!W109</f>
        <v>0</v>
      </c>
      <c r="Y134" s="154">
        <f t="shared" si="24"/>
        <v>2.4382454459999998E-8</v>
      </c>
      <c r="Z134" s="154">
        <f t="shared" si="25"/>
        <v>8.1520318289353955E-7</v>
      </c>
      <c r="AB134" s="87"/>
    </row>
    <row r="135" spans="1:28" x14ac:dyDescent="0.35">
      <c r="A135" s="1" t="s">
        <v>294</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0</v>
      </c>
      <c r="X135" s="154">
        <f>'A2 - Transport'!X109</f>
        <v>0</v>
      </c>
      <c r="Y135" s="154">
        <f t="shared" si="24"/>
        <v>1.0227102479999999E-3</v>
      </c>
      <c r="Z135" s="154">
        <f t="shared" si="25"/>
        <v>4.0978520404184482E-2</v>
      </c>
      <c r="AB135" s="87"/>
    </row>
    <row r="136" spans="1:28" x14ac:dyDescent="0.35">
      <c r="A136" s="1" t="s">
        <v>295</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0</v>
      </c>
      <c r="X136" s="154">
        <f>'A2 - Transport'!Y109</f>
        <v>0</v>
      </c>
      <c r="Y136" s="154">
        <f t="shared" si="24"/>
        <v>1.2058416342E-2</v>
      </c>
      <c r="Z136" s="154">
        <f t="shared" si="25"/>
        <v>0.45395495485479498</v>
      </c>
      <c r="AB136" s="87"/>
    </row>
    <row r="140" spans="1:28" x14ac:dyDescent="0.35">
      <c r="B140" t="s">
        <v>350</v>
      </c>
    </row>
    <row r="141" spans="1:28" x14ac:dyDescent="0.35">
      <c r="A141" s="95" t="s">
        <v>324</v>
      </c>
      <c r="B141" s="1">
        <f>SUM(G110:Y110)</f>
        <v>237.0778639397933</v>
      </c>
    </row>
    <row r="142" spans="1:28" x14ac:dyDescent="0.35">
      <c r="A142" s="95" t="s">
        <v>325</v>
      </c>
      <c r="B142" s="1">
        <f>SUM(B118:K136)+SUM(M118:N136)+SUM(P118:Q136)+SUM(S118:T136)+SUM(V118:X136)</f>
        <v>237.07786393979322</v>
      </c>
    </row>
    <row r="143" spans="1:28" x14ac:dyDescent="0.35">
      <c r="A143" s="95" t="s">
        <v>57</v>
      </c>
      <c r="B143" s="204">
        <f>+B141-B142</f>
        <v>0</v>
      </c>
    </row>
    <row r="147" spans="1:1" ht="29" x14ac:dyDescent="0.35">
      <c r="A147" s="28" t="s">
        <v>351</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326</v>
      </c>
    </row>
    <row r="3" spans="1:25" x14ac:dyDescent="0.35">
      <c r="A3" s="408" t="s">
        <v>327</v>
      </c>
      <c r="B3" s="408"/>
      <c r="C3" s="62" t="s">
        <v>328</v>
      </c>
      <c r="D3" s="62" t="s">
        <v>329</v>
      </c>
    </row>
    <row r="4" spans="1:25" x14ac:dyDescent="0.35">
      <c r="A4" s="1" t="s">
        <v>330</v>
      </c>
      <c r="B4" s="106">
        <v>1.24</v>
      </c>
      <c r="C4" t="s">
        <v>331</v>
      </c>
      <c r="D4" s="30" t="s">
        <v>332</v>
      </c>
      <c r="E4" s="20"/>
    </row>
    <row r="5" spans="1:25" x14ac:dyDescent="0.35">
      <c r="A5" s="1" t="s">
        <v>333</v>
      </c>
      <c r="B5" s="106">
        <v>36.286999999999999</v>
      </c>
      <c r="C5" s="1"/>
      <c r="D5" s="1"/>
    </row>
    <row r="6" spans="1:25" x14ac:dyDescent="0.35">
      <c r="A6" s="1" t="s">
        <v>334</v>
      </c>
      <c r="B6" s="163">
        <f>B4/B5</f>
        <v>3.417201752693802E-2</v>
      </c>
      <c r="C6" s="1"/>
      <c r="D6" s="1"/>
    </row>
    <row r="10" spans="1:25" x14ac:dyDescent="0.35">
      <c r="A10" t="s">
        <v>335</v>
      </c>
    </row>
    <row r="12" spans="1:25" ht="23.5" x14ac:dyDescent="0.55000000000000004">
      <c r="A12" s="100" t="s">
        <v>336</v>
      </c>
    </row>
    <row r="14" spans="1:25" ht="100.25" customHeight="1" x14ac:dyDescent="0.35">
      <c r="A14" s="104" t="s">
        <v>274</v>
      </c>
      <c r="B14" s="104" t="s">
        <v>275</v>
      </c>
      <c r="C14" s="103" t="s">
        <v>276</v>
      </c>
      <c r="D14" s="103" t="s">
        <v>55</v>
      </c>
      <c r="E14" s="103" t="s">
        <v>337</v>
      </c>
      <c r="F14" s="103" t="s">
        <v>338</v>
      </c>
      <c r="G14" s="103" t="s">
        <v>277</v>
      </c>
      <c r="H14" s="103" t="s">
        <v>278</v>
      </c>
      <c r="I14" s="103" t="s">
        <v>279</v>
      </c>
      <c r="J14" s="103" t="s">
        <v>280</v>
      </c>
      <c r="K14" s="103" t="s">
        <v>281</v>
      </c>
      <c r="L14" s="103" t="s">
        <v>282</v>
      </c>
      <c r="M14" s="103" t="s">
        <v>283</v>
      </c>
      <c r="N14" s="103" t="s">
        <v>284</v>
      </c>
      <c r="O14" s="103" t="s">
        <v>285</v>
      </c>
      <c r="P14" s="103" t="s">
        <v>286</v>
      </c>
      <c r="Q14" s="103" t="s">
        <v>287</v>
      </c>
      <c r="R14" s="103" t="s">
        <v>288</v>
      </c>
      <c r="S14" s="103" t="s">
        <v>289</v>
      </c>
      <c r="T14" s="103" t="s">
        <v>290</v>
      </c>
      <c r="U14" s="103" t="s">
        <v>291</v>
      </c>
      <c r="V14" s="103" t="s">
        <v>292</v>
      </c>
      <c r="W14" s="103" t="s">
        <v>293</v>
      </c>
      <c r="X14" s="103" t="s">
        <v>294</v>
      </c>
      <c r="Y14" s="103" t="s">
        <v>295</v>
      </c>
    </row>
    <row r="15" spans="1:25" x14ac:dyDescent="0.35">
      <c r="A15" s="400" t="s">
        <v>296</v>
      </c>
      <c r="B15" s="158" t="str">
        <f>Input!A51</f>
        <v>RAP 1</v>
      </c>
      <c r="C15" s="158">
        <f>+Input!B51</f>
        <v>0.3</v>
      </c>
      <c r="D15" s="158">
        <f>Input!$L51</f>
        <v>24</v>
      </c>
      <c r="E15" s="158" t="str">
        <f>Input!$J51</f>
        <v>Truck</v>
      </c>
      <c r="F15" s="158" t="str">
        <f>Input!$K51</f>
        <v>Diesel_Euro6</v>
      </c>
      <c r="G15" s="158" cm="1">
        <f t="array" ref="G15">INDEX(LCI!H$2:H$73, MATCH($E15&amp;$F15, LCI!$B$2:$B$73&amp;LCI!$D$2:$D$73, 0))* IF(AND($E15="Truck", OR($F15="Electric", $F15="Electric_green")), $B$6, 1)* $C15* $D15</f>
        <v>1.7043983999999999E-3</v>
      </c>
      <c r="H15" s="158" cm="1">
        <f t="array" ref="H15">INDEX(LCI!I$2:I$73, MATCH($E15&amp;$F15, LCI!$B$2:$B$73&amp;LCI!$D$2:$D$73, 0))* IF(AND($E15="Truck", OR($F15="Electric", $F15="Electric_green")), $B$6, 1)* $C15* $D15</f>
        <v>1.1429629848</v>
      </c>
      <c r="I15" s="158" cm="1">
        <f t="array" ref="I15">INDEX(LCI!J$2:J$73, MATCH($E15&amp;$F15, LCI!$B$2:$B$73&amp;LCI!$D$2:$D$73, 0))* IF(AND($E15="Truck", OR($F15="Electric", $F15="Electric_green")), $B$6, 1)* $C15* $D15</f>
        <v>5.3417016000000006E-4</v>
      </c>
      <c r="J15" s="158" cm="1">
        <f t="array" ref="J15">INDEX(LCI!K$2:K$73, MATCH($E15&amp;$F15, LCI!$B$2:$B$73&amp;LCI!$D$2:$D$73, 0))* IF(AND($E15="Truck", OR($F15="Electric", $F15="Electric_green")), $B$6, 1)* $C15* $D15</f>
        <v>1.1423379024</v>
      </c>
      <c r="K15" s="158" cm="1">
        <f t="array" ref="K15">INDEX(LCI!L$2:L$73, MATCH($E15&amp;$F15, LCI!$B$2:$B$73&amp;LCI!$D$2:$D$73, 0))* IF(AND($E15="Truck", OR($F15="Electric", $F15="Electric_green")), $B$6, 1)* $C15* $D15</f>
        <v>9.0910799999999997E-5</v>
      </c>
      <c r="L15" s="158" cm="1">
        <f t="array" ref="L15">INDEX(LCI!M$2:M$73, MATCH($E15&amp;$F15, LCI!$B$2:$B$73&amp;LCI!$D$2:$D$73, 0))* IF(AND($E15="Truck", OR($F15="Electric", $F15="Electric_green")), $B$6, 1)* $C15* $D15</f>
        <v>0.98167643279999994</v>
      </c>
      <c r="M15" s="158" cm="1">
        <f t="array" ref="M15">INDEX(LCI!N$2:N$73, MATCH($E15&amp;$F15, LCI!$B$2:$B$73&amp;LCI!$D$2:$D$73, 0))* IF(AND($E15="Truck", OR($F15="Electric", $F15="Electric_green")), $B$6, 1)* $C15* $D15</f>
        <v>15.383093471999999</v>
      </c>
      <c r="N15" s="158" cm="1">
        <f t="array" ref="N15">INDEX(LCI!O$2:O$73, MATCH($E15&amp;$F15, LCI!$B$2:$B$73&amp;LCI!$D$2:$D$73, 0))* IF(AND($E15="Truck", OR($F15="Electric", $F15="Electric_green")), $B$6, 1)* $C15* $D15</f>
        <v>2.6659368E-5</v>
      </c>
      <c r="O15" s="158" cm="1">
        <f t="array" ref="O15">INDEX(LCI!P$2:P$73, MATCH($E15&amp;$F15, LCI!$B$2:$B$73&amp;LCI!$D$2:$D$73, 0))* IF(AND($E15="Truck", OR($F15="Electric", $F15="Electric_green")), $B$6, 1)* $C15* $D15</f>
        <v>3.7149983999999997E-4</v>
      </c>
      <c r="P15" s="158" cm="1">
        <f t="array" ref="P15">INDEX(LCI!Q$2:Q$73, MATCH($E15&amp;$F15, LCI!$B$2:$B$73&amp;LCI!$D$2:$D$73, 0))* IF(AND($E15="Truck", OR($F15="Electric", $F15="Electric_green")), $B$6, 1)* $C15* $D15</f>
        <v>4.0211496000000001E-3</v>
      </c>
      <c r="Q15" s="158" cm="1">
        <f t="array" ref="Q15">INDEX(LCI!R$2:R$73, MATCH($E15&amp;$F15, LCI!$B$2:$B$73&amp;LCI!$D$2:$D$73, 0))* IF(AND($E15="Truck", OR($F15="Electric", $F15="Electric_green")), $B$6, 1)* $C15* $D15</f>
        <v>1.0130183999999999E-10</v>
      </c>
      <c r="R15" s="158" cm="1">
        <f t="array" ref="R15">INDEX(LCI!S$2:S$73, MATCH($E15&amp;$F15, LCI!$B$2:$B$73&amp;LCI!$D$2:$D$73, 0))* IF(AND($E15="Truck", OR($F15="Electric", $F15="Electric_green")), $B$6, 1)* $C15* $D15</f>
        <v>8.2424160000000005E-9</v>
      </c>
      <c r="S15" s="158" cm="1">
        <f t="array" ref="S15">INDEX(LCI!T$2:T$73, MATCH($E15&amp;$F15, LCI!$B$2:$B$73&amp;LCI!$D$2:$D$73, 0))* IF(AND($E15="Truck", OR($F15="Electric", $F15="Electric_green")), $B$6, 1)* $C15* $D15</f>
        <v>6.9754032000000007E-3</v>
      </c>
      <c r="T15" s="158" cm="1">
        <f t="array" ref="T15">INDEX(LCI!U$2:U$73, MATCH($E15&amp;$F15, LCI!$B$2:$B$73&amp;LCI!$D$2:$D$73, 0))* IF(AND($E15="Truck", OR($F15="Electric", $F15="Electric_green")), $B$6, 1)* $C15* $D15</f>
        <v>0.97031890079999994</v>
      </c>
      <c r="U15" s="158" cm="1">
        <f t="array" ref="U15">INDEX(LCI!V$2:V$73, MATCH($E15&amp;$F15, LCI!$B$2:$B$73&amp;LCI!$D$2:$D$73, 0))* IF(AND($E15="Truck", OR($F15="Electric", $F15="Electric_green")), $B$6, 1)* $C15* $D15</f>
        <v>1.2609863999999999E-6</v>
      </c>
      <c r="V15" s="158" cm="1">
        <f t="array" ref="V15">INDEX(LCI!W$2:W$73, MATCH($E15&amp;$F15, LCI!$B$2:$B$73&amp;LCI!$D$2:$D$73, 0))* IF(AND($E15="Truck", OR($F15="Electric", $F15="Electric_green")), $B$6, 1)* $C15* $D15</f>
        <v>2.5414703999999998E-8</v>
      </c>
      <c r="W15" s="158" cm="1">
        <f t="array" ref="W15">INDEX(LCI!X$2:X$73, MATCH($E15&amp;$F15, LCI!$B$2:$B$73&amp;LCI!$D$2:$D$73, 0))* IF(AND($E15="Truck", OR($F15="Electric", $F15="Electric_green")), $B$6, 1)* $C15* $D15</f>
        <v>7.0844903999999993E-8</v>
      </c>
      <c r="X15" s="158" cm="1">
        <f t="array" ref="X15">INDEX(LCI!Y$2:Y$73, MATCH($E15&amp;$F15, LCI!$B$2:$B$73&amp;LCI!$D$2:$D$73, 0))* IF(AND($E15="Truck", OR($F15="Electric", $F15="Electric_green")), $B$6, 1)* $C15* $D15</f>
        <v>2.9715551999999995E-3</v>
      </c>
      <c r="Y15" s="158" cm="1">
        <f t="array" ref="Y15">INDEX(LCI!Z$2:Z$73, MATCH($E15&amp;$F15, LCI!$B$2:$B$73&amp;LCI!$D$2:$D$73, 0))* IF(AND($E15="Truck", OR($F15="Electric", $F15="Electric_green")), $B$6, 1)* $C15* $D15</f>
        <v>3.5036560799999998E-2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297</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339</v>
      </c>
      <c r="B19" s="406"/>
      <c r="C19" s="406"/>
      <c r="D19" s="406"/>
      <c r="E19" s="406"/>
      <c r="F19" s="406"/>
      <c r="G19" s="139">
        <f t="shared" ref="G19:Y19" si="0">SUM(G15:G18)</f>
        <v>1.7043983999999999E-3</v>
      </c>
      <c r="H19" s="139">
        <f t="shared" si="0"/>
        <v>1.1429629848</v>
      </c>
      <c r="I19" s="139">
        <f t="shared" si="0"/>
        <v>5.3417016000000006E-4</v>
      </c>
      <c r="J19" s="139">
        <f t="shared" si="0"/>
        <v>1.1423379024</v>
      </c>
      <c r="K19" s="139">
        <f t="shared" si="0"/>
        <v>9.0910799999999997E-5</v>
      </c>
      <c r="L19" s="139">
        <f t="shared" si="0"/>
        <v>0.98167643279999994</v>
      </c>
      <c r="M19" s="139">
        <f t="shared" si="0"/>
        <v>15.383093471999999</v>
      </c>
      <c r="N19" s="139">
        <f t="shared" si="0"/>
        <v>2.6659368E-5</v>
      </c>
      <c r="O19" s="139">
        <f t="shared" si="0"/>
        <v>3.7149983999999997E-4</v>
      </c>
      <c r="P19" s="139">
        <f t="shared" si="0"/>
        <v>4.0211496000000001E-3</v>
      </c>
      <c r="Q19" s="139">
        <f t="shared" si="0"/>
        <v>1.0130183999999999E-10</v>
      </c>
      <c r="R19" s="139">
        <f t="shared" si="0"/>
        <v>8.2424160000000005E-9</v>
      </c>
      <c r="S19" s="139">
        <f t="shared" si="0"/>
        <v>6.9754032000000007E-3</v>
      </c>
      <c r="T19" s="139">
        <f t="shared" si="0"/>
        <v>0.97031890079999994</v>
      </c>
      <c r="U19" s="139">
        <f t="shared" si="0"/>
        <v>1.2609863999999999E-6</v>
      </c>
      <c r="V19" s="139">
        <f t="shared" si="0"/>
        <v>2.5414703999999998E-8</v>
      </c>
      <c r="W19" s="139">
        <f t="shared" si="0"/>
        <v>7.0844903999999993E-8</v>
      </c>
      <c r="X19" s="139">
        <f t="shared" si="0"/>
        <v>2.9715551999999995E-3</v>
      </c>
      <c r="Y19" s="139">
        <f t="shared" si="0"/>
        <v>3.5036560799999998E-2</v>
      </c>
    </row>
    <row r="20" spans="1:25" ht="14" customHeight="1" x14ac:dyDescent="0.35"/>
    <row r="21" spans="1:25" ht="14" customHeight="1" x14ac:dyDescent="0.35"/>
    <row r="22" spans="1:25" ht="23.5" x14ac:dyDescent="0.55000000000000004">
      <c r="A22" s="100" t="s">
        <v>340</v>
      </c>
    </row>
    <row r="23" spans="1:25" ht="14" customHeight="1" x14ac:dyDescent="0.35"/>
    <row r="24" spans="1:25" ht="14" customHeight="1" x14ac:dyDescent="0.35">
      <c r="A24" s="104" t="s">
        <v>274</v>
      </c>
      <c r="B24" s="104" t="s">
        <v>275</v>
      </c>
      <c r="C24" s="103" t="s">
        <v>276</v>
      </c>
      <c r="D24" s="103" t="s">
        <v>55</v>
      </c>
      <c r="E24" s="103" t="s">
        <v>337</v>
      </c>
      <c r="F24" s="103" t="s">
        <v>338</v>
      </c>
      <c r="G24" s="103" t="s">
        <v>277</v>
      </c>
      <c r="H24" s="103" t="s">
        <v>278</v>
      </c>
      <c r="I24" s="103" t="s">
        <v>279</v>
      </c>
      <c r="J24" s="103" t="s">
        <v>280</v>
      </c>
      <c r="K24" s="103" t="s">
        <v>281</v>
      </c>
      <c r="L24" s="103" t="s">
        <v>282</v>
      </c>
      <c r="M24" s="103" t="s">
        <v>283</v>
      </c>
      <c r="N24" s="103" t="s">
        <v>284</v>
      </c>
      <c r="O24" s="103" t="s">
        <v>285</v>
      </c>
      <c r="P24" s="103" t="s">
        <v>286</v>
      </c>
      <c r="Q24" s="103" t="s">
        <v>287</v>
      </c>
      <c r="R24" s="103" t="s">
        <v>288</v>
      </c>
      <c r="S24" s="103" t="s">
        <v>289</v>
      </c>
      <c r="T24" s="103" t="s">
        <v>290</v>
      </c>
      <c r="U24" s="103" t="s">
        <v>291</v>
      </c>
      <c r="V24" s="103" t="s">
        <v>292</v>
      </c>
      <c r="W24" s="103" t="s">
        <v>293</v>
      </c>
      <c r="X24" s="103" t="s">
        <v>294</v>
      </c>
      <c r="Y24" s="103" t="s">
        <v>295</v>
      </c>
    </row>
    <row r="25" spans="1:25" x14ac:dyDescent="0.35">
      <c r="A25" s="400" t="s">
        <v>296</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297</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341</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342</v>
      </c>
    </row>
    <row r="33" spans="1:25" ht="14" customHeight="1" x14ac:dyDescent="0.35"/>
    <row r="34" spans="1:25" ht="101.5" x14ac:dyDescent="0.35">
      <c r="A34" s="104" t="s">
        <v>274</v>
      </c>
      <c r="B34" s="104" t="s">
        <v>275</v>
      </c>
      <c r="C34" s="103" t="s">
        <v>276</v>
      </c>
      <c r="D34" s="103" t="s">
        <v>55</v>
      </c>
      <c r="E34" s="103" t="s">
        <v>337</v>
      </c>
      <c r="F34" s="103" t="s">
        <v>338</v>
      </c>
      <c r="G34" s="103" t="s">
        <v>277</v>
      </c>
      <c r="H34" s="103" t="s">
        <v>278</v>
      </c>
      <c r="I34" s="103" t="s">
        <v>279</v>
      </c>
      <c r="J34" s="103" t="s">
        <v>280</v>
      </c>
      <c r="K34" s="103" t="s">
        <v>281</v>
      </c>
      <c r="L34" s="103" t="s">
        <v>282</v>
      </c>
      <c r="M34" s="103" t="s">
        <v>283</v>
      </c>
      <c r="N34" s="103" t="s">
        <v>284</v>
      </c>
      <c r="O34" s="103" t="s">
        <v>285</v>
      </c>
      <c r="P34" s="103" t="s">
        <v>286</v>
      </c>
      <c r="Q34" s="103" t="s">
        <v>287</v>
      </c>
      <c r="R34" s="103" t="s">
        <v>288</v>
      </c>
      <c r="S34" s="103" t="s">
        <v>289</v>
      </c>
      <c r="T34" s="103" t="s">
        <v>290</v>
      </c>
      <c r="U34" s="103" t="s">
        <v>291</v>
      </c>
      <c r="V34" s="103" t="s">
        <v>292</v>
      </c>
      <c r="W34" s="103" t="s">
        <v>293</v>
      </c>
      <c r="X34" s="103" t="s">
        <v>294</v>
      </c>
      <c r="Y34" s="103" t="s">
        <v>295</v>
      </c>
    </row>
    <row r="35" spans="1:25" x14ac:dyDescent="0.35">
      <c r="A35" s="400" t="s">
        <v>296</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297</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198</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343</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274</v>
      </c>
      <c r="B45" s="104" t="s">
        <v>275</v>
      </c>
      <c r="C45" s="103" t="s">
        <v>276</v>
      </c>
      <c r="D45" s="103" t="s">
        <v>55</v>
      </c>
      <c r="E45" s="103" t="s">
        <v>337</v>
      </c>
      <c r="F45" s="103" t="s">
        <v>338</v>
      </c>
      <c r="G45" s="103" t="s">
        <v>277</v>
      </c>
      <c r="H45" s="103" t="s">
        <v>278</v>
      </c>
      <c r="I45" s="103" t="s">
        <v>279</v>
      </c>
      <c r="J45" s="103" t="s">
        <v>280</v>
      </c>
      <c r="K45" s="103" t="s">
        <v>281</v>
      </c>
      <c r="L45" s="103" t="s">
        <v>282</v>
      </c>
      <c r="M45" s="103" t="s">
        <v>283</v>
      </c>
      <c r="N45" s="103" t="s">
        <v>284</v>
      </c>
      <c r="O45" s="103" t="s">
        <v>285</v>
      </c>
      <c r="P45" s="103" t="s">
        <v>286</v>
      </c>
      <c r="Q45" s="103" t="s">
        <v>287</v>
      </c>
      <c r="R45" s="103" t="s">
        <v>288</v>
      </c>
      <c r="S45" s="103" t="s">
        <v>289</v>
      </c>
      <c r="T45" s="103" t="s">
        <v>290</v>
      </c>
      <c r="U45" s="103" t="s">
        <v>291</v>
      </c>
      <c r="V45" s="103" t="s">
        <v>292</v>
      </c>
      <c r="W45" s="103" t="s">
        <v>293</v>
      </c>
      <c r="X45" s="103" t="s">
        <v>294</v>
      </c>
      <c r="Y45" s="103" t="s">
        <v>295</v>
      </c>
    </row>
    <row r="46" spans="1:25" ht="14" customHeight="1" x14ac:dyDescent="0.35">
      <c r="A46" s="400" t="s">
        <v>296</v>
      </c>
      <c r="B46" s="1" t="str">
        <f>Input!A51</f>
        <v>RAP 1</v>
      </c>
      <c r="C46" s="154">
        <f>+Input!B51</f>
        <v>0.3</v>
      </c>
      <c r="D46" s="158">
        <f>D15+D25+D35</f>
        <v>24</v>
      </c>
      <c r="E46" s="154" t="s">
        <v>344</v>
      </c>
      <c r="F46" s="154" t="s">
        <v>344</v>
      </c>
      <c r="G46" s="154">
        <f t="shared" ref="G46:Y46" si="3">G15+G25+G35</f>
        <v>1.7043983999999999E-3</v>
      </c>
      <c r="H46" s="154">
        <f t="shared" si="3"/>
        <v>1.1429629848</v>
      </c>
      <c r="I46" s="154">
        <f t="shared" si="3"/>
        <v>5.3417016000000006E-4</v>
      </c>
      <c r="J46" s="154">
        <f t="shared" si="3"/>
        <v>1.1423379024</v>
      </c>
      <c r="K46" s="154">
        <f t="shared" si="3"/>
        <v>9.0910799999999997E-5</v>
      </c>
      <c r="L46" s="154">
        <f t="shared" si="3"/>
        <v>0.98167643279999994</v>
      </c>
      <c r="M46" s="154">
        <f t="shared" si="3"/>
        <v>15.383093471999999</v>
      </c>
      <c r="N46" s="154">
        <f t="shared" si="3"/>
        <v>2.6659368E-5</v>
      </c>
      <c r="O46" s="154">
        <f t="shared" si="3"/>
        <v>3.7149983999999997E-4</v>
      </c>
      <c r="P46" s="154">
        <f t="shared" si="3"/>
        <v>4.0211496000000001E-3</v>
      </c>
      <c r="Q46" s="154">
        <f t="shared" si="3"/>
        <v>1.0130183999999999E-10</v>
      </c>
      <c r="R46" s="154">
        <f t="shared" si="3"/>
        <v>8.2424160000000005E-9</v>
      </c>
      <c r="S46" s="154">
        <f t="shared" si="3"/>
        <v>6.9754032000000007E-3</v>
      </c>
      <c r="T46" s="154">
        <f t="shared" si="3"/>
        <v>0.97031890079999994</v>
      </c>
      <c r="U46" s="154">
        <f t="shared" si="3"/>
        <v>1.2609863999999999E-6</v>
      </c>
      <c r="V46" s="154">
        <f t="shared" si="3"/>
        <v>2.5414703999999998E-8</v>
      </c>
      <c r="W46" s="154">
        <f t="shared" si="3"/>
        <v>7.0844903999999993E-8</v>
      </c>
      <c r="X46" s="154">
        <f t="shared" si="3"/>
        <v>2.9715551999999995E-3</v>
      </c>
      <c r="Y46" s="154">
        <f t="shared" si="3"/>
        <v>3.5036560799999998E-2</v>
      </c>
    </row>
    <row r="47" spans="1:25" ht="14" customHeight="1" x14ac:dyDescent="0.35">
      <c r="A47" s="400"/>
      <c r="B47" s="1" t="str">
        <f>Input!A52</f>
        <v>RAP 2</v>
      </c>
      <c r="C47" s="154">
        <f>+Input!B52</f>
        <v>0</v>
      </c>
      <c r="D47" s="158">
        <f>D16+D26+D36</f>
        <v>0</v>
      </c>
      <c r="E47" s="154" t="s">
        <v>344</v>
      </c>
      <c r="F47" s="154" t="s">
        <v>344</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297</v>
      </c>
      <c r="B48" s="1" t="str">
        <f>Input!A53</f>
        <v>Other_waste 1</v>
      </c>
      <c r="C48" s="154">
        <f>+Input!B53</f>
        <v>0</v>
      </c>
      <c r="D48" s="158">
        <f>D17+D27+D37</f>
        <v>0</v>
      </c>
      <c r="E48" s="154" t="s">
        <v>344</v>
      </c>
      <c r="F48" s="154" t="s">
        <v>344</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344</v>
      </c>
      <c r="F49" s="154" t="s">
        <v>344</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345</v>
      </c>
      <c r="B50" s="406"/>
      <c r="C50" s="407"/>
      <c r="D50" s="407"/>
      <c r="E50" s="407"/>
      <c r="F50" s="407"/>
      <c r="G50" s="139">
        <f t="shared" ref="G50:Y50" si="7">SUM(G46:G49)</f>
        <v>1.7043983999999999E-3</v>
      </c>
      <c r="H50" s="139">
        <f t="shared" si="7"/>
        <v>1.1429629848</v>
      </c>
      <c r="I50" s="139">
        <f t="shared" si="7"/>
        <v>5.3417016000000006E-4</v>
      </c>
      <c r="J50" s="139">
        <f t="shared" si="7"/>
        <v>1.1423379024</v>
      </c>
      <c r="K50" s="139">
        <f t="shared" si="7"/>
        <v>9.0910799999999997E-5</v>
      </c>
      <c r="L50" s="139">
        <f t="shared" si="7"/>
        <v>0.98167643279999994</v>
      </c>
      <c r="M50" s="139">
        <f t="shared" si="7"/>
        <v>15.383093471999999</v>
      </c>
      <c r="N50" s="139">
        <f t="shared" si="7"/>
        <v>2.6659368E-5</v>
      </c>
      <c r="O50" s="139">
        <f t="shared" si="7"/>
        <v>3.7149983999999997E-4</v>
      </c>
      <c r="P50" s="139">
        <f t="shared" si="7"/>
        <v>4.0211496000000001E-3</v>
      </c>
      <c r="Q50" s="139">
        <f t="shared" si="7"/>
        <v>1.0130183999999999E-10</v>
      </c>
      <c r="R50" s="139">
        <f t="shared" si="7"/>
        <v>8.2424160000000005E-9</v>
      </c>
      <c r="S50" s="139">
        <f t="shared" si="7"/>
        <v>6.9754032000000007E-3</v>
      </c>
      <c r="T50" s="139">
        <f t="shared" si="7"/>
        <v>0.97031890079999994</v>
      </c>
      <c r="U50" s="139">
        <f t="shared" si="7"/>
        <v>1.2609863999999999E-6</v>
      </c>
      <c r="V50" s="139">
        <f t="shared" si="7"/>
        <v>2.5414703999999998E-8</v>
      </c>
      <c r="W50" s="139">
        <f t="shared" si="7"/>
        <v>7.0844903999999993E-8</v>
      </c>
      <c r="X50" s="139">
        <f t="shared" si="7"/>
        <v>2.9715551999999995E-3</v>
      </c>
      <c r="Y50" s="139">
        <f t="shared" si="7"/>
        <v>3.5036560799999998E-2</v>
      </c>
    </row>
    <row r="51" spans="1:25" ht="14" customHeight="1" x14ac:dyDescent="0.35"/>
    <row r="52" spans="1:25" x14ac:dyDescent="0.35">
      <c r="A52" t="s">
        <v>346</v>
      </c>
    </row>
    <row r="53" spans="1:25" ht="14" customHeight="1" x14ac:dyDescent="0.35"/>
    <row r="54" spans="1:25" x14ac:dyDescent="0.35">
      <c r="A54" s="32"/>
    </row>
    <row r="55" spans="1:25" ht="23.5" x14ac:dyDescent="0.55000000000000004">
      <c r="A55" s="100" t="s">
        <v>347</v>
      </c>
    </row>
    <row r="56" spans="1:25" ht="14" customHeight="1" x14ac:dyDescent="0.35"/>
    <row r="57" spans="1:25" x14ac:dyDescent="0.35">
      <c r="A57" s="104" t="s">
        <v>201</v>
      </c>
      <c r="B57" s="103" t="s">
        <v>79</v>
      </c>
      <c r="C57" s="108" t="s">
        <v>81</v>
      </c>
      <c r="D57" s="103" t="s">
        <v>312</v>
      </c>
      <c r="E57" s="103" t="s">
        <v>313</v>
      </c>
      <c r="F57" s="103" t="s">
        <v>314</v>
      </c>
      <c r="G57" s="103" t="s">
        <v>321</v>
      </c>
      <c r="H57" s="103" t="s">
        <v>349</v>
      </c>
    </row>
    <row r="58" spans="1:25" x14ac:dyDescent="0.35">
      <c r="A58" s="1" t="s">
        <v>316</v>
      </c>
      <c r="B58" s="154">
        <f>'C2''- Transport Secondary'!G46</f>
        <v>1.7043983999999999E-3</v>
      </c>
      <c r="C58" s="154">
        <f>'C2''- Transport Secondary'!G47</f>
        <v>0</v>
      </c>
      <c r="D58" s="154">
        <f>SUM(B58:C58)</f>
        <v>1.7043983999999999E-3</v>
      </c>
      <c r="E58" s="154">
        <f>'C2''- Transport Secondary'!G48</f>
        <v>0</v>
      </c>
      <c r="F58" s="154">
        <f>'C2''- Transport Secondary'!G49</f>
        <v>0</v>
      </c>
      <c r="G58" s="154">
        <f>SUM(E58:F58)</f>
        <v>0</v>
      </c>
      <c r="H58" s="154">
        <f>+D58+G58</f>
        <v>1.7043983999999999E-3</v>
      </c>
    </row>
    <row r="59" spans="1:25" x14ac:dyDescent="0.35">
      <c r="A59" s="1" t="s">
        <v>278</v>
      </c>
      <c r="B59" s="154">
        <f>'C2''- Transport Secondary'!H46</f>
        <v>1.1429629848</v>
      </c>
      <c r="C59" s="154">
        <f>'C2''- Transport Secondary'!H47</f>
        <v>0</v>
      </c>
      <c r="D59" s="154">
        <f t="shared" ref="D59:D76" si="8">SUM(B59:C59)</f>
        <v>1.1429629848</v>
      </c>
      <c r="E59" s="154">
        <f>'C2''- Transport Secondary'!H48</f>
        <v>0</v>
      </c>
      <c r="F59" s="154">
        <f>'C2''- Transport Secondary'!H49</f>
        <v>0</v>
      </c>
      <c r="G59" s="154">
        <f>SUM(E59:F59)</f>
        <v>0</v>
      </c>
      <c r="H59" s="154">
        <f t="shared" ref="H59:H76" si="9">+D59+G59</f>
        <v>1.1429629848</v>
      </c>
    </row>
    <row r="60" spans="1:25" x14ac:dyDescent="0.35">
      <c r="A60" s="1" t="s">
        <v>279</v>
      </c>
      <c r="B60" s="154">
        <f>'C2''- Transport Secondary'!I46</f>
        <v>5.3417016000000006E-4</v>
      </c>
      <c r="C60" s="154">
        <f>'C2''- Transport Secondary'!I47</f>
        <v>0</v>
      </c>
      <c r="D60" s="154">
        <f t="shared" si="8"/>
        <v>5.3417016000000006E-4</v>
      </c>
      <c r="E60" s="154">
        <f>'C2''- Transport Secondary'!I48</f>
        <v>0</v>
      </c>
      <c r="F60" s="154">
        <f>'C2''- Transport Secondary'!I49</f>
        <v>0</v>
      </c>
      <c r="G60" s="154">
        <f t="shared" ref="G60:G76" si="10">SUM(E60:F60)</f>
        <v>0</v>
      </c>
      <c r="H60" s="154">
        <f t="shared" si="9"/>
        <v>5.3417016000000006E-4</v>
      </c>
    </row>
    <row r="61" spans="1:25" x14ac:dyDescent="0.35">
      <c r="A61" s="1" t="s">
        <v>280</v>
      </c>
      <c r="B61" s="154">
        <f>'C2''- Transport Secondary'!J46</f>
        <v>1.1423379024</v>
      </c>
      <c r="C61" s="154">
        <f>'C2''- Transport Secondary'!J47</f>
        <v>0</v>
      </c>
      <c r="D61" s="154">
        <f t="shared" si="8"/>
        <v>1.1423379024</v>
      </c>
      <c r="E61" s="154">
        <f>'C2''- Transport Secondary'!J48</f>
        <v>0</v>
      </c>
      <c r="F61" s="154">
        <f>'C2''- Transport Secondary'!J49</f>
        <v>0</v>
      </c>
      <c r="G61" s="154">
        <f t="shared" si="10"/>
        <v>0</v>
      </c>
      <c r="H61" s="154">
        <f t="shared" si="9"/>
        <v>1.1423379024</v>
      </c>
    </row>
    <row r="62" spans="1:25" x14ac:dyDescent="0.35">
      <c r="A62" s="1" t="s">
        <v>281</v>
      </c>
      <c r="B62" s="154">
        <f>'C2''- Transport Secondary'!K46</f>
        <v>9.0910799999999997E-5</v>
      </c>
      <c r="C62" s="154">
        <f>'C2''- Transport Secondary'!K47</f>
        <v>0</v>
      </c>
      <c r="D62" s="154">
        <f t="shared" si="8"/>
        <v>9.0910799999999997E-5</v>
      </c>
      <c r="E62" s="154">
        <f>'C2''- Transport Secondary'!K48</f>
        <v>0</v>
      </c>
      <c r="F62" s="154">
        <f>'C2''- Transport Secondary'!K49</f>
        <v>0</v>
      </c>
      <c r="G62" s="154">
        <f t="shared" si="10"/>
        <v>0</v>
      </c>
      <c r="H62" s="154">
        <f t="shared" si="9"/>
        <v>9.0910799999999997E-5</v>
      </c>
    </row>
    <row r="63" spans="1:25" x14ac:dyDescent="0.35">
      <c r="A63" s="1" t="s">
        <v>282</v>
      </c>
      <c r="B63" s="154">
        <f>'C2''- Transport Secondary'!L46</f>
        <v>0.98167643279999994</v>
      </c>
      <c r="C63" s="154">
        <f>'C2''- Transport Secondary'!L47</f>
        <v>0</v>
      </c>
      <c r="D63" s="154">
        <f t="shared" si="8"/>
        <v>0.98167643279999994</v>
      </c>
      <c r="E63" s="154">
        <f>'C2''- Transport Secondary'!L48</f>
        <v>0</v>
      </c>
      <c r="F63" s="154">
        <f>'C2''- Transport Secondary'!L49</f>
        <v>0</v>
      </c>
      <c r="G63" s="154">
        <f t="shared" si="10"/>
        <v>0</v>
      </c>
      <c r="H63" s="154">
        <f t="shared" si="9"/>
        <v>0.98167643279999994</v>
      </c>
    </row>
    <row r="64" spans="1:25" x14ac:dyDescent="0.35">
      <c r="A64" s="1" t="s">
        <v>283</v>
      </c>
      <c r="B64" s="154">
        <f>'C2''- Transport Secondary'!M46</f>
        <v>15.383093471999999</v>
      </c>
      <c r="C64" s="154">
        <f>'C2''- Transport Secondary'!M47</f>
        <v>0</v>
      </c>
      <c r="D64" s="154">
        <f t="shared" si="8"/>
        <v>15.383093471999999</v>
      </c>
      <c r="E64" s="154">
        <f>'C2''- Transport Secondary'!M48</f>
        <v>0</v>
      </c>
      <c r="F64" s="154">
        <f>'C2''- Transport Secondary'!M49</f>
        <v>0</v>
      </c>
      <c r="G64" s="154">
        <f t="shared" si="10"/>
        <v>0</v>
      </c>
      <c r="H64" s="154">
        <f t="shared" si="9"/>
        <v>15.383093471999999</v>
      </c>
    </row>
    <row r="65" spans="1:8" x14ac:dyDescent="0.35">
      <c r="A65" s="1" t="s">
        <v>284</v>
      </c>
      <c r="B65" s="154">
        <f>'C2''- Transport Secondary'!N46</f>
        <v>2.6659368E-5</v>
      </c>
      <c r="C65" s="154">
        <f>'C2''- Transport Secondary'!N47</f>
        <v>0</v>
      </c>
      <c r="D65" s="154">
        <f t="shared" si="8"/>
        <v>2.6659368E-5</v>
      </c>
      <c r="E65" s="154">
        <f>'C2''- Transport Secondary'!N48</f>
        <v>0</v>
      </c>
      <c r="F65" s="154">
        <f>'C2''- Transport Secondary'!N49</f>
        <v>0</v>
      </c>
      <c r="G65" s="154">
        <f t="shared" si="10"/>
        <v>0</v>
      </c>
      <c r="H65" s="154">
        <f t="shared" si="9"/>
        <v>2.6659368E-5</v>
      </c>
    </row>
    <row r="66" spans="1:8" x14ac:dyDescent="0.35">
      <c r="A66" s="1" t="s">
        <v>285</v>
      </c>
      <c r="B66" s="154">
        <f>'C2''- Transport Secondary'!O46</f>
        <v>3.7149983999999997E-4</v>
      </c>
      <c r="C66" s="154">
        <f>'C2''- Transport Secondary'!O47</f>
        <v>0</v>
      </c>
      <c r="D66" s="154">
        <f t="shared" si="8"/>
        <v>3.7149983999999997E-4</v>
      </c>
      <c r="E66" s="154">
        <f>'C2''- Transport Secondary'!O48</f>
        <v>0</v>
      </c>
      <c r="F66" s="154">
        <f>'C2''- Transport Secondary'!O49</f>
        <v>0</v>
      </c>
      <c r="G66" s="154">
        <f t="shared" si="10"/>
        <v>0</v>
      </c>
      <c r="H66" s="154">
        <f t="shared" si="9"/>
        <v>3.7149983999999997E-4</v>
      </c>
    </row>
    <row r="67" spans="1:8" x14ac:dyDescent="0.35">
      <c r="A67" s="1" t="s">
        <v>286</v>
      </c>
      <c r="B67" s="154">
        <f>'C2''- Transport Secondary'!P46</f>
        <v>4.0211496000000001E-3</v>
      </c>
      <c r="C67" s="154">
        <f>'C2''- Transport Secondary'!P47</f>
        <v>0</v>
      </c>
      <c r="D67" s="154">
        <f t="shared" si="8"/>
        <v>4.0211496000000001E-3</v>
      </c>
      <c r="E67" s="154">
        <f>'C2''- Transport Secondary'!P48</f>
        <v>0</v>
      </c>
      <c r="F67" s="154">
        <f>'C2''- Transport Secondary'!P49</f>
        <v>0</v>
      </c>
      <c r="G67" s="154">
        <f t="shared" si="10"/>
        <v>0</v>
      </c>
      <c r="H67" s="154">
        <f t="shared" si="9"/>
        <v>4.0211496000000001E-3</v>
      </c>
    </row>
    <row r="68" spans="1:8" x14ac:dyDescent="0.35">
      <c r="A68" s="1" t="s">
        <v>287</v>
      </c>
      <c r="B68" s="154">
        <f>'C2''- Transport Secondary'!Q46</f>
        <v>1.0130183999999999E-10</v>
      </c>
      <c r="C68" s="154">
        <f>'C2''- Transport Secondary'!Q47</f>
        <v>0</v>
      </c>
      <c r="D68" s="154">
        <f t="shared" si="8"/>
        <v>1.0130183999999999E-10</v>
      </c>
      <c r="E68" s="154">
        <f>'C2''- Transport Secondary'!Q48</f>
        <v>0</v>
      </c>
      <c r="F68" s="154">
        <f>'C2''- Transport Secondary'!Q49</f>
        <v>0</v>
      </c>
      <c r="G68" s="154">
        <f t="shared" si="10"/>
        <v>0</v>
      </c>
      <c r="H68" s="154">
        <f t="shared" si="9"/>
        <v>1.0130183999999999E-10</v>
      </c>
    </row>
    <row r="69" spans="1:8" x14ac:dyDescent="0.35">
      <c r="A69" s="1" t="s">
        <v>317</v>
      </c>
      <c r="B69" s="154">
        <f>'C2''- Transport Secondary'!R46</f>
        <v>8.2424160000000005E-9</v>
      </c>
      <c r="C69" s="154">
        <f>'C2''- Transport Secondary'!R47</f>
        <v>0</v>
      </c>
      <c r="D69" s="154">
        <f t="shared" si="8"/>
        <v>8.2424160000000005E-9</v>
      </c>
      <c r="E69" s="154">
        <f>'C2''- Transport Secondary'!R48</f>
        <v>0</v>
      </c>
      <c r="F69" s="154">
        <f>'C2''- Transport Secondary'!R49</f>
        <v>0</v>
      </c>
      <c r="G69" s="154">
        <f t="shared" si="10"/>
        <v>0</v>
      </c>
      <c r="H69" s="154">
        <f t="shared" si="9"/>
        <v>8.2424160000000005E-9</v>
      </c>
    </row>
    <row r="70" spans="1:8" x14ac:dyDescent="0.35">
      <c r="A70" s="1" t="s">
        <v>289</v>
      </c>
      <c r="B70" s="154">
        <f>'C2''- Transport Secondary'!S46</f>
        <v>6.9754032000000007E-3</v>
      </c>
      <c r="C70" s="154">
        <f>'C2''- Transport Secondary'!S47</f>
        <v>0</v>
      </c>
      <c r="D70" s="154">
        <f t="shared" si="8"/>
        <v>6.9754032000000007E-3</v>
      </c>
      <c r="E70" s="154">
        <f>'C2''- Transport Secondary'!S48</f>
        <v>0</v>
      </c>
      <c r="F70" s="154">
        <f>'C2''- Transport Secondary'!S49</f>
        <v>0</v>
      </c>
      <c r="G70" s="154">
        <f t="shared" si="10"/>
        <v>0</v>
      </c>
      <c r="H70" s="154">
        <f t="shared" si="9"/>
        <v>6.9754032000000007E-3</v>
      </c>
    </row>
    <row r="71" spans="1:8" x14ac:dyDescent="0.35">
      <c r="A71" s="1" t="s">
        <v>290</v>
      </c>
      <c r="B71" s="154">
        <f>'C2''- Transport Secondary'!T46</f>
        <v>0.97031890079999994</v>
      </c>
      <c r="C71" s="154">
        <f>'C2''- Transport Secondary'!T47</f>
        <v>0</v>
      </c>
      <c r="D71" s="154">
        <f t="shared" si="8"/>
        <v>0.97031890079999994</v>
      </c>
      <c r="E71" s="154">
        <f>'C2''- Transport Secondary'!T48</f>
        <v>0</v>
      </c>
      <c r="F71" s="154">
        <f>'C2''- Transport Secondary'!T49</f>
        <v>0</v>
      </c>
      <c r="G71" s="154">
        <f t="shared" si="10"/>
        <v>0</v>
      </c>
      <c r="H71" s="154">
        <f t="shared" si="9"/>
        <v>0.97031890079999994</v>
      </c>
    </row>
    <row r="72" spans="1:8" x14ac:dyDescent="0.35">
      <c r="A72" s="1" t="s">
        <v>291</v>
      </c>
      <c r="B72" s="154">
        <f>'C2''- Transport Secondary'!U46</f>
        <v>1.2609863999999999E-6</v>
      </c>
      <c r="C72" s="154">
        <f>'C2''- Transport Secondary'!U47</f>
        <v>0</v>
      </c>
      <c r="D72" s="154">
        <f t="shared" si="8"/>
        <v>1.2609863999999999E-6</v>
      </c>
      <c r="E72" s="154">
        <f>'C2''- Transport Secondary'!U48</f>
        <v>0</v>
      </c>
      <c r="F72" s="154">
        <f>'C2''- Transport Secondary'!U49</f>
        <v>0</v>
      </c>
      <c r="G72" s="154">
        <f t="shared" si="10"/>
        <v>0</v>
      </c>
      <c r="H72" s="154">
        <f t="shared" si="9"/>
        <v>1.2609863999999999E-6</v>
      </c>
    </row>
    <row r="73" spans="1:8" x14ac:dyDescent="0.35">
      <c r="A73" s="1" t="s">
        <v>292</v>
      </c>
      <c r="B73" s="154">
        <f>'C2''- Transport Secondary'!V46</f>
        <v>2.5414703999999998E-8</v>
      </c>
      <c r="C73" s="154">
        <f>'C2''- Transport Secondary'!V47</f>
        <v>0</v>
      </c>
      <c r="D73" s="154">
        <f t="shared" si="8"/>
        <v>2.5414703999999998E-8</v>
      </c>
      <c r="E73" s="154">
        <f>'C2''- Transport Secondary'!V48</f>
        <v>0</v>
      </c>
      <c r="F73" s="154">
        <f>'C2''- Transport Secondary'!V49</f>
        <v>0</v>
      </c>
      <c r="G73" s="154">
        <f t="shared" si="10"/>
        <v>0</v>
      </c>
      <c r="H73" s="154">
        <f t="shared" si="9"/>
        <v>2.5414703999999998E-8</v>
      </c>
    </row>
    <row r="74" spans="1:8" ht="14" customHeight="1" x14ac:dyDescent="0.35">
      <c r="A74" s="1" t="s">
        <v>293</v>
      </c>
      <c r="B74" s="154">
        <f>'C2''- Transport Secondary'!W46</f>
        <v>7.0844903999999993E-8</v>
      </c>
      <c r="C74" s="154">
        <f>'C2''- Transport Secondary'!W47</f>
        <v>0</v>
      </c>
      <c r="D74" s="154">
        <f t="shared" si="8"/>
        <v>7.0844903999999993E-8</v>
      </c>
      <c r="E74" s="154">
        <f>'C2''- Transport Secondary'!W48</f>
        <v>0</v>
      </c>
      <c r="F74" s="154">
        <f>'C2''- Transport Secondary'!W49</f>
        <v>0</v>
      </c>
      <c r="G74" s="154">
        <f t="shared" si="10"/>
        <v>0</v>
      </c>
      <c r="H74" s="154">
        <f t="shared" si="9"/>
        <v>7.0844903999999993E-8</v>
      </c>
    </row>
    <row r="75" spans="1:8" x14ac:dyDescent="0.35">
      <c r="A75" s="1" t="s">
        <v>294</v>
      </c>
      <c r="B75" s="154">
        <f>'C2''- Transport Secondary'!X46</f>
        <v>2.9715551999999995E-3</v>
      </c>
      <c r="C75" s="154">
        <f>'C2''- Transport Secondary'!X47</f>
        <v>0</v>
      </c>
      <c r="D75" s="154">
        <f t="shared" si="8"/>
        <v>2.9715551999999995E-3</v>
      </c>
      <c r="E75" s="154">
        <f>'C2''- Transport Secondary'!X48</f>
        <v>0</v>
      </c>
      <c r="F75" s="154">
        <f>'C2''- Transport Secondary'!X49</f>
        <v>0</v>
      </c>
      <c r="G75" s="154">
        <f t="shared" si="10"/>
        <v>0</v>
      </c>
      <c r="H75" s="154">
        <f t="shared" si="9"/>
        <v>2.9715551999999995E-3</v>
      </c>
    </row>
    <row r="76" spans="1:8" x14ac:dyDescent="0.35">
      <c r="A76" s="1" t="s">
        <v>295</v>
      </c>
      <c r="B76" s="154">
        <f>'C2''- Transport Secondary'!Y46</f>
        <v>3.5036560799999998E-2</v>
      </c>
      <c r="C76" s="154">
        <f>'C2''- Transport Secondary'!Y47</f>
        <v>0</v>
      </c>
      <c r="D76" s="154">
        <f t="shared" si="8"/>
        <v>3.5036560799999998E-2</v>
      </c>
      <c r="E76" s="154">
        <f>'C2''- Transport Secondary'!Y48</f>
        <v>0</v>
      </c>
      <c r="F76" s="154">
        <f>'C2''- Transport Secondary'!Y49</f>
        <v>0</v>
      </c>
      <c r="G76" s="154">
        <f t="shared" si="10"/>
        <v>0</v>
      </c>
      <c r="H76" s="154">
        <f t="shared" si="9"/>
        <v>3.5036560799999998E-2</v>
      </c>
    </row>
    <row r="79" spans="1:8" x14ac:dyDescent="0.35">
      <c r="B79" t="s">
        <v>352</v>
      </c>
    </row>
    <row r="80" spans="1:8" x14ac:dyDescent="0.35">
      <c r="A80" s="95" t="s">
        <v>324</v>
      </c>
      <c r="B80" s="1">
        <f>SUM(G50:Y50)</f>
        <v>19.67212336575772</v>
      </c>
    </row>
    <row r="81" spans="1:2" x14ac:dyDescent="0.35">
      <c r="A81" s="95" t="s">
        <v>325</v>
      </c>
      <c r="B81" s="1">
        <f>SUM(B58:C76)+SUM(E58:F76)</f>
        <v>19.67212336575772</v>
      </c>
    </row>
    <row r="82" spans="1:2" x14ac:dyDescent="0.35">
      <c r="A82" s="95" t="s">
        <v>57</v>
      </c>
      <c r="B82" s="204">
        <f>+B80-B81</f>
        <v>0</v>
      </c>
    </row>
    <row r="83" spans="1:2" ht="14" customHeight="1" x14ac:dyDescent="0.35"/>
    <row r="84" spans="1:2" ht="14" customHeight="1" x14ac:dyDescent="0.35"/>
    <row r="85" spans="1:2" ht="14" customHeight="1" x14ac:dyDescent="0.35"/>
    <row r="86" spans="1:2" ht="14" customHeight="1" x14ac:dyDescent="0.35">
      <c r="A86" s="28" t="s">
        <v>351</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1.7043983999999999E-3</v>
      </c>
      <c r="AB109" s="87" t="e">
        <f>+AA109-Z109</f>
        <v>#REF!</v>
      </c>
    </row>
    <row r="110" spans="26:28" x14ac:dyDescent="0.35">
      <c r="Z110" t="e">
        <f>+SUM(#REF!+#REF!+#REF!+D59+G59+#REF!)</f>
        <v>#REF!</v>
      </c>
      <c r="AA110">
        <f>+$H$50</f>
        <v>1.1429629848</v>
      </c>
      <c r="AB110" s="87" t="e">
        <f t="shared" ref="AB110:AB127" si="11">+AA110-Z110</f>
        <v>#REF!</v>
      </c>
    </row>
    <row r="111" spans="26:28" x14ac:dyDescent="0.35">
      <c r="Z111" t="e">
        <f>+SUM(#REF!+#REF!+#REF!+D60+G60+#REF!)</f>
        <v>#REF!</v>
      </c>
      <c r="AA111">
        <f>+$I$50</f>
        <v>5.3417016000000006E-4</v>
      </c>
      <c r="AB111" s="87" t="e">
        <f t="shared" si="11"/>
        <v>#REF!</v>
      </c>
    </row>
    <row r="112" spans="26:28" x14ac:dyDescent="0.35">
      <c r="Z112" t="e">
        <f>+SUM(#REF!+#REF!+#REF!+D61+G61+#REF!)</f>
        <v>#REF!</v>
      </c>
      <c r="AA112">
        <f>+$J$50</f>
        <v>1.1423379024</v>
      </c>
      <c r="AB112" s="87" t="e">
        <f t="shared" si="11"/>
        <v>#REF!</v>
      </c>
    </row>
    <row r="113" spans="26:28" x14ac:dyDescent="0.35">
      <c r="Z113" t="e">
        <f>+SUM(#REF!+#REF!+#REF!+D62+G62+#REF!)</f>
        <v>#REF!</v>
      </c>
      <c r="AA113">
        <f>+$K$50</f>
        <v>9.0910799999999997E-5</v>
      </c>
      <c r="AB113" s="87" t="e">
        <f t="shared" si="11"/>
        <v>#REF!</v>
      </c>
    </row>
    <row r="114" spans="26:28" x14ac:dyDescent="0.35">
      <c r="Z114" t="e">
        <f>+SUM(#REF!+#REF!+#REF!+D63+G63+#REF!)</f>
        <v>#REF!</v>
      </c>
      <c r="AA114">
        <f>+$L$50</f>
        <v>0.98167643279999994</v>
      </c>
      <c r="AB114" s="87" t="e">
        <f t="shared" si="11"/>
        <v>#REF!</v>
      </c>
    </row>
    <row r="115" spans="26:28" x14ac:dyDescent="0.35">
      <c r="Z115" t="e">
        <f>+SUM(#REF!+#REF!+#REF!+D64+G64+#REF!)</f>
        <v>#REF!</v>
      </c>
      <c r="AA115">
        <f>+$M$50</f>
        <v>15.383093471999999</v>
      </c>
      <c r="AB115" s="87" t="e">
        <f t="shared" si="11"/>
        <v>#REF!</v>
      </c>
    </row>
    <row r="116" spans="26:28" x14ac:dyDescent="0.35">
      <c r="Z116" t="e">
        <f>+SUM(#REF!+#REF!+#REF!+D65+G65+#REF!)</f>
        <v>#REF!</v>
      </c>
      <c r="AA116">
        <f>+N$50</f>
        <v>2.6659368E-5</v>
      </c>
      <c r="AB116" s="87" t="e">
        <f t="shared" si="11"/>
        <v>#REF!</v>
      </c>
    </row>
    <row r="117" spans="26:28" x14ac:dyDescent="0.35">
      <c r="Z117" t="e">
        <f>+SUM(#REF!+#REF!+#REF!+D66+G66+#REF!)</f>
        <v>#REF!</v>
      </c>
      <c r="AA117">
        <f>+$O$50</f>
        <v>3.7149983999999997E-4</v>
      </c>
      <c r="AB117" s="87" t="e">
        <f t="shared" si="11"/>
        <v>#REF!</v>
      </c>
    </row>
    <row r="118" spans="26:28" x14ac:dyDescent="0.35">
      <c r="Z118" t="e">
        <f>+SUM(#REF!+#REF!+#REF!+D67+G67+#REF!)</f>
        <v>#REF!</v>
      </c>
      <c r="AA118">
        <f>+$P$50</f>
        <v>4.0211496000000001E-3</v>
      </c>
      <c r="AB118" s="87" t="e">
        <f t="shared" si="11"/>
        <v>#REF!</v>
      </c>
    </row>
    <row r="119" spans="26:28" x14ac:dyDescent="0.35">
      <c r="Z119" t="e">
        <f>+SUM(#REF!+#REF!+#REF!+D68+G68+#REF!)</f>
        <v>#REF!</v>
      </c>
      <c r="AA119">
        <f>+$Q$50</f>
        <v>1.0130183999999999E-10</v>
      </c>
      <c r="AB119" s="87" t="e">
        <f t="shared" si="11"/>
        <v>#REF!</v>
      </c>
    </row>
    <row r="120" spans="26:28" x14ac:dyDescent="0.35">
      <c r="Z120" t="e">
        <f>+SUM(#REF!+#REF!+#REF!+D69+G69+#REF!)</f>
        <v>#REF!</v>
      </c>
      <c r="AA120">
        <f>+$R$50</f>
        <v>8.2424160000000005E-9</v>
      </c>
      <c r="AB120" s="87" t="e">
        <f t="shared" si="11"/>
        <v>#REF!</v>
      </c>
    </row>
    <row r="121" spans="26:28" x14ac:dyDescent="0.35">
      <c r="Z121" t="e">
        <f>+SUM(#REF!+#REF!+#REF!+D70+G70+#REF!)</f>
        <v>#REF!</v>
      </c>
      <c r="AA121">
        <f>+$S$50</f>
        <v>6.9754032000000007E-3</v>
      </c>
      <c r="AB121" s="87" t="e">
        <f t="shared" si="11"/>
        <v>#REF!</v>
      </c>
    </row>
    <row r="122" spans="26:28" x14ac:dyDescent="0.35">
      <c r="Z122" t="e">
        <f>+SUM(#REF!+#REF!+#REF!+D71+G71+#REF!)</f>
        <v>#REF!</v>
      </c>
      <c r="AA122">
        <f>+$T$50</f>
        <v>0.97031890079999994</v>
      </c>
      <c r="AB122" s="87" t="e">
        <f t="shared" si="11"/>
        <v>#REF!</v>
      </c>
    </row>
    <row r="123" spans="26:28" x14ac:dyDescent="0.35">
      <c r="Z123" t="e">
        <f>+SUM(#REF!+#REF!+#REF!+D72+G72+#REF!)</f>
        <v>#REF!</v>
      </c>
      <c r="AA123">
        <f>+$U$50</f>
        <v>1.2609863999999999E-6</v>
      </c>
      <c r="AB123" s="87" t="e">
        <f t="shared" si="11"/>
        <v>#REF!</v>
      </c>
    </row>
    <row r="124" spans="26:28" x14ac:dyDescent="0.35">
      <c r="Z124" t="e">
        <f>+SUM(#REF!+#REF!+#REF!+D73+G73+#REF!)</f>
        <v>#REF!</v>
      </c>
      <c r="AA124">
        <f>+$V$50</f>
        <v>2.5414703999999998E-8</v>
      </c>
      <c r="AB124" s="87" t="e">
        <f t="shared" si="11"/>
        <v>#REF!</v>
      </c>
    </row>
    <row r="125" spans="26:28" x14ac:dyDescent="0.35">
      <c r="Z125" t="e">
        <f>+SUM(#REF!+#REF!+#REF!+D74+G74+#REF!)</f>
        <v>#REF!</v>
      </c>
      <c r="AA125">
        <f>+$W$50</f>
        <v>7.0844903999999993E-8</v>
      </c>
      <c r="AB125" s="87" t="e">
        <f t="shared" si="11"/>
        <v>#REF!</v>
      </c>
    </row>
    <row r="126" spans="26:28" x14ac:dyDescent="0.35">
      <c r="Z126" t="e">
        <f>+SUM(#REF!+#REF!+#REF!+D75+G75+#REF!)</f>
        <v>#REF!</v>
      </c>
      <c r="AA126">
        <f>+$X$50</f>
        <v>2.9715551999999995E-3</v>
      </c>
      <c r="AB126" s="87" t="e">
        <f t="shared" si="11"/>
        <v>#REF!</v>
      </c>
    </row>
    <row r="127" spans="26:28" x14ac:dyDescent="0.35">
      <c r="Z127" t="e">
        <f>+SUM(#REF!+#REF!+#REF!+D76+G76+#REF!)</f>
        <v>#REF!</v>
      </c>
      <c r="AA127">
        <f>+$Y$50</f>
        <v>3.5036560799999998E-2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371</v>
      </c>
      <c r="B2" s="27"/>
    </row>
    <row r="3" spans="1:4" ht="23.5" x14ac:dyDescent="0.55000000000000004">
      <c r="A3" s="110"/>
      <c r="B3" s="27"/>
    </row>
    <row r="4" spans="1:4" ht="18.5" x14ac:dyDescent="0.45">
      <c r="A4" s="74" t="s">
        <v>982</v>
      </c>
      <c r="B4" s="27"/>
    </row>
    <row r="5" spans="1:4" ht="18.5" x14ac:dyDescent="0.45">
      <c r="A5" s="78"/>
      <c r="B5" s="27"/>
    </row>
    <row r="6" spans="1:4" s="43" customFormat="1" x14ac:dyDescent="0.35">
      <c r="A6" s="62" t="s">
        <v>372</v>
      </c>
      <c r="B6" s="295" t="s">
        <v>373</v>
      </c>
      <c r="C6" s="296" t="s">
        <v>328</v>
      </c>
      <c r="D6" s="297" t="s">
        <v>530</v>
      </c>
    </row>
    <row r="7" spans="1:4" x14ac:dyDescent="0.35">
      <c r="A7" s="2" t="s">
        <v>374</v>
      </c>
      <c r="B7" s="90" t="s">
        <v>531</v>
      </c>
      <c r="C7" s="202" t="s">
        <v>376</v>
      </c>
      <c r="D7" s="30" t="s">
        <v>377</v>
      </c>
    </row>
    <row r="8" spans="1:4" x14ac:dyDescent="0.35">
      <c r="A8" s="2" t="s">
        <v>378</v>
      </c>
      <c r="B8" s="90">
        <v>1</v>
      </c>
      <c r="C8" s="198"/>
      <c r="D8" s="1"/>
    </row>
    <row r="9" spans="1:4" x14ac:dyDescent="0.35">
      <c r="A9" s="2" t="s">
        <v>409</v>
      </c>
      <c r="B9" s="90">
        <v>263.2</v>
      </c>
      <c r="C9" s="141" t="s">
        <v>376</v>
      </c>
      <c r="D9" s="30" t="s">
        <v>377</v>
      </c>
    </row>
    <row r="10" spans="1:4" x14ac:dyDescent="0.35">
      <c r="A10" s="2" t="s">
        <v>379</v>
      </c>
      <c r="B10" s="90">
        <v>0.51</v>
      </c>
      <c r="C10" s="141" t="s">
        <v>380</v>
      </c>
      <c r="D10" s="1"/>
    </row>
    <row r="11" spans="1:4" x14ac:dyDescent="0.35">
      <c r="A11" s="2" t="s">
        <v>532</v>
      </c>
      <c r="B11" s="152">
        <f>Input!$B$22/1000</f>
        <v>2.4</v>
      </c>
      <c r="C11" s="141" t="s">
        <v>533</v>
      </c>
      <c r="D11" s="1"/>
    </row>
    <row r="12" spans="1:4" x14ac:dyDescent="0.35">
      <c r="A12" s="1" t="s">
        <v>381</v>
      </c>
      <c r="B12" s="90">
        <v>0.25</v>
      </c>
      <c r="C12" s="199" t="s">
        <v>382</v>
      </c>
      <c r="D12" s="30" t="s">
        <v>534</v>
      </c>
    </row>
    <row r="13" spans="1:4" x14ac:dyDescent="0.35">
      <c r="A13" s="2" t="s">
        <v>387</v>
      </c>
      <c r="B13" s="90">
        <v>0.45</v>
      </c>
      <c r="C13" s="141" t="s">
        <v>388</v>
      </c>
      <c r="D13" s="1"/>
    </row>
    <row r="14" spans="1:4" x14ac:dyDescent="0.35">
      <c r="A14" s="2" t="s">
        <v>389</v>
      </c>
      <c r="B14" s="152">
        <f>60/$B$13</f>
        <v>133.33333333333334</v>
      </c>
      <c r="C14" s="141"/>
      <c r="D14" s="1"/>
    </row>
    <row r="15" spans="1:4" s="11" customFormat="1" x14ac:dyDescent="0.35">
      <c r="A15" s="2" t="s">
        <v>390</v>
      </c>
      <c r="B15" s="90">
        <v>5.4</v>
      </c>
      <c r="C15" s="202" t="s">
        <v>376</v>
      </c>
      <c r="D15" s="30" t="s">
        <v>377</v>
      </c>
    </row>
    <row r="16" spans="1:4" s="11" customFormat="1" x14ac:dyDescent="0.35">
      <c r="A16" s="61" t="s">
        <v>535</v>
      </c>
      <c r="B16" s="160">
        <f>$B$11*$B$14*$B$15</f>
        <v>1728</v>
      </c>
      <c r="C16" s="200" t="s">
        <v>536</v>
      </c>
      <c r="D16" s="8"/>
    </row>
    <row r="17" spans="1:26" s="11" customFormat="1" ht="14" customHeight="1" x14ac:dyDescent="0.35">
      <c r="A17" s="61" t="s">
        <v>394</v>
      </c>
      <c r="B17" s="160">
        <f>$B$9*$B$10*$B$12</f>
        <v>33.558</v>
      </c>
      <c r="C17" s="200" t="s">
        <v>395</v>
      </c>
      <c r="D17" s="13" t="s">
        <v>396</v>
      </c>
    </row>
    <row r="18" spans="1:26" s="11" customFormat="1" x14ac:dyDescent="0.35">
      <c r="A18" s="65"/>
      <c r="B18" s="65"/>
      <c r="C18" s="24"/>
      <c r="D18" s="8"/>
    </row>
    <row r="19" spans="1:26" s="11" customFormat="1" x14ac:dyDescent="0.35">
      <c r="A19" s="1" t="s">
        <v>369</v>
      </c>
      <c r="B19" s="90">
        <v>0.51</v>
      </c>
      <c r="C19" s="49" t="s">
        <v>380</v>
      </c>
      <c r="D19" s="8"/>
    </row>
    <row r="20" spans="1:26" s="11" customFormat="1" x14ac:dyDescent="0.35">
      <c r="A20" s="29"/>
      <c r="B20" s="41"/>
    </row>
    <row r="21" spans="1:26" s="11" customFormat="1" x14ac:dyDescent="0.35">
      <c r="A21" s="62" t="s">
        <v>439</v>
      </c>
      <c r="B21" s="62" t="s">
        <v>535</v>
      </c>
      <c r="C21" s="298" t="s">
        <v>394</v>
      </c>
      <c r="D21" s="299" t="s">
        <v>537</v>
      </c>
      <c r="E21" s="299" t="s">
        <v>409</v>
      </c>
    </row>
    <row r="22" spans="1:26" s="11" customFormat="1" x14ac:dyDescent="0.35">
      <c r="A22" s="1" t="s">
        <v>448</v>
      </c>
      <c r="B22" s="174">
        <v>0</v>
      </c>
      <c r="C22" s="174">
        <v>0</v>
      </c>
      <c r="D22" s="170">
        <v>0</v>
      </c>
      <c r="E22" s="170">
        <v>0</v>
      </c>
    </row>
    <row r="23" spans="1:26" s="11" customFormat="1" ht="14" customHeight="1" x14ac:dyDescent="0.35">
      <c r="A23" s="56" t="s">
        <v>34</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983</v>
      </c>
    </row>
    <row r="27" spans="1:26" s="3" customFormat="1" ht="93.65" customHeight="1" x14ac:dyDescent="0.35">
      <c r="A27" s="302" t="s">
        <v>449</v>
      </c>
      <c r="B27" s="302" t="s">
        <v>450</v>
      </c>
      <c r="C27" s="302" t="s">
        <v>451</v>
      </c>
      <c r="D27" s="302" t="s">
        <v>452</v>
      </c>
      <c r="E27" s="302" t="s">
        <v>616</v>
      </c>
      <c r="F27" s="302" t="s">
        <v>537</v>
      </c>
      <c r="G27" s="302" t="s">
        <v>409</v>
      </c>
      <c r="H27" s="302" t="s">
        <v>277</v>
      </c>
      <c r="I27" s="302" t="s">
        <v>278</v>
      </c>
      <c r="J27" s="302" t="s">
        <v>279</v>
      </c>
      <c r="K27" s="302" t="s">
        <v>280</v>
      </c>
      <c r="L27" s="302" t="s">
        <v>281</v>
      </c>
      <c r="M27" s="302" t="s">
        <v>282</v>
      </c>
      <c r="N27" s="302" t="s">
        <v>283</v>
      </c>
      <c r="O27" s="302" t="s">
        <v>284</v>
      </c>
      <c r="P27" s="302" t="s">
        <v>285</v>
      </c>
      <c r="Q27" s="302" t="s">
        <v>286</v>
      </c>
      <c r="R27" s="302" t="s">
        <v>287</v>
      </c>
      <c r="S27" s="302" t="s">
        <v>288</v>
      </c>
      <c r="T27" s="302" t="s">
        <v>289</v>
      </c>
      <c r="U27" s="302" t="s">
        <v>290</v>
      </c>
      <c r="V27" s="302" t="s">
        <v>291</v>
      </c>
      <c r="W27" s="302" t="s">
        <v>292</v>
      </c>
      <c r="X27" s="302" t="s">
        <v>293</v>
      </c>
      <c r="Y27" s="302" t="s">
        <v>294</v>
      </c>
      <c r="Z27" s="302" t="s">
        <v>295</v>
      </c>
    </row>
    <row r="28" spans="1:26" x14ac:dyDescent="0.35">
      <c r="A28" s="13" t="s">
        <v>617</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1030</v>
      </c>
      <c r="B31" s="24"/>
      <c r="C31" s="65"/>
    </row>
    <row r="32" spans="1:26" s="11" customFormat="1" ht="13.75" customHeight="1" x14ac:dyDescent="0.35">
      <c r="A32" s="352" t="s">
        <v>30</v>
      </c>
      <c r="B32" s="230">
        <v>11.2</v>
      </c>
      <c r="C32" s="65"/>
    </row>
    <row r="33" spans="1:7" s="11" customFormat="1" x14ac:dyDescent="0.35">
      <c r="A33" s="34"/>
      <c r="B33" s="3"/>
      <c r="C33" s="47"/>
    </row>
    <row r="34" spans="1:7" s="11" customFormat="1" ht="14" customHeight="1" x14ac:dyDescent="0.35">
      <c r="A34" s="298" t="s">
        <v>28</v>
      </c>
      <c r="B34" s="62" t="s">
        <v>538</v>
      </c>
      <c r="C34" s="299" t="s">
        <v>539</v>
      </c>
      <c r="D34" s="299" t="s">
        <v>540</v>
      </c>
    </row>
    <row r="35" spans="1:7" s="11" customFormat="1" x14ac:dyDescent="0.35">
      <c r="A35" s="2" t="s">
        <v>541</v>
      </c>
      <c r="B35" s="96">
        <v>175</v>
      </c>
      <c r="C35" s="30"/>
      <c r="D35" s="30" t="s">
        <v>542</v>
      </c>
    </row>
    <row r="36" spans="1:7" s="11" customFormat="1" x14ac:dyDescent="0.35">
      <c r="A36" s="2" t="s">
        <v>543</v>
      </c>
      <c r="B36" s="96">
        <v>135</v>
      </c>
      <c r="C36" s="30"/>
      <c r="D36" s="30" t="s">
        <v>542</v>
      </c>
    </row>
    <row r="37" spans="1:7" x14ac:dyDescent="0.35">
      <c r="A37" s="61" t="s">
        <v>544</v>
      </c>
      <c r="B37" s="96">
        <v>85</v>
      </c>
      <c r="C37" s="1"/>
      <c r="D37" s="1"/>
      <c r="G37" s="11"/>
    </row>
    <row r="38" spans="1:7" ht="18.5" x14ac:dyDescent="0.45">
      <c r="A38" s="78"/>
      <c r="G38" s="11"/>
    </row>
    <row r="39" spans="1:7" ht="23.5" x14ac:dyDescent="0.55000000000000004">
      <c r="A39" s="110" t="s">
        <v>981</v>
      </c>
      <c r="G39" s="11"/>
    </row>
    <row r="40" spans="1:7" ht="18.5" x14ac:dyDescent="0.45">
      <c r="A40" s="78"/>
      <c r="G40" s="11"/>
    </row>
    <row r="41" spans="1:7" ht="14" customHeight="1" x14ac:dyDescent="0.35">
      <c r="A41" s="298" t="s">
        <v>545</v>
      </c>
      <c r="B41" s="62" t="s">
        <v>538</v>
      </c>
    </row>
    <row r="42" spans="1:7" x14ac:dyDescent="0.35">
      <c r="A42" s="2" t="str">
        <f>Input!$B$21</f>
        <v>145°C - 185°C</v>
      </c>
      <c r="B42" s="174" t="e">
        <f>INDEX($B$35:$B$37,MATCH(Input!$B$21,'A3 - Production '!$A$35:$A$37,0))</f>
        <v>#N/A</v>
      </c>
    </row>
    <row r="43" spans="1:7" x14ac:dyDescent="0.35">
      <c r="A43" s="29"/>
      <c r="B43" s="29"/>
    </row>
    <row r="44" spans="1:7" ht="23.5" x14ac:dyDescent="0.55000000000000004">
      <c r="A44" s="110" t="s">
        <v>546</v>
      </c>
      <c r="B44" s="27"/>
    </row>
    <row r="45" spans="1:7" ht="18.5" x14ac:dyDescent="0.45">
      <c r="A45" s="78"/>
      <c r="B45" s="27"/>
    </row>
    <row r="46" spans="1:7" x14ac:dyDescent="0.35">
      <c r="A46" s="299" t="s">
        <v>372</v>
      </c>
      <c r="B46" s="62" t="s">
        <v>56</v>
      </c>
      <c r="C46" s="62" t="s">
        <v>547</v>
      </c>
      <c r="D46" s="62" t="s">
        <v>548</v>
      </c>
      <c r="E46" s="62" t="s">
        <v>328</v>
      </c>
    </row>
    <row r="47" spans="1:7" ht="14" customHeight="1" x14ac:dyDescent="0.35">
      <c r="A47" s="1" t="s">
        <v>549</v>
      </c>
      <c r="B47" s="1" t="s">
        <v>25</v>
      </c>
      <c r="C47" s="1" t="s">
        <v>550</v>
      </c>
      <c r="D47" s="96">
        <v>6.1</v>
      </c>
      <c r="E47" s="30" t="s">
        <v>551</v>
      </c>
    </row>
    <row r="49" spans="1:4" ht="23.5" x14ac:dyDescent="0.55000000000000004">
      <c r="A49" s="100" t="s">
        <v>552</v>
      </c>
    </row>
    <row r="50" spans="1:4" ht="18.5" x14ac:dyDescent="0.45">
      <c r="A50" s="77"/>
    </row>
    <row r="51" spans="1:4" x14ac:dyDescent="0.35">
      <c r="A51" s="62" t="s">
        <v>372</v>
      </c>
      <c r="B51" s="62" t="s">
        <v>553</v>
      </c>
      <c r="C51" s="62" t="s">
        <v>152</v>
      </c>
      <c r="D51" s="62" t="s">
        <v>328</v>
      </c>
    </row>
    <row r="52" spans="1:4" x14ac:dyDescent="0.35">
      <c r="A52" s="1" t="s">
        <v>554</v>
      </c>
      <c r="B52" s="96">
        <v>0.27777800000000002</v>
      </c>
      <c r="C52" s="1" t="s">
        <v>555</v>
      </c>
      <c r="D52" s="30" t="s">
        <v>1019</v>
      </c>
    </row>
    <row r="53" spans="1:4" x14ac:dyDescent="0.35">
      <c r="A53" s="13" t="s">
        <v>1020</v>
      </c>
      <c r="B53" s="161">
        <v>8.3330000000000001E-3</v>
      </c>
      <c r="C53" s="1" t="s">
        <v>556</v>
      </c>
      <c r="D53" s="30" t="s">
        <v>1021</v>
      </c>
    </row>
    <row r="54" spans="1:4" x14ac:dyDescent="0.35">
      <c r="A54" s="24"/>
    </row>
    <row r="55" spans="1:4" ht="23.5" x14ac:dyDescent="0.55000000000000004">
      <c r="A55" s="115" t="s">
        <v>557</v>
      </c>
    </row>
    <row r="56" spans="1:4" ht="18" customHeight="1" x14ac:dyDescent="0.55000000000000004">
      <c r="A56" s="115"/>
    </row>
    <row r="57" spans="1:4" ht="18.5" x14ac:dyDescent="0.45">
      <c r="A57" s="74" t="s">
        <v>558</v>
      </c>
    </row>
    <row r="58" spans="1:4" ht="16" x14ac:dyDescent="0.4">
      <c r="A58" s="81"/>
    </row>
    <row r="59" spans="1:4" x14ac:dyDescent="0.35">
      <c r="A59" s="62" t="s">
        <v>559</v>
      </c>
      <c r="B59" s="62" t="s">
        <v>560</v>
      </c>
      <c r="C59" s="62" t="s">
        <v>561</v>
      </c>
      <c r="D59" s="62" t="s">
        <v>329</v>
      </c>
    </row>
    <row r="60" spans="1:4" ht="14" customHeight="1" x14ac:dyDescent="0.35">
      <c r="A60" s="1" t="s">
        <v>562</v>
      </c>
      <c r="B60" s="130">
        <v>0.3</v>
      </c>
      <c r="D60" s="123" t="s">
        <v>563</v>
      </c>
    </row>
    <row r="61" spans="1:4" x14ac:dyDescent="0.35">
      <c r="A61" s="1" t="s">
        <v>564</v>
      </c>
      <c r="B61" s="154">
        <f>'A3 - Production '!$B$32</f>
        <v>11.2</v>
      </c>
      <c r="C61" s="1"/>
    </row>
    <row r="62" spans="1:4" x14ac:dyDescent="0.35">
      <c r="A62" s="13" t="s">
        <v>565</v>
      </c>
      <c r="B62" s="96">
        <v>4.1900000000000004</v>
      </c>
      <c r="C62" s="1"/>
    </row>
    <row r="63" spans="1:4" x14ac:dyDescent="0.35">
      <c r="A63" s="13" t="s">
        <v>566</v>
      </c>
      <c r="B63" s="96">
        <v>2257</v>
      </c>
      <c r="C63" s="1"/>
    </row>
    <row r="64" spans="1:4" x14ac:dyDescent="0.35">
      <c r="A64" s="13" t="s">
        <v>567</v>
      </c>
      <c r="B64" s="96">
        <v>2.0950000000000002</v>
      </c>
      <c r="C64" s="1"/>
    </row>
    <row r="66" spans="1:4" ht="18.5" x14ac:dyDescent="0.45">
      <c r="A66" s="116" t="s">
        <v>568</v>
      </c>
    </row>
    <row r="68" spans="1:4" ht="19.25" customHeight="1" x14ac:dyDescent="0.35">
      <c r="A68" s="62" t="s">
        <v>275</v>
      </c>
      <c r="B68" s="62" t="s">
        <v>569</v>
      </c>
      <c r="C68" s="62" t="s">
        <v>570</v>
      </c>
      <c r="D68" s="107" t="s">
        <v>561</v>
      </c>
    </row>
    <row r="69" spans="1:4" ht="168.65" customHeight="1" x14ac:dyDescent="0.35">
      <c r="A69" s="13" t="s">
        <v>59</v>
      </c>
      <c r="B69" s="97">
        <v>2.093</v>
      </c>
      <c r="C69" s="342">
        <v>165</v>
      </c>
      <c r="D69" s="343" t="s">
        <v>1018</v>
      </c>
    </row>
    <row r="70" spans="1:4" x14ac:dyDescent="0.35">
      <c r="A70" s="13" t="s">
        <v>571</v>
      </c>
      <c r="B70" s="97">
        <v>2.2999999999999998</v>
      </c>
      <c r="C70" s="97">
        <v>185</v>
      </c>
      <c r="D70" s="344"/>
    </row>
    <row r="71" spans="1:4" x14ac:dyDescent="0.35">
      <c r="A71" s="1" t="s">
        <v>61</v>
      </c>
      <c r="B71" s="96">
        <v>0.91</v>
      </c>
      <c r="C71" s="96" t="e">
        <f>$B$42</f>
        <v>#N/A</v>
      </c>
      <c r="D71" s="344"/>
    </row>
    <row r="72" spans="1:4" x14ac:dyDescent="0.35">
      <c r="A72" s="1" t="s">
        <v>64</v>
      </c>
      <c r="B72" s="96">
        <v>0.91</v>
      </c>
      <c r="C72" s="96" t="e">
        <f t="shared" ref="C72:C83" si="0">$B$42</f>
        <v>#N/A</v>
      </c>
      <c r="D72" s="344"/>
    </row>
    <row r="73" spans="1:4" x14ac:dyDescent="0.35">
      <c r="A73" s="1" t="s">
        <v>65</v>
      </c>
      <c r="B73" s="96">
        <v>0.91</v>
      </c>
      <c r="C73" s="96" t="e">
        <f t="shared" si="0"/>
        <v>#N/A</v>
      </c>
      <c r="D73" s="344"/>
    </row>
    <row r="74" spans="1:4" x14ac:dyDescent="0.35">
      <c r="A74" s="1" t="s">
        <v>66</v>
      </c>
      <c r="B74" s="96">
        <v>0.91</v>
      </c>
      <c r="C74" s="96" t="e">
        <f t="shared" si="0"/>
        <v>#N/A</v>
      </c>
      <c r="D74" s="344"/>
    </row>
    <row r="75" spans="1:4" x14ac:dyDescent="0.35">
      <c r="A75" s="1" t="s">
        <v>69</v>
      </c>
      <c r="B75" s="96">
        <v>0.91</v>
      </c>
      <c r="C75" s="96" t="e">
        <f t="shared" si="0"/>
        <v>#N/A</v>
      </c>
      <c r="D75" s="344"/>
    </row>
    <row r="76" spans="1:4" x14ac:dyDescent="0.35">
      <c r="A76" s="1" t="s">
        <v>70</v>
      </c>
      <c r="B76" s="96">
        <v>0.91</v>
      </c>
      <c r="C76" s="96" t="e">
        <f t="shared" si="0"/>
        <v>#N/A</v>
      </c>
      <c r="D76" s="344"/>
    </row>
    <row r="77" spans="1:4" x14ac:dyDescent="0.35">
      <c r="A77" s="13" t="s">
        <v>71</v>
      </c>
      <c r="B77" s="96">
        <v>0.8</v>
      </c>
      <c r="C77" s="96" t="e">
        <f t="shared" si="0"/>
        <v>#N/A</v>
      </c>
      <c r="D77" s="344"/>
    </row>
    <row r="78" spans="1:4" x14ac:dyDescent="0.35">
      <c r="A78" s="13" t="s">
        <v>73</v>
      </c>
      <c r="B78" s="96">
        <v>0.8</v>
      </c>
      <c r="C78" s="96" t="e">
        <f t="shared" si="0"/>
        <v>#N/A</v>
      </c>
      <c r="D78" s="344"/>
    </row>
    <row r="79" spans="1:4" x14ac:dyDescent="0.35">
      <c r="A79" s="13" t="s">
        <v>74</v>
      </c>
      <c r="B79" s="96">
        <v>0.8</v>
      </c>
      <c r="C79" s="96" t="e">
        <f t="shared" si="0"/>
        <v>#N/A</v>
      </c>
      <c r="D79" s="344"/>
    </row>
    <row r="80" spans="1:4" x14ac:dyDescent="0.35">
      <c r="A80" s="13" t="s">
        <v>76</v>
      </c>
      <c r="B80" s="96">
        <v>0.91</v>
      </c>
      <c r="C80" s="96" t="e">
        <f t="shared" si="0"/>
        <v>#N/A</v>
      </c>
      <c r="D80" s="344"/>
    </row>
    <row r="81" spans="1:4" x14ac:dyDescent="0.35">
      <c r="A81" s="13" t="s">
        <v>572</v>
      </c>
      <c r="B81" s="96">
        <v>0.84</v>
      </c>
      <c r="C81" s="96" t="e">
        <f t="shared" si="0"/>
        <v>#N/A</v>
      </c>
      <c r="D81" s="344"/>
    </row>
    <row r="82" spans="1:4" x14ac:dyDescent="0.35">
      <c r="A82" s="13" t="s">
        <v>573</v>
      </c>
      <c r="B82" s="96">
        <v>0.84</v>
      </c>
      <c r="C82" s="96" t="e">
        <f t="shared" si="0"/>
        <v>#N/A</v>
      </c>
      <c r="D82" s="344"/>
    </row>
    <row r="83" spans="1:4" x14ac:dyDescent="0.35">
      <c r="A83" s="13" t="s">
        <v>574</v>
      </c>
      <c r="B83" s="96">
        <v>0</v>
      </c>
      <c r="C83" s="96" t="e">
        <f t="shared" si="0"/>
        <v>#N/A</v>
      </c>
      <c r="D83" s="344"/>
    </row>
    <row r="84" spans="1:4" x14ac:dyDescent="0.35">
      <c r="A84" s="13" t="s">
        <v>79</v>
      </c>
      <c r="B84" s="96">
        <v>0.92</v>
      </c>
      <c r="C84" s="96">
        <v>130</v>
      </c>
      <c r="D84" s="344"/>
    </row>
    <row r="85" spans="1:4" x14ac:dyDescent="0.35">
      <c r="A85" s="1" t="s">
        <v>81</v>
      </c>
      <c r="B85" s="96">
        <v>0.92</v>
      </c>
      <c r="C85" s="96">
        <v>130</v>
      </c>
      <c r="D85" s="344"/>
    </row>
    <row r="86" spans="1:4" x14ac:dyDescent="0.35">
      <c r="A86" s="1" t="s">
        <v>575</v>
      </c>
      <c r="B86" s="96">
        <v>0.85</v>
      </c>
      <c r="C86" s="96" t="e">
        <f>$B$42</f>
        <v>#N/A</v>
      </c>
      <c r="D86" s="344"/>
    </row>
    <row r="87" spans="1:4" x14ac:dyDescent="0.35">
      <c r="A87" s="1" t="s">
        <v>83</v>
      </c>
      <c r="B87" s="96">
        <v>0.75</v>
      </c>
      <c r="C87" s="96" t="e">
        <f>$B$42</f>
        <v>#N/A</v>
      </c>
      <c r="D87" s="344"/>
    </row>
    <row r="88" spans="1:4" x14ac:dyDescent="0.35">
      <c r="A88" s="1" t="s">
        <v>576</v>
      </c>
      <c r="B88" s="96">
        <v>2.2999999999999998</v>
      </c>
      <c r="C88" s="96">
        <v>160</v>
      </c>
      <c r="D88" s="344"/>
    </row>
    <row r="89" spans="1:4" x14ac:dyDescent="0.35">
      <c r="A89" s="1" t="s">
        <v>577</v>
      </c>
      <c r="B89" s="96">
        <v>1</v>
      </c>
      <c r="C89" s="96">
        <v>0</v>
      </c>
      <c r="D89" s="344"/>
    </row>
    <row r="90" spans="1:4" x14ac:dyDescent="0.35">
      <c r="A90" s="1" t="s">
        <v>89</v>
      </c>
      <c r="B90" s="96">
        <v>1</v>
      </c>
      <c r="C90" s="96">
        <v>0</v>
      </c>
      <c r="D90" s="344"/>
    </row>
    <row r="91" spans="1:4" x14ac:dyDescent="0.35">
      <c r="A91" s="1" t="s">
        <v>578</v>
      </c>
      <c r="B91" s="96">
        <v>1</v>
      </c>
      <c r="C91" s="96">
        <v>160</v>
      </c>
      <c r="D91" s="344"/>
    </row>
    <row r="92" spans="1:4" x14ac:dyDescent="0.35">
      <c r="A92" s="1" t="s">
        <v>92</v>
      </c>
      <c r="B92" s="96">
        <v>1</v>
      </c>
      <c r="C92" s="96">
        <v>160</v>
      </c>
      <c r="D92" s="344"/>
    </row>
    <row r="93" spans="1:4" x14ac:dyDescent="0.35">
      <c r="A93" s="1" t="s">
        <v>579</v>
      </c>
      <c r="B93" s="96">
        <v>1.3</v>
      </c>
      <c r="C93" s="96">
        <v>160</v>
      </c>
      <c r="D93" s="344"/>
    </row>
    <row r="94" spans="1:4" x14ac:dyDescent="0.35">
      <c r="A94" s="1" t="s">
        <v>87</v>
      </c>
      <c r="B94" s="96">
        <v>0.45</v>
      </c>
      <c r="C94" s="96">
        <v>165</v>
      </c>
      <c r="D94" s="89"/>
    </row>
    <row r="97" spans="1:3" ht="18.5" x14ac:dyDescent="0.45">
      <c r="A97" s="74" t="s">
        <v>580</v>
      </c>
    </row>
    <row r="98" spans="1:3" ht="16" x14ac:dyDescent="0.4">
      <c r="A98" s="81"/>
    </row>
    <row r="99" spans="1:3" x14ac:dyDescent="0.35">
      <c r="A99" s="413" t="s">
        <v>581</v>
      </c>
      <c r="B99" s="413"/>
      <c r="C99" s="413"/>
    </row>
    <row r="100" spans="1:3" x14ac:dyDescent="0.35">
      <c r="A100" s="62" t="s">
        <v>275</v>
      </c>
      <c r="B100" s="62" t="s">
        <v>582</v>
      </c>
      <c r="C100" s="62" t="s">
        <v>583</v>
      </c>
    </row>
    <row r="101" spans="1:3" x14ac:dyDescent="0.35">
      <c r="A101" s="1" t="s">
        <v>61</v>
      </c>
      <c r="B101" s="1" t="s">
        <v>24</v>
      </c>
      <c r="C101" s="118">
        <v>0</v>
      </c>
    </row>
    <row r="102" spans="1:3" x14ac:dyDescent="0.35">
      <c r="A102" s="1" t="s">
        <v>61</v>
      </c>
      <c r="B102" s="1" t="s">
        <v>27</v>
      </c>
      <c r="C102" s="118">
        <v>0.02</v>
      </c>
    </row>
    <row r="103" spans="1:3" x14ac:dyDescent="0.35">
      <c r="A103" s="1" t="s">
        <v>64</v>
      </c>
      <c r="B103" s="1" t="s">
        <v>24</v>
      </c>
      <c r="C103" s="118">
        <v>0</v>
      </c>
    </row>
    <row r="104" spans="1:3" x14ac:dyDescent="0.35">
      <c r="A104" s="1" t="s">
        <v>64</v>
      </c>
      <c r="B104" s="1" t="s">
        <v>27</v>
      </c>
      <c r="C104" s="118">
        <v>0.02</v>
      </c>
    </row>
    <row r="105" spans="1:3" x14ac:dyDescent="0.35">
      <c r="A105" s="1" t="s">
        <v>65</v>
      </c>
      <c r="B105" s="1" t="s">
        <v>24</v>
      </c>
      <c r="C105" s="118">
        <v>0</v>
      </c>
    </row>
    <row r="106" spans="1:3" x14ac:dyDescent="0.35">
      <c r="A106" s="1" t="s">
        <v>65</v>
      </c>
      <c r="B106" s="1" t="s">
        <v>27</v>
      </c>
      <c r="C106" s="118">
        <v>0.02</v>
      </c>
    </row>
    <row r="107" spans="1:3" x14ac:dyDescent="0.35">
      <c r="A107" s="1" t="s">
        <v>66</v>
      </c>
      <c r="B107" s="1" t="s">
        <v>24</v>
      </c>
      <c r="C107" s="118">
        <v>0.03</v>
      </c>
    </row>
    <row r="108" spans="1:3" x14ac:dyDescent="0.35">
      <c r="A108" s="1" t="s">
        <v>66</v>
      </c>
      <c r="B108" s="1" t="s">
        <v>27</v>
      </c>
      <c r="C108" s="118">
        <v>0.05</v>
      </c>
    </row>
    <row r="109" spans="1:3" x14ac:dyDescent="0.35">
      <c r="A109" s="1" t="s">
        <v>69</v>
      </c>
      <c r="B109" s="1" t="s">
        <v>24</v>
      </c>
      <c r="C109" s="118">
        <v>0.03</v>
      </c>
    </row>
    <row r="110" spans="1:3" x14ac:dyDescent="0.35">
      <c r="A110" s="1" t="s">
        <v>69</v>
      </c>
      <c r="B110" s="1" t="s">
        <v>27</v>
      </c>
      <c r="C110" s="118">
        <v>0.05</v>
      </c>
    </row>
    <row r="111" spans="1:3" x14ac:dyDescent="0.35">
      <c r="A111" s="1" t="s">
        <v>70</v>
      </c>
      <c r="B111" s="1" t="s">
        <v>24</v>
      </c>
      <c r="C111" s="118">
        <v>0.03</v>
      </c>
    </row>
    <row r="112" spans="1:3" x14ac:dyDescent="0.35">
      <c r="A112" s="1" t="s">
        <v>70</v>
      </c>
      <c r="B112" s="1" t="s">
        <v>27</v>
      </c>
      <c r="C112" s="118">
        <v>0.05</v>
      </c>
    </row>
    <row r="113" spans="1:3" x14ac:dyDescent="0.35">
      <c r="A113" s="1" t="s">
        <v>71</v>
      </c>
      <c r="B113" s="1" t="s">
        <v>24</v>
      </c>
      <c r="C113" s="118">
        <v>0.03</v>
      </c>
    </row>
    <row r="114" spans="1:3" x14ac:dyDescent="0.35">
      <c r="A114" s="1" t="s">
        <v>71</v>
      </c>
      <c r="B114" s="1" t="s">
        <v>27</v>
      </c>
      <c r="C114" s="118">
        <v>0.05</v>
      </c>
    </row>
    <row r="115" spans="1:3" x14ac:dyDescent="0.35">
      <c r="A115" s="1" t="s">
        <v>73</v>
      </c>
      <c r="B115" s="1" t="s">
        <v>24</v>
      </c>
      <c r="C115" s="118">
        <v>0.03</v>
      </c>
    </row>
    <row r="116" spans="1:3" x14ac:dyDescent="0.35">
      <c r="A116" s="1" t="s">
        <v>73</v>
      </c>
      <c r="B116" s="1" t="s">
        <v>27</v>
      </c>
      <c r="C116" s="118">
        <v>0.05</v>
      </c>
    </row>
    <row r="117" spans="1:3" x14ac:dyDescent="0.35">
      <c r="A117" s="1" t="s">
        <v>74</v>
      </c>
      <c r="B117" s="1" t="s">
        <v>24</v>
      </c>
      <c r="C117" s="118">
        <v>0.03</v>
      </c>
    </row>
    <row r="118" spans="1:3" x14ac:dyDescent="0.35">
      <c r="A118" s="1" t="s">
        <v>74</v>
      </c>
      <c r="B118" s="1" t="s">
        <v>27</v>
      </c>
      <c r="C118" s="118">
        <v>0.05</v>
      </c>
    </row>
    <row r="119" spans="1:3" x14ac:dyDescent="0.35">
      <c r="A119" s="1" t="s">
        <v>76</v>
      </c>
      <c r="B119" s="1" t="s">
        <v>24</v>
      </c>
      <c r="C119" s="153">
        <v>0</v>
      </c>
    </row>
    <row r="120" spans="1:3" x14ac:dyDescent="0.35">
      <c r="A120" s="1" t="s">
        <v>76</v>
      </c>
      <c r="B120" s="1" t="s">
        <v>27</v>
      </c>
      <c r="C120" s="153">
        <v>0.01</v>
      </c>
    </row>
    <row r="121" spans="1:3" x14ac:dyDescent="0.35">
      <c r="A121" s="1" t="s">
        <v>572</v>
      </c>
      <c r="B121" s="1" t="s">
        <v>24</v>
      </c>
      <c r="C121" s="153">
        <v>0</v>
      </c>
    </row>
    <row r="122" spans="1:3" x14ac:dyDescent="0.35">
      <c r="A122" s="1" t="s">
        <v>572</v>
      </c>
      <c r="B122" s="1" t="s">
        <v>27</v>
      </c>
      <c r="C122" s="153">
        <v>0</v>
      </c>
    </row>
    <row r="123" spans="1:3" x14ac:dyDescent="0.35">
      <c r="A123" s="1" t="s">
        <v>573</v>
      </c>
      <c r="B123" s="1" t="s">
        <v>24</v>
      </c>
      <c r="C123" s="153">
        <v>0</v>
      </c>
    </row>
    <row r="124" spans="1:3" x14ac:dyDescent="0.35">
      <c r="A124" s="1" t="s">
        <v>573</v>
      </c>
      <c r="B124" s="1" t="s">
        <v>27</v>
      </c>
      <c r="C124" s="153">
        <v>0</v>
      </c>
    </row>
    <row r="125" spans="1:3" x14ac:dyDescent="0.35">
      <c r="A125" s="1" t="s">
        <v>584</v>
      </c>
      <c r="B125" s="1" t="s">
        <v>24</v>
      </c>
      <c r="C125" s="153">
        <v>0</v>
      </c>
    </row>
    <row r="126" spans="1:3" x14ac:dyDescent="0.35">
      <c r="A126" s="1" t="s">
        <v>584</v>
      </c>
      <c r="B126" s="1" t="s">
        <v>27</v>
      </c>
      <c r="C126" s="153">
        <v>0</v>
      </c>
    </row>
    <row r="127" spans="1:3" x14ac:dyDescent="0.35">
      <c r="A127" s="1" t="s">
        <v>574</v>
      </c>
      <c r="B127" s="1" t="s">
        <v>24</v>
      </c>
      <c r="C127" s="153">
        <v>0</v>
      </c>
    </row>
    <row r="128" spans="1:3" x14ac:dyDescent="0.35">
      <c r="A128" s="1" t="s">
        <v>574</v>
      </c>
      <c r="B128" s="1" t="s">
        <v>27</v>
      </c>
      <c r="C128" s="153">
        <v>0</v>
      </c>
    </row>
    <row r="129" spans="1:5" x14ac:dyDescent="0.35">
      <c r="A129" s="1" t="s">
        <v>577</v>
      </c>
      <c r="B129" s="1" t="s">
        <v>24</v>
      </c>
      <c r="C129" s="118">
        <v>0</v>
      </c>
    </row>
    <row r="130" spans="1:5" x14ac:dyDescent="0.35">
      <c r="A130" s="1" t="s">
        <v>577</v>
      </c>
      <c r="B130" s="1" t="s">
        <v>27</v>
      </c>
      <c r="C130" s="153">
        <v>0</v>
      </c>
    </row>
    <row r="131" spans="1:5" x14ac:dyDescent="0.35">
      <c r="A131" s="1" t="s">
        <v>575</v>
      </c>
      <c r="B131" s="1" t="s">
        <v>24</v>
      </c>
      <c r="C131" s="153">
        <v>0.03</v>
      </c>
    </row>
    <row r="132" spans="1:5" x14ac:dyDescent="0.35">
      <c r="A132" s="1" t="s">
        <v>575</v>
      </c>
      <c r="B132" s="1" t="s">
        <v>27</v>
      </c>
      <c r="C132" s="153">
        <v>0.05</v>
      </c>
    </row>
    <row r="133" spans="1:5" x14ac:dyDescent="0.35">
      <c r="A133" s="13" t="s">
        <v>576</v>
      </c>
      <c r="B133" s="13" t="s">
        <v>24</v>
      </c>
      <c r="C133" s="153">
        <v>0</v>
      </c>
      <c r="E133" s="11"/>
    </row>
    <row r="134" spans="1:5" x14ac:dyDescent="0.35">
      <c r="A134" s="13" t="s">
        <v>576</v>
      </c>
      <c r="B134" s="13" t="s">
        <v>27</v>
      </c>
      <c r="C134" s="153">
        <v>0.03</v>
      </c>
    </row>
    <row r="135" spans="1:5" x14ac:dyDescent="0.35">
      <c r="A135" s="1" t="s">
        <v>83</v>
      </c>
      <c r="B135" s="13" t="s">
        <v>24</v>
      </c>
      <c r="C135" s="118">
        <v>0</v>
      </c>
    </row>
    <row r="136" spans="1:5" x14ac:dyDescent="0.35">
      <c r="A136" s="1" t="s">
        <v>83</v>
      </c>
      <c r="B136" s="1" t="s">
        <v>27</v>
      </c>
      <c r="C136" s="118">
        <v>0.03</v>
      </c>
    </row>
    <row r="137" spans="1:5" x14ac:dyDescent="0.35">
      <c r="A137" s="1" t="s">
        <v>89</v>
      </c>
      <c r="B137" s="1" t="s">
        <v>24</v>
      </c>
      <c r="C137" s="118">
        <v>0</v>
      </c>
    </row>
    <row r="138" spans="1:5" x14ac:dyDescent="0.35">
      <c r="A138" s="1" t="s">
        <v>89</v>
      </c>
      <c r="B138" s="1" t="s">
        <v>27</v>
      </c>
      <c r="C138" s="118">
        <v>0</v>
      </c>
    </row>
    <row r="139" spans="1:5" x14ac:dyDescent="0.35">
      <c r="A139" s="1" t="s">
        <v>79</v>
      </c>
      <c r="B139" s="1" t="s">
        <v>24</v>
      </c>
      <c r="C139" s="118">
        <v>0.02</v>
      </c>
    </row>
    <row r="140" spans="1:5" x14ac:dyDescent="0.35">
      <c r="A140" s="1" t="s">
        <v>79</v>
      </c>
      <c r="B140" s="1" t="s">
        <v>27</v>
      </c>
      <c r="C140" s="118">
        <v>0.05</v>
      </c>
    </row>
    <row r="141" spans="1:5" x14ac:dyDescent="0.35">
      <c r="A141" s="1" t="s">
        <v>81</v>
      </c>
      <c r="B141" s="1" t="s">
        <v>24</v>
      </c>
      <c r="C141" s="118">
        <v>0.02</v>
      </c>
    </row>
    <row r="142" spans="1:5" x14ac:dyDescent="0.35">
      <c r="A142" s="1" t="s">
        <v>81</v>
      </c>
      <c r="B142" s="1" t="s">
        <v>27</v>
      </c>
      <c r="C142" s="118">
        <v>0.05</v>
      </c>
    </row>
    <row r="143" spans="1:5" x14ac:dyDescent="0.35">
      <c r="A143" s="1" t="s">
        <v>578</v>
      </c>
      <c r="B143" s="1" t="s">
        <v>24</v>
      </c>
      <c r="C143" s="162">
        <v>0</v>
      </c>
    </row>
    <row r="144" spans="1:5" x14ac:dyDescent="0.35">
      <c r="A144" s="1" t="s">
        <v>578</v>
      </c>
      <c r="B144" s="1" t="s">
        <v>27</v>
      </c>
      <c r="C144" s="118">
        <v>5.0000000000000001E-3</v>
      </c>
    </row>
    <row r="145" spans="1:7" x14ac:dyDescent="0.35">
      <c r="A145" s="1" t="s">
        <v>92</v>
      </c>
      <c r="B145" s="1" t="s">
        <v>24</v>
      </c>
      <c r="C145" s="118">
        <v>0</v>
      </c>
    </row>
    <row r="146" spans="1:7" x14ac:dyDescent="0.35">
      <c r="A146" s="1" t="s">
        <v>92</v>
      </c>
      <c r="B146" s="1" t="s">
        <v>27</v>
      </c>
      <c r="C146" s="118">
        <v>5.0000000000000001E-3</v>
      </c>
    </row>
    <row r="147" spans="1:7" x14ac:dyDescent="0.35">
      <c r="A147" s="1" t="s">
        <v>579</v>
      </c>
      <c r="B147" s="1" t="s">
        <v>24</v>
      </c>
      <c r="C147" s="118">
        <v>0</v>
      </c>
    </row>
    <row r="148" spans="1:7" x14ac:dyDescent="0.35">
      <c r="A148" s="1" t="s">
        <v>579</v>
      </c>
      <c r="B148" s="1" t="s">
        <v>27</v>
      </c>
      <c r="C148" s="118">
        <v>0.02</v>
      </c>
    </row>
    <row r="149" spans="1:7" x14ac:dyDescent="0.35">
      <c r="A149" s="1" t="s">
        <v>87</v>
      </c>
      <c r="B149" s="1" t="s">
        <v>24</v>
      </c>
      <c r="C149" s="118">
        <v>0</v>
      </c>
    </row>
    <row r="150" spans="1:7" x14ac:dyDescent="0.35">
      <c r="A150" s="1" t="s">
        <v>87</v>
      </c>
      <c r="B150" s="1" t="s">
        <v>27</v>
      </c>
      <c r="C150" s="118">
        <v>0.02</v>
      </c>
    </row>
    <row r="151" spans="1:7" ht="16" x14ac:dyDescent="0.4">
      <c r="A151" s="134"/>
    </row>
    <row r="153" spans="1:7" x14ac:dyDescent="0.35">
      <c r="A153" s="104" t="s">
        <v>274</v>
      </c>
      <c r="B153" s="104" t="s">
        <v>275</v>
      </c>
      <c r="C153" s="104" t="s">
        <v>585</v>
      </c>
      <c r="D153" s="104" t="s">
        <v>586</v>
      </c>
      <c r="E153" s="103" t="s">
        <v>587</v>
      </c>
      <c r="F153" s="62" t="s">
        <v>588</v>
      </c>
      <c r="G153" s="37"/>
    </row>
    <row r="154" spans="1:7" x14ac:dyDescent="0.35">
      <c r="A154" s="6" t="s">
        <v>264</v>
      </c>
      <c r="B154" s="1" t="s">
        <v>264</v>
      </c>
      <c r="C154" s="154" t="s">
        <v>589</v>
      </c>
      <c r="D154" s="163">
        <f>Input!$G39</f>
        <v>0</v>
      </c>
      <c r="E154" s="154">
        <f>+Input!B39</f>
        <v>2.2159999999999999E-2</v>
      </c>
      <c r="F154" s="164">
        <v>0</v>
      </c>
    </row>
    <row r="155" spans="1:7" x14ac:dyDescent="0.35">
      <c r="A155" s="395" t="s">
        <v>209</v>
      </c>
      <c r="B155" s="1" t="s">
        <v>61</v>
      </c>
      <c r="C155" s="154" t="s">
        <v>589</v>
      </c>
      <c r="D155" s="163" t="str">
        <f>Input!$G40</f>
        <v>No</v>
      </c>
      <c r="E155" s="154">
        <f>+Input!B40</f>
        <v>5.0999999999999997E-2</v>
      </c>
      <c r="F155" s="165" cm="1">
        <f t="array" ref="F155">INDEX($C$101:$C$150,MATCH($B155&amp;$D155,$A$101:$A$150&amp;$B$101:$B$150,0))</f>
        <v>0.02</v>
      </c>
    </row>
    <row r="156" spans="1:7" x14ac:dyDescent="0.35">
      <c r="A156" s="396"/>
      <c r="B156" s="1" t="s">
        <v>64</v>
      </c>
      <c r="C156" s="154" t="s">
        <v>589</v>
      </c>
      <c r="D156" s="163" t="str">
        <f>Input!$G41</f>
        <v>No</v>
      </c>
      <c r="E156" s="154">
        <f>+Input!B41</f>
        <v>0.10199999999999999</v>
      </c>
      <c r="F156" s="165" cm="1">
        <f t="array" ref="F156">INDEX($C$101:$C$150,MATCH($B156&amp;$D156,$A$101:$A$150&amp;$B$101:$B$150,0))</f>
        <v>0.02</v>
      </c>
    </row>
    <row r="157" spans="1:7" x14ac:dyDescent="0.35">
      <c r="A157" s="396"/>
      <c r="B157" s="1" t="s">
        <v>65</v>
      </c>
      <c r="C157" s="154" t="s">
        <v>589</v>
      </c>
      <c r="D157" s="163" t="str">
        <f>Input!$G42</f>
        <v>Yes</v>
      </c>
      <c r="E157" s="154">
        <f>+Input!B42</f>
        <v>0.35299999999999998</v>
      </c>
      <c r="F157" s="165" cm="1">
        <f t="array" ref="F157">INDEX($C$101:$C$150,MATCH($B157&amp;$D157,$A$101:$A$150&amp;$B$101:$B$150,0))</f>
        <v>0</v>
      </c>
    </row>
    <row r="158" spans="1:7" x14ac:dyDescent="0.35">
      <c r="A158" s="396"/>
      <c r="B158" s="1" t="s">
        <v>66</v>
      </c>
      <c r="C158" s="154" t="s">
        <v>589</v>
      </c>
      <c r="D158" s="163" t="str">
        <f>Input!$G43</f>
        <v>No</v>
      </c>
      <c r="E158" s="154">
        <f>+Input!B43</f>
        <v>0.01</v>
      </c>
      <c r="F158" s="165" cm="1">
        <f t="array" ref="F158">INDEX($C$101:$C$150,MATCH($B158&amp;$D158,$A$101:$A$150&amp;$B$101:$B$150,0))</f>
        <v>0.05</v>
      </c>
    </row>
    <row r="159" spans="1:7" x14ac:dyDescent="0.35">
      <c r="A159" s="396"/>
      <c r="B159" s="1" t="s">
        <v>69</v>
      </c>
      <c r="C159" s="154" t="s">
        <v>589</v>
      </c>
      <c r="D159" s="163" t="str">
        <f>Input!$G44</f>
        <v>No</v>
      </c>
      <c r="E159" s="154">
        <f>+Input!B44</f>
        <v>0</v>
      </c>
      <c r="F159" s="165" cm="1">
        <f t="array" ref="F159">INDEX($C$101:$C$150,MATCH($B159&amp;$D159,$A$101:$A$150&amp;$B$101:$B$150,0))</f>
        <v>0.05</v>
      </c>
    </row>
    <row r="160" spans="1:7" x14ac:dyDescent="0.35">
      <c r="A160" s="396"/>
      <c r="B160" s="1" t="s">
        <v>70</v>
      </c>
      <c r="C160" s="154" t="s">
        <v>589</v>
      </c>
      <c r="D160" s="163" t="str">
        <f>Input!$G45</f>
        <v>No</v>
      </c>
      <c r="E160" s="154">
        <f>+Input!B45</f>
        <v>0</v>
      </c>
      <c r="F160" s="165" cm="1">
        <f t="array" ref="F160">INDEX($C$101:$C$150,MATCH($B160&amp;$D160,$A$101:$A$150&amp;$B$101:$B$150,0))</f>
        <v>0.05</v>
      </c>
    </row>
    <row r="161" spans="1:9" x14ac:dyDescent="0.35">
      <c r="A161" s="396"/>
      <c r="B161" s="1" t="s">
        <v>71</v>
      </c>
      <c r="C161" s="154" t="s">
        <v>589</v>
      </c>
      <c r="D161" s="163" t="str">
        <f>Input!$G46</f>
        <v>No</v>
      </c>
      <c r="E161" s="154">
        <f>+Input!B46</f>
        <v>0.153</v>
      </c>
      <c r="F161" s="165" cm="1">
        <f t="array" ref="F161">INDEX($C$101:$C$150,MATCH($B161&amp;$D161,$A$101:$A$150&amp;$B$101:$B$150,0))</f>
        <v>0.05</v>
      </c>
    </row>
    <row r="162" spans="1:9" x14ac:dyDescent="0.35">
      <c r="A162" s="396"/>
      <c r="B162" s="1" t="s">
        <v>73</v>
      </c>
      <c r="C162" s="154" t="s">
        <v>589</v>
      </c>
      <c r="D162" s="163" t="str">
        <f>Input!$G47</f>
        <v>No</v>
      </c>
      <c r="E162" s="154">
        <f>+Input!B47</f>
        <v>0</v>
      </c>
      <c r="F162" s="165" cm="1">
        <f t="array" ref="F162">INDEX($C$101:$C$150,MATCH($B162&amp;$D162,$A$101:$A$150&amp;$B$101:$B$150,0))</f>
        <v>0.05</v>
      </c>
    </row>
    <row r="163" spans="1:9" x14ac:dyDescent="0.35">
      <c r="A163" s="397"/>
      <c r="B163" s="1" t="s">
        <v>74</v>
      </c>
      <c r="C163" s="154" t="s">
        <v>589</v>
      </c>
      <c r="D163" s="163" t="str">
        <f>Input!$G48</f>
        <v>No</v>
      </c>
      <c r="E163" s="154">
        <f>+Input!B48</f>
        <v>0</v>
      </c>
      <c r="F163" s="165" cm="1">
        <f t="array" ref="F163">INDEX($C$101:$C$150,MATCH($B163&amp;$D163,$A$101:$A$150&amp;$B$101:$B$150,0))</f>
        <v>0.05</v>
      </c>
    </row>
    <row r="164" spans="1:9" ht="14" customHeight="1" x14ac:dyDescent="0.35">
      <c r="A164" s="398" t="s">
        <v>210</v>
      </c>
      <c r="B164" s="13" t="s">
        <v>309</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310</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296</v>
      </c>
      <c r="B166" s="1" t="s">
        <v>79</v>
      </c>
      <c r="C166" s="154" t="s">
        <v>589</v>
      </c>
      <c r="D166" s="163" t="str">
        <f>Input!$G51</f>
        <v>No</v>
      </c>
      <c r="E166" s="154">
        <f>+Input!B51</f>
        <v>0.3</v>
      </c>
      <c r="F166" s="165" cm="1">
        <f t="array" ref="F166">INDEX($C$101:$C$150,MATCH($B166&amp;$D166,$A$101:$A$150&amp;$B$101:$B$150,0))</f>
        <v>0.05</v>
      </c>
      <c r="H166" s="24"/>
    </row>
    <row r="167" spans="1:9" x14ac:dyDescent="0.35">
      <c r="A167" s="400"/>
      <c r="B167" s="1" t="s">
        <v>81</v>
      </c>
      <c r="C167" s="154" t="s">
        <v>589</v>
      </c>
      <c r="D167" s="163" t="str">
        <f>Input!$G52</f>
        <v>No</v>
      </c>
      <c r="E167" s="154">
        <f>+Input!B52</f>
        <v>0</v>
      </c>
      <c r="F167" s="165" cm="1">
        <f t="array" ref="F167">INDEX($C$101:$C$150,MATCH($B167&amp;$D167,$A$101:$A$150&amp;$B$101:$B$150,0))</f>
        <v>0.05</v>
      </c>
      <c r="H167" s="3"/>
      <c r="I167" s="3"/>
    </row>
    <row r="168" spans="1:9" x14ac:dyDescent="0.35">
      <c r="A168" s="401" t="s">
        <v>297</v>
      </c>
      <c r="B168" s="1" t="s">
        <v>590</v>
      </c>
      <c r="C168" s="154" t="str">
        <f>Input!$C$53</f>
        <v>No_other_waste</v>
      </c>
      <c r="D168" s="163" t="str">
        <f>Input!$G53</f>
        <v>No</v>
      </c>
      <c r="E168" s="154">
        <f>+Input!B53</f>
        <v>0</v>
      </c>
      <c r="F168" s="165">
        <v>0</v>
      </c>
      <c r="I168" s="23"/>
    </row>
    <row r="169" spans="1:9" x14ac:dyDescent="0.35">
      <c r="A169" s="401"/>
      <c r="B169" s="1" t="s">
        <v>591</v>
      </c>
      <c r="C169" s="154" t="str">
        <f>Input!$C$54</f>
        <v>No_other_waste</v>
      </c>
      <c r="D169" s="163" t="str">
        <f>Input!$G54</f>
        <v>No</v>
      </c>
      <c r="E169" s="154">
        <f>+Input!B54</f>
        <v>0</v>
      </c>
      <c r="F169" s="165">
        <v>0</v>
      </c>
      <c r="I169" s="23"/>
    </row>
    <row r="170" spans="1:9" x14ac:dyDescent="0.35">
      <c r="A170" s="401" t="s">
        <v>259</v>
      </c>
      <c r="B170" s="1" t="s">
        <v>88</v>
      </c>
      <c r="C170" s="154" t="str">
        <f>Input!$C$55</f>
        <v>Cellulose_fibres</v>
      </c>
      <c r="D170" s="163" t="str">
        <f>Input!$G55</f>
        <v>No</v>
      </c>
      <c r="E170" s="154">
        <f>+Input!B55</f>
        <v>2E-3</v>
      </c>
      <c r="F170" s="165" cm="1">
        <f t="array" ref="F170">INDEX($C$101:$C$150,MATCH($C170&amp;$D170,$A$101:$A$150&amp;$B$101:$B$150,0))</f>
        <v>0.02</v>
      </c>
      <c r="I170" s="23"/>
    </row>
    <row r="171" spans="1:9" x14ac:dyDescent="0.35">
      <c r="A171" s="401"/>
      <c r="B171" s="1" t="s">
        <v>91</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93</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592</v>
      </c>
      <c r="E173" s="326">
        <f>+SUM(E154:E172)</f>
        <v>0.99865999999999988</v>
      </c>
      <c r="F173" s="71"/>
      <c r="I173" s="23"/>
    </row>
    <row r="175" spans="1:9" s="81" customFormat="1" ht="16" x14ac:dyDescent="0.4">
      <c r="A175" s="117" t="s">
        <v>593</v>
      </c>
    </row>
    <row r="176" spans="1:9" x14ac:dyDescent="0.35">
      <c r="B176" s="23"/>
      <c r="C176" s="23"/>
    </row>
    <row r="177" spans="1:21" s="3" customFormat="1" ht="90.5" customHeight="1" x14ac:dyDescent="0.35">
      <c r="A177" s="104" t="s">
        <v>559</v>
      </c>
      <c r="B177" s="104" t="s">
        <v>594</v>
      </c>
      <c r="C177" s="108" t="str">
        <f>Input!$C$39</f>
        <v>Conventional_Bitumen</v>
      </c>
      <c r="D177" s="103" t="s">
        <v>61</v>
      </c>
      <c r="E177" s="103" t="s">
        <v>64</v>
      </c>
      <c r="F177" s="103" t="s">
        <v>65</v>
      </c>
      <c r="G177" s="103" t="s">
        <v>66</v>
      </c>
      <c r="H177" s="103" t="s">
        <v>69</v>
      </c>
      <c r="I177" s="300" t="s">
        <v>70</v>
      </c>
      <c r="J177" s="103" t="s">
        <v>71</v>
      </c>
      <c r="K177" s="103" t="s">
        <v>73</v>
      </c>
      <c r="L177" s="103" t="s">
        <v>74</v>
      </c>
      <c r="M177" s="301" t="str">
        <f>Input!$C$49</f>
        <v>Limestone_residue</v>
      </c>
      <c r="N177" s="301" t="str">
        <f>Input!$C$50</f>
        <v>No_filler</v>
      </c>
      <c r="O177" s="103" t="s">
        <v>79</v>
      </c>
      <c r="P177" s="103" t="s">
        <v>81</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595</v>
      </c>
      <c r="B178" s="13" t="s">
        <v>596</v>
      </c>
      <c r="C178" s="166">
        <f>Input!$B$39*(1-$F$154)</f>
        <v>2.2159999999999999E-2</v>
      </c>
      <c r="D178" s="166">
        <f>Input!$B$40*(1-$F$155)</f>
        <v>4.9979999999999997E-2</v>
      </c>
      <c r="E178" s="166">
        <f>Input!$B$41*(1-$F$156)</f>
        <v>9.9959999999999993E-2</v>
      </c>
      <c r="F178" s="166">
        <f>Input!$B$42*(1-$F$157)</f>
        <v>0.35299999999999998</v>
      </c>
      <c r="G178" s="167">
        <f>Input!$B$43*(1-$F$158)</f>
        <v>9.4999999999999998E-3</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1.9599999999999999E-3</v>
      </c>
      <c r="T178" s="169">
        <f>Input!$B$56*(1-$F$171)</f>
        <v>0</v>
      </c>
      <c r="U178" s="165">
        <f>Input!$B$57*(1-$F$172)</f>
        <v>0</v>
      </c>
    </row>
    <row r="179" spans="1:21" x14ac:dyDescent="0.35">
      <c r="A179" s="13" t="s">
        <v>597</v>
      </c>
      <c r="B179" s="13" t="s">
        <v>598</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599</v>
      </c>
      <c r="B180" s="13" t="s">
        <v>600</v>
      </c>
      <c r="C180" s="170">
        <f>INDEX($C$69:$C$89,MATCH($C$177,$A$69:$A$89,0))</f>
        <v>165</v>
      </c>
      <c r="D180" s="170" t="e">
        <f>$C$71</f>
        <v>#N/A</v>
      </c>
      <c r="E180" s="171" t="e">
        <f>$C$72</f>
        <v>#N/A</v>
      </c>
      <c r="F180" s="171" t="e">
        <f>$C$73</f>
        <v>#N/A</v>
      </c>
      <c r="G180" s="171" t="e">
        <f>$C$74</f>
        <v>#N/A</v>
      </c>
      <c r="H180" s="171" t="e">
        <f>$C$75</f>
        <v>#N/A</v>
      </c>
      <c r="I180" s="171" t="e">
        <f>$C$76</f>
        <v>#N/A</v>
      </c>
      <c r="J180" s="171" t="e">
        <f>$C$77</f>
        <v>#N/A</v>
      </c>
      <c r="K180" s="171" t="e">
        <f>$C$78</f>
        <v>#N/A</v>
      </c>
      <c r="L180" s="171" t="e">
        <f>$C$79</f>
        <v>#N/A</v>
      </c>
      <c r="M180" s="171" t="e">
        <f>INDEX($C$69:$C$89,MATCH($M$177,A69:A89,0))</f>
        <v>#N/A</v>
      </c>
      <c r="N180" s="171" t="e">
        <f>INDEX($C$69:$C$89,MATCH($N$177,$A$69:$A$89,0))</f>
        <v>#N/A</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564</v>
      </c>
      <c r="B181" s="13" t="s">
        <v>600</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601</v>
      </c>
      <c r="B182" s="13" t="s">
        <v>596</v>
      </c>
      <c r="C182" s="166">
        <f>Input!$B$39*$F$154</f>
        <v>0</v>
      </c>
      <c r="D182" s="166">
        <f>Input!$B$40*$F$155</f>
        <v>1.0199999999999999E-3</v>
      </c>
      <c r="E182" s="166">
        <f>Input!$B$41*$F$156</f>
        <v>2.0399999999999997E-3</v>
      </c>
      <c r="F182" s="166">
        <f>Input!$B$42*$F$157</f>
        <v>0</v>
      </c>
      <c r="G182" s="166">
        <f>Input!$B$43*$F$158</f>
        <v>5.0000000000000001E-4</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4.0000000000000003E-5</v>
      </c>
      <c r="T182" s="166">
        <f>Input!$B$55*$F$171</f>
        <v>0</v>
      </c>
      <c r="U182" s="166">
        <f>Input!$B$56*$F$172</f>
        <v>0</v>
      </c>
    </row>
    <row r="183" spans="1:21" x14ac:dyDescent="0.35">
      <c r="A183" s="13" t="s">
        <v>602</v>
      </c>
      <c r="B183" s="1"/>
      <c r="C183" s="174">
        <f t="shared" ref="C183:U183" si="2">(C178*C179*(C180-C181))</f>
        <v>7.1333793440000006</v>
      </c>
      <c r="D183" s="174" t="e">
        <f t="shared" si="2"/>
        <v>#N/A</v>
      </c>
      <c r="E183" s="174" t="e">
        <f t="shared" si="2"/>
        <v>#N/A</v>
      </c>
      <c r="F183" s="174" t="e">
        <f t="shared" si="2"/>
        <v>#N/A</v>
      </c>
      <c r="G183" s="174" t="e">
        <f t="shared" si="2"/>
        <v>#N/A</v>
      </c>
      <c r="H183" s="174" t="e">
        <f t="shared" si="2"/>
        <v>#N/A</v>
      </c>
      <c r="I183" s="174" t="e">
        <f t="shared" si="2"/>
        <v>#N/A</v>
      </c>
      <c r="J183" s="174" t="e">
        <f t="shared" si="2"/>
        <v>#N/A</v>
      </c>
      <c r="K183" s="174" t="e">
        <f t="shared" si="2"/>
        <v>#N/A</v>
      </c>
      <c r="L183" s="174" t="e">
        <f t="shared" si="2"/>
        <v>#N/A</v>
      </c>
      <c r="M183" s="174" t="e">
        <f t="shared" si="2"/>
        <v>#N/A</v>
      </c>
      <c r="N183" s="174" t="e">
        <f t="shared" si="2"/>
        <v>#N/A</v>
      </c>
      <c r="O183" s="174">
        <f t="shared" si="2"/>
        <v>31.149359999999998</v>
      </c>
      <c r="P183" s="174">
        <f t="shared" si="2"/>
        <v>0</v>
      </c>
      <c r="Q183" s="174">
        <f t="shared" si="2"/>
        <v>0</v>
      </c>
      <c r="R183" s="174">
        <f t="shared" si="2"/>
        <v>0</v>
      </c>
      <c r="S183" s="174">
        <f t="shared" si="2"/>
        <v>0.37914239999999999</v>
      </c>
      <c r="T183" s="174">
        <f t="shared" si="2"/>
        <v>0</v>
      </c>
      <c r="U183" s="174">
        <f t="shared" si="2"/>
        <v>0</v>
      </c>
    </row>
    <row r="184" spans="1:21" x14ac:dyDescent="0.35">
      <c r="A184" s="13" t="s">
        <v>603</v>
      </c>
      <c r="B184" s="1"/>
      <c r="C184" s="174" t="e">
        <f t="shared" ref="C184:U184" si="3">IF($B$42&gt;100,C182*$B$62*(100-C181),C182*$B$62*($B$42-C181))</f>
        <v>#N/A</v>
      </c>
      <c r="D184" s="174" t="e">
        <f>IF($B$42&gt;100,D182*$B$62*(100-D181),D182*$B$62*($B$42-D181))</f>
        <v>#N/A</v>
      </c>
      <c r="E184" s="174" t="e">
        <f t="shared" si="3"/>
        <v>#N/A</v>
      </c>
      <c r="F184" s="174" t="e">
        <f t="shared" si="3"/>
        <v>#N/A</v>
      </c>
      <c r="G184" s="174" t="e">
        <f t="shared" si="3"/>
        <v>#N/A</v>
      </c>
      <c r="H184" s="174" t="e">
        <f t="shared" si="3"/>
        <v>#N/A</v>
      </c>
      <c r="I184" s="174" t="e">
        <f t="shared" si="3"/>
        <v>#N/A</v>
      </c>
      <c r="J184" s="174" t="e">
        <f t="shared" si="3"/>
        <v>#N/A</v>
      </c>
      <c r="K184" s="174" t="e">
        <f t="shared" si="3"/>
        <v>#N/A</v>
      </c>
      <c r="L184" s="174" t="e">
        <f t="shared" si="3"/>
        <v>#N/A</v>
      </c>
      <c r="M184" s="174" t="e">
        <f t="shared" si="3"/>
        <v>#N/A</v>
      </c>
      <c r="N184" s="174" t="e">
        <f t="shared" si="3"/>
        <v>#N/A</v>
      </c>
      <c r="O184" s="174" t="e">
        <f t="shared" si="3"/>
        <v>#N/A</v>
      </c>
      <c r="P184" s="174" t="e">
        <f t="shared" si="3"/>
        <v>#N/A</v>
      </c>
      <c r="Q184" s="174" t="e">
        <f t="shared" si="3"/>
        <v>#N/A</v>
      </c>
      <c r="R184" s="174" t="e">
        <f t="shared" si="3"/>
        <v>#N/A</v>
      </c>
      <c r="S184" s="174" t="e">
        <f t="shared" si="3"/>
        <v>#N/A</v>
      </c>
      <c r="T184" s="174" t="e">
        <f t="shared" si="3"/>
        <v>#N/A</v>
      </c>
      <c r="U184" s="174" t="e">
        <f t="shared" si="3"/>
        <v>#N/A</v>
      </c>
    </row>
    <row r="185" spans="1:21" s="24" customFormat="1" x14ac:dyDescent="0.35">
      <c r="A185" s="13" t="s">
        <v>604</v>
      </c>
      <c r="B185" s="13"/>
      <c r="C185" s="170">
        <f t="shared" ref="C185:U185" si="4">IF(C180&lt;100,0,$B$63*C182)</f>
        <v>0</v>
      </c>
      <c r="D185" s="170" t="e">
        <f>IF(D180&lt;100,0,$B$63*D182)</f>
        <v>#N/A</v>
      </c>
      <c r="E185" s="170" t="e">
        <f t="shared" si="4"/>
        <v>#N/A</v>
      </c>
      <c r="F185" s="170" t="e">
        <f t="shared" si="4"/>
        <v>#N/A</v>
      </c>
      <c r="G185" s="170" t="e">
        <f t="shared" si="4"/>
        <v>#N/A</v>
      </c>
      <c r="H185" s="170" t="e">
        <f t="shared" si="4"/>
        <v>#N/A</v>
      </c>
      <c r="I185" s="170" t="e">
        <f t="shared" si="4"/>
        <v>#N/A</v>
      </c>
      <c r="J185" s="170" t="e">
        <f t="shared" si="4"/>
        <v>#N/A</v>
      </c>
      <c r="K185" s="170" t="e">
        <f t="shared" si="4"/>
        <v>#N/A</v>
      </c>
      <c r="L185" s="170" t="e">
        <f t="shared" si="4"/>
        <v>#N/A</v>
      </c>
      <c r="M185" s="170" t="e">
        <f t="shared" si="4"/>
        <v>#N/A</v>
      </c>
      <c r="N185" s="170" t="e">
        <f t="shared" si="4"/>
        <v>#N/A</v>
      </c>
      <c r="O185" s="170">
        <f t="shared" si="4"/>
        <v>33.854999999999997</v>
      </c>
      <c r="P185" s="170">
        <f t="shared" si="4"/>
        <v>0</v>
      </c>
      <c r="Q185" s="170">
        <f t="shared" si="4"/>
        <v>0</v>
      </c>
      <c r="R185" s="170">
        <f t="shared" si="4"/>
        <v>0</v>
      </c>
      <c r="S185" s="170">
        <f t="shared" si="4"/>
        <v>9.0280000000000013E-2</v>
      </c>
      <c r="T185" s="170">
        <f t="shared" si="4"/>
        <v>0</v>
      </c>
      <c r="U185" s="170">
        <f t="shared" si="4"/>
        <v>0</v>
      </c>
    </row>
    <row r="186" spans="1:21" s="24" customFormat="1" x14ac:dyDescent="0.35">
      <c r="A186" s="13" t="s">
        <v>605</v>
      </c>
      <c r="B186" s="13"/>
      <c r="C186" s="170" t="e">
        <f t="shared" ref="C186:U186" si="5">IF($B$42&gt;100,C182*$B$64*($B$42-100),0)</f>
        <v>#N/A</v>
      </c>
      <c r="D186" s="170" t="e">
        <f t="shared" si="5"/>
        <v>#N/A</v>
      </c>
      <c r="E186" s="170" t="e">
        <f t="shared" si="5"/>
        <v>#N/A</v>
      </c>
      <c r="F186" s="170" t="e">
        <f t="shared" si="5"/>
        <v>#N/A</v>
      </c>
      <c r="G186" s="170" t="e">
        <f t="shared" si="5"/>
        <v>#N/A</v>
      </c>
      <c r="H186" s="170" t="e">
        <f t="shared" si="5"/>
        <v>#N/A</v>
      </c>
      <c r="I186" s="170" t="e">
        <f t="shared" si="5"/>
        <v>#N/A</v>
      </c>
      <c r="J186" s="170" t="e">
        <f t="shared" si="5"/>
        <v>#N/A</v>
      </c>
      <c r="K186" s="170" t="e">
        <f t="shared" si="5"/>
        <v>#N/A</v>
      </c>
      <c r="L186" s="170" t="e">
        <f t="shared" si="5"/>
        <v>#N/A</v>
      </c>
      <c r="M186" s="170" t="e">
        <f t="shared" si="5"/>
        <v>#N/A</v>
      </c>
      <c r="N186" s="170" t="e">
        <f t="shared" si="5"/>
        <v>#N/A</v>
      </c>
      <c r="O186" s="170" t="e">
        <f t="shared" si="5"/>
        <v>#N/A</v>
      </c>
      <c r="P186" s="170" t="e">
        <f t="shared" si="5"/>
        <v>#N/A</v>
      </c>
      <c r="Q186" s="170" t="e">
        <f t="shared" si="5"/>
        <v>#N/A</v>
      </c>
      <c r="R186" s="170" t="e">
        <f t="shared" si="5"/>
        <v>#N/A</v>
      </c>
      <c r="S186" s="170" t="e">
        <f t="shared" si="5"/>
        <v>#N/A</v>
      </c>
      <c r="T186" s="170" t="e">
        <f t="shared" si="5"/>
        <v>#N/A</v>
      </c>
      <c r="U186" s="170" t="e">
        <f t="shared" si="5"/>
        <v>#N/A</v>
      </c>
    </row>
    <row r="187" spans="1:21" x14ac:dyDescent="0.35">
      <c r="A187" s="13" t="s">
        <v>606</v>
      </c>
      <c r="B187" s="1" t="s">
        <v>607</v>
      </c>
      <c r="C187" s="174" t="e">
        <f t="shared" ref="C187:U187" si="6">SUM(C183:C186)</f>
        <v>#N/A</v>
      </c>
      <c r="D187" s="174" t="e">
        <f t="shared" si="6"/>
        <v>#N/A</v>
      </c>
      <c r="E187" s="174" t="e">
        <f t="shared" si="6"/>
        <v>#N/A</v>
      </c>
      <c r="F187" s="174" t="e">
        <f t="shared" si="6"/>
        <v>#N/A</v>
      </c>
      <c r="G187" s="174" t="e">
        <f t="shared" si="6"/>
        <v>#N/A</v>
      </c>
      <c r="H187" s="174" t="e">
        <f t="shared" si="6"/>
        <v>#N/A</v>
      </c>
      <c r="I187" s="174" t="e">
        <f t="shared" si="6"/>
        <v>#N/A</v>
      </c>
      <c r="J187" s="174" t="e">
        <f t="shared" si="6"/>
        <v>#N/A</v>
      </c>
      <c r="K187" s="174" t="e">
        <f t="shared" si="6"/>
        <v>#N/A</v>
      </c>
      <c r="L187" s="174" t="e">
        <f t="shared" si="6"/>
        <v>#N/A</v>
      </c>
      <c r="M187" s="174" t="e">
        <f t="shared" si="6"/>
        <v>#N/A</v>
      </c>
      <c r="N187" s="174" t="e">
        <f t="shared" si="6"/>
        <v>#N/A</v>
      </c>
      <c r="O187" s="174" t="e">
        <f t="shared" si="6"/>
        <v>#N/A</v>
      </c>
      <c r="P187" s="174" t="e">
        <f t="shared" si="6"/>
        <v>#N/A</v>
      </c>
      <c r="Q187" s="174" t="e">
        <f t="shared" si="6"/>
        <v>#N/A</v>
      </c>
      <c r="R187" s="174" t="e">
        <f t="shared" si="6"/>
        <v>#N/A</v>
      </c>
      <c r="S187" s="174" t="e">
        <f t="shared" si="6"/>
        <v>#N/A</v>
      </c>
      <c r="T187" s="174" t="e">
        <f t="shared" si="6"/>
        <v>#N/A</v>
      </c>
      <c r="U187" s="174" t="e">
        <f t="shared" si="6"/>
        <v>#N/A</v>
      </c>
    </row>
    <row r="188" spans="1:21" x14ac:dyDescent="0.35">
      <c r="A188" s="327" t="s">
        <v>608</v>
      </c>
      <c r="B188" s="10" t="s">
        <v>609</v>
      </c>
      <c r="C188" s="197" t="e">
        <f>(1+$B$60)*(SUM(C187:U187))</f>
        <v>#N/A</v>
      </c>
      <c r="D188" s="21"/>
      <c r="E188" s="21"/>
      <c r="F188" s="21"/>
      <c r="G188" s="21"/>
      <c r="H188" s="21"/>
      <c r="I188" s="21"/>
      <c r="J188" s="21"/>
      <c r="K188" s="21"/>
      <c r="L188" s="21"/>
      <c r="M188" s="21"/>
      <c r="N188" s="21"/>
      <c r="O188" s="21"/>
      <c r="P188" s="21"/>
      <c r="Q188" s="1"/>
      <c r="R188" s="1"/>
      <c r="S188" s="1"/>
      <c r="T188" s="1"/>
      <c r="U188" s="1"/>
    </row>
    <row r="189" spans="1:21" x14ac:dyDescent="0.35">
      <c r="A189" s="327" t="s">
        <v>610</v>
      </c>
      <c r="B189" s="10" t="s">
        <v>596</v>
      </c>
      <c r="C189" s="255" t="e">
        <f>+SUM(C184:U186)/SUM(C187:U187)</f>
        <v>#N/A</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0.01</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2E-3</v>
      </c>
      <c r="T190" s="71">
        <f t="shared" si="8"/>
        <v>0</v>
      </c>
      <c r="U190" s="71">
        <f t="shared" si="8"/>
        <v>0</v>
      </c>
    </row>
    <row r="191" spans="1:21" x14ac:dyDescent="0.35">
      <c r="A191" s="24"/>
      <c r="B191" t="s">
        <v>611</v>
      </c>
      <c r="C191" s="256">
        <f>SUM(C178:U178)+SUM(C182:U182)</f>
        <v>0.99865999999999988</v>
      </c>
    </row>
    <row r="193" spans="1:24" ht="16" x14ac:dyDescent="0.4">
      <c r="A193" s="117" t="s">
        <v>612</v>
      </c>
    </row>
    <row r="195" spans="1:24" ht="94.5" customHeight="1" x14ac:dyDescent="0.35">
      <c r="A195" s="104" t="s">
        <v>449</v>
      </c>
      <c r="B195" s="104" t="s">
        <v>275</v>
      </c>
      <c r="C195" s="103" t="s">
        <v>1003</v>
      </c>
      <c r="D195" s="103" t="s">
        <v>613</v>
      </c>
      <c r="E195" s="103" t="s">
        <v>614</v>
      </c>
      <c r="F195" s="103" t="s">
        <v>277</v>
      </c>
      <c r="G195" s="103" t="s">
        <v>278</v>
      </c>
      <c r="H195" s="103" t="s">
        <v>279</v>
      </c>
      <c r="I195" s="103" t="s">
        <v>280</v>
      </c>
      <c r="J195" s="103" t="s">
        <v>281</v>
      </c>
      <c r="K195" s="103" t="s">
        <v>282</v>
      </c>
      <c r="L195" s="103" t="s">
        <v>283</v>
      </c>
      <c r="M195" s="103" t="s">
        <v>284</v>
      </c>
      <c r="N195" s="103" t="s">
        <v>285</v>
      </c>
      <c r="O195" s="103" t="s">
        <v>286</v>
      </c>
      <c r="P195" s="103" t="s">
        <v>287</v>
      </c>
      <c r="Q195" s="103" t="s">
        <v>288</v>
      </c>
      <c r="R195" s="103" t="s">
        <v>289</v>
      </c>
      <c r="S195" s="103" t="s">
        <v>290</v>
      </c>
      <c r="T195" s="103" t="s">
        <v>291</v>
      </c>
      <c r="U195" s="103" t="s">
        <v>292</v>
      </c>
      <c r="V195" s="103" t="s">
        <v>293</v>
      </c>
      <c r="W195" s="103" t="s">
        <v>294</v>
      </c>
      <c r="X195" s="103" t="s">
        <v>295</v>
      </c>
    </row>
    <row r="196" spans="1:24" x14ac:dyDescent="0.35">
      <c r="A196" s="53" t="str">
        <f>Input!$A$17</f>
        <v>Asphalt plant: primary energy source type for heating and drying</v>
      </c>
      <c r="B196" s="1" t="s">
        <v>615</v>
      </c>
      <c r="C196" s="154" t="str">
        <f>IF($D$196="Electricity",$B$52,"None")</f>
        <v>None</v>
      </c>
      <c r="D196" s="154" t="str">
        <f>Input!B17</f>
        <v>Natural_gas</v>
      </c>
      <c r="E196" s="175">
        <f>Input!$C$17</f>
        <v>1</v>
      </c>
      <c r="F196" s="154" t="e" cm="1">
        <f t="array" ref="F196">INDEX(LCI!H$2:H$137,MATCH('A3 - Production '!$A$196&amp;'A3 - Production '!$D$196,LCI!$B$2:$B$137&amp;LCI!$D$2:$D$137,0))*$C$188*IF(OR($D$196="Electricity", $D$196="Electricity_green"),$B$52, 1)*IF($D$196="Hydrogen (grey)",$B$53,1)*$E$196</f>
        <v>#N/A</v>
      </c>
      <c r="G196" s="154" t="e" cm="1">
        <f t="array" ref="G196">INDEX(LCI!I$2:I$137,MATCH('A3 - Production '!$A$196&amp;'A3 - Production '!$D$196,LCI!$B$2:$B$137&amp;LCI!$D$2:$D$137,0))*$C$188*IF(OR($D$196="Electricity", $D$196="Electricity_green"),$B$52, 1)*IF($D$196="Hydrogen (grey)",$B$53,1)*$E$196</f>
        <v>#N/A</v>
      </c>
      <c r="H196" s="154" t="e" cm="1">
        <f t="array" ref="H196">INDEX(LCI!J$2:J$137,MATCH('A3 - Production '!$A$196&amp;'A3 - Production '!$D$196,LCI!$B$2:$B$137&amp;LCI!$D$2:$D$137,0))*$C$188*IF(OR($D$196="Electricity", $D$196="Electricity_green"),$B$52, 1)*IF($D$196="Hydrogen (grey)",$B$53,1)*$E$196</f>
        <v>#N/A</v>
      </c>
      <c r="I196" s="154" t="e" cm="1">
        <f t="array" ref="I196">INDEX(LCI!K$2:K$137,MATCH('A3 - Production '!$A$196&amp;'A3 - Production '!$D$196,LCI!$B$2:$B$137&amp;LCI!$D$2:$D$137,0))*$C$188*IF(OR($D$196="Electricity", $D$196="Electricity_green"),$B$52, 1)*IF($D$196="Hydrogen (grey)",$B$53,1)*$E$196</f>
        <v>#N/A</v>
      </c>
      <c r="J196" s="154" t="e" cm="1">
        <f t="array" ref="J196">INDEX(LCI!L$2:L$137,MATCH('A3 - Production '!$A$196&amp;'A3 - Production '!$D$196,LCI!$B$2:$B$137&amp;LCI!$D$2:$D$137,0))*$C$188*IF(OR($D$196="Electricity", $D$196="Electricity_green"),$B$52, 1)*IF($D$196="Hydrogen (grey)",$B$53,1)*$E$196</f>
        <v>#N/A</v>
      </c>
      <c r="K196" s="154" t="e" cm="1">
        <f t="array" ref="K196">INDEX(LCI!M$2:M$137,MATCH('A3 - Production '!$A$196&amp;'A3 - Production '!$D$196,LCI!$B$2:$B$137&amp;LCI!$D$2:$D$137,0))*$C$188*IF(OR($D$196="Electricity", $D$196="Electricity_green"),$B$52, 1)*IF($D$196="Hydrogen (grey)",$B$53,1)*$E$196</f>
        <v>#N/A</v>
      </c>
      <c r="L196" s="154" t="e" cm="1">
        <f t="array" ref="L196">INDEX(LCI!N$2:N$137,MATCH('A3 - Production '!$A$196&amp;'A3 - Production '!$D$196,LCI!$B$2:$B$137&amp;LCI!$D$2:$D$137,0))*$C$188*IF(OR($D$196="Electricity", $D$196="Electricity_green"),$B$52, 1)*IF($D$196="Hydrogen (grey)",$B$53,1)*$E$196</f>
        <v>#N/A</v>
      </c>
      <c r="M196" s="154" t="e" cm="1">
        <f t="array" ref="M196">INDEX(LCI!O$2:O$137,MATCH('A3 - Production '!$A$196&amp;'A3 - Production '!$D$196,LCI!$B$2:$B$137&amp;LCI!$D$2:$D$137,0))*$C$188*IF(OR($D$196="Electricity", $D$196="Electricity_green"),$B$52, 1)*IF($D$196="Hydrogen (grey)",$B$53,1)*$E$196</f>
        <v>#N/A</v>
      </c>
      <c r="N196" s="154" t="e" cm="1">
        <f t="array" ref="N196">INDEX(LCI!P$2:P$137,MATCH('A3 - Production '!$A$196&amp;'A3 - Production '!$D$196,LCI!$B$2:$B$137&amp;LCI!$D$2:$D$137,0))*$C$188*IF(OR($D$196="Electricity", $D$196="Electricity_green"),$B$52, 1)*IF($D$196="Hydrogen (grey)",$B$53,1)*$E$196</f>
        <v>#N/A</v>
      </c>
      <c r="O196" s="154" t="e" cm="1">
        <f t="array" ref="O196">INDEX(LCI!Q$2:Q$137,MATCH('A3 - Production '!$A$196&amp;'A3 - Production '!$D$196,LCI!$B$2:$B$137&amp;LCI!$D$2:$D$137,0))*$C$188*IF(OR($D$196="Electricity", $D$196="Electricity_green"),$B$52, 1)*IF($D$196="Hydrogen (grey)",$B$53,1)*$E$196</f>
        <v>#N/A</v>
      </c>
      <c r="P196" s="154" t="e" cm="1">
        <f t="array" ref="P196">INDEX(LCI!R$2:R$137,MATCH('A3 - Production '!$A$196&amp;'A3 - Production '!$D$196,LCI!$B$2:$B$137&amp;LCI!$D$2:$D$137,0))*$C$188*IF(OR($D$196="Electricity", $D$196="Electricity_green"),$B$52, 1)*IF($D$196="Hydrogen (grey)",$B$53,1)*$E$196</f>
        <v>#N/A</v>
      </c>
      <c r="Q196" s="154" t="e" cm="1">
        <f t="array" ref="Q196">INDEX(LCI!S$2:S$137,MATCH('A3 - Production '!$A$196&amp;'A3 - Production '!$D$196,LCI!$B$2:$B$137&amp;LCI!$D$2:$D$137,0))*$C$188*IF(OR($D$196="Electricity", $D$196="Electricity_green"),$B$52, 1)*IF($D$196="Hydrogen (grey)",$B$53,1)*$E$196</f>
        <v>#N/A</v>
      </c>
      <c r="R196" s="154" t="e" cm="1">
        <f t="array" ref="R196">INDEX(LCI!T$2:T$137,MATCH('A3 - Production '!$A$196&amp;'A3 - Production '!$D$196,LCI!$B$2:$B$137&amp;LCI!$D$2:$D$137,0))*$C$188*IF(OR($D$196="Electricity", $D$196="Electricity_green"),$B$52, 1)*IF($D$196="Hydrogen (grey)",$B$53,1)*$E$196</f>
        <v>#N/A</v>
      </c>
      <c r="S196" s="154" t="e" cm="1">
        <f t="array" ref="S196">INDEX(LCI!U$2:U$137,MATCH('A3 - Production '!$A$196&amp;'A3 - Production '!$D$196,LCI!$B$2:$B$137&amp;LCI!$D$2:$D$137,0))*$C$188*IF(OR($D$196="Electricity", $D$196="Electricity_green"),$B$52, 1)*IF($D$196="Hydrogen (grey)",$B$53,1)*$E$196</f>
        <v>#N/A</v>
      </c>
      <c r="T196" s="154" t="e" cm="1">
        <f t="array" ref="T196">INDEX(LCI!V$2:V$137,MATCH('A3 - Production '!$A$196&amp;'A3 - Production '!$D$196,LCI!$B$2:$B$137&amp;LCI!$D$2:$D$137,0))*$C$188*IF(OR($D$196="Electricity", $D$196="Electricity_green"),$B$52, 1)*IF($D$196="Hydrogen (grey)",$B$53,1)*$E$196</f>
        <v>#N/A</v>
      </c>
      <c r="U196" s="154" t="e" cm="1">
        <f t="array" ref="U196">INDEX(LCI!W$2:W$137,MATCH('A3 - Production '!$A$196&amp;'A3 - Production '!$D$196,LCI!$B$2:$B$137&amp;LCI!$D$2:$D$137,0))*$C$188*IF(OR($D$196="Electricity", $D$196="Electricity_green"),$B$52, 1)*IF($D$196="Hydrogen (grey)",$B$53,1)*$E$196</f>
        <v>#N/A</v>
      </c>
      <c r="V196" s="154" t="e" cm="1">
        <f t="array" ref="V196">INDEX(LCI!X$2:X$137,MATCH('A3 - Production '!$A$196&amp;'A3 - Production '!$D$196,LCI!$B$2:$B$137&amp;LCI!$D$2:$D$137,0))*$C$188*IF(OR($D$196="Electricity", $D$196="Electricity_green"),$B$52, 1)*IF($D$196="Hydrogen (grey)",$B$53,1)*$E$196</f>
        <v>#N/A</v>
      </c>
      <c r="W196" s="154" t="e" cm="1">
        <f t="array" ref="W196">INDEX(LCI!Y$2:Y$137,MATCH('A3 - Production '!$A$196&amp;'A3 - Production '!$D$196,LCI!$B$2:$B$137&amp;LCI!$D$2:$D$137,0))*$C$188*IF(OR($D$196="Electricity", $D$196="Electricity_green"),$B$52, 1)*IF($D$196="Hydrogen (grey)",$B$53,1)*$E$196</f>
        <v>#N/A</v>
      </c>
      <c r="X196" s="154" t="e" cm="1">
        <f t="array" ref="X196">INDEX(LCI!Z$2:Z$137,MATCH('A3 - Production '!$A$196&amp;'A3 - Production '!$D$196,LCI!$B$2:$B$137&amp;LCI!$D$2:$D$137,0))*$C$188*IF(OR($D$196="Electricity", $D$196="Electricity_green"),$B$52, 1)*IF($D$196="Hydrogen (grey)",$B$53,1)*$E$196</f>
        <v>#N/A</v>
      </c>
    </row>
    <row r="197" spans="1:24" x14ac:dyDescent="0.35">
      <c r="A197" s="53" t="s">
        <v>22</v>
      </c>
      <c r="B197" s="1" t="s">
        <v>615</v>
      </c>
      <c r="C197" s="154" t="str">
        <f>IF($D$197="Electricity",$B$52,"None")</f>
        <v>None</v>
      </c>
      <c r="D197" s="154" t="str">
        <f>Input!$B$18</f>
        <v>No</v>
      </c>
      <c r="E197" s="175">
        <f>Input!$C$18</f>
        <v>0</v>
      </c>
      <c r="F197" s="154" t="e" cm="1">
        <f t="array" ref="F197">INDEX(LCI!H$2:H$137,MATCH('A3 - Production '!$A$197&amp;'A3 - Production '!$D$197,LCI!$B$2:$B$137&amp;LCI!$D$2:$D$137,0))*$C$188*IF(OR($D$197="Electricity", $D$197="Electricity_green"),$B$52, 1)*IF($D$197="Hydrogen (grey)",$B$53,1)*$E$197</f>
        <v>#N/A</v>
      </c>
      <c r="G197" s="154" t="e" cm="1">
        <f t="array" ref="G197">INDEX(LCI!I$2:I$137,MATCH('A3 - Production '!$A$197&amp;'A3 - Production '!$D$197,LCI!$B$2:$B$137&amp;LCI!$D$2:$D$137,0))*$C$188*IF(OR($D$197="Electricity", $D$197="Electricity_green"),$B$52, 1)*IF($D$197="Hydrogen (grey)",$B$53,1)*$E$197</f>
        <v>#N/A</v>
      </c>
      <c r="H197" s="154" t="e" cm="1">
        <f t="array" ref="H197">INDEX(LCI!J$2:J$137,MATCH('A3 - Production '!$A$197&amp;'A3 - Production '!$D$197,LCI!$B$2:$B$137&amp;LCI!$D$2:$D$137,0))*$C$188*IF(OR($D$197="Electricity", $D$197="Electricity_green"),$B$52, 1)*IF($D$197="Hydrogen (grey)",$B$53,1)*$E$197</f>
        <v>#N/A</v>
      </c>
      <c r="I197" s="154" t="e" cm="1">
        <f t="array" ref="I197">INDEX(LCI!K$2:K$137,MATCH('A3 - Production '!$A$197&amp;'A3 - Production '!$D$197,LCI!$B$2:$B$137&amp;LCI!$D$2:$D$137,0))*$C$188*IF(OR($D$197="Electricity", $D$197="Electricity_green"),$B$52, 1)*IF($D$197="Hydrogen (grey)",$B$53,1)*$E$197</f>
        <v>#N/A</v>
      </c>
      <c r="J197" s="154" t="e" cm="1">
        <f t="array" ref="J197">INDEX(LCI!L$2:L$137,MATCH('A3 - Production '!$A$197&amp;'A3 - Production '!$D$197,LCI!$B$2:$B$137&amp;LCI!$D$2:$D$137,0))*$C$188*IF(OR($D$197="Electricity", $D$197="Electricity_green"),$B$52, 1)*IF($D$197="Hydrogen (grey)",$B$53,1)*$E$197</f>
        <v>#N/A</v>
      </c>
      <c r="K197" s="154" t="e" cm="1">
        <f t="array" ref="K197">INDEX(LCI!M$2:M$137,MATCH('A3 - Production '!$A$197&amp;'A3 - Production '!$D$197,LCI!$B$2:$B$137&amp;LCI!$D$2:$D$137,0))*$C$188*IF(OR($D$197="Electricity", $D$197="Electricity_green"),$B$52, 1)*IF($D$197="Hydrogen (grey)",$B$53,1)*$E$197</f>
        <v>#N/A</v>
      </c>
      <c r="L197" s="154" t="e" cm="1">
        <f t="array" ref="L197">INDEX(LCI!N$2:N$137,MATCH('A3 - Production '!$A$197&amp;'A3 - Production '!$D$197,LCI!$B$2:$B$137&amp;LCI!$D$2:$D$137,0))*$C$188*IF(OR($D$197="Electricity", $D$197="Electricity_green"),$B$52, 1)*IF($D$197="Hydrogen (grey)",$B$53,1)*$E$197</f>
        <v>#N/A</v>
      </c>
      <c r="M197" s="154" t="e" cm="1">
        <f t="array" ref="M197">INDEX(LCI!O$2:O$137,MATCH('A3 - Production '!$A$197&amp;'A3 - Production '!$D$197,LCI!$B$2:$B$137&amp;LCI!$D$2:$D$137,0))*$C$188*IF(OR($D$197="Electricity", $D$197="Electricity_green"),$B$52, 1)*IF($D$197="Hydrogen (grey)",$B$53,1)*$E$197</f>
        <v>#N/A</v>
      </c>
      <c r="N197" s="154" t="e" cm="1">
        <f t="array" ref="N197">INDEX(LCI!P$2:P$137,MATCH('A3 - Production '!$A$197&amp;'A3 - Production '!$D$197,LCI!$B$2:$B$137&amp;LCI!$D$2:$D$137,0))*$C$188*IF(OR($D$197="Electricity", $D$197="Electricity_green"),$B$52, 1)*IF($D$197="Hydrogen (grey)",$B$53,1)*$E$197</f>
        <v>#N/A</v>
      </c>
      <c r="O197" s="154" t="e" cm="1">
        <f t="array" ref="O197">INDEX(LCI!Q$2:Q$137,MATCH('A3 - Production '!$A$197&amp;'A3 - Production '!$D$197,LCI!$B$2:$B$137&amp;LCI!$D$2:$D$137,0))*$C$188*IF(OR($D$197="Electricity", $D$197="Electricity_green"),$B$52, 1)*IF($D$197="Hydrogen (grey)",$B$53,1)*$E$197</f>
        <v>#N/A</v>
      </c>
      <c r="P197" s="154" t="e" cm="1">
        <f t="array" ref="P197">INDEX(LCI!R$2:R$137,MATCH('A3 - Production '!$A$197&amp;'A3 - Production '!$D$197,LCI!$B$2:$B$137&amp;LCI!$D$2:$D$137,0))*$C$188*IF(OR($D$197="Electricity", $D$197="Electricity_green"),$B$52, 1)*IF($D$197="Hydrogen (grey)",$B$53,1)*$E$197</f>
        <v>#N/A</v>
      </c>
      <c r="Q197" s="154" t="e" cm="1">
        <f t="array" ref="Q197">INDEX(LCI!S$2:S$137,MATCH('A3 - Production '!$A$197&amp;'A3 - Production '!$D$197,LCI!$B$2:$B$137&amp;LCI!$D$2:$D$137,0))*$C$188*IF(OR($D$197="Electricity", $D$197="Electricity_green"),$B$52, 1)*IF($D$197="Hydrogen (grey)",$B$53,1)*$E$197</f>
        <v>#N/A</v>
      </c>
      <c r="R197" s="154" t="e" cm="1">
        <f t="array" ref="R197">INDEX(LCI!T$2:T$137,MATCH('A3 - Production '!$A$197&amp;'A3 - Production '!$D$197,LCI!$B$2:$B$137&amp;LCI!$D$2:$D$137,0))*$C$188*IF(OR($D$197="Electricity", $D$197="Electricity_green"),$B$52, 1)*IF($D$197="Hydrogen (grey)",$B$53,1)*$E$197</f>
        <v>#N/A</v>
      </c>
      <c r="S197" s="154" t="e" cm="1">
        <f t="array" ref="S197">INDEX(LCI!U$2:U$137,MATCH('A3 - Production '!$A$197&amp;'A3 - Production '!$D$197,LCI!$B$2:$B$137&amp;LCI!$D$2:$D$137,0))*$C$188*IF(OR($D$197="Electricity", $D$197="Electricity_green"),$B$52, 1)*IF($D$197="Hydrogen (grey)",$B$53,1)*$E$197</f>
        <v>#N/A</v>
      </c>
      <c r="T197" s="154" t="e" cm="1">
        <f t="array" ref="T197">INDEX(LCI!V$2:V$137,MATCH('A3 - Production '!$A$197&amp;'A3 - Production '!$D$197,LCI!$B$2:$B$137&amp;LCI!$D$2:$D$137,0))*$C$188*IF(OR($D$197="Electricity", $D$197="Electricity_green"),$B$52, 1)*IF($D$197="Hydrogen (grey)",$B$53,1)*$E$197</f>
        <v>#N/A</v>
      </c>
      <c r="U197" s="154" t="e" cm="1">
        <f t="array" ref="U197">INDEX(LCI!W$2:W$137,MATCH('A3 - Production '!$A$197&amp;'A3 - Production '!$D$197,LCI!$B$2:$B$137&amp;LCI!$D$2:$D$137,0))*$C$188*IF(OR($D$197="Electricity", $D$197="Electricity_green"),$B$52, 1)*IF($D$197="Hydrogen (grey)",$B$53,1)*$E$197</f>
        <v>#N/A</v>
      </c>
      <c r="V197" s="154" t="e" cm="1">
        <f t="array" ref="V197">INDEX(LCI!X$2:X$137,MATCH('A3 - Production '!$A$197&amp;'A3 - Production '!$D$197,LCI!$B$2:$B$137&amp;LCI!$D$2:$D$137,0))*$C$188*IF(OR($D$197="Electricity", $D$197="Electricity_green"),$B$52, 1)*IF($D$197="Hydrogen (grey)",$B$53,1)*$E$197</f>
        <v>#N/A</v>
      </c>
      <c r="W197" s="154" t="e" cm="1">
        <f t="array" ref="W197">INDEX(LCI!Y$2:Y$137,MATCH('A3 - Production '!$A$197&amp;'A3 - Production '!$D$197,LCI!$B$2:$B$137&amp;LCI!$D$2:$D$137,0))*$C$188*IF(OR($D$197="Electricity", $D$197="Electricity_green"),$B$52, 1)*IF($D$197="Hydrogen (grey)",$B$53,1)*$E$197</f>
        <v>#N/A</v>
      </c>
      <c r="X197" s="154" t="e" cm="1">
        <f t="array" ref="X197">INDEX(LCI!Z$2:Z$137,MATCH('A3 - Production '!$A$197&amp;'A3 - Production '!$D$197,LCI!$B$2:$B$137&amp;LCI!$D$2:$D$137,0))*$C$188*IF(OR($D$197="Electricity", $D$197="Electricity_green"),$B$52, 1)*IF($D$197="Hydrogen (grey)",$B$53,1)*$E$197</f>
        <v>#N/A</v>
      </c>
    </row>
    <row r="198" spans="1:24" x14ac:dyDescent="0.35">
      <c r="A198" s="53" t="str">
        <f>Input!A19</f>
        <v>Asphalt plant: electric components</v>
      </c>
      <c r="B198" s="1" t="s">
        <v>615</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198</v>
      </c>
      <c r="B199" s="411"/>
      <c r="C199" s="411"/>
      <c r="D199" s="411"/>
      <c r="E199" s="412"/>
      <c r="F199" s="139" t="e">
        <f t="shared" ref="F199:X199" si="9">SUM(F196:F198)</f>
        <v>#N/A</v>
      </c>
      <c r="G199" s="139" t="e">
        <f t="shared" si="9"/>
        <v>#N/A</v>
      </c>
      <c r="H199" s="139" t="e">
        <f t="shared" si="9"/>
        <v>#N/A</v>
      </c>
      <c r="I199" s="139" t="e">
        <f t="shared" si="9"/>
        <v>#N/A</v>
      </c>
      <c r="J199" s="139" t="e">
        <f t="shared" si="9"/>
        <v>#N/A</v>
      </c>
      <c r="K199" s="139" t="e">
        <f t="shared" si="9"/>
        <v>#N/A</v>
      </c>
      <c r="L199" s="139" t="e">
        <f t="shared" si="9"/>
        <v>#N/A</v>
      </c>
      <c r="M199" s="139" t="e">
        <f t="shared" si="9"/>
        <v>#N/A</v>
      </c>
      <c r="N199" s="139" t="e">
        <f t="shared" si="9"/>
        <v>#N/A</v>
      </c>
      <c r="O199" s="139" t="e">
        <f t="shared" si="9"/>
        <v>#N/A</v>
      </c>
      <c r="P199" s="139" t="e">
        <f t="shared" si="9"/>
        <v>#N/A</v>
      </c>
      <c r="Q199" s="139" t="e">
        <f t="shared" si="9"/>
        <v>#N/A</v>
      </c>
      <c r="R199" s="139" t="e">
        <f t="shared" si="9"/>
        <v>#N/A</v>
      </c>
      <c r="S199" s="139" t="e">
        <f t="shared" si="9"/>
        <v>#N/A</v>
      </c>
      <c r="T199" s="139" t="e">
        <f t="shared" si="9"/>
        <v>#N/A</v>
      </c>
      <c r="U199" s="139" t="e">
        <f t="shared" si="9"/>
        <v>#N/A</v>
      </c>
      <c r="V199" s="139" t="e">
        <f t="shared" si="9"/>
        <v>#N/A</v>
      </c>
      <c r="W199" s="139" t="e">
        <f t="shared" si="9"/>
        <v>#N/A</v>
      </c>
      <c r="X199" s="139" t="e">
        <f t="shared" si="9"/>
        <v>#N/A</v>
      </c>
    </row>
    <row r="200" spans="1:24" x14ac:dyDescent="0.35">
      <c r="A200" s="38"/>
      <c r="B200" s="38"/>
      <c r="C200" s="38"/>
      <c r="D200" s="38"/>
    </row>
    <row r="201" spans="1:24" x14ac:dyDescent="0.35">
      <c r="A201" s="38"/>
      <c r="B201" s="38"/>
      <c r="C201" s="38"/>
      <c r="D201" s="38"/>
    </row>
    <row r="203" spans="1:24" ht="23.5" x14ac:dyDescent="0.55000000000000004">
      <c r="A203" s="100" t="s">
        <v>618</v>
      </c>
    </row>
    <row r="205" spans="1:24" x14ac:dyDescent="0.35">
      <c r="A205" s="126" t="s">
        <v>207</v>
      </c>
      <c r="B205" s="126" t="s">
        <v>619</v>
      </c>
      <c r="C205" s="126" t="s">
        <v>620</v>
      </c>
      <c r="D205" s="126" t="s">
        <v>525</v>
      </c>
    </row>
    <row r="206" spans="1:24" x14ac:dyDescent="0.35">
      <c r="A206" s="1" t="s">
        <v>316</v>
      </c>
      <c r="B206" s="154" t="e">
        <f>SUM(F196:F198)</f>
        <v>#N/A</v>
      </c>
      <c r="C206" s="154">
        <f>'A3 - Production '!H28</f>
        <v>1.0299559961337281E-4</v>
      </c>
      <c r="D206" s="154" t="e">
        <f>SUM(B206:C206)</f>
        <v>#N/A</v>
      </c>
    </row>
    <row r="207" spans="1:24" x14ac:dyDescent="0.35">
      <c r="A207" s="1" t="s">
        <v>278</v>
      </c>
      <c r="B207" s="154" t="e">
        <f>SUM(G196:G198)</f>
        <v>#N/A</v>
      </c>
      <c r="C207" s="154">
        <f>'A3 - Production '!I28</f>
        <v>8.056052481282612E-2</v>
      </c>
      <c r="D207" s="154" t="e">
        <f t="shared" ref="D207:D224" si="10">SUM(B207:C207)</f>
        <v>#N/A</v>
      </c>
    </row>
    <row r="208" spans="1:24" x14ac:dyDescent="0.35">
      <c r="A208" s="1" t="s">
        <v>279</v>
      </c>
      <c r="B208" s="154" t="e">
        <f>SUM(H196:H198)</f>
        <v>#N/A</v>
      </c>
      <c r="C208" s="154">
        <f>'A3 - Production '!J28</f>
        <v>1.66498170746065E-5</v>
      </c>
      <c r="D208" s="154" t="e">
        <f t="shared" si="10"/>
        <v>#N/A</v>
      </c>
    </row>
    <row r="209" spans="1:4" x14ac:dyDescent="0.35">
      <c r="A209" s="1" t="s">
        <v>280</v>
      </c>
      <c r="B209" s="154" t="e">
        <f>SUM(I196:I198)</f>
        <v>#N/A</v>
      </c>
      <c r="C209" s="154">
        <f>'A3 - Production '!K28</f>
        <v>8.0540312398878863E-2</v>
      </c>
      <c r="D209" s="154" t="e">
        <f t="shared" si="10"/>
        <v>#N/A</v>
      </c>
    </row>
    <row r="210" spans="1:4" x14ac:dyDescent="0.35">
      <c r="A210" s="1" t="s">
        <v>281</v>
      </c>
      <c r="B210" s="154" t="e">
        <f>SUM(J196:J198)</f>
        <v>#N/A</v>
      </c>
      <c r="C210" s="154">
        <f>'A3 - Production '!L28</f>
        <v>3.5625968726484402E-6</v>
      </c>
      <c r="D210" s="154" t="e">
        <f t="shared" si="10"/>
        <v>#N/A</v>
      </c>
    </row>
    <row r="211" spans="1:4" x14ac:dyDescent="0.35">
      <c r="A211" s="1" t="s">
        <v>282</v>
      </c>
      <c r="B211" s="154" t="e">
        <f>SUM(K196:K198)</f>
        <v>#N/A</v>
      </c>
      <c r="C211" s="154">
        <f>'A3 - Production '!M28</f>
        <v>3.5594107095916434E-2</v>
      </c>
      <c r="D211" s="154" t="e">
        <f t="shared" si="10"/>
        <v>#N/A</v>
      </c>
    </row>
    <row r="212" spans="1:4" x14ac:dyDescent="0.35">
      <c r="A212" s="1" t="s">
        <v>283</v>
      </c>
      <c r="B212" s="154" t="e">
        <f>SUM(L196:L198)</f>
        <v>#N/A</v>
      </c>
      <c r="C212" s="154">
        <f>'A3 - Production '!N28</f>
        <v>1.0700591183029562</v>
      </c>
      <c r="D212" s="154" t="e">
        <f t="shared" si="10"/>
        <v>#N/A</v>
      </c>
    </row>
    <row r="213" spans="1:4" x14ac:dyDescent="0.35">
      <c r="A213" s="1" t="s">
        <v>284</v>
      </c>
      <c r="B213" s="154" t="e">
        <f>SUM(M196:M198)</f>
        <v>#N/A</v>
      </c>
      <c r="C213" s="154">
        <f>'A3 - Production '!O28</f>
        <v>8.5163363126034537E-7</v>
      </c>
      <c r="D213" s="154" t="e">
        <f t="shared" si="10"/>
        <v>#N/A</v>
      </c>
    </row>
    <row r="214" spans="1:4" x14ac:dyDescent="0.35">
      <c r="A214" s="1" t="s">
        <v>285</v>
      </c>
      <c r="B214" s="154" t="e">
        <f>SUM(N196:N198)</f>
        <v>#N/A</v>
      </c>
      <c r="C214" s="154">
        <f>'A3 - Production '!P28</f>
        <v>2.3290660699942286E-5</v>
      </c>
      <c r="D214" s="154" t="e">
        <f t="shared" si="10"/>
        <v>#N/A</v>
      </c>
    </row>
    <row r="215" spans="1:4" x14ac:dyDescent="0.35">
      <c r="A215" s="1" t="s">
        <v>286</v>
      </c>
      <c r="B215" s="154" t="e">
        <f>SUM(O196:O198)</f>
        <v>#N/A</v>
      </c>
      <c r="C215" s="154">
        <f>'A3 - Production '!Q28</f>
        <v>2.5319818156265738E-4</v>
      </c>
      <c r="D215" s="154" t="e">
        <f t="shared" si="10"/>
        <v>#N/A</v>
      </c>
    </row>
    <row r="216" spans="1:4" x14ac:dyDescent="0.35">
      <c r="A216" s="1" t="s">
        <v>287</v>
      </c>
      <c r="B216" s="154" t="e">
        <f>SUM(P196:P198)</f>
        <v>#N/A</v>
      </c>
      <c r="C216" s="154">
        <f>'A3 - Production '!R28</f>
        <v>4.9230968242214656E-12</v>
      </c>
      <c r="D216" s="154" t="e">
        <f t="shared" si="10"/>
        <v>#N/A</v>
      </c>
    </row>
    <row r="217" spans="1:4" x14ac:dyDescent="0.35">
      <c r="A217" s="1" t="s">
        <v>317</v>
      </c>
      <c r="B217" s="154" t="e">
        <f>SUM(Q196:Q198)</f>
        <v>#N/A</v>
      </c>
      <c r="C217" s="154">
        <f>'A3 - Production '!S28</f>
        <v>1.3122062216178557E-10</v>
      </c>
      <c r="D217" s="154" t="e">
        <f t="shared" si="10"/>
        <v>#N/A</v>
      </c>
    </row>
    <row r="218" spans="1:4" x14ac:dyDescent="0.35">
      <c r="A218" s="1" t="s">
        <v>289</v>
      </c>
      <c r="B218" s="154" t="e">
        <f>SUM(R196:R198)</f>
        <v>#N/A</v>
      </c>
      <c r="C218" s="154">
        <f>'A3 - Production '!T28</f>
        <v>3.212941207975714E-4</v>
      </c>
      <c r="D218" s="154" t="e">
        <f t="shared" si="10"/>
        <v>#N/A</v>
      </c>
    </row>
    <row r="219" spans="1:4" x14ac:dyDescent="0.35">
      <c r="A219" s="1" t="s">
        <v>290</v>
      </c>
      <c r="B219" s="154" t="e">
        <f>SUM(S196:S198)</f>
        <v>#N/A</v>
      </c>
      <c r="C219" s="154">
        <f>'A3 - Production '!U28</f>
        <v>5.5016478121274907E-2</v>
      </c>
      <c r="D219" s="154" t="e">
        <f t="shared" si="10"/>
        <v>#N/A</v>
      </c>
    </row>
    <row r="220" spans="1:4" x14ac:dyDescent="0.35">
      <c r="A220" s="1" t="s">
        <v>291</v>
      </c>
      <c r="B220" s="154" t="e">
        <f>SUM(T196:T198)</f>
        <v>#N/A</v>
      </c>
      <c r="C220" s="154">
        <f>'A3 - Production '!V28</f>
        <v>1.2561955879264319E-8</v>
      </c>
      <c r="D220" s="154" t="e">
        <f t="shared" si="10"/>
        <v>#N/A</v>
      </c>
    </row>
    <row r="221" spans="1:4" x14ac:dyDescent="0.35">
      <c r="A221" s="1" t="s">
        <v>292</v>
      </c>
      <c r="B221" s="154" t="e">
        <f>SUM(U196:U198)</f>
        <v>#N/A</v>
      </c>
      <c r="C221" s="154">
        <f>'A3 - Production '!W28</f>
        <v>1.8154006185482207E-9</v>
      </c>
      <c r="D221" s="154" t="e">
        <f t="shared" si="10"/>
        <v>#N/A</v>
      </c>
    </row>
    <row r="222" spans="1:4" x14ac:dyDescent="0.35">
      <c r="A222" s="1" t="s">
        <v>293</v>
      </c>
      <c r="B222" s="154" t="e">
        <f>SUM(V196:V198)</f>
        <v>#N/A</v>
      </c>
      <c r="C222" s="154">
        <f>'A3 - Production '!X28</f>
        <v>7.9346155235966147E-10</v>
      </c>
      <c r="D222" s="154" t="e">
        <f t="shared" si="10"/>
        <v>#N/A</v>
      </c>
    </row>
    <row r="223" spans="1:4" x14ac:dyDescent="0.35">
      <c r="A223" s="1" t="s">
        <v>294</v>
      </c>
      <c r="B223" s="154" t="e">
        <f>SUM(W196:W198)</f>
        <v>#N/A</v>
      </c>
      <c r="C223" s="154">
        <f>'A3 - Production '!Y28</f>
        <v>1.9843157737774877E-4</v>
      </c>
      <c r="D223" s="154" t="e">
        <f t="shared" si="10"/>
        <v>#N/A</v>
      </c>
    </row>
    <row r="224" spans="1:4" x14ac:dyDescent="0.35">
      <c r="A224" s="1" t="s">
        <v>295</v>
      </c>
      <c r="B224" s="154" t="e">
        <f>SUM(X196:X198)</f>
        <v>#N/A</v>
      </c>
      <c r="C224" s="154">
        <f>'A3 - Production '!Z28</f>
        <v>1.4482440080436057E-3</v>
      </c>
      <c r="D224" s="154" t="e">
        <f t="shared" si="10"/>
        <v>#N/A</v>
      </c>
    </row>
    <row r="227" spans="1:3" x14ac:dyDescent="0.35">
      <c r="B227" t="s">
        <v>350</v>
      </c>
    </row>
    <row r="228" spans="1:3" x14ac:dyDescent="0.35">
      <c r="B228" s="205" t="s">
        <v>621</v>
      </c>
      <c r="C228" s="205" t="s">
        <v>620</v>
      </c>
    </row>
    <row r="229" spans="1:3" x14ac:dyDescent="0.35">
      <c r="A229" s="95" t="s">
        <v>622</v>
      </c>
      <c r="B229" s="1" t="e">
        <f>SUM($F$199:$X$199)+SUM($H$28:$Z$28)</f>
        <v>#N/A</v>
      </c>
      <c r="C229" s="1">
        <f>+SUM(H28:Z28)</f>
        <v>1.3241390742344876</v>
      </c>
    </row>
    <row r="230" spans="1:3" x14ac:dyDescent="0.35">
      <c r="A230" s="95" t="s">
        <v>623</v>
      </c>
      <c r="B230" s="1" t="e">
        <f>SUM($D$206:$D$224)</f>
        <v>#N/A</v>
      </c>
      <c r="C230" s="1">
        <f>+SUM(C206:C224)</f>
        <v>1.3241390742344876</v>
      </c>
    </row>
    <row r="231" spans="1:3" x14ac:dyDescent="0.35">
      <c r="A231" s="148" t="s">
        <v>57</v>
      </c>
      <c r="B231" s="204" t="e">
        <f>B229-B230</f>
        <v>#N/A</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326</v>
      </c>
    </row>
    <row r="3" spans="1:24" x14ac:dyDescent="0.35">
      <c r="A3" s="414" t="s">
        <v>327</v>
      </c>
      <c r="B3" s="414"/>
      <c r="C3" s="62" t="s">
        <v>328</v>
      </c>
    </row>
    <row r="4" spans="1:24" x14ac:dyDescent="0.35">
      <c r="A4" s="1" t="s">
        <v>624</v>
      </c>
      <c r="B4" s="106">
        <v>1.24</v>
      </c>
      <c r="C4" s="30" t="s">
        <v>332</v>
      </c>
    </row>
    <row r="5" spans="1:24" x14ac:dyDescent="0.35">
      <c r="A5" s="1" t="s">
        <v>333</v>
      </c>
      <c r="B5" s="106">
        <v>36.286999999999999</v>
      </c>
    </row>
    <row r="6" spans="1:24" x14ac:dyDescent="0.35">
      <c r="A6" s="1" t="s">
        <v>625</v>
      </c>
      <c r="B6" s="163">
        <f>B4/B5</f>
        <v>3.417201752693802E-2</v>
      </c>
    </row>
    <row r="7" spans="1:24" x14ac:dyDescent="0.35">
      <c r="A7" s="3"/>
      <c r="B7" s="15"/>
    </row>
    <row r="8" spans="1:24" ht="23.5" x14ac:dyDescent="0.55000000000000004">
      <c r="A8" s="100" t="s">
        <v>626</v>
      </c>
      <c r="B8" s="15"/>
    </row>
    <row r="10" spans="1:24" ht="72.5" x14ac:dyDescent="0.35">
      <c r="A10" s="104" t="s">
        <v>450</v>
      </c>
      <c r="B10" s="103" t="s">
        <v>587</v>
      </c>
      <c r="C10" s="103" t="s">
        <v>55</v>
      </c>
      <c r="D10" s="103" t="s">
        <v>337</v>
      </c>
      <c r="E10" s="103" t="s">
        <v>338</v>
      </c>
      <c r="F10" s="103" t="s">
        <v>277</v>
      </c>
      <c r="G10" s="103" t="s">
        <v>278</v>
      </c>
      <c r="H10" s="103" t="s">
        <v>279</v>
      </c>
      <c r="I10" s="103" t="s">
        <v>280</v>
      </c>
      <c r="J10" s="103" t="s">
        <v>281</v>
      </c>
      <c r="K10" s="103" t="s">
        <v>282</v>
      </c>
      <c r="L10" s="103" t="s">
        <v>283</v>
      </c>
      <c r="M10" s="103" t="s">
        <v>284</v>
      </c>
      <c r="N10" s="103" t="s">
        <v>285</v>
      </c>
      <c r="O10" s="103" t="s">
        <v>286</v>
      </c>
      <c r="P10" s="103" t="s">
        <v>287</v>
      </c>
      <c r="Q10" s="103" t="s">
        <v>288</v>
      </c>
      <c r="R10" s="103" t="s">
        <v>289</v>
      </c>
      <c r="S10" s="103" t="s">
        <v>290</v>
      </c>
      <c r="T10" s="103" t="s">
        <v>291</v>
      </c>
      <c r="U10" s="103" t="s">
        <v>292</v>
      </c>
      <c r="V10" s="103" t="s">
        <v>293</v>
      </c>
      <c r="W10" s="103" t="s">
        <v>294</v>
      </c>
      <c r="X10" s="103" t="s">
        <v>295</v>
      </c>
    </row>
    <row r="11" spans="1:24" x14ac:dyDescent="0.35">
      <c r="A11" s="1" t="s">
        <v>615</v>
      </c>
      <c r="B11" s="177">
        <f>+Input!B58</f>
        <v>0.99865999999999988</v>
      </c>
      <c r="C11" s="154">
        <f>Input!$D$63</f>
        <v>20</v>
      </c>
      <c r="D11" s="154" t="str">
        <f>Input!B63</f>
        <v>Truck</v>
      </c>
      <c r="E11" s="154" t="str">
        <f>Input!$C$63</f>
        <v>Diesel_Euro6</v>
      </c>
      <c r="F11" s="154" cm="1">
        <f t="array" ref="F11">INDEX(LCI!H$2:H$73,MATCH($D11&amp;$E11,LCI!$B$2:$B$73&amp;LCI!$D$2:$D$73,0))* IF(AND($D11="Truck", OR($E11="Electric", $E11="Electric_green")), $B$6, 1)*$C$11*$B$11</f>
        <v>4.7280958503999994E-3</v>
      </c>
      <c r="G11" s="154" cm="1">
        <f t="array" ref="G11">INDEX(LCI!I$2:I$73,MATCH($D11&amp;$E11,LCI!$B$2:$B$73&amp;LCI!$D$2:$D$73,0))* IF(AND($D11="Truck", OR($E11="Electric", $E11="Electric_green")), $B$6, 1)*$C$11*$B$11</f>
        <v>3.1706428177787993</v>
      </c>
      <c r="H11" s="154" cm="1">
        <f t="array" ref="H11">INDEX(LCI!J$2:J$73,MATCH($D11&amp;$E11,LCI!$B$2:$B$73&amp;LCI!$D$2:$D$73,0))* IF(AND($D11="Truck", OR($E11="Electric", $E11="Electric_green")), $B$6, 1)*$C$11*$B$11</f>
        <v>1.48181769996E-3</v>
      </c>
      <c r="I11" s="154" cm="1">
        <f t="array" ref="I11">INDEX(LCI!K$2:K$73,MATCH($D11&amp;$E11,LCI!$B$2:$B$73&amp;LCI!$D$2:$D$73,0))* IF(AND($D11="Truck", OR($E11="Electric", $E11="Electric_green")), $B$6, 1)*$C$11*$B$11</f>
        <v>3.1689088044743996</v>
      </c>
      <c r="J11" s="154" cm="1">
        <f t="array" ref="J11">INDEX(LCI!L$2:L$73,MATCH($D11&amp;$E11,LCI!$B$2:$B$73&amp;LCI!$D$2:$D$73,0))* IF(AND($D11="Truck", OR($E11="Electric", $E11="Electric_green")), $B$6, 1)*$C$11*$B$11</f>
        <v>2.5219160979999996E-4</v>
      </c>
      <c r="K11" s="154" cm="1">
        <f t="array" ref="K11">INDEX(LCI!M$2:M$73,MATCH($D11&amp;$E11,LCI!$B$2:$B$73&amp;LCI!$D$2:$D$73,0))* IF(AND($D11="Truck", OR($E11="Electric", $E11="Electric_green")), $B$6, 1)*$C$11*$B$11</f>
        <v>2.7232249621667997</v>
      </c>
      <c r="L11" s="154" cm="1">
        <f t="array" ref="L11">INDEX(LCI!N$2:N$73,MATCH($D11&amp;$E11,LCI!$B$2:$B$73&amp;LCI!$D$2:$D$73,0))* IF(AND($D11="Truck", OR($E11="Electric", $E11="Electric_green")), $B$6, 1)*$C$11*$B$11</f>
        <v>42.673555907631993</v>
      </c>
      <c r="M11" s="154" cm="1">
        <f t="array" ref="M11">INDEX(LCI!O$2:O$73,MATCH($D11&amp;$E11,LCI!$B$2:$B$73&amp;LCI!$D$2:$D$73,0))* IF(AND($D11="Truck", OR($E11="Electric", $E11="Electric_green")), $B$6, 1)*$C$11*$B$11</f>
        <v>7.3954567907999981E-5</v>
      </c>
      <c r="N11" s="154" cm="1">
        <f t="array" ref="N11">INDEX(LCI!P$2:P$73,MATCH($D11&amp;$E11,LCI!$B$2:$B$73&amp;LCI!$D$2:$D$73,0))* IF(AND($D11="Truck", OR($E11="Electric", $E11="Electric_green")), $B$6, 1)*$C$11*$B$11</f>
        <v>1.0305611950399997E-3</v>
      </c>
      <c r="O11" s="154" cm="1">
        <f t="array" ref="O11">INDEX(LCI!Q$2:Q$73,MATCH($D11&amp;$E11,LCI!$B$2:$B$73&amp;LCI!$D$2:$D$73,0))* IF(AND($D11="Truck", OR($E11="Electric", $E11="Electric_green")), $B$6, 1)*$C$11*$B$11</f>
        <v>1.1154892387599999E-2</v>
      </c>
      <c r="P11" s="154" cm="1">
        <f t="array" ref="P11">INDEX(LCI!R$2:R$73,MATCH($D11&amp;$E11,LCI!$B$2:$B$73&amp;LCI!$D$2:$D$73,0))* IF(AND($D11="Truck", OR($E11="Electric", $E11="Electric_green")), $B$6, 1)*$C$11*$B$11</f>
        <v>2.8101693203999996E-10</v>
      </c>
      <c r="Q11" s="154" cm="1">
        <f t="array" ref="Q11">INDEX(LCI!S$2:S$73,MATCH($D11&amp;$E11,LCI!$B$2:$B$73&amp;LCI!$D$2:$D$73,0))* IF(AND($D11="Truck", OR($E11="Electric", $E11="Electric_green")), $B$6, 1)*$C$11*$B$11</f>
        <v>2.2864919895999999E-8</v>
      </c>
      <c r="R11" s="154" cm="1">
        <f t="array" ref="R11">INDEX(LCI!T$2:T$73,MATCH($D11&amp;$E11,LCI!$B$2:$B$73&amp;LCI!$D$2:$D$73,0))* IF(AND($D11="Truck", OR($E11="Electric", $E11="Electric_green")), $B$6, 1)*$C$11*$B$11</f>
        <v>1.9350155999199998E-2</v>
      </c>
      <c r="S11" s="154" cm="1">
        <f t="array" ref="S11">INDEX(LCI!U$2:U$73,MATCH($D11&amp;$E11,LCI!$B$2:$B$73&amp;LCI!$D$2:$D$73,0))* IF(AND($D11="Truck", OR($E11="Electric", $E11="Electric_green")), $B$6, 1)*$C$11*$B$11</f>
        <v>2.6917185374248001</v>
      </c>
      <c r="T11" s="154" cm="1">
        <f t="array" ref="T11">INDEX(LCI!V$2:V$73,MATCH($D11&amp;$E11,LCI!$B$2:$B$73&amp;LCI!$D$2:$D$73,0))* IF(AND($D11="Truck", OR($E11="Electric", $E11="Electric_green")), $B$6, 1)*$C$11*$B$11</f>
        <v>3.4980463283999992E-6</v>
      </c>
      <c r="U11" s="154" cm="1">
        <f t="array" ref="U11">INDEX(LCI!W$2:W$73,MATCH($D11&amp;$E11,LCI!$B$2:$B$73&amp;LCI!$D$2:$D$73,0))* IF(AND($D11="Truck", OR($E11="Electric", $E11="Electric_green")), $B$6, 1)*$C$11*$B$11</f>
        <v>7.0501800823999998E-8</v>
      </c>
      <c r="V11" s="154" cm="1">
        <f t="array" ref="V11">INDEX(LCI!X$2:X$73,MATCH($D11&amp;$E11,LCI!$B$2:$B$73&amp;LCI!$D$2:$D$73,0))* IF(AND($D11="Truck", OR($E11="Electric", $E11="Electric_green")), $B$6, 1)*$C$11*$B$11</f>
        <v>1.9652769952399998E-7</v>
      </c>
      <c r="W11" s="154" cm="1">
        <f t="array" ref="W11">INDEX(LCI!Y$2:Y$73,MATCH($D11&amp;$E11,LCI!$B$2:$B$73&amp;LCI!$D$2:$D$73,0))* IF(AND($D11="Truck", OR($E11="Electric", $E11="Electric_green")), $B$6, 1)*$C$11*$B$11</f>
        <v>8.2432592111999978E-3</v>
      </c>
      <c r="X11" s="154" cm="1">
        <f t="array" ref="X11">INDEX(LCI!Z$2:Z$73,MATCH($D11&amp;$E11,LCI!$B$2:$B$73&amp;LCI!$D$2:$D$73,0))* IF(AND($D11="Truck", OR($E11="Electric", $E11="Electric_green")), $B$6, 1)*$C$11*$B$11</f>
        <v>9.7193366134799994E-2</v>
      </c>
    </row>
    <row r="14" spans="1:24" ht="23.5" x14ac:dyDescent="0.55000000000000004">
      <c r="A14" s="100" t="s">
        <v>988</v>
      </c>
    </row>
    <row r="16" spans="1:24" x14ac:dyDescent="0.35">
      <c r="A16" s="62" t="s">
        <v>151</v>
      </c>
      <c r="B16" s="62" t="s">
        <v>627</v>
      </c>
    </row>
    <row r="17" spans="1:2" x14ac:dyDescent="0.35">
      <c r="A17" s="1" t="s">
        <v>316</v>
      </c>
      <c r="B17" s="154">
        <f>'A4 - Transport'!F11</f>
        <v>4.7280958503999994E-3</v>
      </c>
    </row>
    <row r="18" spans="1:2" x14ac:dyDescent="0.35">
      <c r="A18" s="1" t="s">
        <v>278</v>
      </c>
      <c r="B18" s="154">
        <f>'A4 - Transport'!G11</f>
        <v>3.1706428177787993</v>
      </c>
    </row>
    <row r="19" spans="1:2" x14ac:dyDescent="0.35">
      <c r="A19" s="1" t="s">
        <v>279</v>
      </c>
      <c r="B19" s="154">
        <f>'A4 - Transport'!H11</f>
        <v>1.48181769996E-3</v>
      </c>
    </row>
    <row r="20" spans="1:2" x14ac:dyDescent="0.35">
      <c r="A20" s="1" t="s">
        <v>280</v>
      </c>
      <c r="B20" s="154">
        <f>'A4 - Transport'!I11</f>
        <v>3.1689088044743996</v>
      </c>
    </row>
    <row r="21" spans="1:2" x14ac:dyDescent="0.35">
      <c r="A21" s="1" t="s">
        <v>281</v>
      </c>
      <c r="B21" s="154">
        <f>'A4 - Transport'!J11</f>
        <v>2.5219160979999996E-4</v>
      </c>
    </row>
    <row r="22" spans="1:2" x14ac:dyDescent="0.35">
      <c r="A22" s="1" t="s">
        <v>282</v>
      </c>
      <c r="B22" s="154">
        <f>'A4 - Transport'!K11</f>
        <v>2.7232249621667997</v>
      </c>
    </row>
    <row r="23" spans="1:2" x14ac:dyDescent="0.35">
      <c r="A23" s="1" t="s">
        <v>283</v>
      </c>
      <c r="B23" s="154">
        <f>'A4 - Transport'!L11</f>
        <v>42.673555907631993</v>
      </c>
    </row>
    <row r="24" spans="1:2" x14ac:dyDescent="0.35">
      <c r="A24" s="1" t="s">
        <v>284</v>
      </c>
      <c r="B24" s="154">
        <f>'A4 - Transport'!M11</f>
        <v>7.3954567907999981E-5</v>
      </c>
    </row>
    <row r="25" spans="1:2" x14ac:dyDescent="0.35">
      <c r="A25" s="1" t="s">
        <v>285</v>
      </c>
      <c r="B25" s="154">
        <f>'A4 - Transport'!N11</f>
        <v>1.0305611950399997E-3</v>
      </c>
    </row>
    <row r="26" spans="1:2" x14ac:dyDescent="0.35">
      <c r="A26" s="1" t="s">
        <v>286</v>
      </c>
      <c r="B26" s="154">
        <f>'A4 - Transport'!O11</f>
        <v>1.1154892387599999E-2</v>
      </c>
    </row>
    <row r="27" spans="1:2" x14ac:dyDescent="0.35">
      <c r="A27" s="1" t="s">
        <v>287</v>
      </c>
      <c r="B27" s="154">
        <f>'A4 - Transport'!P11</f>
        <v>2.8101693203999996E-10</v>
      </c>
    </row>
    <row r="28" spans="1:2" x14ac:dyDescent="0.35">
      <c r="A28" s="1" t="s">
        <v>317</v>
      </c>
      <c r="B28" s="154">
        <f>'A4 - Transport'!Q11</f>
        <v>2.2864919895999999E-8</v>
      </c>
    </row>
    <row r="29" spans="1:2" x14ac:dyDescent="0.35">
      <c r="A29" s="1" t="s">
        <v>289</v>
      </c>
      <c r="B29" s="154">
        <f>'A4 - Transport'!R11</f>
        <v>1.9350155999199998E-2</v>
      </c>
    </row>
    <row r="30" spans="1:2" x14ac:dyDescent="0.35">
      <c r="A30" s="1" t="s">
        <v>290</v>
      </c>
      <c r="B30" s="154">
        <f>'A4 - Transport'!S11</f>
        <v>2.6917185374248001</v>
      </c>
    </row>
    <row r="31" spans="1:2" x14ac:dyDescent="0.35">
      <c r="A31" s="1" t="s">
        <v>291</v>
      </c>
      <c r="B31" s="154">
        <f>'A4 - Transport'!T11</f>
        <v>3.4980463283999992E-6</v>
      </c>
    </row>
    <row r="32" spans="1:2" x14ac:dyDescent="0.35">
      <c r="A32" s="1" t="s">
        <v>292</v>
      </c>
      <c r="B32" s="154">
        <f>'A4 - Transport'!U11</f>
        <v>7.0501800823999998E-8</v>
      </c>
    </row>
    <row r="33" spans="1:2" x14ac:dyDescent="0.35">
      <c r="A33" s="1" t="s">
        <v>293</v>
      </c>
      <c r="B33" s="154">
        <f>'A4 - Transport'!V11</f>
        <v>1.9652769952399998E-7</v>
      </c>
    </row>
    <row r="34" spans="1:2" x14ac:dyDescent="0.35">
      <c r="A34" s="1" t="s">
        <v>294</v>
      </c>
      <c r="B34" s="154">
        <f>'A4 - Transport'!W11</f>
        <v>8.2432592111999978E-3</v>
      </c>
    </row>
    <row r="35" spans="1:2" x14ac:dyDescent="0.35">
      <c r="A35" s="1" t="s">
        <v>295</v>
      </c>
      <c r="B35" s="154">
        <f>'A4 - Transport'!X11</f>
        <v>9.7193366134799994E-2</v>
      </c>
    </row>
    <row r="39" spans="1:2" x14ac:dyDescent="0.35">
      <c r="B39" t="s">
        <v>628</v>
      </c>
    </row>
    <row r="40" spans="1:2" x14ac:dyDescent="0.35">
      <c r="A40" s="95" t="s">
        <v>528</v>
      </c>
      <c r="B40" s="1">
        <f>SUM($F$11:$X$11)</f>
        <v>54.571563112354461</v>
      </c>
    </row>
    <row r="41" spans="1:2" x14ac:dyDescent="0.35">
      <c r="A41" s="95" t="s">
        <v>529</v>
      </c>
      <c r="B41" s="1">
        <f>SUM($B$17:$B$35)</f>
        <v>54.571563112354461</v>
      </c>
    </row>
    <row r="42" spans="1:2" x14ac:dyDescent="0.35">
      <c r="A42" s="95" t="s">
        <v>57</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629</v>
      </c>
    </row>
    <row r="4" spans="1:7" ht="18.5" x14ac:dyDescent="0.45">
      <c r="A4" s="227" t="s">
        <v>630</v>
      </c>
      <c r="B4" s="295" t="s">
        <v>373</v>
      </c>
      <c r="C4" s="303" t="s">
        <v>328</v>
      </c>
      <c r="D4" s="303" t="s">
        <v>329</v>
      </c>
    </row>
    <row r="5" spans="1:7" x14ac:dyDescent="0.35">
      <c r="A5" s="1" t="s">
        <v>631</v>
      </c>
      <c r="B5" s="183" t="s">
        <v>632</v>
      </c>
      <c r="C5" s="212" t="s">
        <v>633</v>
      </c>
      <c r="D5" s="1"/>
      <c r="G5" s="11"/>
    </row>
    <row r="6" spans="1:7" x14ac:dyDescent="0.35">
      <c r="A6" s="1" t="s">
        <v>634</v>
      </c>
      <c r="B6" s="90" t="s">
        <v>635</v>
      </c>
      <c r="C6" s="114" t="s">
        <v>636</v>
      </c>
      <c r="D6" s="30" t="s">
        <v>637</v>
      </c>
    </row>
    <row r="7" spans="1:7" x14ac:dyDescent="0.35">
      <c r="A7" s="1" t="s">
        <v>532</v>
      </c>
      <c r="B7" s="152">
        <f>Input!$B$22/1000</f>
        <v>2.4</v>
      </c>
      <c r="C7" s="121"/>
      <c r="D7" s="1"/>
    </row>
    <row r="8" spans="1:7" ht="29" x14ac:dyDescent="0.35">
      <c r="A8" s="1" t="s">
        <v>462</v>
      </c>
      <c r="B8" s="90">
        <v>0.51</v>
      </c>
      <c r="C8" s="53" t="s">
        <v>380</v>
      </c>
      <c r="D8" s="1"/>
    </row>
    <row r="9" spans="1:7" x14ac:dyDescent="0.35">
      <c r="A9" s="1" t="s">
        <v>409</v>
      </c>
      <c r="B9" s="90">
        <v>25</v>
      </c>
      <c r="C9" s="39"/>
      <c r="D9" s="1"/>
      <c r="F9" s="20"/>
    </row>
    <row r="10" spans="1:7" ht="43.5" x14ac:dyDescent="0.35">
      <c r="A10" s="1" t="s">
        <v>381</v>
      </c>
      <c r="B10" s="90">
        <v>0.25</v>
      </c>
      <c r="C10" s="39" t="s">
        <v>382</v>
      </c>
      <c r="D10" s="213" t="s">
        <v>638</v>
      </c>
      <c r="F10" s="20"/>
    </row>
    <row r="11" spans="1:7" x14ac:dyDescent="0.35">
      <c r="A11" s="1" t="s">
        <v>639</v>
      </c>
      <c r="B11" s="90">
        <v>5</v>
      </c>
      <c r="C11" s="39" t="s">
        <v>640</v>
      </c>
      <c r="D11" s="1"/>
    </row>
    <row r="12" spans="1:7" x14ac:dyDescent="0.35">
      <c r="A12" s="1" t="s">
        <v>641</v>
      </c>
      <c r="B12" s="90">
        <f>MIN(1.8,Input!$B$66)</f>
        <v>1.8</v>
      </c>
      <c r="C12" s="39"/>
      <c r="D12" s="1"/>
    </row>
    <row r="13" spans="1:7" x14ac:dyDescent="0.35">
      <c r="A13" s="1" t="s">
        <v>642</v>
      </c>
      <c r="B13" s="152">
        <f>Input!$B$31/1000</f>
        <v>0.08</v>
      </c>
      <c r="C13" s="39"/>
      <c r="D13" s="1"/>
    </row>
    <row r="14" spans="1:7" ht="29" x14ac:dyDescent="0.35">
      <c r="A14" s="1" t="s">
        <v>468</v>
      </c>
      <c r="B14" s="184">
        <v>0.83</v>
      </c>
      <c r="C14" s="39" t="s">
        <v>643</v>
      </c>
      <c r="D14" s="1" t="s">
        <v>644</v>
      </c>
    </row>
    <row r="15" spans="1:7" ht="29" x14ac:dyDescent="0.35">
      <c r="A15" s="1" t="s">
        <v>469</v>
      </c>
      <c r="B15" s="178">
        <f>$B$11*$B$12*$B$13*60*$B$7*$B$14</f>
        <v>86.054399999999987</v>
      </c>
      <c r="C15" s="39" t="s">
        <v>645</v>
      </c>
      <c r="D15" s="1"/>
    </row>
    <row r="16" spans="1:7" x14ac:dyDescent="0.35">
      <c r="A16" s="1" t="s">
        <v>394</v>
      </c>
      <c r="B16" s="179">
        <f>$B$9*$B$8*$B$10</f>
        <v>3.1875</v>
      </c>
      <c r="C16" s="39" t="s">
        <v>395</v>
      </c>
      <c r="D16" s="1" t="s">
        <v>396</v>
      </c>
    </row>
    <row r="17" spans="1:4" x14ac:dyDescent="0.35">
      <c r="B17" s="29"/>
      <c r="C17" s="85"/>
    </row>
    <row r="18" spans="1:4" ht="18.5" x14ac:dyDescent="0.45">
      <c r="A18" s="227" t="s">
        <v>646</v>
      </c>
      <c r="B18" s="295" t="s">
        <v>373</v>
      </c>
      <c r="C18" s="303" t="s">
        <v>328</v>
      </c>
      <c r="D18" s="303" t="s">
        <v>329</v>
      </c>
    </row>
    <row r="19" spans="1:4" x14ac:dyDescent="0.35">
      <c r="A19" s="1" t="s">
        <v>631</v>
      </c>
      <c r="B19" s="96" t="s">
        <v>647</v>
      </c>
      <c r="C19" s="85"/>
    </row>
    <row r="20" spans="1:4" ht="29" x14ac:dyDescent="0.35">
      <c r="A20" s="1" t="s">
        <v>634</v>
      </c>
      <c r="B20" s="90" t="s">
        <v>648</v>
      </c>
      <c r="C20" s="114" t="s">
        <v>648</v>
      </c>
      <c r="D20" s="114" t="s">
        <v>649</v>
      </c>
    </row>
    <row r="21" spans="1:4" x14ac:dyDescent="0.35">
      <c r="A21" s="1" t="s">
        <v>532</v>
      </c>
      <c r="B21" s="152">
        <f>Input!$B$22/1000</f>
        <v>2.4</v>
      </c>
      <c r="C21" s="39"/>
      <c r="D21" s="1"/>
    </row>
    <row r="22" spans="1:4" ht="43.5" x14ac:dyDescent="0.35">
      <c r="A22" s="1" t="s">
        <v>381</v>
      </c>
      <c r="B22" s="90">
        <v>0.25</v>
      </c>
      <c r="C22" s="53" t="s">
        <v>382</v>
      </c>
      <c r="D22" s="213" t="s">
        <v>383</v>
      </c>
    </row>
    <row r="23" spans="1:4" x14ac:dyDescent="0.35">
      <c r="A23" s="1" t="s">
        <v>462</v>
      </c>
      <c r="B23" s="90">
        <v>0.51</v>
      </c>
      <c r="C23" s="53" t="s">
        <v>650</v>
      </c>
      <c r="D23" s="1"/>
    </row>
    <row r="24" spans="1:4" x14ac:dyDescent="0.35">
      <c r="A24" s="1" t="s">
        <v>409</v>
      </c>
      <c r="B24" s="90">
        <v>129</v>
      </c>
      <c r="C24" s="39"/>
      <c r="D24" s="1"/>
    </row>
    <row r="25" spans="1:4" x14ac:dyDescent="0.35">
      <c r="A25" s="1" t="s">
        <v>639</v>
      </c>
      <c r="B25" s="90">
        <v>5</v>
      </c>
      <c r="C25" s="39"/>
      <c r="D25" s="1"/>
    </row>
    <row r="26" spans="1:4" x14ac:dyDescent="0.35">
      <c r="A26" s="1" t="s">
        <v>641</v>
      </c>
      <c r="B26" s="90">
        <f>MIN(10,Input!$B$66)</f>
        <v>3.5</v>
      </c>
      <c r="C26" s="39"/>
      <c r="D26" s="1"/>
    </row>
    <row r="27" spans="1:4" x14ac:dyDescent="0.35">
      <c r="A27" s="1" t="s">
        <v>642</v>
      </c>
      <c r="B27" s="152">
        <f>Input!$B$31/1000</f>
        <v>0.08</v>
      </c>
      <c r="C27" s="39"/>
      <c r="D27" s="1"/>
    </row>
    <row r="28" spans="1:4" ht="29" x14ac:dyDescent="0.35">
      <c r="A28" s="1" t="s">
        <v>468</v>
      </c>
      <c r="B28" s="184">
        <v>0.83</v>
      </c>
      <c r="C28" s="39" t="s">
        <v>643</v>
      </c>
      <c r="D28" s="1" t="s">
        <v>644</v>
      </c>
    </row>
    <row r="29" spans="1:4" ht="29" x14ac:dyDescent="0.35">
      <c r="A29" s="1" t="s">
        <v>469</v>
      </c>
      <c r="B29" s="152">
        <f>$B$25*$B$26*$B$27*60*$B$21*$B$28</f>
        <v>167.328</v>
      </c>
      <c r="C29" s="39" t="s">
        <v>645</v>
      </c>
      <c r="D29" s="1"/>
    </row>
    <row r="30" spans="1:4" x14ac:dyDescent="0.35">
      <c r="A30" s="1" t="s">
        <v>394</v>
      </c>
      <c r="B30" s="179">
        <f>$B$24*$B$23*$B$22</f>
        <v>16.447500000000002</v>
      </c>
      <c r="C30" s="39" t="s">
        <v>395</v>
      </c>
      <c r="D30" s="1" t="s">
        <v>396</v>
      </c>
    </row>
    <row r="31" spans="1:4" x14ac:dyDescent="0.35">
      <c r="B31" s="29"/>
      <c r="C31" s="85"/>
    </row>
    <row r="32" spans="1:4" ht="18.5" x14ac:dyDescent="0.45">
      <c r="A32" s="227" t="s">
        <v>651</v>
      </c>
      <c r="B32" s="295" t="s">
        <v>373</v>
      </c>
      <c r="C32" s="303" t="s">
        <v>328</v>
      </c>
      <c r="D32" s="303" t="s">
        <v>329</v>
      </c>
    </row>
    <row r="33" spans="1:4" x14ac:dyDescent="0.35">
      <c r="A33" s="1" t="s">
        <v>631</v>
      </c>
      <c r="B33" s="90" t="s">
        <v>652</v>
      </c>
      <c r="C33" s="39"/>
      <c r="D33" s="1"/>
    </row>
    <row r="34" spans="1:4" x14ac:dyDescent="0.35">
      <c r="A34" s="1" t="s">
        <v>634</v>
      </c>
      <c r="B34" s="90" t="s">
        <v>653</v>
      </c>
      <c r="C34" s="39"/>
      <c r="D34" s="1"/>
    </row>
    <row r="35" spans="1:4" x14ac:dyDescent="0.35">
      <c r="A35" s="1" t="s">
        <v>532</v>
      </c>
      <c r="B35" s="152">
        <f>Input!$B$22/1000</f>
        <v>2.4</v>
      </c>
      <c r="C35" s="39"/>
      <c r="D35" s="1"/>
    </row>
    <row r="36" spans="1:4" ht="43.5" x14ac:dyDescent="0.35">
      <c r="A36" s="1" t="s">
        <v>381</v>
      </c>
      <c r="B36" s="90">
        <v>0.25</v>
      </c>
      <c r="C36" s="125" t="s">
        <v>382</v>
      </c>
      <c r="D36" s="73" t="s">
        <v>638</v>
      </c>
    </row>
    <row r="37" spans="1:4" ht="29" x14ac:dyDescent="0.35">
      <c r="A37" s="1" t="s">
        <v>462</v>
      </c>
      <c r="B37" s="90">
        <v>0.51</v>
      </c>
      <c r="C37" s="53" t="s">
        <v>380</v>
      </c>
      <c r="D37" s="1"/>
    </row>
    <row r="38" spans="1:4" x14ac:dyDescent="0.35">
      <c r="A38" s="1" t="s">
        <v>409</v>
      </c>
      <c r="B38" s="90">
        <v>354</v>
      </c>
      <c r="C38" s="39"/>
      <c r="D38" s="1"/>
    </row>
    <row r="39" spans="1:4" x14ac:dyDescent="0.35">
      <c r="A39" s="1" t="s">
        <v>639</v>
      </c>
      <c r="B39" s="90">
        <v>5</v>
      </c>
      <c r="C39" s="39"/>
      <c r="D39" s="1"/>
    </row>
    <row r="40" spans="1:4" x14ac:dyDescent="0.35">
      <c r="A40" s="1" t="s">
        <v>641</v>
      </c>
      <c r="B40" s="90">
        <f>MIN(18,Input!$B$66)</f>
        <v>3.5</v>
      </c>
      <c r="C40" s="39"/>
      <c r="D40" s="1"/>
    </row>
    <row r="41" spans="1:4" x14ac:dyDescent="0.35">
      <c r="A41" s="1" t="s">
        <v>642</v>
      </c>
      <c r="B41" s="152">
        <f>Input!$B$31/1000</f>
        <v>0.08</v>
      </c>
      <c r="C41" s="39"/>
      <c r="D41" s="1"/>
    </row>
    <row r="42" spans="1:4" ht="29" x14ac:dyDescent="0.35">
      <c r="A42" s="1" t="s">
        <v>468</v>
      </c>
      <c r="B42" s="184">
        <v>0.83</v>
      </c>
      <c r="C42" s="39" t="s">
        <v>643</v>
      </c>
      <c r="D42" s="1" t="s">
        <v>644</v>
      </c>
    </row>
    <row r="43" spans="1:4" x14ac:dyDescent="0.35">
      <c r="A43" s="1" t="s">
        <v>469</v>
      </c>
      <c r="B43" s="152">
        <f>$B$39*$B$40*$B$41*60*$B$35*$B$42</f>
        <v>167.328</v>
      </c>
      <c r="C43" s="39" t="s">
        <v>654</v>
      </c>
      <c r="D43" s="1"/>
    </row>
    <row r="44" spans="1:4" x14ac:dyDescent="0.35">
      <c r="A44" s="1" t="s">
        <v>394</v>
      </c>
      <c r="B44" s="180">
        <f>$B$38*$B$37*$B$36</f>
        <v>45.134999999999998</v>
      </c>
      <c r="C44" s="39" t="s">
        <v>395</v>
      </c>
      <c r="D44" s="1" t="s">
        <v>396</v>
      </c>
    </row>
    <row r="45" spans="1:4" x14ac:dyDescent="0.35">
      <c r="A45" s="3"/>
      <c r="B45" s="47"/>
      <c r="C45" s="85"/>
    </row>
    <row r="46" spans="1:4" ht="18.5" x14ac:dyDescent="0.45">
      <c r="A46" s="227" t="s">
        <v>105</v>
      </c>
      <c r="B46" s="295" t="s">
        <v>373</v>
      </c>
      <c r="C46" s="303" t="s">
        <v>328</v>
      </c>
      <c r="D46" s="303" t="s">
        <v>329</v>
      </c>
    </row>
    <row r="47" spans="1:4" x14ac:dyDescent="0.35">
      <c r="A47" s="1" t="s">
        <v>459</v>
      </c>
      <c r="B47" s="90" t="s">
        <v>655</v>
      </c>
      <c r="C47" s="39" t="s">
        <v>655</v>
      </c>
      <c r="D47" s="30" t="s">
        <v>656</v>
      </c>
    </row>
    <row r="48" spans="1:4" ht="43.5" x14ac:dyDescent="0.35">
      <c r="A48" s="1" t="s">
        <v>381</v>
      </c>
      <c r="B48" s="90">
        <v>0.25</v>
      </c>
      <c r="C48" s="39" t="s">
        <v>382</v>
      </c>
      <c r="D48" s="214" t="s">
        <v>383</v>
      </c>
    </row>
    <row r="49" spans="1:4" ht="29" x14ac:dyDescent="0.35">
      <c r="A49" s="1" t="s">
        <v>462</v>
      </c>
      <c r="B49" s="90">
        <v>0.51</v>
      </c>
      <c r="C49" s="39" t="s">
        <v>380</v>
      </c>
      <c r="D49" s="1"/>
    </row>
    <row r="50" spans="1:4" x14ac:dyDescent="0.35">
      <c r="A50" s="1" t="s">
        <v>409</v>
      </c>
      <c r="B50" s="90">
        <v>160</v>
      </c>
      <c r="C50" s="39"/>
      <c r="D50" s="1"/>
    </row>
    <row r="51" spans="1:4" x14ac:dyDescent="0.35">
      <c r="A51" s="1" t="s">
        <v>390</v>
      </c>
      <c r="B51" s="90">
        <v>0.66</v>
      </c>
      <c r="C51" s="39"/>
      <c r="D51" s="1"/>
    </row>
    <row r="52" spans="1:4" x14ac:dyDescent="0.35">
      <c r="A52" s="1" t="s">
        <v>657</v>
      </c>
      <c r="B52" s="152">
        <f>Input!$B$22/1000</f>
        <v>2.4</v>
      </c>
      <c r="C52" s="39"/>
      <c r="D52" s="1"/>
    </row>
    <row r="53" spans="1:4" x14ac:dyDescent="0.35">
      <c r="A53" s="69" t="s">
        <v>465</v>
      </c>
      <c r="B53" s="185">
        <v>0.75</v>
      </c>
      <c r="C53" s="39" t="s">
        <v>658</v>
      </c>
      <c r="D53" s="30" t="s">
        <v>659</v>
      </c>
    </row>
    <row r="54" spans="1:4" x14ac:dyDescent="0.35">
      <c r="A54" s="69" t="s">
        <v>466</v>
      </c>
      <c r="B54" s="120">
        <v>23</v>
      </c>
      <c r="C54" s="39"/>
      <c r="D54" s="1"/>
    </row>
    <row r="55" spans="1:4" x14ac:dyDescent="0.35">
      <c r="A55" s="69" t="s">
        <v>467</v>
      </c>
      <c r="B55" s="181">
        <f>3600/$B$54</f>
        <v>156.52173913043478</v>
      </c>
      <c r="C55" s="39"/>
      <c r="D55" s="1"/>
    </row>
    <row r="56" spans="1:4" ht="29" x14ac:dyDescent="0.35">
      <c r="A56" s="1" t="s">
        <v>468</v>
      </c>
      <c r="B56" s="184">
        <v>0.83</v>
      </c>
      <c r="C56" s="217" t="s">
        <v>643</v>
      </c>
      <c r="D56" s="6" t="s">
        <v>644</v>
      </c>
    </row>
    <row r="57" spans="1:4" ht="29" x14ac:dyDescent="0.35">
      <c r="A57" s="1" t="s">
        <v>469</v>
      </c>
      <c r="B57" s="179">
        <f>$B$52*$B$51*$B$53*$B$55*$B$56</f>
        <v>154.33669565217394</v>
      </c>
      <c r="C57" s="53" t="s">
        <v>470</v>
      </c>
      <c r="D57" s="1"/>
    </row>
    <row r="58" spans="1:4" x14ac:dyDescent="0.35">
      <c r="A58" s="1" t="s">
        <v>394</v>
      </c>
      <c r="B58" s="179">
        <f>$B$50*$B$49*$B$48</f>
        <v>20.399999999999999</v>
      </c>
      <c r="C58" s="39" t="s">
        <v>395</v>
      </c>
      <c r="D58" s="1" t="s">
        <v>396</v>
      </c>
    </row>
    <row r="59" spans="1:4" x14ac:dyDescent="0.35">
      <c r="B59" s="47"/>
      <c r="C59" s="85"/>
    </row>
    <row r="60" spans="1:4" x14ac:dyDescent="0.35">
      <c r="B60" s="47"/>
      <c r="C60" s="85"/>
    </row>
    <row r="61" spans="1:4" ht="21" x14ac:dyDescent="0.5">
      <c r="A61" s="74" t="s">
        <v>660</v>
      </c>
      <c r="B61" s="47"/>
      <c r="C61" s="85"/>
    </row>
    <row r="62" spans="1:4" ht="18.5" x14ac:dyDescent="0.45">
      <c r="A62" s="80"/>
      <c r="B62" s="47"/>
      <c r="C62" s="85"/>
    </row>
    <row r="63" spans="1:4" ht="18.5" x14ac:dyDescent="0.45">
      <c r="A63" s="74" t="s">
        <v>661</v>
      </c>
      <c r="B63" s="47"/>
      <c r="C63" s="85"/>
    </row>
    <row r="64" spans="1:4" x14ac:dyDescent="0.35">
      <c r="A64" s="1" t="s">
        <v>662</v>
      </c>
      <c r="B64" s="90">
        <v>1.75</v>
      </c>
      <c r="C64" s="39" t="s">
        <v>663</v>
      </c>
    </row>
    <row r="65" spans="1:4" x14ac:dyDescent="0.35">
      <c r="B65" s="209"/>
      <c r="C65" s="85"/>
    </row>
    <row r="66" spans="1:4" x14ac:dyDescent="0.35">
      <c r="A66" s="3"/>
    </row>
    <row r="67" spans="1:4" ht="18.5" x14ac:dyDescent="0.45">
      <c r="A67" s="227" t="s">
        <v>664</v>
      </c>
      <c r="B67" s="295" t="s">
        <v>373</v>
      </c>
      <c r="C67" s="303" t="s">
        <v>328</v>
      </c>
      <c r="D67" s="303" t="s">
        <v>329</v>
      </c>
    </row>
    <row r="68" spans="1:4" ht="43.5" x14ac:dyDescent="0.35">
      <c r="A68" s="1" t="s">
        <v>665</v>
      </c>
      <c r="B68" s="90" t="s">
        <v>666</v>
      </c>
      <c r="D68" s="122" t="s">
        <v>667</v>
      </c>
    </row>
    <row r="69" spans="1:4" x14ac:dyDescent="0.35">
      <c r="A69" s="1" t="s">
        <v>668</v>
      </c>
      <c r="B69" s="90">
        <v>1</v>
      </c>
      <c r="C69" s="39"/>
      <c r="D69" s="1"/>
    </row>
    <row r="70" spans="1:4" ht="43.5" x14ac:dyDescent="0.35">
      <c r="A70" s="1" t="s">
        <v>381</v>
      </c>
      <c r="B70" s="90">
        <v>0.25</v>
      </c>
      <c r="C70" s="125" t="s">
        <v>382</v>
      </c>
      <c r="D70" s="214" t="s">
        <v>383</v>
      </c>
    </row>
    <row r="71" spans="1:4" x14ac:dyDescent="0.35">
      <c r="A71" s="1" t="s">
        <v>409</v>
      </c>
      <c r="B71" s="90">
        <v>30</v>
      </c>
      <c r="C71" s="39"/>
      <c r="D71" s="1"/>
    </row>
    <row r="72" spans="1:4" x14ac:dyDescent="0.35">
      <c r="A72" s="1" t="s">
        <v>469</v>
      </c>
      <c r="B72" s="179">
        <f>$B$15*$B$64</f>
        <v>150.59519999999998</v>
      </c>
      <c r="C72" s="39"/>
      <c r="D72" s="1"/>
    </row>
    <row r="73" spans="1:4" ht="29" x14ac:dyDescent="0.35">
      <c r="A73" s="45" t="s">
        <v>462</v>
      </c>
      <c r="B73" s="186">
        <v>0.51</v>
      </c>
      <c r="C73" s="39" t="s">
        <v>380</v>
      </c>
      <c r="D73" s="1"/>
    </row>
    <row r="74" spans="1:4" x14ac:dyDescent="0.35">
      <c r="A74" s="1" t="s">
        <v>394</v>
      </c>
      <c r="B74" s="179">
        <f>$B$71*$B$70*$B$73</f>
        <v>3.8250000000000002</v>
      </c>
      <c r="C74" s="39" t="s">
        <v>395</v>
      </c>
      <c r="D74" s="13" t="s">
        <v>396</v>
      </c>
    </row>
    <row r="75" spans="1:4" x14ac:dyDescent="0.35">
      <c r="B75" s="29"/>
      <c r="C75" s="85"/>
    </row>
    <row r="76" spans="1:4" ht="18.5" x14ac:dyDescent="0.45">
      <c r="A76" s="227" t="s">
        <v>669</v>
      </c>
      <c r="B76" s="295" t="s">
        <v>373</v>
      </c>
      <c r="C76" s="303" t="s">
        <v>328</v>
      </c>
      <c r="D76" s="303" t="s">
        <v>329</v>
      </c>
    </row>
    <row r="77" spans="1:4" x14ac:dyDescent="0.35">
      <c r="A77" s="2" t="s">
        <v>665</v>
      </c>
      <c r="B77" s="90" t="s">
        <v>670</v>
      </c>
      <c r="C77" s="123" t="s">
        <v>667</v>
      </c>
      <c r="D77" s="1"/>
    </row>
    <row r="78" spans="1:4" x14ac:dyDescent="0.35">
      <c r="A78" s="2" t="s">
        <v>668</v>
      </c>
      <c r="B78" s="90">
        <v>1.5</v>
      </c>
      <c r="C78" s="39"/>
      <c r="D78" s="1"/>
    </row>
    <row r="79" spans="1:4" ht="43.5" x14ac:dyDescent="0.35">
      <c r="A79" s="1" t="s">
        <v>381</v>
      </c>
      <c r="B79" s="90">
        <v>0.25</v>
      </c>
      <c r="C79" s="125" t="s">
        <v>382</v>
      </c>
      <c r="D79" s="214" t="s">
        <v>671</v>
      </c>
    </row>
    <row r="80" spans="1:4" x14ac:dyDescent="0.35">
      <c r="A80" s="1" t="s">
        <v>409</v>
      </c>
      <c r="B80" s="90">
        <v>55.4</v>
      </c>
      <c r="C80" s="39"/>
      <c r="D80" s="1"/>
    </row>
    <row r="81" spans="1:4" x14ac:dyDescent="0.35">
      <c r="A81" s="1" t="s">
        <v>469</v>
      </c>
      <c r="B81" s="152">
        <f>$B$29*$B$64</f>
        <v>292.82400000000001</v>
      </c>
      <c r="C81" s="39"/>
      <c r="D81" s="1"/>
    </row>
    <row r="82" spans="1:4" ht="29" x14ac:dyDescent="0.35">
      <c r="A82" s="1" t="s">
        <v>462</v>
      </c>
      <c r="B82" s="90">
        <v>0.51</v>
      </c>
      <c r="C82" s="39" t="s">
        <v>380</v>
      </c>
      <c r="D82" s="1"/>
    </row>
    <row r="83" spans="1:4" x14ac:dyDescent="0.35">
      <c r="A83" s="1" t="s">
        <v>394</v>
      </c>
      <c r="B83" s="179">
        <f>$B$80*$B$79*$B$82</f>
        <v>7.0635000000000003</v>
      </c>
      <c r="C83" s="39" t="s">
        <v>395</v>
      </c>
      <c r="D83" s="13" t="s">
        <v>396</v>
      </c>
    </row>
    <row r="84" spans="1:4" x14ac:dyDescent="0.35">
      <c r="A84" s="45"/>
      <c r="B84" s="29"/>
      <c r="C84" s="85"/>
    </row>
    <row r="85" spans="1:4" ht="18.5" x14ac:dyDescent="0.45">
      <c r="A85" s="227" t="s">
        <v>672</v>
      </c>
      <c r="B85" s="295" t="s">
        <v>373</v>
      </c>
      <c r="C85" s="303" t="s">
        <v>328</v>
      </c>
      <c r="D85" s="303" t="s">
        <v>329</v>
      </c>
    </row>
    <row r="86" spans="1:4" x14ac:dyDescent="0.35">
      <c r="A86" s="2" t="s">
        <v>665</v>
      </c>
      <c r="B86" s="90" t="s">
        <v>673</v>
      </c>
      <c r="C86" s="123" t="s">
        <v>667</v>
      </c>
      <c r="D86" s="1"/>
    </row>
    <row r="87" spans="1:4" x14ac:dyDescent="0.35">
      <c r="A87" s="2" t="s">
        <v>668</v>
      </c>
      <c r="B87" s="90">
        <v>2.1349999999999998</v>
      </c>
      <c r="C87" s="39"/>
      <c r="D87" s="1"/>
    </row>
    <row r="88" spans="1:4" ht="43.5" x14ac:dyDescent="0.35">
      <c r="A88" s="1" t="s">
        <v>381</v>
      </c>
      <c r="B88" s="90">
        <v>0.25</v>
      </c>
      <c r="C88" s="125" t="s">
        <v>382</v>
      </c>
      <c r="D88" s="214" t="s">
        <v>383</v>
      </c>
    </row>
    <row r="89" spans="1:4" x14ac:dyDescent="0.35">
      <c r="A89" s="1" t="s">
        <v>409</v>
      </c>
      <c r="B89" s="90">
        <v>100</v>
      </c>
      <c r="C89" s="39"/>
      <c r="D89" s="1"/>
    </row>
    <row r="90" spans="1:4" x14ac:dyDescent="0.35">
      <c r="A90" s="1" t="s">
        <v>469</v>
      </c>
      <c r="B90" s="152">
        <f>$B$43*$B$64</f>
        <v>292.82400000000001</v>
      </c>
      <c r="C90" s="39"/>
      <c r="D90" s="1"/>
    </row>
    <row r="91" spans="1:4" ht="29" x14ac:dyDescent="0.35">
      <c r="A91" s="1" t="s">
        <v>462</v>
      </c>
      <c r="B91" s="90">
        <v>0.51</v>
      </c>
      <c r="C91" s="39" t="s">
        <v>380</v>
      </c>
      <c r="D91" s="1"/>
    </row>
    <row r="92" spans="1:4" ht="14" customHeight="1" x14ac:dyDescent="0.35">
      <c r="A92" s="1" t="s">
        <v>394</v>
      </c>
      <c r="B92" s="179">
        <f>$B$89*$B$88*$B$91</f>
        <v>12.75</v>
      </c>
      <c r="C92" s="39" t="s">
        <v>395</v>
      </c>
      <c r="D92" s="13" t="s">
        <v>396</v>
      </c>
    </row>
    <row r="93" spans="1:4" ht="14" customHeight="1" x14ac:dyDescent="0.35">
      <c r="B93" s="146"/>
      <c r="C93" s="85"/>
    </row>
    <row r="94" spans="1:4" ht="14" customHeight="1" x14ac:dyDescent="0.35">
      <c r="A94" s="1" t="s">
        <v>369</v>
      </c>
      <c r="B94" s="112">
        <v>0.51</v>
      </c>
      <c r="C94" s="2" t="s">
        <v>370</v>
      </c>
      <c r="D94" s="1"/>
    </row>
    <row r="95" spans="1:4" x14ac:dyDescent="0.35">
      <c r="B95" s="47"/>
      <c r="C95" s="85"/>
    </row>
    <row r="96" spans="1:4" x14ac:dyDescent="0.35">
      <c r="B96" s="47"/>
      <c r="C96" s="85"/>
    </row>
    <row r="97" spans="1:9" ht="18.5" x14ac:dyDescent="0.45">
      <c r="A97" s="74" t="s">
        <v>437</v>
      </c>
      <c r="B97" s="47"/>
      <c r="C97" s="85"/>
    </row>
    <row r="98" spans="1:9" ht="21" x14ac:dyDescent="0.5">
      <c r="A98" s="82"/>
      <c r="B98" s="47"/>
      <c r="C98" s="85"/>
    </row>
    <row r="99" spans="1:9" x14ac:dyDescent="0.35">
      <c r="A99" t="s">
        <v>674</v>
      </c>
      <c r="B99" s="47"/>
      <c r="C99" s="85"/>
    </row>
    <row r="100" spans="1:9" ht="18.5" x14ac:dyDescent="0.45">
      <c r="A100" s="74"/>
      <c r="B100" s="47"/>
      <c r="C100" s="85"/>
    </row>
    <row r="101" spans="1:9" x14ac:dyDescent="0.35">
      <c r="A101" s="62" t="s">
        <v>439</v>
      </c>
      <c r="B101" s="62" t="s">
        <v>469</v>
      </c>
      <c r="C101" s="303" t="s">
        <v>394</v>
      </c>
      <c r="D101" s="299" t="s">
        <v>537</v>
      </c>
      <c r="E101" s="62" t="s">
        <v>409</v>
      </c>
    </row>
    <row r="102" spans="1:9" x14ac:dyDescent="0.35">
      <c r="A102" s="2" t="s">
        <v>104</v>
      </c>
      <c r="B102" s="152">
        <v>0</v>
      </c>
      <c r="C102" s="292">
        <v>0</v>
      </c>
      <c r="D102" s="177">
        <v>0</v>
      </c>
      <c r="E102" s="154">
        <v>0</v>
      </c>
    </row>
    <row r="103" spans="1:9" x14ac:dyDescent="0.35">
      <c r="A103" s="1" t="s">
        <v>675</v>
      </c>
      <c r="B103" s="152">
        <f>$B$15</f>
        <v>86.054399999999987</v>
      </c>
      <c r="C103" s="293">
        <f>$B$16</f>
        <v>3.1875</v>
      </c>
      <c r="D103" s="177">
        <f>$C$103/$B$103</f>
        <v>3.7040523203926826E-2</v>
      </c>
      <c r="E103" s="154">
        <f>$B$9</f>
        <v>25</v>
      </c>
    </row>
    <row r="104" spans="1:9" x14ac:dyDescent="0.35">
      <c r="A104" s="1" t="s">
        <v>102</v>
      </c>
      <c r="B104" s="152">
        <f>$B$29</f>
        <v>167.328</v>
      </c>
      <c r="C104" s="293">
        <f>$B$30</f>
        <v>16.447500000000002</v>
      </c>
      <c r="D104" s="177">
        <f>$C$104/$B$104</f>
        <v>9.8294965576592092E-2</v>
      </c>
      <c r="E104" s="154">
        <f>$B$24</f>
        <v>129</v>
      </c>
    </row>
    <row r="105" spans="1:9" x14ac:dyDescent="0.35">
      <c r="A105" s="1" t="s">
        <v>676</v>
      </c>
      <c r="B105" s="152">
        <f>$B$43</f>
        <v>167.328</v>
      </c>
      <c r="C105" s="293">
        <f>$B$44</f>
        <v>45.134999999999998</v>
      </c>
      <c r="D105" s="177">
        <f>$C$105/$B$105</f>
        <v>0.26973967297762474</v>
      </c>
      <c r="E105" s="154">
        <f>$B$38</f>
        <v>354</v>
      </c>
    </row>
    <row r="106" spans="1:9" x14ac:dyDescent="0.35">
      <c r="A106" s="1" t="s">
        <v>677</v>
      </c>
      <c r="B106" s="179">
        <f>$B$72</f>
        <v>150.59519999999998</v>
      </c>
      <c r="C106" s="293">
        <f>$B$74</f>
        <v>3.8250000000000002</v>
      </c>
      <c r="D106" s="177">
        <f>$C$106/$B$106</f>
        <v>2.5399215911264109E-2</v>
      </c>
      <c r="E106" s="154">
        <f>$B$71</f>
        <v>30</v>
      </c>
    </row>
    <row r="107" spans="1:9" x14ac:dyDescent="0.35">
      <c r="A107" s="1" t="s">
        <v>109</v>
      </c>
      <c r="B107" s="152">
        <f>$B$81</f>
        <v>292.82400000000001</v>
      </c>
      <c r="C107" s="293">
        <f>$B$83</f>
        <v>7.0635000000000003</v>
      </c>
      <c r="D107" s="177">
        <f>$C$107/$B$107</f>
        <v>2.412199819686911E-2</v>
      </c>
      <c r="E107" s="154">
        <f>$B$80</f>
        <v>55.4</v>
      </c>
    </row>
    <row r="108" spans="1:9" x14ac:dyDescent="0.35">
      <c r="A108" s="1" t="s">
        <v>678</v>
      </c>
      <c r="B108" s="152">
        <f>$B$90</f>
        <v>292.82400000000001</v>
      </c>
      <c r="C108" s="293">
        <f>$B$92</f>
        <v>12.75</v>
      </c>
      <c r="D108" s="177">
        <f>$C$108/$B$108</f>
        <v>4.3541512990738461E-2</v>
      </c>
      <c r="E108" s="154">
        <f>$B$89</f>
        <v>100</v>
      </c>
    </row>
    <row r="109" spans="1:9" x14ac:dyDescent="0.35">
      <c r="A109" s="1" t="s">
        <v>679</v>
      </c>
      <c r="B109" s="152">
        <v>0</v>
      </c>
      <c r="C109" s="292">
        <v>0</v>
      </c>
      <c r="D109" s="177">
        <v>0</v>
      </c>
      <c r="E109" s="154">
        <v>0</v>
      </c>
    </row>
    <row r="110" spans="1:9" x14ac:dyDescent="0.35">
      <c r="A110" s="1" t="s">
        <v>106</v>
      </c>
      <c r="B110" s="179">
        <f>$B$57</f>
        <v>154.33669565217394</v>
      </c>
      <c r="C110" s="293">
        <f>$B$58</f>
        <v>20.399999999999999</v>
      </c>
      <c r="D110" s="177">
        <f>$C$110/$B$110</f>
        <v>0.13217854583316427</v>
      </c>
      <c r="E110" s="154">
        <f>$B$50</f>
        <v>160</v>
      </c>
      <c r="I110" s="12"/>
    </row>
    <row r="111" spans="1:9" x14ac:dyDescent="0.35">
      <c r="A111" s="1" t="s">
        <v>680</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681</v>
      </c>
      <c r="B116" s="29"/>
      <c r="C116" s="85"/>
    </row>
    <row r="117" spans="1:1384" s="28" customFormat="1" ht="20.5" customHeight="1" x14ac:dyDescent="0.35">
      <c r="A117"/>
      <c r="B117" s="29"/>
      <c r="C117" s="85"/>
    </row>
    <row r="118" spans="1:1384" ht="107" customHeight="1" x14ac:dyDescent="0.35">
      <c r="A118" s="302" t="s">
        <v>449</v>
      </c>
      <c r="B118" s="302" t="s">
        <v>450</v>
      </c>
      <c r="C118" s="302" t="s">
        <v>682</v>
      </c>
      <c r="D118" s="302" t="s">
        <v>452</v>
      </c>
      <c r="E118" s="302" t="s">
        <v>469</v>
      </c>
      <c r="F118" s="302" t="s">
        <v>537</v>
      </c>
      <c r="G118" s="302" t="s">
        <v>409</v>
      </c>
      <c r="H118" s="103" t="s">
        <v>277</v>
      </c>
      <c r="I118" s="103" t="s">
        <v>278</v>
      </c>
      <c r="J118" s="103" t="s">
        <v>279</v>
      </c>
      <c r="K118" s="103" t="s">
        <v>280</v>
      </c>
      <c r="L118" s="103" t="s">
        <v>281</v>
      </c>
      <c r="M118" s="103" t="s">
        <v>282</v>
      </c>
      <c r="N118" s="103" t="s">
        <v>283</v>
      </c>
      <c r="O118" s="103" t="s">
        <v>284</v>
      </c>
      <c r="P118" s="103" t="s">
        <v>285</v>
      </c>
      <c r="Q118" s="103" t="s">
        <v>286</v>
      </c>
      <c r="R118" s="103" t="s">
        <v>287</v>
      </c>
      <c r="S118" s="103" t="s">
        <v>288</v>
      </c>
      <c r="T118" s="103" t="s">
        <v>289</v>
      </c>
      <c r="U118" s="103" t="s">
        <v>290</v>
      </c>
      <c r="V118" s="103" t="s">
        <v>291</v>
      </c>
      <c r="W118" s="103" t="s">
        <v>292</v>
      </c>
      <c r="X118" s="103" t="s">
        <v>293</v>
      </c>
      <c r="Y118" s="103" t="s">
        <v>294</v>
      </c>
      <c r="Z118" s="103" t="s">
        <v>295</v>
      </c>
    </row>
    <row r="119" spans="1:1384" ht="20" customHeight="1" x14ac:dyDescent="0.35">
      <c r="A119" s="1" t="s">
        <v>683</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684</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101</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103</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105</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198</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685</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686</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687</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1026</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1027</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198</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986</v>
      </c>
      <c r="G136" s="350"/>
    </row>
    <row r="137" spans="1:26" x14ac:dyDescent="0.35">
      <c r="E137" s="3"/>
      <c r="F137" s="3"/>
      <c r="G137" s="350"/>
    </row>
    <row r="138" spans="1:26" x14ac:dyDescent="0.35">
      <c r="A138" s="62" t="s">
        <v>151</v>
      </c>
      <c r="B138" s="62" t="s">
        <v>688</v>
      </c>
      <c r="C138" s="294" t="s">
        <v>105</v>
      </c>
      <c r="D138" s="62" t="s">
        <v>689</v>
      </c>
      <c r="E138" s="62" t="s">
        <v>198</v>
      </c>
      <c r="G138" s="350"/>
    </row>
    <row r="139" spans="1:26" x14ac:dyDescent="0.35">
      <c r="A139" s="1" t="s">
        <v>316</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278</v>
      </c>
      <c r="B140" s="154">
        <f>I121+I122</f>
        <v>0.40775681670534125</v>
      </c>
      <c r="C140" s="182">
        <f>'A5 - Construction'!I123</f>
        <v>0.54831600753423571</v>
      </c>
      <c r="D140" s="154">
        <f>SUM(I128:I131)</f>
        <v>0.20013047747929927</v>
      </c>
      <c r="E140" s="154">
        <f t="shared" si="3"/>
        <v>1.1562033017188762</v>
      </c>
      <c r="G140" s="350"/>
    </row>
    <row r="141" spans="1:26" x14ac:dyDescent="0.35">
      <c r="A141" s="1" t="s">
        <v>279</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280</v>
      </c>
      <c r="B142" s="154">
        <f>K121+K122</f>
        <v>0.40765451164230682</v>
      </c>
      <c r="C142" s="182">
        <f>'A5 - Construction'!K123</f>
        <v>0.54817843655708609</v>
      </c>
      <c r="D142" s="154">
        <f>SUM(K128:K131)</f>
        <v>0.20008026529332268</v>
      </c>
      <c r="E142" s="154">
        <f t="shared" si="3"/>
        <v>1.1559132134927155</v>
      </c>
      <c r="G142" s="350"/>
    </row>
    <row r="143" spans="1:26" x14ac:dyDescent="0.35">
      <c r="A143" s="1" t="s">
        <v>281</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282</v>
      </c>
      <c r="B144" s="154">
        <f>M121+M122</f>
        <v>0.180159449514772</v>
      </c>
      <c r="C144" s="182">
        <f>'A5 - Construction'!M123</f>
        <v>0.24226280476603371</v>
      </c>
      <c r="D144" s="154">
        <f>SUM(M128:M131)</f>
        <v>8.8423774114005468E-2</v>
      </c>
      <c r="E144" s="154">
        <f t="shared" si="3"/>
        <v>0.51084602839481119</v>
      </c>
      <c r="G144" s="350"/>
    </row>
    <row r="145" spans="1:7" x14ac:dyDescent="0.35">
      <c r="A145" s="1" t="s">
        <v>283</v>
      </c>
      <c r="B145" s="154">
        <f>N121+N122</f>
        <v>5.4161005129930588</v>
      </c>
      <c r="C145" s="182">
        <f>'A5 - Construction'!N123</f>
        <v>7.283102300248018</v>
      </c>
      <c r="D145" s="154">
        <f>SUM(N128:N131)</f>
        <v>2.6582677157901702</v>
      </c>
      <c r="E145" s="154">
        <f t="shared" si="3"/>
        <v>15.357470529031247</v>
      </c>
      <c r="G145" s="350"/>
    </row>
    <row r="146" spans="1:7" x14ac:dyDescent="0.35">
      <c r="A146" s="1" t="s">
        <v>284</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285</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286</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287</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317</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289</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290</v>
      </c>
      <c r="B152" s="154">
        <f>U121+U122</f>
        <v>0.27846571304235684</v>
      </c>
      <c r="C152" s="182">
        <f>'A5 - Construction'!U123</f>
        <v>0.37445654310396526</v>
      </c>
      <c r="D152" s="154">
        <f>SUM(U128:U131)</f>
        <v>0.13667331563717891</v>
      </c>
      <c r="E152" s="154">
        <f t="shared" si="3"/>
        <v>0.78959557178350104</v>
      </c>
      <c r="G152" s="350"/>
    </row>
    <row r="153" spans="1:7" x14ac:dyDescent="0.35">
      <c r="A153" s="1" t="s">
        <v>291</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292</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293</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294</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295</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628</v>
      </c>
      <c r="G162" s="350"/>
    </row>
    <row r="163" spans="1:7" x14ac:dyDescent="0.35">
      <c r="A163" s="95" t="s">
        <v>528</v>
      </c>
      <c r="B163" s="1">
        <f>SUM($H$124:$Z$124)+SUM($H$132:$Z$132)</f>
        <v>19.004021797548457</v>
      </c>
      <c r="G163" s="350"/>
    </row>
    <row r="164" spans="1:7" x14ac:dyDescent="0.35">
      <c r="A164" s="95" t="s">
        <v>529</v>
      </c>
      <c r="B164" s="1">
        <f>SUM($B$139:$D$157)</f>
        <v>19.004021797548454</v>
      </c>
      <c r="G164" s="350"/>
    </row>
    <row r="165" spans="1:7" x14ac:dyDescent="0.35">
      <c r="A165" s="95" t="s">
        <v>57</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690</v>
      </c>
    </row>
    <row r="3" spans="1:10" s="28" customFormat="1" ht="20" customHeight="1" x14ac:dyDescent="0.45">
      <c r="A3" s="227" t="s">
        <v>691</v>
      </c>
      <c r="B3" s="295" t="s">
        <v>373</v>
      </c>
      <c r="C3" s="295" t="s">
        <v>328</v>
      </c>
      <c r="D3" s="62" t="s">
        <v>329</v>
      </c>
    </row>
    <row r="4" spans="1:10" s="28" customFormat="1" ht="20" customHeight="1" x14ac:dyDescent="0.35">
      <c r="A4" s="1" t="s">
        <v>631</v>
      </c>
      <c r="B4" s="183" t="s">
        <v>692</v>
      </c>
      <c r="C4" s="44"/>
      <c r="D4" s="53"/>
    </row>
    <row r="5" spans="1:10" x14ac:dyDescent="0.35">
      <c r="A5" s="1" t="s">
        <v>693</v>
      </c>
      <c r="B5" s="90" t="s">
        <v>694</v>
      </c>
      <c r="C5" s="201" t="s">
        <v>694</v>
      </c>
      <c r="D5" s="1" t="s">
        <v>695</v>
      </c>
    </row>
    <row r="6" spans="1:10" x14ac:dyDescent="0.35">
      <c r="A6" s="1" t="s">
        <v>532</v>
      </c>
      <c r="B6" s="152">
        <f>Input!$B$22/1000</f>
        <v>2.4</v>
      </c>
      <c r="C6" s="33"/>
      <c r="D6" s="1"/>
    </row>
    <row r="7" spans="1:10" ht="29" x14ac:dyDescent="0.35">
      <c r="A7" s="1" t="s">
        <v>379</v>
      </c>
      <c r="B7" s="90">
        <v>0.51</v>
      </c>
      <c r="C7" s="39" t="s">
        <v>380</v>
      </c>
      <c r="D7" s="1"/>
    </row>
    <row r="8" spans="1:10" x14ac:dyDescent="0.35">
      <c r="A8" s="1" t="s">
        <v>409</v>
      </c>
      <c r="B8" s="90">
        <v>45</v>
      </c>
      <c r="C8" s="2"/>
      <c r="D8" s="1"/>
    </row>
    <row r="9" spans="1:10" ht="29" x14ac:dyDescent="0.35">
      <c r="A9" s="1" t="s">
        <v>381</v>
      </c>
      <c r="B9" s="90">
        <v>0.25</v>
      </c>
      <c r="C9" s="39" t="s">
        <v>382</v>
      </c>
      <c r="D9" s="214" t="s">
        <v>383</v>
      </c>
    </row>
    <row r="10" spans="1:10" x14ac:dyDescent="0.35">
      <c r="A10" s="1" t="s">
        <v>696</v>
      </c>
      <c r="B10" s="90">
        <v>18</v>
      </c>
      <c r="C10" s="2"/>
      <c r="D10" s="1"/>
    </row>
    <row r="11" spans="1:10" s="3" customFormat="1" x14ac:dyDescent="0.35">
      <c r="A11" s="1" t="s">
        <v>697</v>
      </c>
      <c r="B11" s="90">
        <f>MIN(1.2,Input!$B$66)</f>
        <v>1.2</v>
      </c>
      <c r="C11" s="2"/>
      <c r="D11" s="18"/>
    </row>
    <row r="12" spans="1:10" s="3" customFormat="1" x14ac:dyDescent="0.35">
      <c r="A12" s="1" t="s">
        <v>112</v>
      </c>
      <c r="B12" s="90">
        <f>MIN(0.35,Input!$B$79)</f>
        <v>0.08</v>
      </c>
      <c r="C12" s="215"/>
      <c r="D12" s="18"/>
    </row>
    <row r="13" spans="1:10" ht="29" x14ac:dyDescent="0.35">
      <c r="A13" s="1" t="s">
        <v>468</v>
      </c>
      <c r="B13" s="90">
        <v>0.83</v>
      </c>
      <c r="C13" s="39" t="s">
        <v>643</v>
      </c>
      <c r="D13" s="214" t="s">
        <v>698</v>
      </c>
      <c r="H13" s="50"/>
    </row>
    <row r="14" spans="1:10" ht="14" customHeight="1" x14ac:dyDescent="0.35">
      <c r="A14" s="18" t="s">
        <v>469</v>
      </c>
      <c r="B14" s="152">
        <f>$B$10*$B$11*$B$12*60*$B$6*$B$13</f>
        <v>206.53055999999995</v>
      </c>
      <c r="C14" s="216" t="s">
        <v>699</v>
      </c>
      <c r="D14" s="1"/>
      <c r="G14" s="50"/>
      <c r="H14" s="50"/>
    </row>
    <row r="15" spans="1:10" x14ac:dyDescent="0.35">
      <c r="A15" s="1" t="s">
        <v>394</v>
      </c>
      <c r="B15" s="152">
        <f>$B$8*$B$7*$B$9</f>
        <v>5.7374999999999998</v>
      </c>
      <c r="C15" s="39" t="s">
        <v>395</v>
      </c>
      <c r="D15" s="1" t="s">
        <v>396</v>
      </c>
      <c r="G15" s="50"/>
      <c r="H15" s="50"/>
    </row>
    <row r="16" spans="1:10" x14ac:dyDescent="0.35">
      <c r="B16" s="29"/>
      <c r="C16" s="29"/>
      <c r="D16" s="415"/>
      <c r="E16" s="415"/>
      <c r="F16" s="415"/>
      <c r="G16" s="415"/>
      <c r="H16" s="415"/>
      <c r="I16" s="415"/>
      <c r="J16" s="38"/>
    </row>
    <row r="17" spans="1:12" ht="18.5" x14ac:dyDescent="0.45">
      <c r="A17" s="227" t="s">
        <v>700</v>
      </c>
      <c r="B17" s="295" t="s">
        <v>373</v>
      </c>
      <c r="C17" s="295" t="s">
        <v>328</v>
      </c>
      <c r="D17" s="62" t="s">
        <v>329</v>
      </c>
    </row>
    <row r="18" spans="1:12" x14ac:dyDescent="0.35">
      <c r="A18" s="1" t="s">
        <v>631</v>
      </c>
      <c r="B18" s="90" t="s">
        <v>701</v>
      </c>
      <c r="C18" s="2"/>
      <c r="D18" s="1"/>
    </row>
    <row r="19" spans="1:12" x14ac:dyDescent="0.35">
      <c r="A19" s="1" t="s">
        <v>693</v>
      </c>
      <c r="B19" s="90" t="s">
        <v>702</v>
      </c>
      <c r="C19" s="2" t="s">
        <v>702</v>
      </c>
      <c r="D19" s="30" t="s">
        <v>703</v>
      </c>
      <c r="I19" s="3" t="s">
        <v>704</v>
      </c>
      <c r="L19" s="50"/>
    </row>
    <row r="20" spans="1:12" x14ac:dyDescent="0.35">
      <c r="A20" s="1" t="s">
        <v>532</v>
      </c>
      <c r="B20" s="152">
        <f>Input!$B$22/1000</f>
        <v>2.4</v>
      </c>
      <c r="C20" s="2"/>
      <c r="D20" s="1"/>
      <c r="L20" s="50"/>
    </row>
    <row r="21" spans="1:12" ht="29" x14ac:dyDescent="0.35">
      <c r="A21" s="1" t="s">
        <v>379</v>
      </c>
      <c r="B21" s="90">
        <v>0.51</v>
      </c>
      <c r="C21" s="39" t="s">
        <v>380</v>
      </c>
      <c r="D21" s="1"/>
      <c r="I21" s="1" t="s">
        <v>705</v>
      </c>
      <c r="J21" s="1" t="s">
        <v>706</v>
      </c>
      <c r="K21" s="1" t="s">
        <v>707</v>
      </c>
      <c r="L21" s="50" t="s">
        <v>708</v>
      </c>
    </row>
    <row r="22" spans="1:12" x14ac:dyDescent="0.35">
      <c r="A22" s="1" t="s">
        <v>409</v>
      </c>
      <c r="B22" s="90">
        <v>571</v>
      </c>
      <c r="C22" s="2"/>
      <c r="D22" s="1"/>
      <c r="I22" s="1">
        <v>50</v>
      </c>
      <c r="J22" s="1">
        <v>2.86</v>
      </c>
      <c r="K22" s="1">
        <f>I22/J22</f>
        <v>17.482517482517483</v>
      </c>
      <c r="L22" s="50">
        <f>AVERAGE(K22:K26)</f>
        <v>18.032613080194253</v>
      </c>
    </row>
    <row r="23" spans="1:12" ht="29" x14ac:dyDescent="0.35">
      <c r="A23" s="1" t="s">
        <v>381</v>
      </c>
      <c r="B23" s="90">
        <v>0.25</v>
      </c>
      <c r="C23" s="39" t="s">
        <v>382</v>
      </c>
      <c r="D23" s="214" t="s">
        <v>383</v>
      </c>
      <c r="I23" s="1"/>
      <c r="J23" s="1"/>
      <c r="K23" s="1"/>
      <c r="L23" s="50"/>
    </row>
    <row r="24" spans="1:12" x14ac:dyDescent="0.35">
      <c r="A24" s="1" t="s">
        <v>696</v>
      </c>
      <c r="B24" s="90">
        <v>18</v>
      </c>
      <c r="C24" s="2"/>
      <c r="D24" s="1"/>
      <c r="I24" s="1">
        <v>50</v>
      </c>
      <c r="J24" s="1">
        <v>2.63</v>
      </c>
      <c r="K24" s="1">
        <f t="shared" ref="K24:K26" si="0">I24/J24</f>
        <v>19.011406844106464</v>
      </c>
      <c r="L24" s="50"/>
    </row>
    <row r="25" spans="1:12" ht="14" customHeight="1" x14ac:dyDescent="0.35">
      <c r="A25" s="1" t="s">
        <v>697</v>
      </c>
      <c r="B25" s="90">
        <f>MIN(2,Input!$B$66)</f>
        <v>2</v>
      </c>
      <c r="C25" s="2"/>
      <c r="D25" s="18"/>
      <c r="I25" s="1">
        <v>50</v>
      </c>
      <c r="J25" s="1">
        <v>2.65</v>
      </c>
      <c r="K25" s="1">
        <f t="shared" si="0"/>
        <v>18.867924528301888</v>
      </c>
      <c r="L25" s="3"/>
    </row>
    <row r="26" spans="1:12" x14ac:dyDescent="0.35">
      <c r="A26" s="1" t="s">
        <v>112</v>
      </c>
      <c r="B26" s="152">
        <f>MIN(0.35,Input!$B$79)</f>
        <v>0.08</v>
      </c>
      <c r="C26" s="2"/>
      <c r="D26" s="40"/>
      <c r="I26" s="22">
        <v>16.45</v>
      </c>
      <c r="J26" s="22">
        <v>0.98099999999999998</v>
      </c>
      <c r="K26" s="1">
        <f t="shared" si="0"/>
        <v>16.768603465851172</v>
      </c>
      <c r="L26" s="38"/>
    </row>
    <row r="27" spans="1:12" x14ac:dyDescent="0.35">
      <c r="A27" s="1" t="s">
        <v>642</v>
      </c>
      <c r="B27" s="152">
        <f>Input!$B$31/1000</f>
        <v>0.08</v>
      </c>
      <c r="C27" s="2"/>
      <c r="D27" s="1"/>
    </row>
    <row r="28" spans="1:12" x14ac:dyDescent="0.35">
      <c r="A28" s="1" t="s">
        <v>468</v>
      </c>
      <c r="B28" s="90">
        <v>0.83</v>
      </c>
      <c r="C28" s="49" t="s">
        <v>643</v>
      </c>
      <c r="D28" s="30" t="s">
        <v>698</v>
      </c>
    </row>
    <row r="29" spans="1:12" x14ac:dyDescent="0.35">
      <c r="A29" s="18" t="s">
        <v>469</v>
      </c>
      <c r="B29" s="152">
        <f>$B$24*$B$25*$B$26*60*$B$20*$B$28</f>
        <v>344.21759999999995</v>
      </c>
      <c r="C29" s="2" t="s">
        <v>699</v>
      </c>
      <c r="D29" s="1"/>
    </row>
    <row r="30" spans="1:12" ht="14" customHeight="1" x14ac:dyDescent="0.35">
      <c r="A30" s="1" t="s">
        <v>394</v>
      </c>
      <c r="B30" s="152">
        <f>$B$22*$B$21*$B$23</f>
        <v>72.802499999999995</v>
      </c>
      <c r="C30" s="39" t="s">
        <v>395</v>
      </c>
      <c r="D30" s="1" t="s">
        <v>396</v>
      </c>
    </row>
    <row r="31" spans="1:12" x14ac:dyDescent="0.35">
      <c r="B31" s="29"/>
      <c r="C31" s="29"/>
    </row>
    <row r="32" spans="1:12" ht="18.5" x14ac:dyDescent="0.45">
      <c r="A32" s="227" t="s">
        <v>709</v>
      </c>
      <c r="B32" s="295" t="s">
        <v>373</v>
      </c>
      <c r="C32" s="295" t="s">
        <v>328</v>
      </c>
      <c r="D32" s="62" t="s">
        <v>329</v>
      </c>
    </row>
    <row r="33" spans="1:10" x14ac:dyDescent="0.35">
      <c r="A33" s="1" t="s">
        <v>631</v>
      </c>
      <c r="B33" s="90" t="s">
        <v>710</v>
      </c>
      <c r="C33" s="2"/>
      <c r="D33" s="1"/>
    </row>
    <row r="34" spans="1:10" x14ac:dyDescent="0.35">
      <c r="A34" s="1" t="s">
        <v>693</v>
      </c>
      <c r="B34" s="90" t="s">
        <v>711</v>
      </c>
      <c r="C34" s="2"/>
      <c r="D34" s="18"/>
      <c r="E34" s="3"/>
      <c r="F34" s="3"/>
      <c r="G34" s="3"/>
      <c r="H34" s="3"/>
      <c r="I34" s="3"/>
      <c r="J34" s="3"/>
    </row>
    <row r="35" spans="1:10" x14ac:dyDescent="0.35">
      <c r="A35" s="1" t="s">
        <v>532</v>
      </c>
      <c r="B35" s="152">
        <f>Input!$B$22/1000</f>
        <v>2.4</v>
      </c>
      <c r="C35" s="2"/>
      <c r="D35" s="1"/>
    </row>
    <row r="36" spans="1:10" ht="29" x14ac:dyDescent="0.35">
      <c r="A36" s="1" t="s">
        <v>379</v>
      </c>
      <c r="B36" s="90">
        <v>0.51</v>
      </c>
      <c r="C36" s="39" t="s">
        <v>380</v>
      </c>
      <c r="D36" s="1"/>
    </row>
    <row r="37" spans="1:10" x14ac:dyDescent="0.35">
      <c r="A37" s="1" t="s">
        <v>409</v>
      </c>
      <c r="B37" s="90">
        <v>753</v>
      </c>
      <c r="C37" s="2"/>
      <c r="D37" s="1"/>
    </row>
    <row r="38" spans="1:10" ht="29" x14ac:dyDescent="0.35">
      <c r="A38" s="1" t="s">
        <v>381</v>
      </c>
      <c r="B38" s="90">
        <v>0.25</v>
      </c>
      <c r="C38" s="39" t="s">
        <v>382</v>
      </c>
      <c r="D38" s="214" t="s">
        <v>383</v>
      </c>
    </row>
    <row r="39" spans="1:10" x14ac:dyDescent="0.35">
      <c r="A39" s="1" t="s">
        <v>696</v>
      </c>
      <c r="B39" s="90">
        <v>18</v>
      </c>
      <c r="C39" s="2"/>
      <c r="D39" s="1"/>
    </row>
    <row r="40" spans="1:10" x14ac:dyDescent="0.35">
      <c r="A40" s="1" t="s">
        <v>697</v>
      </c>
      <c r="B40" s="90">
        <f>MIN(2.2,Input!$B$66)</f>
        <v>2.2000000000000002</v>
      </c>
      <c r="C40" s="2"/>
      <c r="D40" s="1"/>
    </row>
    <row r="41" spans="1:10" x14ac:dyDescent="0.35">
      <c r="A41" s="1" t="s">
        <v>112</v>
      </c>
      <c r="B41" s="90">
        <f>MIN(0.35,Input!$B$79)</f>
        <v>0.08</v>
      </c>
      <c r="C41" s="2"/>
      <c r="D41" s="1"/>
    </row>
    <row r="42" spans="1:10" x14ac:dyDescent="0.35">
      <c r="A42" s="1" t="s">
        <v>468</v>
      </c>
      <c r="B42" s="90">
        <v>0.83</v>
      </c>
      <c r="C42" s="2" t="s">
        <v>643</v>
      </c>
      <c r="D42" s="1" t="s">
        <v>698</v>
      </c>
    </row>
    <row r="43" spans="1:10" x14ac:dyDescent="0.35">
      <c r="A43" s="18" t="s">
        <v>469</v>
      </c>
      <c r="B43" s="152">
        <f>$B$39*$B$40*$B$41*60*$B$35*$B$42</f>
        <v>378.63936000000001</v>
      </c>
      <c r="C43" s="2" t="s">
        <v>699</v>
      </c>
      <c r="D43" s="1"/>
    </row>
    <row r="44" spans="1:10" ht="14" customHeight="1" x14ac:dyDescent="0.35">
      <c r="A44" s="1" t="s">
        <v>394</v>
      </c>
      <c r="B44" s="152">
        <f>$B$37*$B$36*$B$38</f>
        <v>96.007500000000007</v>
      </c>
      <c r="C44" s="39" t="s">
        <v>395</v>
      </c>
      <c r="D44" s="1" t="s">
        <v>396</v>
      </c>
    </row>
    <row r="45" spans="1:10" x14ac:dyDescent="0.35">
      <c r="B45" s="29"/>
      <c r="C45" s="29"/>
    </row>
    <row r="46" spans="1:10" x14ac:dyDescent="0.35">
      <c r="B46" s="29"/>
      <c r="C46" s="29"/>
    </row>
    <row r="47" spans="1:10" ht="18.5" x14ac:dyDescent="0.45">
      <c r="A47" s="227" t="s">
        <v>712</v>
      </c>
      <c r="B47" s="295" t="s">
        <v>373</v>
      </c>
      <c r="C47" s="295" t="s">
        <v>328</v>
      </c>
      <c r="D47" s="62" t="s">
        <v>329</v>
      </c>
    </row>
    <row r="48" spans="1:10" x14ac:dyDescent="0.35">
      <c r="A48" s="1" t="s">
        <v>713</v>
      </c>
      <c r="B48" s="90" t="s">
        <v>714</v>
      </c>
      <c r="C48" s="2" t="s">
        <v>328</v>
      </c>
      <c r="D48" s="1"/>
    </row>
    <row r="49" spans="1:5" x14ac:dyDescent="0.35">
      <c r="A49" s="1" t="s">
        <v>715</v>
      </c>
      <c r="B49" s="90" t="s">
        <v>716</v>
      </c>
      <c r="C49" s="2" t="s">
        <v>717</v>
      </c>
      <c r="D49" s="1" t="s">
        <v>718</v>
      </c>
    </row>
    <row r="50" spans="1:5" ht="29" x14ac:dyDescent="0.35">
      <c r="A50" s="1" t="s">
        <v>379</v>
      </c>
      <c r="B50" s="90">
        <v>0.51</v>
      </c>
      <c r="C50" s="39" t="s">
        <v>380</v>
      </c>
      <c r="D50" s="1"/>
    </row>
    <row r="51" spans="1:5" x14ac:dyDescent="0.35">
      <c r="A51" s="1" t="s">
        <v>409</v>
      </c>
      <c r="B51" s="90">
        <v>186</v>
      </c>
      <c r="C51" s="2"/>
      <c r="D51" s="1"/>
    </row>
    <row r="52" spans="1:5" ht="29" x14ac:dyDescent="0.35">
      <c r="A52" s="1" t="s">
        <v>381</v>
      </c>
      <c r="B52" s="90">
        <v>0.25</v>
      </c>
      <c r="C52" s="39" t="s">
        <v>382</v>
      </c>
      <c r="D52" s="214" t="s">
        <v>383</v>
      </c>
    </row>
    <row r="53" spans="1:5" x14ac:dyDescent="0.35">
      <c r="A53" s="1" t="s">
        <v>394</v>
      </c>
      <c r="B53" s="152">
        <f>$B$51*$B$50*$B$52</f>
        <v>23.715</v>
      </c>
      <c r="C53" s="39" t="s">
        <v>395</v>
      </c>
      <c r="D53" s="1" t="s">
        <v>434</v>
      </c>
    </row>
    <row r="54" spans="1:5" x14ac:dyDescent="0.35">
      <c r="B54" s="29"/>
      <c r="C54" s="29"/>
    </row>
    <row r="55" spans="1:5" x14ac:dyDescent="0.35">
      <c r="A55" s="1" t="s">
        <v>369</v>
      </c>
      <c r="B55" s="90">
        <v>0.51</v>
      </c>
      <c r="C55" s="90" t="s">
        <v>370</v>
      </c>
    </row>
    <row r="56" spans="1:5" x14ac:dyDescent="0.35">
      <c r="B56" s="29"/>
      <c r="C56" s="29"/>
    </row>
    <row r="57" spans="1:5" x14ac:dyDescent="0.35">
      <c r="B57" s="29"/>
      <c r="C57" s="29"/>
    </row>
    <row r="58" spans="1:5" x14ac:dyDescent="0.35">
      <c r="B58" s="29"/>
      <c r="C58" s="29"/>
    </row>
    <row r="59" spans="1:5" ht="21" x14ac:dyDescent="0.5">
      <c r="A59" s="99" t="s">
        <v>437</v>
      </c>
      <c r="B59" s="29"/>
      <c r="C59" s="29"/>
    </row>
    <row r="60" spans="1:5" ht="21" x14ac:dyDescent="0.5">
      <c r="A60" s="82"/>
      <c r="B60" s="29"/>
      <c r="C60" s="29"/>
    </row>
    <row r="61" spans="1:5" x14ac:dyDescent="0.35">
      <c r="A61" t="s">
        <v>674</v>
      </c>
      <c r="B61" s="29"/>
      <c r="C61" s="29"/>
    </row>
    <row r="63" spans="1:5" x14ac:dyDescent="0.35">
      <c r="A63" s="62" t="s">
        <v>439</v>
      </c>
      <c r="B63" s="62" t="s">
        <v>469</v>
      </c>
      <c r="C63" s="62" t="s">
        <v>394</v>
      </c>
      <c r="D63" s="62" t="s">
        <v>719</v>
      </c>
      <c r="E63" s="62" t="s">
        <v>409</v>
      </c>
    </row>
    <row r="64" spans="1:5" x14ac:dyDescent="0.35">
      <c r="A64" s="1" t="s">
        <v>117</v>
      </c>
      <c r="B64" s="154">
        <v>0</v>
      </c>
      <c r="C64" s="154">
        <v>0</v>
      </c>
      <c r="D64" s="154">
        <v>0</v>
      </c>
      <c r="E64" s="154">
        <v>0</v>
      </c>
    </row>
    <row r="65" spans="1:27" x14ac:dyDescent="0.35">
      <c r="A65" s="13" t="s">
        <v>720</v>
      </c>
      <c r="B65" s="154">
        <f>$B$14</f>
        <v>206.53055999999995</v>
      </c>
      <c r="C65" s="154">
        <f>$B$15</f>
        <v>5.7374999999999998</v>
      </c>
      <c r="D65" s="154">
        <f>$C$65/$B$65</f>
        <v>2.7780392402945119E-2</v>
      </c>
      <c r="E65" s="154">
        <f>$B$8</f>
        <v>45</v>
      </c>
    </row>
    <row r="66" spans="1:27" x14ac:dyDescent="0.35">
      <c r="A66" s="13" t="s">
        <v>115</v>
      </c>
      <c r="B66" s="154">
        <f>$B$29</f>
        <v>344.21759999999995</v>
      </c>
      <c r="C66" s="154">
        <f>$B$30</f>
        <v>72.802499999999995</v>
      </c>
      <c r="D66" s="154">
        <f>$C$66/$B$66</f>
        <v>0.21150138749442216</v>
      </c>
      <c r="E66" s="154">
        <f>$B$22</f>
        <v>571</v>
      </c>
    </row>
    <row r="67" spans="1:27" x14ac:dyDescent="0.35">
      <c r="A67" s="13" t="s">
        <v>721</v>
      </c>
      <c r="B67" s="154">
        <f>$B$43</f>
        <v>378.63936000000001</v>
      </c>
      <c r="C67" s="154">
        <f>$B$44</f>
        <v>96.007500000000007</v>
      </c>
      <c r="D67" s="154">
        <f>$C$67/$B$67</f>
        <v>0.25355921793233543</v>
      </c>
      <c r="E67" s="154">
        <f>$B$37</f>
        <v>753</v>
      </c>
    </row>
    <row r="68" spans="1:27" x14ac:dyDescent="0.35">
      <c r="A68" s="13" t="s">
        <v>119</v>
      </c>
      <c r="B68" s="154" t="s">
        <v>722</v>
      </c>
      <c r="C68" s="154">
        <f>$B$53</f>
        <v>23.715</v>
      </c>
      <c r="D68" s="174" t="s">
        <v>723</v>
      </c>
      <c r="E68" s="154">
        <f>$B$51</f>
        <v>186</v>
      </c>
    </row>
    <row r="71" spans="1:27" ht="23.5" x14ac:dyDescent="0.55000000000000004">
      <c r="A71" s="100" t="s">
        <v>724</v>
      </c>
    </row>
    <row r="73" spans="1:27" ht="43.5" x14ac:dyDescent="0.35">
      <c r="A73" s="127" t="s">
        <v>449</v>
      </c>
      <c r="B73" s="127" t="s">
        <v>450</v>
      </c>
      <c r="C73" s="127" t="s">
        <v>451</v>
      </c>
      <c r="D73" s="127" t="s">
        <v>452</v>
      </c>
      <c r="E73" s="127" t="s">
        <v>469</v>
      </c>
      <c r="F73" s="127" t="s">
        <v>719</v>
      </c>
      <c r="G73" s="127" t="s">
        <v>409</v>
      </c>
      <c r="H73" s="101" t="s">
        <v>277</v>
      </c>
      <c r="I73" s="101" t="s">
        <v>278</v>
      </c>
      <c r="J73" s="101" t="s">
        <v>279</v>
      </c>
      <c r="K73" s="101" t="s">
        <v>280</v>
      </c>
      <c r="L73" s="101" t="s">
        <v>281</v>
      </c>
      <c r="M73" s="101" t="s">
        <v>282</v>
      </c>
      <c r="N73" s="101" t="s">
        <v>283</v>
      </c>
      <c r="O73" s="101" t="s">
        <v>284</v>
      </c>
      <c r="P73" s="101" t="s">
        <v>285</v>
      </c>
      <c r="Q73" s="101" t="s">
        <v>286</v>
      </c>
      <c r="R73" s="101" t="s">
        <v>287</v>
      </c>
      <c r="S73" s="101" t="s">
        <v>288</v>
      </c>
      <c r="T73" s="101" t="s">
        <v>289</v>
      </c>
      <c r="U73" s="101" t="s">
        <v>290</v>
      </c>
      <c r="V73" s="101" t="s">
        <v>291</v>
      </c>
      <c r="W73" s="101" t="s">
        <v>292</v>
      </c>
      <c r="X73" s="101" t="s">
        <v>293</v>
      </c>
      <c r="Y73" s="101" t="s">
        <v>294</v>
      </c>
      <c r="Z73" s="101" t="s">
        <v>295</v>
      </c>
      <c r="AA73" s="25"/>
    </row>
    <row r="74" spans="1:27" x14ac:dyDescent="0.35">
      <c r="A74" s="83" t="s">
        <v>725</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114</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116</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1028</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118</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198</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987</v>
      </c>
    </row>
    <row r="85" spans="1:2" ht="18.5" x14ac:dyDescent="0.45">
      <c r="A85" s="74"/>
    </row>
    <row r="86" spans="1:2" x14ac:dyDescent="0.35">
      <c r="A86" s="62" t="s">
        <v>151</v>
      </c>
      <c r="B86" s="62" t="s">
        <v>726</v>
      </c>
    </row>
    <row r="87" spans="1:2" x14ac:dyDescent="0.35">
      <c r="A87" s="1" t="s">
        <v>316</v>
      </c>
      <c r="B87" s="174">
        <f>SUM(H75:H78)</f>
        <v>1.1217073342617407E-3</v>
      </c>
    </row>
    <row r="88" spans="1:2" x14ac:dyDescent="0.35">
      <c r="A88" s="1" t="s">
        <v>278</v>
      </c>
      <c r="B88" s="174">
        <f>SUM(I75:I78)</f>
        <v>0.87737079908012983</v>
      </c>
    </row>
    <row r="89" spans="1:2" x14ac:dyDescent="0.35">
      <c r="A89" s="1" t="s">
        <v>279</v>
      </c>
      <c r="B89" s="174">
        <f>SUM(J75:J78)</f>
        <v>1.8133028980664895E-4</v>
      </c>
    </row>
    <row r="90" spans="1:2" x14ac:dyDescent="0.35">
      <c r="A90" s="1" t="s">
        <v>280</v>
      </c>
      <c r="B90" s="174">
        <f>SUM(K75:K78)</f>
        <v>0.87715066916144513</v>
      </c>
    </row>
    <row r="91" spans="1:2" x14ac:dyDescent="0.35">
      <c r="A91" s="1" t="s">
        <v>281</v>
      </c>
      <c r="B91" s="174">
        <f>SUM(L75:L78)</f>
        <v>3.8799628878016996E-5</v>
      </c>
    </row>
    <row r="92" spans="1:2" x14ac:dyDescent="0.35">
      <c r="A92" s="1" t="s">
        <v>282</v>
      </c>
      <c r="B92" s="174">
        <f>SUM(M75:M78)</f>
        <v>0.38764928924986203</v>
      </c>
    </row>
    <row r="93" spans="1:2" x14ac:dyDescent="0.35">
      <c r="A93" s="1" t="s">
        <v>283</v>
      </c>
      <c r="B93" s="174">
        <f>SUM(N75:N78)</f>
        <v>11.65382953834693</v>
      </c>
    </row>
    <row r="94" spans="1:2" x14ac:dyDescent="0.35">
      <c r="A94" s="1" t="s">
        <v>284</v>
      </c>
      <c r="B94" s="174">
        <f>SUM(O75:O78)</f>
        <v>9.2749951830432911E-6</v>
      </c>
    </row>
    <row r="95" spans="1:2" x14ac:dyDescent="0.35">
      <c r="A95" s="1" t="s">
        <v>285</v>
      </c>
      <c r="B95" s="174">
        <f>SUM(P75:P78)</f>
        <v>2.5365457383613185E-4</v>
      </c>
    </row>
    <row r="96" spans="1:2" x14ac:dyDescent="0.35">
      <c r="A96" s="1" t="s">
        <v>286</v>
      </c>
      <c r="B96" s="174">
        <f>SUM(Q75:Q78)</f>
        <v>2.7575377816790978E-3</v>
      </c>
    </row>
    <row r="97" spans="1:2" x14ac:dyDescent="0.35">
      <c r="A97" s="1" t="s">
        <v>287</v>
      </c>
      <c r="B97" s="174">
        <f>SUM(R75:R78)</f>
        <v>5.3616599502692708E-11</v>
      </c>
    </row>
    <row r="98" spans="1:2" x14ac:dyDescent="0.35">
      <c r="A98" s="1" t="s">
        <v>317</v>
      </c>
      <c r="B98" s="174">
        <f>SUM(S75:S78)</f>
        <v>1.4291011930392459E-9</v>
      </c>
    </row>
    <row r="99" spans="1:2" x14ac:dyDescent="0.35">
      <c r="A99" s="1" t="s">
        <v>289</v>
      </c>
      <c r="B99" s="174">
        <f>SUM(T75:T78)</f>
        <v>3.4991589262714472E-3</v>
      </c>
    </row>
    <row r="100" spans="1:2" x14ac:dyDescent="0.35">
      <c r="A100" s="1" t="s">
        <v>290</v>
      </c>
      <c r="B100" s="174">
        <f>SUM(U75:U78)</f>
        <v>0.59917498655808599</v>
      </c>
    </row>
    <row r="101" spans="1:2" x14ac:dyDescent="0.35">
      <c r="A101" s="1" t="s">
        <v>291</v>
      </c>
      <c r="B101" s="174">
        <f>SUM(V75:V78)</f>
        <v>1.3681009766764487E-7</v>
      </c>
    </row>
    <row r="102" spans="1:2" x14ac:dyDescent="0.35">
      <c r="A102" s="1" t="s">
        <v>292</v>
      </c>
      <c r="B102" s="174">
        <f>SUM(W75:W78)</f>
        <v>1.9771215431464347E-8</v>
      </c>
    </row>
    <row r="103" spans="1:2" x14ac:dyDescent="0.35">
      <c r="A103" s="1" t="s">
        <v>293</v>
      </c>
      <c r="B103" s="174">
        <f>SUM(X75:X78)</f>
        <v>8.6414530919530463E-9</v>
      </c>
    </row>
    <row r="104" spans="1:2" x14ac:dyDescent="0.35">
      <c r="A104" s="1" t="s">
        <v>294</v>
      </c>
      <c r="B104" s="174">
        <f>SUM(Y75:Y78)</f>
        <v>2.1610841291208631E-3</v>
      </c>
    </row>
    <row r="105" spans="1:2" x14ac:dyDescent="0.35">
      <c r="A105" s="1" t="s">
        <v>295</v>
      </c>
      <c r="B105" s="174">
        <f>SUM(Z75:Z78)</f>
        <v>1.5772576029667661E-2</v>
      </c>
    </row>
    <row r="109" spans="1:2" x14ac:dyDescent="0.35">
      <c r="B109" t="s">
        <v>628</v>
      </c>
    </row>
    <row r="110" spans="1:2" x14ac:dyDescent="0.35">
      <c r="A110" s="95" t="s">
        <v>528</v>
      </c>
      <c r="B110" s="1">
        <f>SUM($H$79:$Z$79)</f>
        <v>14.42097057279064</v>
      </c>
    </row>
    <row r="111" spans="1:2" x14ac:dyDescent="0.35">
      <c r="A111" s="95" t="s">
        <v>529</v>
      </c>
      <c r="B111" s="1">
        <f>SUM($B$87:$B$105)</f>
        <v>14.42097057279064</v>
      </c>
    </row>
    <row r="112" spans="1:2" x14ac:dyDescent="0.35">
      <c r="A112" s="95" t="s">
        <v>57</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818</v>
      </c>
    </row>
    <row r="2" spans="1:6" ht="15" customHeight="1" x14ac:dyDescent="0.55000000000000004">
      <c r="A2" s="100"/>
    </row>
    <row r="3" spans="1:6" x14ac:dyDescent="0.35">
      <c r="A3" s="1" t="s">
        <v>369</v>
      </c>
      <c r="B3" s="90">
        <v>0.51</v>
      </c>
      <c r="C3" s="2" t="s">
        <v>370</v>
      </c>
    </row>
    <row r="5" spans="1:6" ht="23.5" x14ac:dyDescent="0.55000000000000004">
      <c r="A5" s="100" t="s">
        <v>819</v>
      </c>
      <c r="D5" s="24"/>
    </row>
    <row r="7" spans="1:6" x14ac:dyDescent="0.35">
      <c r="A7" s="62" t="s">
        <v>274</v>
      </c>
      <c r="B7" s="62" t="s">
        <v>820</v>
      </c>
      <c r="C7" s="62" t="s">
        <v>821</v>
      </c>
      <c r="D7" s="62" t="s">
        <v>822</v>
      </c>
      <c r="F7" s="3"/>
    </row>
    <row r="8" spans="1:6" x14ac:dyDescent="0.35">
      <c r="A8" s="1" t="s">
        <v>264</v>
      </c>
      <c r="B8" s="96" t="s">
        <v>67</v>
      </c>
      <c r="C8" s="96" t="s">
        <v>68</v>
      </c>
      <c r="D8" s="97">
        <f>Input!$L$39</f>
        <v>262</v>
      </c>
    </row>
    <row r="9" spans="1:6" x14ac:dyDescent="0.35">
      <c r="A9" s="73" t="s">
        <v>210</v>
      </c>
      <c r="B9" s="96" t="s">
        <v>67</v>
      </c>
      <c r="C9" s="96" t="s">
        <v>68</v>
      </c>
      <c r="D9" s="97">
        <f>Input!$L$49</f>
        <v>190</v>
      </c>
    </row>
    <row r="10" spans="1:6" x14ac:dyDescent="0.35">
      <c r="A10" s="73" t="s">
        <v>219</v>
      </c>
      <c r="B10" s="96" t="s">
        <v>67</v>
      </c>
      <c r="C10" s="96" t="s">
        <v>68</v>
      </c>
      <c r="D10" s="97">
        <v>128</v>
      </c>
    </row>
    <row r="11" spans="1:6" x14ac:dyDescent="0.35">
      <c r="A11" s="73" t="s">
        <v>265</v>
      </c>
      <c r="B11" s="96" t="s">
        <v>67</v>
      </c>
      <c r="C11" s="96" t="s">
        <v>68</v>
      </c>
      <c r="D11" s="97">
        <v>95</v>
      </c>
    </row>
    <row r="12" spans="1:6" x14ac:dyDescent="0.35">
      <c r="A12" s="73" t="s">
        <v>823</v>
      </c>
      <c r="B12" s="96" t="s">
        <v>67</v>
      </c>
      <c r="C12" s="96" t="s">
        <v>68</v>
      </c>
      <c r="D12" s="97">
        <f>Input!$L$51</f>
        <v>24</v>
      </c>
    </row>
    <row r="15" spans="1:6" ht="16" x14ac:dyDescent="0.4">
      <c r="A15" s="81" t="s">
        <v>824</v>
      </c>
      <c r="B15" s="3"/>
    </row>
    <row r="16" spans="1:6" x14ac:dyDescent="0.35">
      <c r="A16" s="1" t="s">
        <v>825</v>
      </c>
      <c r="B16" s="165">
        <f>Input!$B$51+Input!$B$52</f>
        <v>0.3</v>
      </c>
    </row>
    <row r="17" spans="1:25" x14ac:dyDescent="0.35">
      <c r="A17" s="1" t="s">
        <v>826</v>
      </c>
      <c r="B17" s="190">
        <f>100%-$B$16</f>
        <v>0.7</v>
      </c>
      <c r="C17" s="11"/>
    </row>
    <row r="20" spans="1:25" ht="23.5" x14ac:dyDescent="0.55000000000000004">
      <c r="A20" s="100" t="s">
        <v>827</v>
      </c>
    </row>
    <row r="21" spans="1:25" x14ac:dyDescent="0.35">
      <c r="A21" s="3"/>
    </row>
    <row r="22" spans="1:25" ht="16" x14ac:dyDescent="0.4">
      <c r="A22" s="81" t="s">
        <v>326</v>
      </c>
    </row>
    <row r="23" spans="1:25" x14ac:dyDescent="0.35">
      <c r="A23" s="62" t="s">
        <v>372</v>
      </c>
      <c r="B23" s="304" t="s">
        <v>373</v>
      </c>
      <c r="C23" s="295" t="s">
        <v>328</v>
      </c>
      <c r="D23" s="62" t="s">
        <v>329</v>
      </c>
    </row>
    <row r="24" spans="1:25" x14ac:dyDescent="0.35">
      <c r="A24" s="1" t="s">
        <v>624</v>
      </c>
      <c r="B24" s="106">
        <v>1.24</v>
      </c>
      <c r="C24" t="s">
        <v>331</v>
      </c>
      <c r="D24" s="20" t="s">
        <v>332</v>
      </c>
    </row>
    <row r="25" spans="1:25" x14ac:dyDescent="0.35">
      <c r="A25" s="1" t="s">
        <v>333</v>
      </c>
      <c r="B25" s="106">
        <v>36.286999999999999</v>
      </c>
    </row>
    <row r="26" spans="1:25" x14ac:dyDescent="0.35">
      <c r="A26" s="1" t="s">
        <v>625</v>
      </c>
      <c r="B26" s="163">
        <f>$B$24/$B$25</f>
        <v>3.417201752693802E-2</v>
      </c>
    </row>
    <row r="27" spans="1:25" x14ac:dyDescent="0.35">
      <c r="A27" s="3"/>
    </row>
    <row r="29" spans="1:25" ht="87" x14ac:dyDescent="0.35">
      <c r="A29" s="104" t="s">
        <v>450</v>
      </c>
      <c r="B29" s="104" t="s">
        <v>275</v>
      </c>
      <c r="C29" s="103" t="s">
        <v>587</v>
      </c>
      <c r="D29" s="103" t="s">
        <v>55</v>
      </c>
      <c r="E29" s="103" t="s">
        <v>337</v>
      </c>
      <c r="F29" s="103" t="s">
        <v>338</v>
      </c>
      <c r="G29" s="302" t="s">
        <v>277</v>
      </c>
      <c r="H29" s="302" t="s">
        <v>278</v>
      </c>
      <c r="I29" s="302" t="s">
        <v>279</v>
      </c>
      <c r="J29" s="302" t="s">
        <v>280</v>
      </c>
      <c r="K29" s="302" t="s">
        <v>281</v>
      </c>
      <c r="L29" s="302" t="s">
        <v>282</v>
      </c>
      <c r="M29" s="302" t="s">
        <v>283</v>
      </c>
      <c r="N29" s="302" t="s">
        <v>284</v>
      </c>
      <c r="O29" s="302" t="s">
        <v>285</v>
      </c>
      <c r="P29" s="302" t="s">
        <v>286</v>
      </c>
      <c r="Q29" s="302" t="s">
        <v>287</v>
      </c>
      <c r="R29" s="302" t="s">
        <v>288</v>
      </c>
      <c r="S29" s="302" t="s">
        <v>289</v>
      </c>
      <c r="T29" s="302" t="s">
        <v>290</v>
      </c>
      <c r="U29" s="302" t="s">
        <v>291</v>
      </c>
      <c r="V29" s="302" t="s">
        <v>292</v>
      </c>
      <c r="W29" s="302" t="s">
        <v>293</v>
      </c>
      <c r="X29" s="302" t="s">
        <v>294</v>
      </c>
      <c r="Y29" s="302" t="s">
        <v>295</v>
      </c>
    </row>
    <row r="30" spans="1:25" x14ac:dyDescent="0.35">
      <c r="A30" s="1" t="s">
        <v>828</v>
      </c>
      <c r="B30" s="1" t="s">
        <v>829</v>
      </c>
      <c r="C30" s="191">
        <f>$B$17</f>
        <v>0.7</v>
      </c>
      <c r="D30" s="154">
        <f>$D$12</f>
        <v>24</v>
      </c>
      <c r="E30" s="154" t="str">
        <f>$B$12</f>
        <v>Truck</v>
      </c>
      <c r="F30" s="154" t="str">
        <f>$C$12</f>
        <v>Diesel_Euro5</v>
      </c>
      <c r="G30" s="154" cm="1">
        <f t="array" ref="G30">INDEX(LCI!H$2:H$137,MATCH('D- Benefits &amp; Burdens'!$E$30&amp;'D- Benefits &amp; Burdens'!$F$30,LCI!$B$2:$B$137&amp;LCI!$D$2:$D$137,0))*IF(AND($E30="Truck",$F30="Electric"),$B$26,1)*$D$30*$C$30</f>
        <v>7.4379816E-3</v>
      </c>
      <c r="H30" s="154" cm="1">
        <f t="array" ref="H30">INDEX(LCI!I$2:I$137,MATCH('D- Benefits &amp; Burdens'!$E$30&amp;'D- Benefits &amp; Burdens'!$F$30,LCI!$B$2:$B$137&amp;LCI!$D$2:$D$137,0))*IF(AND($E30="Truck",$F30="Electric"),$B$26,1)*$D$30*$C$30</f>
        <v>2.7188439432</v>
      </c>
      <c r="I30" s="154" cm="1">
        <f t="array" ref="I30">INDEX(LCI!J$2:J$137,MATCH('D- Benefits &amp; Burdens'!$E$30&amp;'D- Benefits &amp; Burdens'!$F$30,LCI!$B$2:$B$137&amp;LCI!$D$2:$D$137,0))*IF(AND($E30="Truck",$F30="Electric"),$B$26,1)*$D$30*$C$30</f>
        <v>1.2566198399999999E-3</v>
      </c>
      <c r="J30" s="154" cm="1">
        <f t="array" ref="J30">INDEX(LCI!K$2:K$137,MATCH('D- Benefits &amp; Burdens'!$E$30&amp;'D- Benefits &amp; Burdens'!$F$30,LCI!$B$2:$B$137&amp;LCI!$D$2:$D$137,0))*IF(AND($E30="Truck",$F30="Electric"),$B$26,1)*$D$30*$C$30</f>
        <v>2.7173735400000001</v>
      </c>
      <c r="K30" s="154" cm="1">
        <f t="array" ref="K30">INDEX(LCI!L$2:L$137,MATCH('D- Benefits &amp; Burdens'!$E$30&amp;'D- Benefits &amp; Burdens'!$F$30,LCI!$B$2:$B$137&amp;LCI!$D$2:$D$137,0))*IF(AND($E30="Truck",$F30="Electric"),$B$26,1)*$D$30*$C$30</f>
        <v>2.1377831999999997E-4</v>
      </c>
      <c r="L30" s="154" cm="1">
        <f t="array" ref="L30">INDEX(LCI!M$2:M$137,MATCH('D- Benefits &amp; Burdens'!$E$30&amp;'D- Benefits &amp; Burdens'!$F$30,LCI!$B$2:$B$137&amp;LCI!$D$2:$D$137,0))*IF(AND($E30="Truck",$F30="Electric"),$B$26,1)*$D$30*$C$30</f>
        <v>2.3106187104</v>
      </c>
      <c r="M30" s="154" cm="1">
        <f t="array" ref="M30">INDEX(LCI!N$2:N$137,MATCH('D- Benefits &amp; Burdens'!$E$30&amp;'D- Benefits &amp; Burdens'!$F$30,LCI!$B$2:$B$137&amp;LCI!$D$2:$D$137,0))*IF(AND($E30="Truck",$F30="Electric"),$B$26,1)*$D$30*$C$30</f>
        <v>36.555785447999995</v>
      </c>
      <c r="N30" s="154" cm="1">
        <f t="array" ref="N30">INDEX(LCI!O$2:O$137,MATCH('D- Benefits &amp; Burdens'!$E$30&amp;'D- Benefits &amp; Burdens'!$F$30,LCI!$B$2:$B$137&amp;LCI!$D$2:$D$137,0))*IF(AND($E30="Truck",$F30="Electric"),$B$26,1)*$D$30*$C$30</f>
        <v>6.2546400000000008E-5</v>
      </c>
      <c r="O30" s="154" cm="1">
        <f t="array" ref="O30">INDEX(LCI!P$2:P$137,MATCH('D- Benefits &amp; Burdens'!$E$30&amp;'D- Benefits &amp; Burdens'!$F$30,LCI!$B$2:$B$137&amp;LCI!$D$2:$D$137,0))*IF(AND($E30="Truck",$F30="Electric"),$B$26,1)*$D$30*$C$30</f>
        <v>2.6687471999999996E-3</v>
      </c>
      <c r="P30" s="154" cm="1">
        <f t="array" ref="P30">INDEX(LCI!Q$2:Q$137,MATCH('D- Benefits &amp; Burdens'!$E$30&amp;'D- Benefits &amp; Burdens'!$F$30,LCI!$B$2:$B$137&amp;LCI!$D$2:$D$137,0))*IF(AND($E30="Truck",$F30="Electric"),$B$26,1)*$D$30*$C$30</f>
        <v>2.9111963999999997E-2</v>
      </c>
      <c r="Q30" s="154" cm="1">
        <f t="array" ref="Q30">INDEX(LCI!R$2:R$137,MATCH('D- Benefits &amp; Burdens'!$E$30&amp;'D- Benefits &amp; Burdens'!$F$30,LCI!$B$2:$B$137&amp;LCI!$D$2:$D$137,0))*IF(AND($E30="Truck",$F30="Electric"),$B$26,1)*$D$30*$C$30</f>
        <v>2.5413527999999998E-10</v>
      </c>
      <c r="R30" s="154" cm="1">
        <f t="array" ref="R30">INDEX(LCI!S$2:S$137,MATCH('D- Benefits &amp; Burdens'!$E$30&amp;'D- Benefits &amp; Burdens'!$F$30,LCI!$B$2:$B$137&amp;LCI!$D$2:$D$137,0))*IF(AND($E30="Truck",$F30="Electric"),$B$26,1)*$D$30*$C$30</f>
        <v>1.948548E-8</v>
      </c>
      <c r="S30" s="154" cm="1">
        <f t="array" ref="S30">INDEX(LCI!T$2:T$137,MATCH('D- Benefits &amp; Burdens'!$E$30&amp;'D- Benefits &amp; Burdens'!$F$30,LCI!$B$2:$B$137&amp;LCI!$D$2:$D$137,0))*IF(AND($E30="Truck",$F30="Electric"),$B$26,1)*$D$30*$C$30</f>
        <v>1.6457750399999999E-2</v>
      </c>
      <c r="T30" s="154" cm="1">
        <f t="array" ref="T30">INDEX(LCI!U$2:U$137,MATCH('D- Benefits &amp; Burdens'!$E$30&amp;'D- Benefits &amp; Burdens'!$F$30,LCI!$B$2:$B$137&amp;LCI!$D$2:$D$137,0))*IF(AND($E30="Truck",$F30="Electric"),$B$26,1)*$D$30*$C$30</f>
        <v>2.2939029119999996</v>
      </c>
      <c r="U30" s="154" cm="1">
        <f t="array" ref="U30">INDEX(LCI!V$2:V$137,MATCH('D- Benefits &amp; Burdens'!$E$30&amp;'D- Benefits &amp; Burdens'!$F$30,LCI!$B$2:$B$137&amp;LCI!$D$2:$D$137,0))*IF(AND($E30="Truck",$F30="Electric"),$B$26,1)*$D$30*$C$30</f>
        <v>2.9470727999999997E-6</v>
      </c>
      <c r="V30" s="154" cm="1">
        <f t="array" ref="V30">INDEX(LCI!W$2:W$137,MATCH('D- Benefits &amp; Burdens'!$E$30&amp;'D- Benefits &amp; Burdens'!$F$30,LCI!$B$2:$B$137&amp;LCI!$D$2:$D$137,0))*IF(AND($E30="Truck",$F30="Electric"),$B$26,1)*$D$30*$C$30</f>
        <v>6.0477647999999988E-8</v>
      </c>
      <c r="W30" s="154" cm="1">
        <f t="array" ref="W30">INDEX(LCI!X$2:X$137,MATCH('D- Benefits &amp; Burdens'!$E$30&amp;'D- Benefits &amp; Burdens'!$F$30,LCI!$B$2:$B$137&amp;LCI!$D$2:$D$137,0))*IF(AND($E30="Truck",$F30="Electric"),$B$26,1)*$D$30*$C$30</f>
        <v>1.8384240000000001E-7</v>
      </c>
      <c r="X30" s="154" cm="1">
        <f t="array" ref="X30">INDEX(LCI!Y$2:Y$137,MATCH('D- Benefits &amp; Burdens'!$E$30&amp;'D- Benefits &amp; Burdens'!$F$30,LCI!$B$2:$B$137&amp;LCI!$D$2:$D$137,0))*IF(AND($E30="Truck",$F30="Electric"),$B$26,1)*$D$30*$C$30</f>
        <v>1.1710523999999998E-2</v>
      </c>
      <c r="Y30" s="154" cm="1">
        <f t="array" ref="Y30">INDEX(LCI!Z$2:Z$137,MATCH('D- Benefits &amp; Burdens'!$E$30&amp;'D- Benefits &amp; Burdens'!$F$30,LCI!$B$2:$B$137&amp;LCI!$D$2:$D$137,0))*IF(AND($E30="Truck",$F30="Electric"),$B$26,1)*$D$30*$C$30</f>
        <v>8.2508865599999995E-2</v>
      </c>
    </row>
    <row r="31" spans="1:25" ht="14" customHeight="1" x14ac:dyDescent="0.35">
      <c r="C31" s="92"/>
    </row>
    <row r="32" spans="1:25" ht="14" customHeight="1" x14ac:dyDescent="0.35">
      <c r="C32" s="92"/>
    </row>
    <row r="33" spans="1:4" ht="23.5" x14ac:dyDescent="0.55000000000000004">
      <c r="A33" s="100" t="s">
        <v>830</v>
      </c>
    </row>
    <row r="34" spans="1:4" ht="14" customHeight="1" x14ac:dyDescent="0.45">
      <c r="A34" s="72"/>
      <c r="B34" s="29"/>
    </row>
    <row r="35" spans="1:4" ht="14" customHeight="1" x14ac:dyDescent="0.4">
      <c r="A35" s="81" t="s">
        <v>831</v>
      </c>
      <c r="B35" s="29"/>
    </row>
    <row r="36" spans="1:4" ht="14" customHeight="1" x14ac:dyDescent="0.35">
      <c r="A36" s="62" t="s">
        <v>372</v>
      </c>
      <c r="B36" s="304" t="s">
        <v>373</v>
      </c>
      <c r="C36" s="295" t="s">
        <v>328</v>
      </c>
      <c r="D36" s="62" t="s">
        <v>329</v>
      </c>
    </row>
    <row r="37" spans="1:4" ht="14" customHeight="1" x14ac:dyDescent="0.35">
      <c r="A37" s="2" t="s">
        <v>374</v>
      </c>
      <c r="B37" s="90" t="s">
        <v>375</v>
      </c>
      <c r="C37" s="201" t="s">
        <v>832</v>
      </c>
      <c r="D37" s="1" t="s">
        <v>833</v>
      </c>
    </row>
    <row r="38" spans="1:4" ht="14" customHeight="1" x14ac:dyDescent="0.35">
      <c r="A38" s="2" t="s">
        <v>378</v>
      </c>
      <c r="B38" s="90">
        <v>1</v>
      </c>
      <c r="C38" s="33"/>
      <c r="D38" s="1"/>
    </row>
    <row r="39" spans="1:4" ht="14" customHeight="1" x14ac:dyDescent="0.35">
      <c r="A39" s="2" t="s">
        <v>409</v>
      </c>
      <c r="B39" s="90">
        <v>263.2</v>
      </c>
      <c r="C39" s="1"/>
      <c r="D39" s="1"/>
    </row>
    <row r="40" spans="1:4" ht="14" customHeight="1" x14ac:dyDescent="0.35">
      <c r="A40" s="2" t="s">
        <v>381</v>
      </c>
      <c r="B40" s="90">
        <v>0.25</v>
      </c>
      <c r="C40" s="53" t="s">
        <v>382</v>
      </c>
      <c r="D40" s="30" t="s">
        <v>671</v>
      </c>
    </row>
    <row r="41" spans="1:4" ht="14" customHeight="1" x14ac:dyDescent="0.35">
      <c r="A41" s="2" t="s">
        <v>379</v>
      </c>
      <c r="B41" s="90">
        <v>0.51</v>
      </c>
      <c r="C41" s="218" t="s">
        <v>380</v>
      </c>
      <c r="D41" s="1"/>
    </row>
    <row r="42" spans="1:4" ht="14" customHeight="1" x14ac:dyDescent="0.35">
      <c r="A42" s="42" t="s">
        <v>834</v>
      </c>
      <c r="B42" s="152">
        <f>$B$39*$B$40*$B$41</f>
        <v>33.558</v>
      </c>
      <c r="C42" s="53" t="s">
        <v>395</v>
      </c>
      <c r="D42" s="1" t="s">
        <v>396</v>
      </c>
    </row>
    <row r="43" spans="1:4" ht="14" customHeight="1" x14ac:dyDescent="0.35">
      <c r="A43" s="2" t="s">
        <v>384</v>
      </c>
      <c r="B43" s="90">
        <v>2.2000000000000002</v>
      </c>
      <c r="C43" s="1"/>
      <c r="D43" s="1"/>
    </row>
    <row r="44" spans="1:4" ht="14" customHeight="1" x14ac:dyDescent="0.35">
      <c r="A44" s="2" t="s">
        <v>387</v>
      </c>
      <c r="B44" s="90">
        <v>0.45</v>
      </c>
      <c r="C44" s="1" t="s">
        <v>388</v>
      </c>
      <c r="D44" s="1"/>
    </row>
    <row r="45" spans="1:4" ht="14" customHeight="1" x14ac:dyDescent="0.35">
      <c r="A45" s="2" t="s">
        <v>389</v>
      </c>
      <c r="B45" s="152">
        <f>60/$B$44</f>
        <v>133.33333333333334</v>
      </c>
      <c r="C45" s="1"/>
      <c r="D45" s="1"/>
    </row>
    <row r="46" spans="1:4" ht="14" customHeight="1" x14ac:dyDescent="0.35">
      <c r="A46" s="2" t="s">
        <v>390</v>
      </c>
      <c r="B46" s="90">
        <v>5.4</v>
      </c>
      <c r="C46" s="8"/>
      <c r="D46" s="1"/>
    </row>
    <row r="47" spans="1:4" ht="14" customHeight="1" x14ac:dyDescent="0.35">
      <c r="A47" s="42" t="s">
        <v>391</v>
      </c>
      <c r="B47" s="152">
        <f>$B$43*$B$45*$B$46</f>
        <v>1584.0000000000002</v>
      </c>
      <c r="C47" s="8"/>
      <c r="D47" s="1"/>
    </row>
    <row r="48" spans="1:4" ht="14" customHeight="1" x14ac:dyDescent="0.35">
      <c r="A48" s="42" t="s">
        <v>835</v>
      </c>
      <c r="B48" s="152">
        <f>$B$17/$B$47</f>
        <v>4.4191919191919184E-4</v>
      </c>
      <c r="C48" s="13" t="s">
        <v>836</v>
      </c>
      <c r="D48" s="1"/>
    </row>
    <row r="49" spans="1:4" ht="14" customHeight="1" x14ac:dyDescent="0.45">
      <c r="A49" s="72"/>
      <c r="B49" s="29"/>
    </row>
    <row r="50" spans="1:4" ht="18.5" x14ac:dyDescent="0.45">
      <c r="A50" s="116" t="s">
        <v>984</v>
      </c>
      <c r="B50" s="116"/>
      <c r="C50" s="116"/>
    </row>
    <row r="51" spans="1:4" ht="14" customHeight="1" x14ac:dyDescent="0.45">
      <c r="A51" s="75"/>
      <c r="B51" s="75"/>
      <c r="C51" s="75"/>
    </row>
    <row r="52" spans="1:4" ht="14" customHeight="1" x14ac:dyDescent="0.35">
      <c r="A52" s="62" t="s">
        <v>372</v>
      </c>
      <c r="B52" s="304" t="s">
        <v>373</v>
      </c>
      <c r="C52" s="295" t="s">
        <v>328</v>
      </c>
      <c r="D52" s="62" t="s">
        <v>329</v>
      </c>
    </row>
    <row r="53" spans="1:4" ht="14" customHeight="1" x14ac:dyDescent="0.35">
      <c r="A53" s="1" t="s">
        <v>837</v>
      </c>
      <c r="B53" s="90">
        <v>0.25</v>
      </c>
      <c r="C53" s="223" t="s">
        <v>382</v>
      </c>
      <c r="D53" s="214" t="s">
        <v>477</v>
      </c>
    </row>
    <row r="54" spans="1:4" ht="14" customHeight="1" x14ac:dyDescent="0.35">
      <c r="A54" s="1" t="s">
        <v>379</v>
      </c>
      <c r="B54" s="90">
        <v>0.51</v>
      </c>
      <c r="C54" s="53" t="s">
        <v>380</v>
      </c>
      <c r="D54" s="1"/>
    </row>
    <row r="55" spans="1:4" ht="14" customHeight="1" x14ac:dyDescent="0.35">
      <c r="A55" s="1" t="s">
        <v>404</v>
      </c>
      <c r="B55" s="90" t="s">
        <v>405</v>
      </c>
      <c r="C55" s="46" t="s">
        <v>405</v>
      </c>
      <c r="D55" s="30" t="s">
        <v>838</v>
      </c>
    </row>
    <row r="56" spans="1:4" ht="14" customHeight="1" x14ac:dyDescent="0.35">
      <c r="A56" s="1" t="s">
        <v>407</v>
      </c>
      <c r="B56" s="90">
        <v>1</v>
      </c>
      <c r="C56" s="1"/>
      <c r="D56" s="1"/>
    </row>
    <row r="57" spans="1:4" ht="14" customHeight="1" x14ac:dyDescent="0.35">
      <c r="A57" s="1" t="s">
        <v>408</v>
      </c>
      <c r="B57" s="90">
        <v>400</v>
      </c>
      <c r="C57" s="1"/>
      <c r="D57" s="1"/>
    </row>
    <row r="58" spans="1:4" ht="14" customHeight="1" x14ac:dyDescent="0.35">
      <c r="A58" s="1" t="s">
        <v>409</v>
      </c>
      <c r="B58" s="90">
        <v>200</v>
      </c>
      <c r="C58" s="1"/>
      <c r="D58" s="1"/>
    </row>
    <row r="59" spans="1:4" ht="14" customHeight="1" x14ac:dyDescent="0.35">
      <c r="A59" s="1" t="s">
        <v>839</v>
      </c>
      <c r="B59" s="152">
        <f>$B$53*$B$54*$B$58</f>
        <v>25.5</v>
      </c>
      <c r="C59" s="53" t="s">
        <v>395</v>
      </c>
      <c r="D59" s="1"/>
    </row>
    <row r="60" spans="1:4" ht="14" customHeight="1" x14ac:dyDescent="0.35">
      <c r="A60" s="1" t="s">
        <v>411</v>
      </c>
      <c r="B60" s="152">
        <f>$B$17/$B$57</f>
        <v>1.7499999999999998E-3</v>
      </c>
      <c r="C60" s="1" t="s">
        <v>840</v>
      </c>
      <c r="D60" s="1"/>
    </row>
    <row r="61" spans="1:4" ht="14" customHeight="1" x14ac:dyDescent="0.35">
      <c r="B61" s="29"/>
    </row>
    <row r="62" spans="1:4" ht="18.5" x14ac:dyDescent="0.45">
      <c r="A62" s="116" t="s">
        <v>841</v>
      </c>
      <c r="B62" s="116"/>
      <c r="C62" s="116"/>
    </row>
    <row r="63" spans="1:4" ht="14" customHeight="1" x14ac:dyDescent="0.45">
      <c r="A63" s="74"/>
      <c r="B63" s="29"/>
    </row>
    <row r="64" spans="1:4" ht="14" customHeight="1" x14ac:dyDescent="0.35">
      <c r="A64" s="62" t="s">
        <v>372</v>
      </c>
      <c r="B64" s="304" t="s">
        <v>373</v>
      </c>
      <c r="C64" s="295" t="s">
        <v>328</v>
      </c>
      <c r="D64" s="62" t="s">
        <v>329</v>
      </c>
    </row>
    <row r="65" spans="1:4" ht="14" customHeight="1" x14ac:dyDescent="0.35">
      <c r="A65" s="1" t="s">
        <v>837</v>
      </c>
      <c r="B65" s="90">
        <v>0.25</v>
      </c>
      <c r="C65" s="223" t="s">
        <v>382</v>
      </c>
      <c r="D65" s="214" t="s">
        <v>671</v>
      </c>
    </row>
    <row r="66" spans="1:4" ht="14" customHeight="1" x14ac:dyDescent="0.35">
      <c r="A66" s="1" t="s">
        <v>379</v>
      </c>
      <c r="B66" s="90">
        <v>0.51</v>
      </c>
      <c r="C66" s="53" t="s">
        <v>380</v>
      </c>
      <c r="D66" s="1"/>
    </row>
    <row r="67" spans="1:4" ht="14" customHeight="1" x14ac:dyDescent="0.35">
      <c r="A67" s="1" t="s">
        <v>413</v>
      </c>
      <c r="B67" s="90" t="s">
        <v>414</v>
      </c>
      <c r="C67" s="219" t="s">
        <v>414</v>
      </c>
      <c r="D67" s="30" t="s">
        <v>415</v>
      </c>
    </row>
    <row r="68" spans="1:4" ht="14" customHeight="1" x14ac:dyDescent="0.35">
      <c r="A68" s="1" t="s">
        <v>431</v>
      </c>
      <c r="B68" s="90">
        <v>1</v>
      </c>
      <c r="C68" s="1"/>
      <c r="D68" s="1"/>
    </row>
    <row r="69" spans="1:4" ht="14" customHeight="1" x14ac:dyDescent="0.35">
      <c r="A69" s="1" t="s">
        <v>408</v>
      </c>
      <c r="B69" s="90">
        <v>500</v>
      </c>
      <c r="C69" s="1"/>
      <c r="D69" s="1"/>
    </row>
    <row r="70" spans="1:4" ht="14" customHeight="1" x14ac:dyDescent="0.35">
      <c r="A70" s="1" t="s">
        <v>409</v>
      </c>
      <c r="B70" s="113">
        <v>55</v>
      </c>
      <c r="C70" s="1"/>
      <c r="D70" s="1"/>
    </row>
    <row r="71" spans="1:4" ht="14" customHeight="1" x14ac:dyDescent="0.35">
      <c r="A71" s="1" t="s">
        <v>839</v>
      </c>
      <c r="B71" s="152">
        <f>$B$70*$B$66*$B$65</f>
        <v>7.0125000000000002</v>
      </c>
      <c r="C71" s="53" t="s">
        <v>395</v>
      </c>
      <c r="D71" s="1" t="s">
        <v>396</v>
      </c>
    </row>
    <row r="72" spans="1:4" ht="14" customHeight="1" x14ac:dyDescent="0.35">
      <c r="A72" s="6" t="s">
        <v>417</v>
      </c>
      <c r="B72" s="152">
        <f>B60</f>
        <v>1.7499999999999998E-3</v>
      </c>
      <c r="C72" s="53" t="s">
        <v>842</v>
      </c>
      <c r="D72" s="1"/>
    </row>
    <row r="73" spans="1:4" ht="14" customHeight="1" x14ac:dyDescent="0.35">
      <c r="A73" s="55"/>
      <c r="B73" s="29"/>
      <c r="C73" s="28"/>
    </row>
    <row r="74" spans="1:4" ht="18.5" x14ac:dyDescent="0.45">
      <c r="A74" s="116" t="s">
        <v>843</v>
      </c>
      <c r="B74" s="116"/>
      <c r="C74" s="116"/>
    </row>
    <row r="75" spans="1:4" ht="14" customHeight="1" x14ac:dyDescent="0.45">
      <c r="A75" s="74"/>
      <c r="B75" s="29"/>
    </row>
    <row r="76" spans="1:4" ht="14" customHeight="1" x14ac:dyDescent="0.35">
      <c r="A76" s="62" t="s">
        <v>372</v>
      </c>
      <c r="B76" s="304" t="s">
        <v>373</v>
      </c>
      <c r="C76" s="295" t="s">
        <v>328</v>
      </c>
      <c r="D76" s="62" t="s">
        <v>329</v>
      </c>
    </row>
    <row r="77" spans="1:4" ht="14" customHeight="1" x14ac:dyDescent="0.35">
      <c r="A77" s="1" t="s">
        <v>419</v>
      </c>
      <c r="B77" s="90" t="s">
        <v>420</v>
      </c>
      <c r="C77" s="1" t="s">
        <v>420</v>
      </c>
      <c r="D77" s="225" t="s">
        <v>421</v>
      </c>
    </row>
    <row r="78" spans="1:4" ht="14" customHeight="1" x14ac:dyDescent="0.35">
      <c r="A78" s="1" t="s">
        <v>422</v>
      </c>
      <c r="B78" s="90">
        <v>1</v>
      </c>
      <c r="C78" s="1"/>
      <c r="D78" s="1"/>
    </row>
    <row r="79" spans="1:4" ht="14" customHeight="1" x14ac:dyDescent="0.35">
      <c r="A79" s="1" t="s">
        <v>409</v>
      </c>
      <c r="B79" s="90">
        <v>99</v>
      </c>
      <c r="C79" s="1"/>
      <c r="D79" s="1"/>
    </row>
    <row r="80" spans="1:4" ht="14" customHeight="1" x14ac:dyDescent="0.35">
      <c r="A80" s="2" t="s">
        <v>381</v>
      </c>
      <c r="B80" s="90">
        <v>0.25</v>
      </c>
      <c r="C80" s="223" t="s">
        <v>382</v>
      </c>
      <c r="D80" s="214" t="s">
        <v>477</v>
      </c>
    </row>
    <row r="81" spans="1:4" ht="14" customHeight="1" x14ac:dyDescent="0.35">
      <c r="A81" s="2" t="s">
        <v>379</v>
      </c>
      <c r="B81" s="90">
        <v>0.51</v>
      </c>
      <c r="C81" s="53" t="s">
        <v>380</v>
      </c>
      <c r="D81" s="1"/>
    </row>
    <row r="82" spans="1:4" ht="14" customHeight="1" x14ac:dyDescent="0.35">
      <c r="A82" s="1" t="s">
        <v>408</v>
      </c>
      <c r="B82" s="90">
        <v>500</v>
      </c>
      <c r="C82" s="1"/>
      <c r="D82" s="1"/>
    </row>
    <row r="83" spans="1:4" ht="14" customHeight="1" x14ac:dyDescent="0.35">
      <c r="A83" s="2" t="s">
        <v>844</v>
      </c>
      <c r="B83" s="152">
        <f>$B$82*$B$81*$B$80</f>
        <v>63.75</v>
      </c>
      <c r="C83" s="53" t="s">
        <v>395</v>
      </c>
      <c r="D83" s="1" t="s">
        <v>396</v>
      </c>
    </row>
    <row r="84" spans="1:4" ht="14" customHeight="1" x14ac:dyDescent="0.35">
      <c r="A84" s="2" t="s">
        <v>411</v>
      </c>
      <c r="B84" s="152">
        <f>B60</f>
        <v>1.7499999999999998E-3</v>
      </c>
      <c r="C84" s="53" t="s">
        <v>842</v>
      </c>
      <c r="D84" s="1"/>
    </row>
    <row r="85" spans="1:4" ht="14" customHeight="1" x14ac:dyDescent="0.35">
      <c r="A85" s="29"/>
      <c r="B85" s="29"/>
      <c r="C85" s="28"/>
    </row>
    <row r="86" spans="1:4" ht="14" customHeight="1" x14ac:dyDescent="0.35"/>
    <row r="87" spans="1:4" ht="14" customHeight="1" x14ac:dyDescent="0.35"/>
    <row r="88" spans="1:4" ht="21" x14ac:dyDescent="0.5">
      <c r="A88" s="99" t="s">
        <v>437</v>
      </c>
      <c r="B88" s="29"/>
    </row>
    <row r="89" spans="1:4" ht="21" x14ac:dyDescent="0.5">
      <c r="A89" s="99"/>
      <c r="B89" s="29"/>
    </row>
    <row r="90" spans="1:4" x14ac:dyDescent="0.35">
      <c r="A90" t="s">
        <v>674</v>
      </c>
      <c r="B90" s="29"/>
    </row>
    <row r="91" spans="1:4" ht="14" customHeight="1" x14ac:dyDescent="0.35"/>
    <row r="92" spans="1:4" ht="14" customHeight="1" x14ac:dyDescent="0.35">
      <c r="A92" s="308" t="s">
        <v>439</v>
      </c>
      <c r="B92" s="303" t="s">
        <v>440</v>
      </c>
      <c r="C92" s="308" t="s">
        <v>441</v>
      </c>
      <c r="D92" s="308" t="s">
        <v>394</v>
      </c>
    </row>
    <row r="93" spans="1:4" ht="14" customHeight="1" x14ac:dyDescent="0.35">
      <c r="A93" s="1" t="s">
        <v>442</v>
      </c>
      <c r="B93" s="192">
        <v>0</v>
      </c>
      <c r="C93" s="192">
        <v>0</v>
      </c>
      <c r="D93" s="154">
        <v>0</v>
      </c>
    </row>
    <row r="94" spans="1:4" ht="14" customHeight="1" x14ac:dyDescent="0.35">
      <c r="A94" s="1" t="s">
        <v>355</v>
      </c>
      <c r="B94" s="152">
        <f>$B$60</f>
        <v>1.7499999999999998E-3</v>
      </c>
      <c r="C94" s="152">
        <f>$B$58</f>
        <v>200</v>
      </c>
      <c r="D94" s="154">
        <f>$B$59</f>
        <v>25.5</v>
      </c>
    </row>
    <row r="95" spans="1:4" ht="14" customHeight="1" x14ac:dyDescent="0.35">
      <c r="A95" s="1" t="s">
        <v>444</v>
      </c>
      <c r="B95" s="152">
        <v>0</v>
      </c>
      <c r="C95" s="152">
        <v>0</v>
      </c>
      <c r="D95" s="154">
        <v>0</v>
      </c>
    </row>
    <row r="96" spans="1:4" ht="14" customHeight="1" x14ac:dyDescent="0.35">
      <c r="A96" s="1" t="s">
        <v>359</v>
      </c>
      <c r="B96" s="152">
        <f>$B$72</f>
        <v>1.7499999999999998E-3</v>
      </c>
      <c r="C96" s="152">
        <f>$B$70</f>
        <v>55</v>
      </c>
      <c r="D96" s="154">
        <f>$B$71</f>
        <v>7.0125000000000002</v>
      </c>
    </row>
    <row r="97" spans="1:26" ht="14" customHeight="1" x14ac:dyDescent="0.35">
      <c r="A97" s="1" t="s">
        <v>446</v>
      </c>
      <c r="B97" s="152">
        <v>0</v>
      </c>
      <c r="C97" s="152">
        <v>0</v>
      </c>
      <c r="D97" s="154">
        <v>0</v>
      </c>
    </row>
    <row r="98" spans="1:26" ht="14" customHeight="1" x14ac:dyDescent="0.35">
      <c r="A98" s="1" t="s">
        <v>361</v>
      </c>
      <c r="B98" s="152">
        <f>$B$84</f>
        <v>1.7499999999999998E-3</v>
      </c>
      <c r="C98" s="152">
        <f>$B$79</f>
        <v>99</v>
      </c>
      <c r="D98" s="154">
        <f>$B$83</f>
        <v>63.75</v>
      </c>
    </row>
    <row r="99" spans="1:26" ht="14" customHeight="1" x14ac:dyDescent="0.35">
      <c r="A99" s="1" t="s">
        <v>448</v>
      </c>
      <c r="B99" s="152">
        <v>0</v>
      </c>
      <c r="C99" s="152">
        <v>0</v>
      </c>
      <c r="D99" s="154">
        <v>0</v>
      </c>
    </row>
    <row r="100" spans="1:26" ht="14" customHeight="1" x14ac:dyDescent="0.35">
      <c r="A100" s="1" t="s">
        <v>357</v>
      </c>
      <c r="B100" s="152">
        <f>$B$48</f>
        <v>4.4191919191919184E-4</v>
      </c>
      <c r="C100" s="152">
        <f>$B$39</f>
        <v>263.2</v>
      </c>
      <c r="D100" s="154">
        <f>$B$42</f>
        <v>33.558</v>
      </c>
    </row>
    <row r="101" spans="1:26" ht="14" customHeight="1" x14ac:dyDescent="0.35">
      <c r="A101" s="1" t="s">
        <v>357</v>
      </c>
      <c r="B101" s="152">
        <f>$B$48</f>
        <v>4.4191919191919184E-4</v>
      </c>
      <c r="C101" s="152">
        <f>$B$39</f>
        <v>263.2</v>
      </c>
      <c r="D101" s="154">
        <f>$B$42</f>
        <v>33.558</v>
      </c>
    </row>
    <row r="102" spans="1:26" ht="14" customHeight="1" x14ac:dyDescent="0.35"/>
    <row r="103" spans="1:26" ht="14" customHeight="1" x14ac:dyDescent="0.35"/>
    <row r="104" spans="1:26" ht="72.5" x14ac:dyDescent="0.35">
      <c r="A104" s="302" t="s">
        <v>449</v>
      </c>
      <c r="B104" s="302" t="s">
        <v>450</v>
      </c>
      <c r="C104" s="302" t="s">
        <v>682</v>
      </c>
      <c r="D104" s="302" t="s">
        <v>452</v>
      </c>
      <c r="E104" s="302" t="s">
        <v>845</v>
      </c>
      <c r="F104" s="302" t="s">
        <v>409</v>
      </c>
      <c r="G104" s="302" t="s">
        <v>394</v>
      </c>
      <c r="H104" s="302" t="s">
        <v>277</v>
      </c>
      <c r="I104" s="302" t="s">
        <v>278</v>
      </c>
      <c r="J104" s="302" t="s">
        <v>279</v>
      </c>
      <c r="K104" s="302" t="s">
        <v>280</v>
      </c>
      <c r="L104" s="302" t="s">
        <v>281</v>
      </c>
      <c r="M104" s="302" t="s">
        <v>282</v>
      </c>
      <c r="N104" s="302" t="s">
        <v>283</v>
      </c>
      <c r="O104" s="302" t="s">
        <v>284</v>
      </c>
      <c r="P104" s="302" t="s">
        <v>285</v>
      </c>
      <c r="Q104" s="302" t="s">
        <v>286</v>
      </c>
      <c r="R104" s="302" t="s">
        <v>287</v>
      </c>
      <c r="S104" s="302" t="s">
        <v>288</v>
      </c>
      <c r="T104" s="302" t="s">
        <v>289</v>
      </c>
      <c r="U104" s="302" t="s">
        <v>290</v>
      </c>
      <c r="V104" s="302" t="s">
        <v>291</v>
      </c>
      <c r="W104" s="302" t="s">
        <v>292</v>
      </c>
      <c r="X104" s="302" t="s">
        <v>293</v>
      </c>
      <c r="Y104" s="302" t="s">
        <v>294</v>
      </c>
      <c r="Z104" s="302" t="s">
        <v>295</v>
      </c>
    </row>
    <row r="105" spans="1:26" ht="14" customHeight="1" x14ac:dyDescent="0.35">
      <c r="A105" s="73" t="s">
        <v>453</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454</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455</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456</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360</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198</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846</v>
      </c>
    </row>
    <row r="114" spans="1:4" ht="14" customHeight="1" x14ac:dyDescent="0.35"/>
    <row r="115" spans="1:4" ht="14" customHeight="1" x14ac:dyDescent="0.35">
      <c r="A115" s="62" t="s">
        <v>559</v>
      </c>
      <c r="B115" s="62" t="s">
        <v>847</v>
      </c>
      <c r="C115" s="62" t="s">
        <v>328</v>
      </c>
      <c r="D115" s="62" t="s">
        <v>329</v>
      </c>
    </row>
    <row r="116" spans="1:4" ht="14" customHeight="1" x14ac:dyDescent="0.35">
      <c r="A116" s="1" t="s">
        <v>848</v>
      </c>
      <c r="B116" s="130">
        <v>0.61799999999999999</v>
      </c>
      <c r="C116" s="428" t="s">
        <v>849</v>
      </c>
      <c r="D116" s="430" t="s">
        <v>850</v>
      </c>
    </row>
    <row r="117" spans="1:4" ht="14" customHeight="1" x14ac:dyDescent="0.35">
      <c r="A117" s="1" t="s">
        <v>851</v>
      </c>
      <c r="B117" s="130">
        <v>0.38200000000000001</v>
      </c>
      <c r="C117" s="429"/>
      <c r="D117" s="431"/>
    </row>
    <row r="118" spans="1:4" ht="14" customHeight="1" x14ac:dyDescent="0.35"/>
    <row r="119" spans="1:4" ht="14" customHeight="1" x14ac:dyDescent="0.35"/>
    <row r="120" spans="1:4" ht="14" customHeight="1" x14ac:dyDescent="0.35">
      <c r="A120" s="302" t="s">
        <v>559</v>
      </c>
      <c r="B120" s="302" t="s">
        <v>852</v>
      </c>
      <c r="C120" s="62" t="s">
        <v>328</v>
      </c>
      <c r="D120" s="62" t="s">
        <v>329</v>
      </c>
    </row>
    <row r="121" spans="1:4" ht="14" customHeight="1" x14ac:dyDescent="0.35">
      <c r="A121" s="89" t="s">
        <v>853</v>
      </c>
      <c r="B121" s="193">
        <v>5.3999999999999999E-2</v>
      </c>
      <c r="C121" s="425" t="s">
        <v>849</v>
      </c>
      <c r="D121" s="426" t="s">
        <v>854</v>
      </c>
    </row>
    <row r="122" spans="1:4" ht="14" customHeight="1" x14ac:dyDescent="0.35">
      <c r="A122" s="1" t="s">
        <v>855</v>
      </c>
      <c r="B122" s="194">
        <v>9.9000000000000005E-2</v>
      </c>
      <c r="C122" s="425"/>
      <c r="D122" s="427"/>
    </row>
    <row r="123" spans="1:4" ht="14" customHeight="1" x14ac:dyDescent="0.35">
      <c r="A123" s="1" t="s">
        <v>856</v>
      </c>
      <c r="B123" s="194">
        <v>0.35499999999999998</v>
      </c>
      <c r="C123" s="425"/>
      <c r="D123" s="427"/>
    </row>
    <row r="124" spans="1:4" ht="14" customHeight="1" x14ac:dyDescent="0.35">
      <c r="A124" s="1" t="s">
        <v>857</v>
      </c>
      <c r="B124" s="194">
        <v>0.49199999999999999</v>
      </c>
      <c r="C124" s="425"/>
      <c r="D124" s="427"/>
    </row>
    <row r="125" spans="1:4" ht="14" customHeight="1" x14ac:dyDescent="0.35"/>
    <row r="126" spans="1:4" ht="18.5" x14ac:dyDescent="0.45">
      <c r="A126" s="116" t="s">
        <v>858</v>
      </c>
    </row>
    <row r="127" spans="1:4" ht="14" customHeight="1" x14ac:dyDescent="0.35">
      <c r="A127" s="36"/>
    </row>
    <row r="128" spans="1:4" ht="14" customHeight="1" x14ac:dyDescent="0.35">
      <c r="A128" s="1" t="s">
        <v>859</v>
      </c>
      <c r="B128" s="169">
        <f>$B$17*$B$116</f>
        <v>0.43259999999999998</v>
      </c>
      <c r="C128" s="91"/>
    </row>
    <row r="129" spans="1:23" ht="14" customHeight="1" x14ac:dyDescent="0.35">
      <c r="A129" s="1" t="s">
        <v>860</v>
      </c>
      <c r="B129" s="169">
        <f>$B$16*$B$117</f>
        <v>0.11459999999999999</v>
      </c>
    </row>
    <row r="130" spans="1:23" ht="14" customHeight="1" x14ac:dyDescent="0.35"/>
    <row r="131" spans="1:23" ht="14" customHeight="1" x14ac:dyDescent="0.35">
      <c r="A131" s="1" t="s">
        <v>861</v>
      </c>
      <c r="B131" s="195">
        <f>-1*$B$128*$B$121</f>
        <v>-2.33604E-2</v>
      </c>
    </row>
    <row r="132" spans="1:23" ht="14" customHeight="1" x14ac:dyDescent="0.35">
      <c r="A132" s="1" t="s">
        <v>862</v>
      </c>
      <c r="B132" s="195">
        <f>-1*$B$128*$B$122</f>
        <v>-4.2827400000000002E-2</v>
      </c>
    </row>
    <row r="133" spans="1:23" ht="14" customHeight="1" x14ac:dyDescent="0.35">
      <c r="A133" s="1" t="s">
        <v>863</v>
      </c>
      <c r="B133" s="195">
        <f>-1*($B$128+B129)*$B$124</f>
        <v>-0.26922240000000003</v>
      </c>
    </row>
    <row r="134" spans="1:23" ht="14" customHeight="1" x14ac:dyDescent="0.35">
      <c r="A134" s="1" t="s">
        <v>864</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274</v>
      </c>
      <c r="B138" s="103" t="s">
        <v>275</v>
      </c>
      <c r="C138" s="103" t="s">
        <v>587</v>
      </c>
      <c r="D138" s="103" t="s">
        <v>865</v>
      </c>
      <c r="E138" s="103" t="s">
        <v>277</v>
      </c>
      <c r="F138" s="103" t="s">
        <v>278</v>
      </c>
      <c r="G138" s="103" t="s">
        <v>279</v>
      </c>
      <c r="H138" s="103" t="s">
        <v>280</v>
      </c>
      <c r="I138" s="103" t="s">
        <v>281</v>
      </c>
      <c r="J138" s="103" t="s">
        <v>282</v>
      </c>
      <c r="K138" s="103" t="s">
        <v>283</v>
      </c>
      <c r="L138" s="103" t="s">
        <v>284</v>
      </c>
      <c r="M138" s="103" t="s">
        <v>285</v>
      </c>
      <c r="N138" s="103" t="s">
        <v>286</v>
      </c>
      <c r="O138" s="103" t="s">
        <v>287</v>
      </c>
      <c r="P138" s="103" t="s">
        <v>288</v>
      </c>
      <c r="Q138" s="103" t="s">
        <v>289</v>
      </c>
      <c r="R138" s="103" t="s">
        <v>290</v>
      </c>
      <c r="S138" s="103" t="s">
        <v>291</v>
      </c>
      <c r="T138" s="103" t="s">
        <v>292</v>
      </c>
      <c r="U138" s="103" t="s">
        <v>293</v>
      </c>
      <c r="V138" s="103" t="s">
        <v>294</v>
      </c>
      <c r="W138" s="103" t="s">
        <v>295</v>
      </c>
    </row>
    <row r="139" spans="1:23" ht="14" customHeight="1" x14ac:dyDescent="0.35">
      <c r="A139" s="1" t="s">
        <v>861</v>
      </c>
      <c r="B139" s="1" t="s">
        <v>58</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862</v>
      </c>
      <c r="B140" s="1" t="s">
        <v>75</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863</v>
      </c>
      <c r="B141" s="1" t="s">
        <v>61</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864</v>
      </c>
      <c r="B142" s="9" t="s">
        <v>71</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198</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866</v>
      </c>
    </row>
    <row r="148" spans="1:25" ht="14" customHeight="1" x14ac:dyDescent="0.55000000000000004">
      <c r="A148" s="100"/>
    </row>
    <row r="149" spans="1:25" ht="87" x14ac:dyDescent="0.35">
      <c r="A149" s="302" t="s">
        <v>450</v>
      </c>
      <c r="B149" s="302" t="s">
        <v>275</v>
      </c>
      <c r="C149" s="302" t="s">
        <v>587</v>
      </c>
      <c r="D149" s="302" t="s">
        <v>55</v>
      </c>
      <c r="E149" s="302" t="s">
        <v>337</v>
      </c>
      <c r="F149" s="302" t="s">
        <v>338</v>
      </c>
      <c r="G149" s="309" t="s">
        <v>277</v>
      </c>
      <c r="H149" s="309" t="s">
        <v>278</v>
      </c>
      <c r="I149" s="309" t="s">
        <v>279</v>
      </c>
      <c r="J149" s="309" t="s">
        <v>280</v>
      </c>
      <c r="K149" s="309" t="s">
        <v>281</v>
      </c>
      <c r="L149" s="309" t="s">
        <v>282</v>
      </c>
      <c r="M149" s="309" t="s">
        <v>283</v>
      </c>
      <c r="N149" s="309" t="s">
        <v>284</v>
      </c>
      <c r="O149" s="309" t="s">
        <v>285</v>
      </c>
      <c r="P149" s="309" t="s">
        <v>286</v>
      </c>
      <c r="Q149" s="309" t="s">
        <v>287</v>
      </c>
      <c r="R149" s="309" t="s">
        <v>288</v>
      </c>
      <c r="S149" s="309" t="s">
        <v>289</v>
      </c>
      <c r="T149" s="309" t="s">
        <v>290</v>
      </c>
      <c r="U149" s="309" t="s">
        <v>291</v>
      </c>
      <c r="V149" s="309" t="s">
        <v>292</v>
      </c>
      <c r="W149" s="309" t="s">
        <v>293</v>
      </c>
      <c r="X149" s="309" t="s">
        <v>294</v>
      </c>
      <c r="Y149" s="309" t="s">
        <v>295</v>
      </c>
    </row>
    <row r="150" spans="1:25" ht="14" customHeight="1" x14ac:dyDescent="0.35">
      <c r="A150" s="89" t="s">
        <v>861</v>
      </c>
      <c r="B150" s="311" t="s">
        <v>58</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862</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863</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864</v>
      </c>
      <c r="B153" s="141" t="s">
        <v>71</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867</v>
      </c>
    </row>
    <row r="158" spans="1:25" ht="14" customHeight="1" x14ac:dyDescent="0.55000000000000004">
      <c r="A158" s="100"/>
    </row>
    <row r="159" spans="1:25" ht="14" customHeight="1" x14ac:dyDescent="0.35">
      <c r="A159" s="432" t="s">
        <v>151</v>
      </c>
      <c r="B159" s="419" t="s">
        <v>227</v>
      </c>
      <c r="C159" s="421"/>
      <c r="D159" s="419" t="s">
        <v>229</v>
      </c>
      <c r="E159" s="420"/>
      <c r="F159" s="420"/>
      <c r="G159" s="420"/>
      <c r="H159" s="420"/>
      <c r="I159" s="420"/>
      <c r="J159" s="420"/>
      <c r="K159" s="421"/>
      <c r="L159" s="380" t="s">
        <v>228</v>
      </c>
      <c r="M159" s="384" t="s">
        <v>868</v>
      </c>
      <c r="N159" s="380" t="s">
        <v>231</v>
      </c>
    </row>
    <row r="160" spans="1:25" ht="14" customHeight="1" x14ac:dyDescent="0.35">
      <c r="A160" s="432"/>
      <c r="B160" s="104" t="s">
        <v>869</v>
      </c>
      <c r="C160" s="102" t="s">
        <v>870</v>
      </c>
      <c r="D160" s="103" t="s">
        <v>871</v>
      </c>
      <c r="E160" s="103" t="s">
        <v>242</v>
      </c>
      <c r="F160" s="103" t="s">
        <v>872</v>
      </c>
      <c r="G160" s="103" t="s">
        <v>873</v>
      </c>
      <c r="H160" s="103" t="s">
        <v>874</v>
      </c>
      <c r="I160" s="103" t="s">
        <v>875</v>
      </c>
      <c r="J160" s="103" t="s">
        <v>876</v>
      </c>
      <c r="K160" s="103" t="s">
        <v>877</v>
      </c>
      <c r="L160" s="380"/>
      <c r="M160" s="384"/>
      <c r="N160" s="380"/>
    </row>
    <row r="161" spans="1:14" ht="14" customHeight="1" x14ac:dyDescent="0.35">
      <c r="A161" s="53" t="s">
        <v>277</v>
      </c>
      <c r="B161" s="154" cm="1">
        <f t="array" ref="B161">INDEX(LCI!H$2:H$137,MATCH('D- Benefits &amp; Burdens'!$E$30&amp;'D- Benefits &amp; Burdens'!$F$30,LCI!$B$2:$B$137&amp;LCI!$D$2:$D$137,0))*IF(AND($E30="Truck",$F30="Electric"),$B$26,1)*$D$30*$C$30</f>
        <v>7.4379816E-3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8.4100648269119001E-3</v>
      </c>
      <c r="M161" s="154">
        <f>SUM(D161:K161)</f>
        <v>-0.10075444415325778</v>
      </c>
      <c r="N161" s="154">
        <f>SUM(L161:M161)</f>
        <v>-9.2344379326345885E-2</v>
      </c>
    </row>
    <row r="162" spans="1:14" ht="14" customHeight="1" x14ac:dyDescent="0.35">
      <c r="A162" s="53" t="s">
        <v>278</v>
      </c>
      <c r="B162" s="154" cm="1">
        <f t="array" ref="B162">INDEX(LCI!I$2:I$137,MATCH('D- Benefits &amp; Burdens'!$E$30&amp;'D- Benefits &amp; Burdens'!$F$30,LCI!$B$2:$B$137&amp;LCI!$D$2:$D$137,0))*IF(AND($E30="Truck",$F30="Electric"),$B$26,1)*$D$30*$C$30</f>
        <v>2.7188439432</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3.4791825908289846</v>
      </c>
      <c r="M162" s="154">
        <f t="shared" ref="M162:M179" si="5">SUM(D162:K162)</f>
        <v>-25.973922505704977</v>
      </c>
      <c r="N162" s="154">
        <f t="shared" ref="N162:N179" si="6">SUM(L162:M162)</f>
        <v>-22.494739914875993</v>
      </c>
    </row>
    <row r="163" spans="1:14" ht="14" customHeight="1" x14ac:dyDescent="0.35">
      <c r="A163" s="53" t="s">
        <v>279</v>
      </c>
      <c r="B163" s="154" cm="1">
        <f t="array" ref="B163">INDEX(LCI!J$2:J$137,MATCH('D- Benefits &amp; Burdens'!$E$30&amp;'D- Benefits &amp; Burdens'!$F$30,LCI!$B$2:$B$137&amp;LCI!$D$2:$D$137,0))*IF(AND($E30="Truck",$F30="Electric"),$B$26,1)*$D$30*$C$30</f>
        <v>1.2566198399999999E-3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1.4137625526025965E-3</v>
      </c>
      <c r="M163" s="154">
        <f t="shared" si="5"/>
        <v>-7.0959739433184649E-2</v>
      </c>
      <c r="N163" s="154">
        <f t="shared" si="6"/>
        <v>-6.9545976880582047E-2</v>
      </c>
    </row>
    <row r="164" spans="1:14" ht="14" customHeight="1" x14ac:dyDescent="0.35">
      <c r="A164" s="53" t="s">
        <v>280</v>
      </c>
      <c r="B164" s="154" cm="1">
        <f t="array" ref="B164">INDEX(LCI!K$2:K$137,MATCH('D- Benefits &amp; Burdens'!$E$30&amp;'D- Benefits &amp; Burdens'!$F$30,LCI!$B$2:$B$137&amp;LCI!$D$2:$D$137,0))*IF(AND($E30="Truck",$F30="Electric"),$B$26,1)*$D$30*$C$30</f>
        <v>2.7173735400000001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3.4775214207549894</v>
      </c>
      <c r="M164" s="154">
        <f t="shared" si="5"/>
        <v>-25.90245313509525</v>
      </c>
      <c r="N164" s="154">
        <f t="shared" si="6"/>
        <v>-22.424931714340261</v>
      </c>
    </row>
    <row r="165" spans="1:14" ht="14" customHeight="1" x14ac:dyDescent="0.35">
      <c r="A165" s="53" t="s">
        <v>281</v>
      </c>
      <c r="B165" s="154" cm="1">
        <f t="array" ref="B165">INDEX(LCI!L$2:L$137,MATCH('D- Benefits &amp; Burdens'!$E$30&amp;'D- Benefits &amp; Burdens'!$F$30,LCI!$B$2:$B$137&amp;LCI!$D$2:$D$137,0))*IF(AND($E30="Truck",$F30="Electric"),$B$26,1)*$D$30*$C$30</f>
        <v>2.1377831999999997E-4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2.4740248139282022E-4</v>
      </c>
      <c r="M165" s="154">
        <f t="shared" si="5"/>
        <v>-9.0361570248200882E-3</v>
      </c>
      <c r="N165" s="154">
        <f t="shared" si="6"/>
        <v>-8.7887545434272678E-3</v>
      </c>
    </row>
    <row r="166" spans="1:14" ht="14" customHeight="1" x14ac:dyDescent="0.35">
      <c r="A166" s="53" t="s">
        <v>282</v>
      </c>
      <c r="B166" s="154" cm="1">
        <f t="array" ref="B166">INDEX(LCI!M$2:M$137,MATCH('D- Benefits &amp; Burdens'!$E$30&amp;'D- Benefits &amp; Burdens'!$F$30,LCI!$B$2:$B$137&amp;LCI!$D$2:$D$137,0))*IF(AND($E30="Truck",$F30="Electric"),$B$26,1)*$D$30*$C$30</f>
        <v>2.3106187104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2.6465596109309946</v>
      </c>
      <c r="M166" s="154">
        <f t="shared" si="5"/>
        <v>-686.35802730347427</v>
      </c>
      <c r="N166" s="154">
        <f t="shared" si="6"/>
        <v>-683.71146769254324</v>
      </c>
    </row>
    <row r="167" spans="1:14" ht="14" customHeight="1" x14ac:dyDescent="0.35">
      <c r="A167" s="53" t="s">
        <v>283</v>
      </c>
      <c r="B167" s="154" cm="1">
        <f t="array" ref="B167">INDEX(LCI!N$2:N$137,MATCH('D- Benefits &amp; Burdens'!$E$30&amp;'D- Benefits &amp; Burdens'!$F$30,LCI!$B$2:$B$137&amp;LCI!$D$2:$D$137,0))*IF(AND($E30="Truck",$F30="Electric"),$B$26,1)*$D$30*$C$30</f>
        <v>36.555785447999995</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46.655115172872868</v>
      </c>
      <c r="M167" s="154">
        <f t="shared" si="5"/>
        <v>-1255.8929563899517</v>
      </c>
      <c r="N167" s="154">
        <f t="shared" si="6"/>
        <v>-1209.2378412170788</v>
      </c>
    </row>
    <row r="168" spans="1:14" ht="14" customHeight="1" x14ac:dyDescent="0.35">
      <c r="A168" s="53" t="s">
        <v>284</v>
      </c>
      <c r="B168" s="154" cm="1">
        <f t="array" ref="B168">INDEX(LCI!O$2:O$137,MATCH('D- Benefits &amp; Burdens'!$E$30&amp;'D- Benefits &amp; Burdens'!$F$30,LCI!$B$2:$B$137&amp;LCI!$D$2:$D$137,0))*IF(AND($E30="Truck",$F30="Electric"),$B$26,1)*$D$30*$C$30</f>
        <v>6.2546400000000008E-5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7.0584207163897216E-5</v>
      </c>
      <c r="M168" s="154">
        <f t="shared" si="5"/>
        <v>-9.3170484313106225E-4</v>
      </c>
      <c r="N168" s="154">
        <f t="shared" si="6"/>
        <v>-8.6112063596716505E-4</v>
      </c>
    </row>
    <row r="169" spans="1:14" ht="14" customHeight="1" x14ac:dyDescent="0.35">
      <c r="A169" s="53" t="s">
        <v>285</v>
      </c>
      <c r="B169" s="154" cm="1">
        <f t="array" ref="B169">INDEX(LCI!P$2:P$137,MATCH('D- Benefits &amp; Burdens'!$E$30&amp;'D- Benefits &amp; Burdens'!$F$30,LCI!$B$2:$B$137&amp;LCI!$D$2:$D$137,0))*IF(AND($E30="Truck",$F30="Electric"),$B$26,1)*$D$30*$C$30</f>
        <v>2.6687471999999996E-3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2.8885668883662828E-3</v>
      </c>
      <c r="M169" s="154">
        <f t="shared" si="5"/>
        <v>-3.2047154157211488E-2</v>
      </c>
      <c r="N169" s="154">
        <f t="shared" si="6"/>
        <v>-2.9158587268845206E-2</v>
      </c>
    </row>
    <row r="170" spans="1:14" ht="14" customHeight="1" x14ac:dyDescent="0.35">
      <c r="A170" s="53" t="s">
        <v>286</v>
      </c>
      <c r="B170" s="154" cm="1">
        <f t="array" ref="B170">INDEX(LCI!Q$2:Q$137,MATCH('D- Benefits &amp; Burdens'!$E$30&amp;'D- Benefits &amp; Burdens'!$F$30,LCI!$B$2:$B$137&amp;LCI!$D$2:$D$137,0))*IF(AND($E30="Truck",$F30="Electric"),$B$26,1)*$D$30*$C$30</f>
        <v>2.9111963999999997E-2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3.1501674883820087E-2</v>
      </c>
      <c r="M170" s="154">
        <f t="shared" si="5"/>
        <v>-0.36782994558818916</v>
      </c>
      <c r="N170" s="154">
        <f t="shared" si="6"/>
        <v>-0.33632827070436905</v>
      </c>
    </row>
    <row r="171" spans="1:14" ht="14" customHeight="1" x14ac:dyDescent="0.35">
      <c r="A171" s="53" t="s">
        <v>287</v>
      </c>
      <c r="B171" s="154" cm="1">
        <f t="array" ref="B171">INDEX(LCI!R$2:R$137,MATCH('D- Benefits &amp; Burdens'!$E$30&amp;'D- Benefits &amp; Burdens'!$F$30,LCI!$B$2:$B$137&amp;LCI!$D$2:$D$137,0))*IF(AND($E30="Truck",$F30="Electric"),$B$26,1)*$D$30*$C$30</f>
        <v>2.5413527999999998E-10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3.005999820382759E-10</v>
      </c>
      <c r="M171" s="154">
        <f t="shared" si="5"/>
        <v>-1.3054529203067979E-8</v>
      </c>
      <c r="N171" s="154">
        <f t="shared" si="6"/>
        <v>-1.2753929221029702E-8</v>
      </c>
    </row>
    <row r="172" spans="1:14" ht="14" customHeight="1" x14ac:dyDescent="0.35">
      <c r="A172" s="53" t="s">
        <v>288</v>
      </c>
      <c r="B172" s="154" cm="1">
        <f t="array" ref="B172">INDEX(LCI!S$2:S$137,MATCH('D- Benefits &amp; Burdens'!$E$30&amp;'D- Benefits &amp; Burdens'!$F$30,LCI!$B$2:$B$137&amp;LCI!$D$2:$D$137,0))*IF(AND($E30="Truck",$F30="Electric"),$B$26,1)*$D$30*$C$30</f>
        <v>1.948548E-8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2.0723953937791938E-8</v>
      </c>
      <c r="M172" s="154">
        <f t="shared" si="5"/>
        <v>-4.2494577500148811E-7</v>
      </c>
      <c r="N172" s="154">
        <f t="shared" si="6"/>
        <v>-4.0422182106369618E-7</v>
      </c>
    </row>
    <row r="173" spans="1:14" ht="14" customHeight="1" x14ac:dyDescent="0.35">
      <c r="A173" s="53" t="s">
        <v>289</v>
      </c>
      <c r="B173" s="154" cm="1">
        <f t="array" ref="B173">INDEX(LCI!T$2:T$137,MATCH('D- Benefits &amp; Burdens'!$E$30&amp;'D- Benefits &amp; Burdens'!$F$30,LCI!$B$2:$B$137&amp;LCI!$D$2:$D$137,0))*IF(AND($E30="Truck",$F30="Electric"),$B$26,1)*$D$30*$C$30</f>
        <v>1.6457750399999999E-2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1.9490157870854445E-2</v>
      </c>
      <c r="M173" s="154">
        <f t="shared" si="5"/>
        <v>-0.58416374840943142</v>
      </c>
      <c r="N173" s="154">
        <f t="shared" si="6"/>
        <v>-0.56467359053857702</v>
      </c>
    </row>
    <row r="174" spans="1:14" ht="14" customHeight="1" x14ac:dyDescent="0.35">
      <c r="A174" s="53" t="s">
        <v>290</v>
      </c>
      <c r="B174" s="154" cm="1">
        <f t="array" ref="B174">INDEX(LCI!U$2:U$137,MATCH('D- Benefits &amp; Burdens'!$E$30&amp;'D- Benefits &amp; Burdens'!$F$30,LCI!$B$2:$B$137&amp;LCI!$D$2:$D$137,0))*IF(AND($E30="Truck",$F30="Electric"),$B$26,1)*$D$30*$C$30</f>
        <v>2.2939029119999996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2.8131541789105623</v>
      </c>
      <c r="M174" s="154">
        <f t="shared" si="5"/>
        <v>-504.17277182523731</v>
      </c>
      <c r="N174" s="154">
        <f t="shared" si="6"/>
        <v>-501.35961764632674</v>
      </c>
    </row>
    <row r="175" spans="1:14" ht="14" customHeight="1" x14ac:dyDescent="0.35">
      <c r="A175" s="53" t="s">
        <v>291</v>
      </c>
      <c r="B175" s="154" cm="1">
        <f t="array" ref="B175">INDEX(LCI!V$2:V$137,MATCH('D- Benefits &amp; Burdens'!$E$30&amp;'D- Benefits &amp; Burdens'!$F$30,LCI!$B$2:$B$137&amp;LCI!$D$2:$D$137,0))*IF(AND($E30="Truck",$F30="Electric"),$B$26,1)*$D$30*$C$30</f>
        <v>2.9470727999999997E-6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3.0656338516689942E-6</v>
      </c>
      <c r="M175" s="154">
        <f t="shared" si="5"/>
        <v>-1.9810329642407397E-5</v>
      </c>
      <c r="N175" s="154">
        <f t="shared" si="6"/>
        <v>-1.6744695790738401E-5</v>
      </c>
    </row>
    <row r="176" spans="1:14" ht="14" customHeight="1" x14ac:dyDescent="0.35">
      <c r="A176" s="53" t="s">
        <v>292</v>
      </c>
      <c r="B176" s="154" cm="1">
        <f t="array" ref="B176">INDEX(LCI!W$2:W$137,MATCH('D- Benefits &amp; Burdens'!$E$30&amp;'D- Benefits &amp; Burdens'!$F$30,LCI!$B$2:$B$137&amp;LCI!$D$2:$D$137,0))*IF(AND($E30="Truck",$F30="Electric"),$B$26,1)*$D$30*$C$30</f>
        <v>6.0477647999999988E-8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7.7611588654170277E-8</v>
      </c>
      <c r="M176" s="154">
        <f t="shared" si="5"/>
        <v>-2.8128022975607842E-7</v>
      </c>
      <c r="N176" s="154">
        <f t="shared" si="6"/>
        <v>-2.0366864110190814E-7</v>
      </c>
    </row>
    <row r="177" spans="1:14" ht="14" customHeight="1" x14ac:dyDescent="0.35">
      <c r="A177" s="53" t="s">
        <v>293</v>
      </c>
      <c r="B177" s="154" cm="1">
        <f t="array" ref="B177">INDEX(LCI!X$2:X$137,MATCH('D- Benefits &amp; Burdens'!$E$30&amp;'D- Benefits &amp; Burdens'!$F$30,LCI!$B$2:$B$137&amp;LCI!$D$2:$D$137,0))*IF(AND($E30="Truck",$F30="Electric"),$B$26,1)*$D$30*$C$30</f>
        <v>1.8384240000000001E-7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1.9133117300723205E-7</v>
      </c>
      <c r="M177" s="154">
        <f t="shared" si="5"/>
        <v>-1.9274125874730844E-6</v>
      </c>
      <c r="N177" s="154">
        <f t="shared" si="6"/>
        <v>-1.7360814144658524E-6</v>
      </c>
    </row>
    <row r="178" spans="1:14" ht="14" customHeight="1" x14ac:dyDescent="0.35">
      <c r="A178" s="53" t="s">
        <v>294</v>
      </c>
      <c r="B178" s="154" cm="1">
        <f t="array" ref="B178">INDEX(LCI!Y$2:Y$137,MATCH('D- Benefits &amp; Burdens'!$E$30&amp;'D- Benefits &amp; Burdens'!$F$30,LCI!$B$2:$B$137&amp;LCI!$D$2:$D$137,0))*IF(AND($E30="Truck",$F30="Electric"),$B$26,1)*$D$30*$C$30</f>
        <v>1.1710523999999998E-2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1.3583341953219969E-2</v>
      </c>
      <c r="M178" s="154">
        <f t="shared" si="5"/>
        <v>-0.12939650212393664</v>
      </c>
      <c r="N178" s="154">
        <f t="shared" si="6"/>
        <v>-0.11581316017071666</v>
      </c>
    </row>
    <row r="179" spans="1:14" ht="14" customHeight="1" x14ac:dyDescent="0.35">
      <c r="A179" s="53" t="s">
        <v>295</v>
      </c>
      <c r="B179" s="154" cm="1">
        <f t="array" ref="B179">INDEX(LCI!Z$2:Z$137,MATCH('D- Benefits &amp; Burdens'!$E$30&amp;'D- Benefits &amp; Burdens'!$F$30,LCI!$B$2:$B$137&amp;LCI!$D$2:$D$137,0))*IF(AND($E30="Truck",$F30="Electric"),$B$26,1)*$D$30*$C$30</f>
        <v>8.2508865599999995E-2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9.6177543815181371E-2</v>
      </c>
      <c r="M179" s="154">
        <f t="shared" si="5"/>
        <v>-4.8553875481664157</v>
      </c>
      <c r="N179" s="154">
        <f t="shared" si="6"/>
        <v>-4.7592100043512344</v>
      </c>
    </row>
    <row r="180" spans="1:14" ht="14" customHeight="1" x14ac:dyDescent="0.35"/>
    <row r="181" spans="1:14" ht="14" customHeight="1" x14ac:dyDescent="0.35"/>
    <row r="182" spans="1:14" ht="14" customHeight="1" x14ac:dyDescent="0.35"/>
    <row r="183" spans="1:14" ht="23.5" x14ac:dyDescent="0.55000000000000004">
      <c r="A183" s="100" t="s">
        <v>878</v>
      </c>
    </row>
    <row r="184" spans="1:14" ht="14" customHeight="1" x14ac:dyDescent="0.35"/>
    <row r="185" spans="1:14" ht="14" customHeight="1" x14ac:dyDescent="0.35">
      <c r="A185" s="422" t="s">
        <v>151</v>
      </c>
      <c r="B185" s="419" t="s">
        <v>227</v>
      </c>
      <c r="C185" s="421"/>
      <c r="D185" s="419" t="s">
        <v>229</v>
      </c>
      <c r="E185" s="420"/>
      <c r="F185" s="420"/>
      <c r="G185" s="420"/>
      <c r="H185" s="420"/>
      <c r="I185" s="420"/>
      <c r="J185" s="420"/>
      <c r="K185" s="421"/>
      <c r="L185" s="380" t="s">
        <v>228</v>
      </c>
      <c r="M185" s="384" t="s">
        <v>868</v>
      </c>
      <c r="N185" s="380" t="s">
        <v>231</v>
      </c>
    </row>
    <row r="186" spans="1:14" ht="14" customHeight="1" x14ac:dyDescent="0.35">
      <c r="A186" s="423"/>
      <c r="B186" s="104" t="s">
        <v>869</v>
      </c>
      <c r="C186" s="102" t="s">
        <v>870</v>
      </c>
      <c r="D186" s="103" t="s">
        <v>871</v>
      </c>
      <c r="E186" s="103" t="s">
        <v>242</v>
      </c>
      <c r="F186" s="103" t="s">
        <v>872</v>
      </c>
      <c r="G186" s="103" t="s">
        <v>873</v>
      </c>
      <c r="H186" s="103" t="s">
        <v>874</v>
      </c>
      <c r="I186" s="103" t="s">
        <v>875</v>
      </c>
      <c r="J186" s="103" t="s">
        <v>876</v>
      </c>
      <c r="K186" s="103" t="s">
        <v>877</v>
      </c>
      <c r="L186" s="380"/>
      <c r="M186" s="384"/>
      <c r="N186" s="380"/>
    </row>
    <row r="187" spans="1:14" ht="14" customHeight="1" x14ac:dyDescent="0.35">
      <c r="A187" s="53" t="s">
        <v>277</v>
      </c>
      <c r="B187" s="154">
        <f>B161*Input!$C$31</f>
        <v>1.4280924672E-3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1.6147324467670849E-3</v>
      </c>
      <c r="M187" s="154">
        <f>SUM(D187:K187)</f>
        <v>-1.9344853277425494E-2</v>
      </c>
      <c r="N187" s="154">
        <f>SUM(L187:M187)</f>
        <v>-1.7730120830658409E-2</v>
      </c>
    </row>
    <row r="188" spans="1:14" ht="14" customHeight="1" x14ac:dyDescent="0.35">
      <c r="A188" s="53" t="s">
        <v>278</v>
      </c>
      <c r="B188" s="154">
        <f>B162*Input!$C$31</f>
        <v>0.52201803709439998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0.66800305743916499</v>
      </c>
      <c r="M188" s="154">
        <f t="shared" ref="M188:M205" si="8">SUM(D188:K188)</f>
        <v>-4.9869931210953569</v>
      </c>
      <c r="N188" s="154">
        <f t="shared" ref="N188:N205" si="9">SUM(L188:M188)</f>
        <v>-4.3189900636561918</v>
      </c>
    </row>
    <row r="189" spans="1:14" ht="14" customHeight="1" x14ac:dyDescent="0.35">
      <c r="A189" s="53" t="s">
        <v>279</v>
      </c>
      <c r="B189" s="154">
        <f>B163*Input!$C$31</f>
        <v>2.4127100927999999E-4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2.7144241009969855E-4</v>
      </c>
      <c r="M189" s="154">
        <f t="shared" si="8"/>
        <v>-1.3624269971171452E-2</v>
      </c>
      <c r="N189" s="154">
        <f t="shared" si="9"/>
        <v>-1.3352827561071753E-2</v>
      </c>
    </row>
    <row r="190" spans="1:14" ht="14" customHeight="1" x14ac:dyDescent="0.35">
      <c r="A190" s="53" t="s">
        <v>280</v>
      </c>
      <c r="B190" s="154">
        <f>B164*Input!$C$31</f>
        <v>0.52173571967999999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0.66768411278495787</v>
      </c>
      <c r="M190" s="154">
        <f t="shared" si="8"/>
        <v>-4.9732710019382882</v>
      </c>
      <c r="N190" s="154">
        <f t="shared" si="9"/>
        <v>-4.3055868891533304</v>
      </c>
    </row>
    <row r="191" spans="1:14" ht="14" customHeight="1" x14ac:dyDescent="0.35">
      <c r="A191" s="53" t="s">
        <v>281</v>
      </c>
      <c r="B191" s="154">
        <f>B165*Input!$C$31</f>
        <v>4.1045437439999992E-5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4.7501276427421478E-5</v>
      </c>
      <c r="M191" s="154">
        <f t="shared" si="8"/>
        <v>-1.7349421487654567E-3</v>
      </c>
      <c r="N191" s="154">
        <f t="shared" si="9"/>
        <v>-1.6874408723380353E-3</v>
      </c>
    </row>
    <row r="192" spans="1:14" ht="14" customHeight="1" x14ac:dyDescent="0.35">
      <c r="A192" s="53" t="s">
        <v>282</v>
      </c>
      <c r="B192" s="154">
        <f>B166*Input!$C$31</f>
        <v>0.44363879239679999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0.50813944529875099</v>
      </c>
      <c r="M192" s="154">
        <f t="shared" si="8"/>
        <v>-131.78074124226706</v>
      </c>
      <c r="N192" s="154">
        <f t="shared" si="9"/>
        <v>-131.2726017969683</v>
      </c>
    </row>
    <row r="193" spans="1:14" ht="14" customHeight="1" x14ac:dyDescent="0.35">
      <c r="A193" s="53" t="s">
        <v>283</v>
      </c>
      <c r="B193" s="154">
        <f>B167*Input!$C$31</f>
        <v>7.0187108060159993</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8.9577821131915911</v>
      </c>
      <c r="M193" s="154">
        <f t="shared" si="8"/>
        <v>-241.13144762687071</v>
      </c>
      <c r="N193" s="154">
        <f t="shared" si="9"/>
        <v>-232.17366551367911</v>
      </c>
    </row>
    <row r="194" spans="1:14" ht="14" customHeight="1" x14ac:dyDescent="0.35">
      <c r="A194" s="53" t="s">
        <v>284</v>
      </c>
      <c r="B194" s="154">
        <f>B168*Input!$C$31</f>
        <v>1.2008908800000003E-5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1.3552167775468265E-5</v>
      </c>
      <c r="M194" s="154">
        <f t="shared" si="8"/>
        <v>-1.7888732988116397E-4</v>
      </c>
      <c r="N194" s="154">
        <f t="shared" si="9"/>
        <v>-1.6533516210569569E-4</v>
      </c>
    </row>
    <row r="195" spans="1:14" ht="14" customHeight="1" x14ac:dyDescent="0.35">
      <c r="A195" s="53" t="s">
        <v>285</v>
      </c>
      <c r="B195" s="154">
        <f>B169*Input!$C$31</f>
        <v>5.1239946239999988E-4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5.5460484256632627E-4</v>
      </c>
      <c r="M195" s="154">
        <f t="shared" si="8"/>
        <v>-6.1530535981846064E-3</v>
      </c>
      <c r="N195" s="154">
        <f t="shared" si="9"/>
        <v>-5.5984487556182804E-3</v>
      </c>
    </row>
    <row r="196" spans="1:14" ht="14" customHeight="1" x14ac:dyDescent="0.35">
      <c r="A196" s="53" t="s">
        <v>286</v>
      </c>
      <c r="B196" s="154">
        <f>B170*Input!$C$31</f>
        <v>5.5894970879999993E-3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6.0483215776934562E-3</v>
      </c>
      <c r="M196" s="154">
        <f t="shared" si="8"/>
        <v>-7.0623349552932299E-2</v>
      </c>
      <c r="N196" s="154">
        <f t="shared" si="9"/>
        <v>-6.4575027975238841E-2</v>
      </c>
    </row>
    <row r="197" spans="1:14" ht="14" customHeight="1" x14ac:dyDescent="0.35">
      <c r="A197" s="53" t="s">
        <v>287</v>
      </c>
      <c r="B197" s="154">
        <f>B171*Input!$C$31</f>
        <v>4.8793973759999995E-11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5.7715196551348967E-11</v>
      </c>
      <c r="M197" s="154">
        <f t="shared" si="8"/>
        <v>-2.5064696069890519E-9</v>
      </c>
      <c r="N197" s="154">
        <f t="shared" si="9"/>
        <v>-2.4487544104377029E-9</v>
      </c>
    </row>
    <row r="198" spans="1:14" ht="14" customHeight="1" x14ac:dyDescent="0.35">
      <c r="A198" s="53" t="s">
        <v>288</v>
      </c>
      <c r="B198" s="154">
        <f>B172*Input!$C$31</f>
        <v>3.7412121599999998E-9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3.9789991560560525E-9</v>
      </c>
      <c r="M198" s="154">
        <f t="shared" si="8"/>
        <v>-8.1589588800285707E-8</v>
      </c>
      <c r="N198" s="154">
        <f t="shared" si="9"/>
        <v>-7.7610589644229659E-8</v>
      </c>
    </row>
    <row r="199" spans="1:14" ht="14" customHeight="1" x14ac:dyDescent="0.35">
      <c r="A199" s="53" t="s">
        <v>289</v>
      </c>
      <c r="B199" s="154">
        <f>B173*Input!$C$31</f>
        <v>3.1598880768E-3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3.7421103112040537E-3</v>
      </c>
      <c r="M199" s="154">
        <f t="shared" si="8"/>
        <v>-0.11215943969461083</v>
      </c>
      <c r="N199" s="154">
        <f t="shared" si="9"/>
        <v>-0.10841732938340677</v>
      </c>
    </row>
    <row r="200" spans="1:14" ht="14" customHeight="1" x14ac:dyDescent="0.35">
      <c r="A200" s="53" t="s">
        <v>290</v>
      </c>
      <c r="B200" s="154">
        <f>B174*Input!$C$31</f>
        <v>0.44042935910399994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0.54012560235082796</v>
      </c>
      <c r="M200" s="154">
        <f t="shared" si="8"/>
        <v>-96.80117219044557</v>
      </c>
      <c r="N200" s="154">
        <f t="shared" si="9"/>
        <v>-96.261046588094743</v>
      </c>
    </row>
    <row r="201" spans="1:14" ht="14" customHeight="1" x14ac:dyDescent="0.35">
      <c r="A201" s="53" t="s">
        <v>291</v>
      </c>
      <c r="B201" s="154">
        <f>B175*Input!$C$31</f>
        <v>5.6583797759999998E-7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5.8860169952044699E-7</v>
      </c>
      <c r="M201" s="154">
        <f t="shared" si="8"/>
        <v>-3.8035832913422207E-6</v>
      </c>
      <c r="N201" s="154">
        <f t="shared" si="9"/>
        <v>-3.214981591821774E-6</v>
      </c>
    </row>
    <row r="202" spans="1:14" ht="14" customHeight="1" x14ac:dyDescent="0.35">
      <c r="A202" s="53" t="s">
        <v>292</v>
      </c>
      <c r="B202" s="154">
        <f>B176*Input!$C$31</f>
        <v>1.1611708415999997E-8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1.4901425021600692E-8</v>
      </c>
      <c r="M202" s="154">
        <f t="shared" si="8"/>
        <v>-5.400580411316706E-8</v>
      </c>
      <c r="N202" s="154">
        <f t="shared" si="9"/>
        <v>-3.9104379091566368E-8</v>
      </c>
    </row>
    <row r="203" spans="1:14" ht="14" customHeight="1" x14ac:dyDescent="0.35">
      <c r="A203" s="53" t="s">
        <v>293</v>
      </c>
      <c r="B203" s="154">
        <f>B177*Input!$C$31</f>
        <v>3.52977408E-8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3.6735585217388553E-8</v>
      </c>
      <c r="M203" s="154">
        <f t="shared" si="8"/>
        <v>-3.7006321679483225E-7</v>
      </c>
      <c r="N203" s="154">
        <f t="shared" si="9"/>
        <v>-3.3332763157744371E-7</v>
      </c>
    </row>
    <row r="204" spans="1:14" ht="14" customHeight="1" x14ac:dyDescent="0.35">
      <c r="A204" s="53" t="s">
        <v>294</v>
      </c>
      <c r="B204" s="154">
        <f>B178*Input!$C$31</f>
        <v>2.2484206079999998E-3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2.6080016550182345E-3</v>
      </c>
      <c r="M204" s="154">
        <f t="shared" si="8"/>
        <v>-2.4844128407795832E-2</v>
      </c>
      <c r="N204" s="154">
        <f t="shared" si="9"/>
        <v>-2.2236126752777599E-2</v>
      </c>
    </row>
    <row r="205" spans="1:14" ht="14" customHeight="1" x14ac:dyDescent="0.35">
      <c r="A205" s="53" t="s">
        <v>295</v>
      </c>
      <c r="B205" s="154">
        <f>B179*Input!$C$31</f>
        <v>1.5841702195199998E-2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1.8466088412514823E-2</v>
      </c>
      <c r="M205" s="154">
        <f t="shared" si="8"/>
        <v>-0.93223440924795153</v>
      </c>
      <c r="N205" s="154">
        <f t="shared" si="9"/>
        <v>-0.91376832083543669</v>
      </c>
    </row>
    <row r="206" spans="1:14" ht="14" customHeight="1" x14ac:dyDescent="0.35"/>
    <row r="207" spans="1:14" ht="14" customHeight="1" x14ac:dyDescent="0.35"/>
    <row r="208" spans="1:14" ht="14" customHeight="1" x14ac:dyDescent="0.35"/>
    <row r="209" spans="1:3" ht="14" customHeight="1" x14ac:dyDescent="0.35">
      <c r="B209" t="s">
        <v>350</v>
      </c>
    </row>
    <row r="210" spans="1:3" ht="14" customHeight="1" x14ac:dyDescent="0.35">
      <c r="B210" s="205" t="s">
        <v>879</v>
      </c>
      <c r="C210" s="205" t="s">
        <v>880</v>
      </c>
    </row>
    <row r="211" spans="1:3" ht="14" customHeight="1" x14ac:dyDescent="0.35">
      <c r="A211" s="95" t="s">
        <v>528</v>
      </c>
      <c r="B211" s="1">
        <f>SUM(G$30:Y$30)+SUM(H$110:Z$110)+SUM(E$143:W$143)+SUM(G$154:Y$154)</f>
        <v>-2445.2053411310067</v>
      </c>
      <c r="C211" s="1">
        <f>+SUM(B161:N179)*Input!C31</f>
        <v>-1408.4382764914606</v>
      </c>
    </row>
    <row r="212" spans="1:3" ht="14" customHeight="1" x14ac:dyDescent="0.35">
      <c r="A212" s="95" t="s">
        <v>529</v>
      </c>
      <c r="B212" s="1">
        <f>SUM($B$161:$K$179)</f>
        <v>-2445.2053411310076</v>
      </c>
      <c r="C212" s="1">
        <f>+SUM(B187:N205)</f>
        <v>-1408.438276491461</v>
      </c>
    </row>
    <row r="213" spans="1:3" ht="14" customHeight="1" x14ac:dyDescent="0.35">
      <c r="A213" s="148" t="s">
        <v>57</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881</v>
      </c>
      <c r="B1" s="108" t="s">
        <v>450</v>
      </c>
      <c r="C1" s="108" t="s">
        <v>882</v>
      </c>
      <c r="D1" s="108" t="s">
        <v>883</v>
      </c>
      <c r="E1" s="108" t="s">
        <v>884</v>
      </c>
      <c r="F1" s="108" t="s">
        <v>484</v>
      </c>
      <c r="G1" s="108" t="s">
        <v>152</v>
      </c>
      <c r="H1" s="108" t="s">
        <v>277</v>
      </c>
      <c r="I1" s="108" t="s">
        <v>278</v>
      </c>
      <c r="J1" s="108" t="s">
        <v>279</v>
      </c>
      <c r="K1" s="108" t="s">
        <v>280</v>
      </c>
      <c r="L1" s="108" t="s">
        <v>281</v>
      </c>
      <c r="M1" s="108" t="s">
        <v>282</v>
      </c>
      <c r="N1" s="108" t="s">
        <v>283</v>
      </c>
      <c r="O1" s="108" t="s">
        <v>284</v>
      </c>
      <c r="P1" s="108" t="s">
        <v>285</v>
      </c>
      <c r="Q1" s="108" t="s">
        <v>286</v>
      </c>
      <c r="R1" s="108" t="s">
        <v>287</v>
      </c>
      <c r="S1" s="108" t="s">
        <v>288</v>
      </c>
      <c r="T1" s="108" t="s">
        <v>289</v>
      </c>
      <c r="U1" s="108" t="s">
        <v>290</v>
      </c>
      <c r="V1" s="108" t="s">
        <v>291</v>
      </c>
      <c r="W1" s="108" t="s">
        <v>292</v>
      </c>
      <c r="X1" s="108" t="s">
        <v>293</v>
      </c>
      <c r="Y1" s="108" t="s">
        <v>294</v>
      </c>
      <c r="Z1" s="108" t="s">
        <v>295</v>
      </c>
    </row>
    <row r="2" spans="1:26" s="242" customFormat="1" x14ac:dyDescent="0.35">
      <c r="A2" s="88">
        <v>1</v>
      </c>
      <c r="B2" s="88" t="s">
        <v>209</v>
      </c>
      <c r="C2" s="88" t="s">
        <v>232</v>
      </c>
      <c r="D2" s="88" t="s">
        <v>61</v>
      </c>
      <c r="E2" s="88" t="s">
        <v>885</v>
      </c>
      <c r="F2" s="88">
        <v>1</v>
      </c>
      <c r="G2" s="88" t="s">
        <v>886</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209</v>
      </c>
      <c r="C3" s="88" t="s">
        <v>232</v>
      </c>
      <c r="D3" s="88" t="s">
        <v>64</v>
      </c>
      <c r="E3" s="88" t="s">
        <v>885</v>
      </c>
      <c r="F3" s="88">
        <v>1</v>
      </c>
      <c r="G3" s="88" t="s">
        <v>886</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209</v>
      </c>
      <c r="C4" s="88" t="s">
        <v>232</v>
      </c>
      <c r="D4" s="88" t="s">
        <v>65</v>
      </c>
      <c r="E4" s="88" t="s">
        <v>885</v>
      </c>
      <c r="F4" s="88">
        <v>1</v>
      </c>
      <c r="G4" s="88" t="s">
        <v>886</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209</v>
      </c>
      <c r="C5" s="88" t="s">
        <v>232</v>
      </c>
      <c r="D5" s="88" t="s">
        <v>66</v>
      </c>
      <c r="E5" s="88" t="s">
        <v>885</v>
      </c>
      <c r="F5" s="88">
        <v>1</v>
      </c>
      <c r="G5" s="88" t="s">
        <v>886</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209</v>
      </c>
      <c r="C6" s="88" t="s">
        <v>232</v>
      </c>
      <c r="D6" s="88" t="s">
        <v>69</v>
      </c>
      <c r="E6" s="88" t="s">
        <v>885</v>
      </c>
      <c r="F6" s="88">
        <v>1</v>
      </c>
      <c r="G6" s="88" t="s">
        <v>886</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209</v>
      </c>
      <c r="C7" s="88" t="s">
        <v>232</v>
      </c>
      <c r="D7" s="88" t="s">
        <v>70</v>
      </c>
      <c r="E7" s="88" t="s">
        <v>885</v>
      </c>
      <c r="F7" s="88">
        <v>1</v>
      </c>
      <c r="G7" s="88" t="s">
        <v>886</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209</v>
      </c>
      <c r="C8" s="88" t="s">
        <v>232</v>
      </c>
      <c r="D8" s="88" t="s">
        <v>71</v>
      </c>
      <c r="E8" s="88" t="s">
        <v>887</v>
      </c>
      <c r="F8" s="88">
        <v>1</v>
      </c>
      <c r="G8" s="88" t="s">
        <v>886</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209</v>
      </c>
      <c r="C9" s="88" t="s">
        <v>232</v>
      </c>
      <c r="D9" s="88" t="s">
        <v>73</v>
      </c>
      <c r="E9" s="88" t="s">
        <v>887</v>
      </c>
      <c r="F9" s="88">
        <v>1</v>
      </c>
      <c r="G9" s="88" t="s">
        <v>886</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209</v>
      </c>
      <c r="C10" s="88" t="s">
        <v>232</v>
      </c>
      <c r="D10" s="88" t="s">
        <v>74</v>
      </c>
      <c r="E10" s="88" t="s">
        <v>887</v>
      </c>
      <c r="F10" s="88">
        <v>1</v>
      </c>
      <c r="G10" s="88" t="s">
        <v>886</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75</v>
      </c>
      <c r="C11" s="88" t="s">
        <v>232</v>
      </c>
      <c r="D11" s="88" t="s">
        <v>574</v>
      </c>
      <c r="E11" s="88"/>
      <c r="F11" s="88">
        <v>1</v>
      </c>
      <c r="G11" s="88" t="s">
        <v>886</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75</v>
      </c>
      <c r="C12" s="88" t="s">
        <v>232</v>
      </c>
      <c r="D12" s="88" t="s">
        <v>572</v>
      </c>
      <c r="E12" s="88" t="s">
        <v>888</v>
      </c>
      <c r="F12" s="88">
        <v>1</v>
      </c>
      <c r="G12" s="88" t="s">
        <v>886</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75</v>
      </c>
      <c r="C13" s="88" t="s">
        <v>232</v>
      </c>
      <c r="D13" s="88" t="s">
        <v>573</v>
      </c>
      <c r="E13" s="88" t="s">
        <v>889</v>
      </c>
      <c r="F13" s="88">
        <v>1</v>
      </c>
      <c r="G13" s="88" t="s">
        <v>886</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75</v>
      </c>
      <c r="C14" s="88" t="s">
        <v>232</v>
      </c>
      <c r="D14" s="88" t="s">
        <v>76</v>
      </c>
      <c r="E14" s="88" t="s">
        <v>890</v>
      </c>
      <c r="F14" s="88">
        <v>1</v>
      </c>
      <c r="G14" s="88" t="s">
        <v>886</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78</v>
      </c>
      <c r="C15" s="88" t="s">
        <v>232</v>
      </c>
      <c r="D15" s="88" t="s">
        <v>574</v>
      </c>
      <c r="E15" s="88"/>
      <c r="F15" s="88">
        <v>1</v>
      </c>
      <c r="G15" s="88" t="s">
        <v>886</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78</v>
      </c>
      <c r="C16" s="88" t="s">
        <v>232</v>
      </c>
      <c r="D16" s="88" t="s">
        <v>572</v>
      </c>
      <c r="E16" s="88" t="s">
        <v>888</v>
      </c>
      <c r="F16" s="88">
        <v>1</v>
      </c>
      <c r="G16" s="88" t="s">
        <v>886</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78</v>
      </c>
      <c r="C17" s="88" t="s">
        <v>232</v>
      </c>
      <c r="D17" s="88" t="s">
        <v>573</v>
      </c>
      <c r="E17" s="88" t="s">
        <v>891</v>
      </c>
      <c r="F17" s="88">
        <v>1</v>
      </c>
      <c r="G17" s="88" t="s">
        <v>886</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78</v>
      </c>
      <c r="C18" s="88" t="s">
        <v>232</v>
      </c>
      <c r="D18" s="88" t="s">
        <v>76</v>
      </c>
      <c r="E18" s="88" t="s">
        <v>890</v>
      </c>
      <c r="F18" s="88">
        <v>1</v>
      </c>
      <c r="G18" s="88" t="s">
        <v>886</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58</v>
      </c>
      <c r="C19" s="88" t="s">
        <v>232</v>
      </c>
      <c r="D19" s="88" t="s">
        <v>59</v>
      </c>
      <c r="E19" s="88" t="s">
        <v>892</v>
      </c>
      <c r="F19" s="88">
        <v>1</v>
      </c>
      <c r="G19" s="88" t="s">
        <v>886</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58</v>
      </c>
      <c r="C20" s="88" t="s">
        <v>232</v>
      </c>
      <c r="D20" s="88" t="s">
        <v>571</v>
      </c>
      <c r="E20" s="88" t="s">
        <v>892</v>
      </c>
      <c r="F20" s="88">
        <v>1</v>
      </c>
      <c r="G20" s="88" t="s">
        <v>886</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299</v>
      </c>
      <c r="C21" s="88" t="s">
        <v>232</v>
      </c>
      <c r="D21" s="88" t="s">
        <v>893</v>
      </c>
      <c r="E21" s="88" t="s">
        <v>894</v>
      </c>
      <c r="F21" s="88">
        <v>1</v>
      </c>
      <c r="G21" s="88" t="s">
        <v>886</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88</v>
      </c>
      <c r="C22" s="88" t="s">
        <v>232</v>
      </c>
      <c r="D22" s="88" t="s">
        <v>89</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88</v>
      </c>
      <c r="C23" s="88" t="s">
        <v>232</v>
      </c>
      <c r="D23" s="88" t="s">
        <v>578</v>
      </c>
      <c r="E23" s="88" t="s">
        <v>898</v>
      </c>
      <c r="F23" s="88">
        <v>1</v>
      </c>
      <c r="G23" s="88" t="s">
        <v>886</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88</v>
      </c>
      <c r="C24" s="88" t="s">
        <v>232</v>
      </c>
      <c r="D24" s="88" t="s">
        <v>92</v>
      </c>
      <c r="E24" s="88" t="s">
        <v>896</v>
      </c>
      <c r="F24" s="88">
        <v>1</v>
      </c>
      <c r="G24" s="88" t="s">
        <v>886</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88</v>
      </c>
      <c r="C25" s="88" t="s">
        <v>232</v>
      </c>
      <c r="D25" s="88" t="s">
        <v>579</v>
      </c>
      <c r="E25" s="88" t="s">
        <v>897</v>
      </c>
      <c r="F25" s="88">
        <v>1</v>
      </c>
      <c r="G25" s="88" t="s">
        <v>886</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91</v>
      </c>
      <c r="C26" s="88" t="s">
        <v>232</v>
      </c>
      <c r="D26" s="88" t="s">
        <v>89</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91</v>
      </c>
      <c r="C27" s="88" t="s">
        <v>232</v>
      </c>
      <c r="D27" s="88" t="s">
        <v>578</v>
      </c>
      <c r="E27" s="88" t="s">
        <v>898</v>
      </c>
      <c r="F27" s="88">
        <v>1</v>
      </c>
      <c r="G27" s="88" t="s">
        <v>886</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91</v>
      </c>
      <c r="C28" s="88" t="s">
        <v>232</v>
      </c>
      <c r="D28" s="88" t="s">
        <v>92</v>
      </c>
      <c r="E28" s="88" t="s">
        <v>896</v>
      </c>
      <c r="F28" s="88">
        <v>1</v>
      </c>
      <c r="G28" s="88" t="s">
        <v>886</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91</v>
      </c>
      <c r="C29" s="88" t="s">
        <v>232</v>
      </c>
      <c r="D29" s="88" t="s">
        <v>579</v>
      </c>
      <c r="E29" s="88" t="s">
        <v>897</v>
      </c>
      <c r="F29" s="88">
        <v>1</v>
      </c>
      <c r="G29" s="88" t="s">
        <v>886</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93</v>
      </c>
      <c r="C30" s="88" t="s">
        <v>232</v>
      </c>
      <c r="D30" s="88" t="s">
        <v>89</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93</v>
      </c>
      <c r="C31" s="88" t="s">
        <v>232</v>
      </c>
      <c r="D31" s="88" t="s">
        <v>895</v>
      </c>
      <c r="E31" s="88" t="s">
        <v>898</v>
      </c>
      <c r="F31" s="88">
        <v>1</v>
      </c>
      <c r="G31" s="88" t="s">
        <v>886</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93</v>
      </c>
      <c r="C32" s="88" t="s">
        <v>232</v>
      </c>
      <c r="D32" s="88" t="s">
        <v>578</v>
      </c>
      <c r="E32" s="88" t="s">
        <v>898</v>
      </c>
      <c r="F32" s="88">
        <v>1</v>
      </c>
      <c r="G32" s="88" t="s">
        <v>886</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93</v>
      </c>
      <c r="C33" s="88" t="s">
        <v>232</v>
      </c>
      <c r="D33" s="88" t="s">
        <v>92</v>
      </c>
      <c r="E33" s="88" t="s">
        <v>896</v>
      </c>
      <c r="F33" s="88">
        <v>1</v>
      </c>
      <c r="G33" s="88" t="s">
        <v>886</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93</v>
      </c>
      <c r="C34" s="88" t="s">
        <v>232</v>
      </c>
      <c r="D34" s="88" t="s">
        <v>579</v>
      </c>
      <c r="E34" s="88" t="s">
        <v>897</v>
      </c>
      <c r="F34" s="88">
        <v>1</v>
      </c>
      <c r="G34" s="88" t="s">
        <v>886</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82</v>
      </c>
      <c r="C35" s="88" t="s">
        <v>232</v>
      </c>
      <c r="D35" s="88" t="s">
        <v>577</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82</v>
      </c>
      <c r="C36" s="88" t="s">
        <v>232</v>
      </c>
      <c r="D36" s="88" t="s">
        <v>576</v>
      </c>
      <c r="E36" s="88" t="s">
        <v>899</v>
      </c>
      <c r="F36" s="88">
        <v>1</v>
      </c>
      <c r="G36" s="88" t="s">
        <v>886</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82</v>
      </c>
      <c r="C37" s="88" t="s">
        <v>232</v>
      </c>
      <c r="D37" s="88" t="s">
        <v>83</v>
      </c>
      <c r="E37" s="88" t="s">
        <v>900</v>
      </c>
      <c r="F37" s="88">
        <v>1</v>
      </c>
      <c r="G37" s="88" t="s">
        <v>886</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82</v>
      </c>
      <c r="C38" s="88" t="s">
        <v>232</v>
      </c>
      <c r="D38" s="88" t="s">
        <v>87</v>
      </c>
      <c r="E38" s="88" t="s">
        <v>901</v>
      </c>
      <c r="F38" s="88">
        <v>1</v>
      </c>
      <c r="G38" s="88" t="s">
        <v>886</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86</v>
      </c>
      <c r="C39" s="88" t="s">
        <v>232</v>
      </c>
      <c r="D39" s="88" t="s">
        <v>577</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86</v>
      </c>
      <c r="C40" s="88" t="s">
        <v>232</v>
      </c>
      <c r="D40" s="88" t="s">
        <v>576</v>
      </c>
      <c r="E40" s="88" t="s">
        <v>902</v>
      </c>
      <c r="F40" s="88">
        <v>1</v>
      </c>
      <c r="G40" s="88" t="s">
        <v>886</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86</v>
      </c>
      <c r="C41" s="88" t="s">
        <v>232</v>
      </c>
      <c r="D41" s="88" t="s">
        <v>83</v>
      </c>
      <c r="E41" s="88" t="s">
        <v>900</v>
      </c>
      <c r="F41" s="88">
        <v>1</v>
      </c>
      <c r="G41" s="88" t="s">
        <v>886</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86</v>
      </c>
      <c r="C42" s="88" t="s">
        <v>232</v>
      </c>
      <c r="D42" s="88" t="s">
        <v>87</v>
      </c>
      <c r="E42" s="88" t="s">
        <v>901</v>
      </c>
      <c r="F42" s="88">
        <v>1</v>
      </c>
      <c r="G42" s="88" t="s">
        <v>886</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511</v>
      </c>
      <c r="C43" s="88" t="s">
        <v>232</v>
      </c>
      <c r="D43" s="88" t="s">
        <v>25</v>
      </c>
      <c r="E43" s="88" t="s">
        <v>903</v>
      </c>
      <c r="F43" s="88">
        <v>1</v>
      </c>
      <c r="G43" s="88" t="s">
        <v>555</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511</v>
      </c>
      <c r="C44" s="88" t="s">
        <v>232</v>
      </c>
      <c r="D44" s="88" t="s">
        <v>35</v>
      </c>
      <c r="E44" s="88" t="s">
        <v>904</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617</v>
      </c>
      <c r="C45" s="88" t="s">
        <v>232</v>
      </c>
      <c r="D45" s="88" t="s">
        <v>35</v>
      </c>
      <c r="E45" s="88" t="s">
        <v>905</v>
      </c>
      <c r="F45" s="88">
        <v>1</v>
      </c>
      <c r="G45" s="88" t="s">
        <v>556</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617</v>
      </c>
      <c r="C46" s="88" t="s">
        <v>232</v>
      </c>
      <c r="D46" s="88" t="s">
        <v>85</v>
      </c>
      <c r="E46" s="88" t="s">
        <v>906</v>
      </c>
      <c r="F46" s="88">
        <v>1</v>
      </c>
      <c r="G46" s="88" t="s">
        <v>556</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617</v>
      </c>
      <c r="C47" s="88" t="s">
        <v>232</v>
      </c>
      <c r="D47" s="88" t="s">
        <v>804</v>
      </c>
      <c r="E47" s="88" t="s">
        <v>907</v>
      </c>
      <c r="F47" s="88">
        <v>1</v>
      </c>
      <c r="G47" s="88" t="s">
        <v>556</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617</v>
      </c>
      <c r="C48" s="88" t="s">
        <v>232</v>
      </c>
      <c r="D48" s="88" t="s">
        <v>805</v>
      </c>
      <c r="E48" s="88" t="s">
        <v>908</v>
      </c>
      <c r="F48" s="88">
        <v>1</v>
      </c>
      <c r="G48" s="88" t="s">
        <v>556</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617</v>
      </c>
      <c r="C49" s="88" t="s">
        <v>232</v>
      </c>
      <c r="D49" s="88" t="s">
        <v>77</v>
      </c>
      <c r="E49" s="88" t="s">
        <v>909</v>
      </c>
      <c r="F49" s="88">
        <v>1</v>
      </c>
      <c r="G49" s="88" t="s">
        <v>556</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617</v>
      </c>
      <c r="C50" s="88" t="s">
        <v>232</v>
      </c>
      <c r="D50" s="88" t="s">
        <v>806</v>
      </c>
      <c r="E50" s="88" t="s">
        <v>910</v>
      </c>
      <c r="F50" s="88">
        <v>1</v>
      </c>
      <c r="G50" s="88" t="s">
        <v>556</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617</v>
      </c>
      <c r="C51" s="88" t="s">
        <v>232</v>
      </c>
      <c r="D51" s="88" t="s">
        <v>80</v>
      </c>
      <c r="E51" s="88" t="s">
        <v>911</v>
      </c>
      <c r="F51" s="88">
        <v>1</v>
      </c>
      <c r="G51" s="88" t="s">
        <v>555</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617</v>
      </c>
      <c r="C52" s="88" t="s">
        <v>232</v>
      </c>
      <c r="D52" s="88" t="s">
        <v>90</v>
      </c>
      <c r="E52" s="88" t="s">
        <v>912</v>
      </c>
      <c r="F52" s="88">
        <v>1</v>
      </c>
      <c r="G52" s="88" t="s">
        <v>555</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617</v>
      </c>
      <c r="C53" s="88" t="s">
        <v>232</v>
      </c>
      <c r="D53" s="88" t="s">
        <v>27</v>
      </c>
      <c r="E53" s="88"/>
      <c r="F53" s="88">
        <v>1</v>
      </c>
      <c r="G53" s="88" t="s">
        <v>555</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67</v>
      </c>
      <c r="C54" s="88" t="s">
        <v>233</v>
      </c>
      <c r="D54" s="88" t="s">
        <v>68</v>
      </c>
      <c r="E54" s="88" t="s">
        <v>913</v>
      </c>
      <c r="F54" s="88">
        <v>1</v>
      </c>
      <c r="G54" s="88" t="s">
        <v>914</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67</v>
      </c>
      <c r="C55" s="88" t="s">
        <v>233</v>
      </c>
      <c r="D55" s="88" t="s">
        <v>487</v>
      </c>
      <c r="E55" s="88" t="s">
        <v>915</v>
      </c>
      <c r="F55" s="88">
        <v>1</v>
      </c>
      <c r="G55" s="88" t="s">
        <v>914</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67</v>
      </c>
      <c r="C56" s="88" t="s">
        <v>233</v>
      </c>
      <c r="D56" s="88" t="s">
        <v>85</v>
      </c>
      <c r="E56" s="88" t="s">
        <v>916</v>
      </c>
      <c r="F56" s="88">
        <v>1</v>
      </c>
      <c r="G56" s="88" t="s">
        <v>914</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67</v>
      </c>
      <c r="C57" s="88" t="s">
        <v>233</v>
      </c>
      <c r="D57" s="88" t="s">
        <v>804</v>
      </c>
      <c r="E57" s="88" t="s">
        <v>917</v>
      </c>
      <c r="F57" s="88">
        <v>1</v>
      </c>
      <c r="G57" s="88" t="s">
        <v>914</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67</v>
      </c>
      <c r="C58" s="88" t="s">
        <v>233</v>
      </c>
      <c r="D58" s="88" t="s">
        <v>805</v>
      </c>
      <c r="E58" s="88" t="s">
        <v>918</v>
      </c>
      <c r="F58" s="88">
        <v>1</v>
      </c>
      <c r="G58" s="88" t="s">
        <v>914</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67</v>
      </c>
      <c r="C59" s="88" t="s">
        <v>233</v>
      </c>
      <c r="D59" s="88" t="s">
        <v>77</v>
      </c>
      <c r="E59" s="88" t="s">
        <v>919</v>
      </c>
      <c r="F59" s="88">
        <v>1</v>
      </c>
      <c r="G59" s="88" t="s">
        <v>914</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67</v>
      </c>
      <c r="C60" s="88" t="s">
        <v>233</v>
      </c>
      <c r="D60" s="88" t="s">
        <v>806</v>
      </c>
      <c r="E60" s="88" t="s">
        <v>920</v>
      </c>
      <c r="F60" s="88">
        <v>1</v>
      </c>
      <c r="G60" s="88" t="s">
        <v>914</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67</v>
      </c>
      <c r="C61" s="88" t="s">
        <v>233</v>
      </c>
      <c r="D61" s="88" t="s">
        <v>80</v>
      </c>
      <c r="E61" s="88" t="s">
        <v>921</v>
      </c>
      <c r="F61" s="88">
        <v>1</v>
      </c>
      <c r="G61" s="88" t="s">
        <v>555</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67</v>
      </c>
      <c r="C62" s="88" t="s">
        <v>233</v>
      </c>
      <c r="D62" s="88" t="s">
        <v>90</v>
      </c>
      <c r="E62" s="88" t="s">
        <v>922</v>
      </c>
      <c r="F62" s="88">
        <v>1</v>
      </c>
      <c r="G62" s="88" t="s">
        <v>555</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67</v>
      </c>
      <c r="C63" s="88" t="s">
        <v>233</v>
      </c>
      <c r="D63" s="88" t="s">
        <v>27</v>
      </c>
      <c r="E63" s="88"/>
      <c r="F63" s="88">
        <v>1</v>
      </c>
      <c r="G63" s="88" t="s">
        <v>914</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923</v>
      </c>
      <c r="C64" s="88" t="s">
        <v>233</v>
      </c>
      <c r="D64" s="88" t="s">
        <v>35</v>
      </c>
      <c r="E64" s="28" t="s">
        <v>924</v>
      </c>
      <c r="F64" s="88">
        <v>1</v>
      </c>
      <c r="G64" s="88" t="s">
        <v>914</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60</v>
      </c>
      <c r="C65" s="88" t="s">
        <v>233</v>
      </c>
      <c r="D65" s="88" t="s">
        <v>35</v>
      </c>
      <c r="E65" s="88" t="s">
        <v>925</v>
      </c>
      <c r="F65" s="88">
        <v>1</v>
      </c>
      <c r="G65" s="88" t="s">
        <v>914</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62</v>
      </c>
      <c r="C66" s="88" t="s">
        <v>233</v>
      </c>
      <c r="D66" s="88" t="s">
        <v>63</v>
      </c>
      <c r="E66" s="88" t="s">
        <v>926</v>
      </c>
      <c r="F66" s="88">
        <v>1</v>
      </c>
      <c r="G66" s="88" t="s">
        <v>914</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72</v>
      </c>
      <c r="C68" s="88" t="s">
        <v>233</v>
      </c>
      <c r="D68" s="88" t="s">
        <v>35</v>
      </c>
      <c r="E68" s="88" t="s">
        <v>927</v>
      </c>
      <c r="F68" s="88">
        <v>1</v>
      </c>
      <c r="G68" s="88" t="s">
        <v>914</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72</v>
      </c>
      <c r="C69" s="88" t="s">
        <v>233</v>
      </c>
      <c r="D69" s="88" t="s">
        <v>80</v>
      </c>
      <c r="E69" s="88" t="s">
        <v>928</v>
      </c>
      <c r="F69" s="88">
        <v>1</v>
      </c>
      <c r="G69" s="88" t="s">
        <v>914</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236</v>
      </c>
      <c r="D70" s="88" t="s">
        <v>791</v>
      </c>
      <c r="E70" s="88" t="s">
        <v>929</v>
      </c>
      <c r="F70" s="88">
        <v>1</v>
      </c>
      <c r="G70" s="88" t="s">
        <v>607</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236</v>
      </c>
      <c r="D71" s="267" t="s">
        <v>21</v>
      </c>
      <c r="E71" s="88" t="s">
        <v>930</v>
      </c>
      <c r="F71" s="88">
        <v>1</v>
      </c>
      <c r="G71" s="88" t="s">
        <v>607</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236</v>
      </c>
      <c r="D72" s="88" t="s">
        <v>931</v>
      </c>
      <c r="E72" s="88" t="s">
        <v>932</v>
      </c>
      <c r="F72" s="88">
        <v>1</v>
      </c>
      <c r="G72" s="88" t="s">
        <v>607</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236</v>
      </c>
      <c r="D73" s="88" t="s">
        <v>25</v>
      </c>
      <c r="E73" s="88" t="s">
        <v>903</v>
      </c>
      <c r="F73" s="88">
        <v>1</v>
      </c>
      <c r="G73" s="88" t="s">
        <v>555</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236</v>
      </c>
      <c r="D74" s="88" t="s">
        <v>933</v>
      </c>
      <c r="E74" s="88" t="s">
        <v>934</v>
      </c>
      <c r="F74" s="88">
        <v>1</v>
      </c>
      <c r="G74" s="88" t="s">
        <v>555</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236</v>
      </c>
      <c r="D75" s="88" t="s">
        <v>935</v>
      </c>
      <c r="E75" s="88" t="s">
        <v>936</v>
      </c>
      <c r="F75" s="88">
        <v>1</v>
      </c>
      <c r="G75" s="88" t="s">
        <v>556</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236</v>
      </c>
      <c r="D76" s="88" t="s">
        <v>791</v>
      </c>
      <c r="E76" s="88" t="s">
        <v>929</v>
      </c>
      <c r="F76" s="88">
        <v>1</v>
      </c>
      <c r="G76" s="88" t="s">
        <v>607</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236</v>
      </c>
      <c r="D77" s="88" t="s">
        <v>21</v>
      </c>
      <c r="E77" s="88" t="s">
        <v>930</v>
      </c>
      <c r="F77" s="88">
        <v>1</v>
      </c>
      <c r="G77" s="88" t="s">
        <v>607</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236</v>
      </c>
      <c r="D78" s="88" t="s">
        <v>931</v>
      </c>
      <c r="E78" s="88" t="s">
        <v>932</v>
      </c>
      <c r="F78" s="88">
        <v>1</v>
      </c>
      <c r="G78" s="88" t="s">
        <v>607</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236</v>
      </c>
      <c r="D79" s="88" t="s">
        <v>25</v>
      </c>
      <c r="E79" s="88" t="s">
        <v>937</v>
      </c>
      <c r="F79" s="88">
        <v>1</v>
      </c>
      <c r="G79" s="88" t="s">
        <v>555</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236</v>
      </c>
      <c r="D80" s="88" t="s">
        <v>933</v>
      </c>
      <c r="E80" s="88" t="s">
        <v>938</v>
      </c>
      <c r="F80" s="88">
        <v>1</v>
      </c>
      <c r="G80" s="88" t="s">
        <v>555</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236</v>
      </c>
      <c r="D81" s="88" t="s">
        <v>935</v>
      </c>
      <c r="E81" s="88" t="s">
        <v>936</v>
      </c>
      <c r="F81" s="88">
        <v>1</v>
      </c>
      <c r="G81" s="88" t="s">
        <v>556</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236</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939</v>
      </c>
      <c r="C83" s="88" t="s">
        <v>236</v>
      </c>
      <c r="D83" s="88" t="s">
        <v>25</v>
      </c>
      <c r="E83" s="88" t="s">
        <v>911</v>
      </c>
      <c r="F83" s="88">
        <v>1</v>
      </c>
      <c r="G83" s="88" t="s">
        <v>555</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939</v>
      </c>
      <c r="C84" s="88" t="s">
        <v>236</v>
      </c>
      <c r="D84" s="88" t="s">
        <v>933</v>
      </c>
      <c r="E84" s="88" t="s">
        <v>912</v>
      </c>
      <c r="F84" s="88">
        <v>1</v>
      </c>
      <c r="G84" s="88" t="s">
        <v>555</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939</v>
      </c>
      <c r="C85" s="88" t="s">
        <v>236</v>
      </c>
      <c r="D85" s="88" t="s">
        <v>27</v>
      </c>
      <c r="E85" s="88" t="s">
        <v>940</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236</v>
      </c>
      <c r="D86" s="88" t="s">
        <v>27</v>
      </c>
      <c r="E86" s="88" t="s">
        <v>940</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448</v>
      </c>
      <c r="C87" s="88"/>
      <c r="D87" s="88" t="s">
        <v>27</v>
      </c>
      <c r="E87" s="88" t="s">
        <v>940</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104</v>
      </c>
      <c r="C88" s="88" t="s">
        <v>238</v>
      </c>
      <c r="D88" s="88"/>
      <c r="E88" s="88" t="s">
        <v>940</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683</v>
      </c>
      <c r="C89" s="88" t="s">
        <v>238</v>
      </c>
      <c r="D89" s="88" t="s">
        <v>35</v>
      </c>
      <c r="E89" s="88" t="s">
        <v>941</v>
      </c>
      <c r="F89" s="88">
        <v>1</v>
      </c>
      <c r="G89" s="88" t="s">
        <v>556</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683</v>
      </c>
      <c r="C90" s="88" t="s">
        <v>238</v>
      </c>
      <c r="D90" s="88" t="s">
        <v>85</v>
      </c>
      <c r="E90" s="88" t="s">
        <v>906</v>
      </c>
      <c r="F90" s="88">
        <v>1</v>
      </c>
      <c r="G90" s="88" t="s">
        <v>556</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683</v>
      </c>
      <c r="C91" s="88" t="s">
        <v>238</v>
      </c>
      <c r="D91" s="88" t="s">
        <v>804</v>
      </c>
      <c r="E91" s="88" t="s">
        <v>907</v>
      </c>
      <c r="F91" s="88">
        <v>1</v>
      </c>
      <c r="G91" s="88" t="s">
        <v>556</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683</v>
      </c>
      <c r="C92" s="88" t="s">
        <v>238</v>
      </c>
      <c r="D92" s="88" t="s">
        <v>805</v>
      </c>
      <c r="E92" s="88" t="s">
        <v>908</v>
      </c>
      <c r="F92" s="88">
        <v>1</v>
      </c>
      <c r="G92" s="88" t="s">
        <v>556</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683</v>
      </c>
      <c r="C93" s="88" t="s">
        <v>238</v>
      </c>
      <c r="D93" s="88" t="s">
        <v>77</v>
      </c>
      <c r="E93" s="88" t="s">
        <v>909</v>
      </c>
      <c r="F93" s="88">
        <v>1</v>
      </c>
      <c r="G93" s="88" t="s">
        <v>556</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683</v>
      </c>
      <c r="C94" s="88" t="s">
        <v>238</v>
      </c>
      <c r="D94" s="88" t="s">
        <v>806</v>
      </c>
      <c r="E94" s="88" t="s">
        <v>910</v>
      </c>
      <c r="F94" s="88">
        <v>1</v>
      </c>
      <c r="G94" s="88" t="s">
        <v>556</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683</v>
      </c>
      <c r="C95" s="88" t="s">
        <v>238</v>
      </c>
      <c r="D95" s="88" t="s">
        <v>80</v>
      </c>
      <c r="E95" s="88" t="s">
        <v>942</v>
      </c>
      <c r="F95" s="88">
        <v>1</v>
      </c>
      <c r="G95" s="88" t="s">
        <v>555</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683</v>
      </c>
      <c r="C96" s="88" t="s">
        <v>238</v>
      </c>
      <c r="D96" s="88" t="s">
        <v>90</v>
      </c>
      <c r="E96" s="88" t="s">
        <v>938</v>
      </c>
      <c r="F96" s="88">
        <v>1</v>
      </c>
      <c r="G96" s="88" t="s">
        <v>555</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683</v>
      </c>
      <c r="C97" s="88" t="s">
        <v>238</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725</v>
      </c>
      <c r="C98" s="88" t="s">
        <v>249</v>
      </c>
      <c r="D98" s="88" t="s">
        <v>35</v>
      </c>
      <c r="E98" s="88" t="s">
        <v>941</v>
      </c>
      <c r="F98" s="88">
        <v>1</v>
      </c>
      <c r="G98" s="88" t="s">
        <v>556</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725</v>
      </c>
      <c r="C99" s="88" t="s">
        <v>249</v>
      </c>
      <c r="D99" s="88" t="s">
        <v>85</v>
      </c>
      <c r="E99" s="88" t="s">
        <v>906</v>
      </c>
      <c r="F99" s="88">
        <v>1</v>
      </c>
      <c r="G99" s="88" t="s">
        <v>556</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725</v>
      </c>
      <c r="C100" s="88" t="s">
        <v>249</v>
      </c>
      <c r="D100" s="88" t="s">
        <v>804</v>
      </c>
      <c r="E100" s="88" t="s">
        <v>907</v>
      </c>
      <c r="F100" s="88">
        <v>1</v>
      </c>
      <c r="G100" s="88" t="s">
        <v>556</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725</v>
      </c>
      <c r="C101" s="88" t="s">
        <v>249</v>
      </c>
      <c r="D101" s="88" t="s">
        <v>805</v>
      </c>
      <c r="E101" s="88" t="s">
        <v>908</v>
      </c>
      <c r="F101" s="88">
        <v>1</v>
      </c>
      <c r="G101" s="88" t="s">
        <v>556</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725</v>
      </c>
      <c r="C102" s="88" t="s">
        <v>249</v>
      </c>
      <c r="D102" s="88" t="s">
        <v>77</v>
      </c>
      <c r="E102" s="88" t="s">
        <v>909</v>
      </c>
      <c r="F102" s="88">
        <v>1</v>
      </c>
      <c r="G102" s="88" t="s">
        <v>556</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725</v>
      </c>
      <c r="C103" s="88" t="s">
        <v>249</v>
      </c>
      <c r="D103" s="88" t="s">
        <v>806</v>
      </c>
      <c r="E103" s="88" t="s">
        <v>910</v>
      </c>
      <c r="F103" s="88">
        <v>1</v>
      </c>
      <c r="G103" s="88" t="s">
        <v>556</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725</v>
      </c>
      <c r="C104" s="88" t="s">
        <v>249</v>
      </c>
      <c r="D104" s="88" t="s">
        <v>80</v>
      </c>
      <c r="E104" s="88" t="s">
        <v>942</v>
      </c>
      <c r="F104" s="88">
        <v>1</v>
      </c>
      <c r="G104" s="88" t="s">
        <v>555</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725</v>
      </c>
      <c r="C105" s="88" t="s">
        <v>249</v>
      </c>
      <c r="D105" s="88" t="s">
        <v>90</v>
      </c>
      <c r="E105" s="88" t="s">
        <v>938</v>
      </c>
      <c r="F105" s="88">
        <v>1</v>
      </c>
      <c r="G105" s="88" t="s">
        <v>555</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725</v>
      </c>
      <c r="C106" s="88" t="s">
        <v>249</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453</v>
      </c>
      <c r="C107" s="88" t="s">
        <v>250</v>
      </c>
      <c r="D107" s="88" t="s">
        <v>35</v>
      </c>
      <c r="E107" s="88" t="s">
        <v>941</v>
      </c>
      <c r="F107" s="88">
        <v>1</v>
      </c>
      <c r="G107" s="88" t="s">
        <v>556</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453</v>
      </c>
      <c r="C108" s="88" t="s">
        <v>250</v>
      </c>
      <c r="D108" s="88" t="s">
        <v>85</v>
      </c>
      <c r="E108" s="88" t="s">
        <v>906</v>
      </c>
      <c r="F108" s="88">
        <v>1</v>
      </c>
      <c r="G108" s="88" t="s">
        <v>556</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453</v>
      </c>
      <c r="C109" s="88" t="s">
        <v>250</v>
      </c>
      <c r="D109" s="88" t="s">
        <v>804</v>
      </c>
      <c r="E109" s="88" t="s">
        <v>907</v>
      </c>
      <c r="F109" s="88">
        <v>1</v>
      </c>
      <c r="G109" s="88" t="s">
        <v>556</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453</v>
      </c>
      <c r="C110" s="88" t="s">
        <v>250</v>
      </c>
      <c r="D110" s="88" t="s">
        <v>805</v>
      </c>
      <c r="E110" s="88" t="s">
        <v>908</v>
      </c>
      <c r="F110" s="88">
        <v>1</v>
      </c>
      <c r="G110" s="88" t="s">
        <v>556</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453</v>
      </c>
      <c r="C111" s="88" t="s">
        <v>250</v>
      </c>
      <c r="D111" s="88" t="s">
        <v>77</v>
      </c>
      <c r="E111" s="88" t="s">
        <v>909</v>
      </c>
      <c r="F111" s="88">
        <v>1</v>
      </c>
      <c r="G111" s="88" t="s">
        <v>556</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453</v>
      </c>
      <c r="C112" s="88" t="s">
        <v>250</v>
      </c>
      <c r="D112" s="88" t="s">
        <v>806</v>
      </c>
      <c r="E112" s="88" t="s">
        <v>910</v>
      </c>
      <c r="F112" s="88">
        <v>1</v>
      </c>
      <c r="G112" s="88" t="s">
        <v>556</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453</v>
      </c>
      <c r="C113" s="88" t="s">
        <v>250</v>
      </c>
      <c r="D113" s="88" t="s">
        <v>80</v>
      </c>
      <c r="E113" s="88" t="s">
        <v>942</v>
      </c>
      <c r="F113" s="88">
        <v>1</v>
      </c>
      <c r="G113" s="88" t="s">
        <v>555</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453</v>
      </c>
      <c r="C114" s="88" t="s">
        <v>250</v>
      </c>
      <c r="D114" s="88" t="s">
        <v>90</v>
      </c>
      <c r="E114" s="88" t="s">
        <v>912</v>
      </c>
      <c r="F114" s="88">
        <v>1</v>
      </c>
      <c r="G114" s="88" t="s">
        <v>555</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453</v>
      </c>
      <c r="C115" s="88" t="s">
        <v>250</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457</v>
      </c>
      <c r="C116" s="88" t="s">
        <v>250</v>
      </c>
      <c r="D116" s="88" t="s">
        <v>35</v>
      </c>
      <c r="E116" s="88" t="s">
        <v>941</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457</v>
      </c>
      <c r="C117" s="88" t="s">
        <v>250</v>
      </c>
      <c r="D117" s="88" t="s">
        <v>85</v>
      </c>
      <c r="E117" s="88" t="s">
        <v>906</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457</v>
      </c>
      <c r="C118" s="88" t="s">
        <v>250</v>
      </c>
      <c r="D118" s="88" t="s">
        <v>804</v>
      </c>
      <c r="E118" s="88" t="s">
        <v>907</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457</v>
      </c>
      <c r="C119" s="88" t="s">
        <v>250</v>
      </c>
      <c r="D119" s="88" t="s">
        <v>805</v>
      </c>
      <c r="E119" s="88" t="s">
        <v>908</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457</v>
      </c>
      <c r="C120" s="88" t="s">
        <v>250</v>
      </c>
      <c r="D120" s="88" t="s">
        <v>77</v>
      </c>
      <c r="E120" s="88" t="s">
        <v>909</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457</v>
      </c>
      <c r="C121" s="88" t="s">
        <v>250</v>
      </c>
      <c r="D121" s="88" t="s">
        <v>806</v>
      </c>
      <c r="E121" s="88" t="s">
        <v>910</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457</v>
      </c>
      <c r="C122" s="88" t="s">
        <v>250</v>
      </c>
      <c r="D122" s="88" t="s">
        <v>80</v>
      </c>
      <c r="E122" s="88" t="s">
        <v>943</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457</v>
      </c>
      <c r="C123" s="88" t="s">
        <v>250</v>
      </c>
      <c r="D123" s="88" t="s">
        <v>90</v>
      </c>
      <c r="E123" s="88" t="s">
        <v>938</v>
      </c>
      <c r="F123" s="88">
        <v>1</v>
      </c>
      <c r="G123" s="88" t="s">
        <v>555</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457</v>
      </c>
      <c r="C124" s="88" t="s">
        <v>250</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442</v>
      </c>
      <c r="C125" s="88" t="s">
        <v>250</v>
      </c>
      <c r="D125" s="88" t="s">
        <v>27</v>
      </c>
      <c r="E125" s="88" t="s">
        <v>940</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443</v>
      </c>
      <c r="C126" s="88" t="s">
        <v>250</v>
      </c>
      <c r="D126" s="88" t="s">
        <v>27</v>
      </c>
      <c r="E126" s="88" t="s">
        <v>940</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446</v>
      </c>
      <c r="C127" s="88" t="s">
        <v>250</v>
      </c>
      <c r="D127" s="88" t="s">
        <v>27</v>
      </c>
      <c r="E127" s="88" t="s">
        <v>940</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447</v>
      </c>
      <c r="C128" s="88" t="s">
        <v>250</v>
      </c>
      <c r="D128" s="88" t="s">
        <v>27</v>
      </c>
      <c r="E128" s="88" t="s">
        <v>940</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446</v>
      </c>
      <c r="C129" s="88" t="s">
        <v>250</v>
      </c>
      <c r="D129" s="88" t="s">
        <v>27</v>
      </c>
      <c r="E129" s="88" t="s">
        <v>940</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679</v>
      </c>
      <c r="C130" s="88" t="s">
        <v>238</v>
      </c>
      <c r="D130" s="88" t="s">
        <v>27</v>
      </c>
      <c r="E130" s="88" t="s">
        <v>940</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727</v>
      </c>
    </row>
    <row r="3" spans="1:8" ht="18.5" x14ac:dyDescent="0.45">
      <c r="A3" s="72" t="s">
        <v>728</v>
      </c>
    </row>
    <row r="5" spans="1:8" ht="18.5" x14ac:dyDescent="0.45">
      <c r="A5" s="72" t="s">
        <v>729</v>
      </c>
    </row>
    <row r="7" spans="1:8" ht="18.5" x14ac:dyDescent="0.45">
      <c r="A7" s="72" t="s">
        <v>730</v>
      </c>
    </row>
    <row r="8" spans="1:8" ht="18.5" x14ac:dyDescent="0.45">
      <c r="A8" s="72"/>
    </row>
    <row r="9" spans="1:8" ht="18.5" x14ac:dyDescent="0.45">
      <c r="A9" s="72" t="s">
        <v>731</v>
      </c>
    </row>
    <row r="10" spans="1:8" ht="18.5" x14ac:dyDescent="0.45">
      <c r="A10" s="72"/>
    </row>
    <row r="11" spans="1:8" ht="18.5" x14ac:dyDescent="0.45">
      <c r="A11" s="72" t="s">
        <v>732</v>
      </c>
    </row>
    <row r="12" spans="1:8" ht="18.5" x14ac:dyDescent="0.45">
      <c r="A12" s="72"/>
    </row>
    <row r="13" spans="1:8" ht="18.5" x14ac:dyDescent="0.45">
      <c r="A13" s="72" t="s">
        <v>733</v>
      </c>
    </row>
    <row r="14" spans="1:8" ht="18.5" x14ac:dyDescent="0.45">
      <c r="A14" s="72"/>
    </row>
    <row r="16" spans="1:8" ht="16" x14ac:dyDescent="0.4">
      <c r="A16" s="81" t="s">
        <v>734</v>
      </c>
      <c r="H16" s="81" t="s">
        <v>735</v>
      </c>
    </row>
    <row r="17" spans="1:12" ht="18.5" x14ac:dyDescent="0.45">
      <c r="A17" s="72"/>
      <c r="H17" s="72"/>
    </row>
    <row r="18" spans="1:12" ht="16" x14ac:dyDescent="0.4">
      <c r="A18" s="307" t="s">
        <v>736</v>
      </c>
      <c r="B18" s="62" t="s">
        <v>484</v>
      </c>
      <c r="C18" s="62" t="s">
        <v>152</v>
      </c>
      <c r="H18" s="307" t="s">
        <v>736</v>
      </c>
      <c r="I18" s="62" t="s">
        <v>484</v>
      </c>
      <c r="J18" s="62" t="s">
        <v>152</v>
      </c>
    </row>
    <row r="19" spans="1:12" x14ac:dyDescent="0.35">
      <c r="A19" s="1" t="s">
        <v>737</v>
      </c>
      <c r="B19" s="96">
        <v>4.5863800000000003E-2</v>
      </c>
      <c r="C19" s="1" t="s">
        <v>738</v>
      </c>
      <c r="H19" s="1" t="s">
        <v>739</v>
      </c>
      <c r="I19" s="96">
        <v>-2.2165834196891199E-5</v>
      </c>
      <c r="J19" s="1" t="s">
        <v>738</v>
      </c>
    </row>
    <row r="20" spans="1:12" x14ac:dyDescent="0.35">
      <c r="A20" s="1" t="s">
        <v>740</v>
      </c>
      <c r="B20" s="96">
        <v>3.1800000000000002E-7</v>
      </c>
      <c r="C20" s="1" t="s">
        <v>741</v>
      </c>
      <c r="H20" s="1" t="s">
        <v>742</v>
      </c>
      <c r="I20" s="96">
        <v>3.6646053999999997E-2</v>
      </c>
      <c r="J20" s="1" t="s">
        <v>738</v>
      </c>
    </row>
    <row r="21" spans="1:12" x14ac:dyDescent="0.35">
      <c r="A21" s="1" t="s">
        <v>743</v>
      </c>
      <c r="B21" s="96">
        <v>3.1800000000000002E-7</v>
      </c>
      <c r="C21" s="1" t="s">
        <v>741</v>
      </c>
      <c r="H21" s="1" t="s">
        <v>744</v>
      </c>
      <c r="I21" s="96">
        <v>3.2000000000000001E-7</v>
      </c>
      <c r="J21" s="1" t="s">
        <v>741</v>
      </c>
    </row>
    <row r="22" spans="1:12" x14ac:dyDescent="0.35">
      <c r="A22" s="1" t="s">
        <v>745</v>
      </c>
      <c r="B22" s="96">
        <v>1.99E-3</v>
      </c>
      <c r="C22" s="1" t="s">
        <v>746</v>
      </c>
      <c r="H22" s="1" t="s">
        <v>747</v>
      </c>
      <c r="I22" s="96">
        <v>3.2000000000000001E-7</v>
      </c>
      <c r="J22" s="1" t="s">
        <v>741</v>
      </c>
    </row>
    <row r="23" spans="1:12" x14ac:dyDescent="0.35">
      <c r="A23" s="1" t="s">
        <v>748</v>
      </c>
      <c r="B23" s="96">
        <v>3.1800000000000002E-7</v>
      </c>
      <c r="C23" s="1" t="s">
        <v>746</v>
      </c>
      <c r="H23" s="1" t="s">
        <v>749</v>
      </c>
      <c r="I23" s="96">
        <v>1.0499999999999999E-3</v>
      </c>
      <c r="J23" s="1" t="s">
        <v>746</v>
      </c>
    </row>
    <row r="24" spans="1:12" x14ac:dyDescent="0.35">
      <c r="H24" s="1" t="s">
        <v>750</v>
      </c>
      <c r="I24" s="96">
        <v>2.2318502041788099E-4</v>
      </c>
      <c r="J24" s="1" t="s">
        <v>746</v>
      </c>
    </row>
    <row r="25" spans="1:12" x14ac:dyDescent="0.35">
      <c r="H25" s="1" t="s">
        <v>751</v>
      </c>
      <c r="I25" s="96">
        <v>-1.9084974093264199E-5</v>
      </c>
      <c r="J25" s="1" t="s">
        <v>738</v>
      </c>
    </row>
    <row r="26" spans="1:12" x14ac:dyDescent="0.35">
      <c r="H26" s="1" t="s">
        <v>752</v>
      </c>
      <c r="I26" s="96">
        <v>-2.1961352331606199E-4</v>
      </c>
      <c r="J26" s="1" t="s">
        <v>738</v>
      </c>
    </row>
    <row r="29" spans="1:12" ht="16" x14ac:dyDescent="0.4">
      <c r="A29" s="307" t="s">
        <v>753</v>
      </c>
      <c r="B29" s="62" t="s">
        <v>484</v>
      </c>
      <c r="C29" s="62" t="s">
        <v>152</v>
      </c>
      <c r="D29" s="62" t="s">
        <v>754</v>
      </c>
      <c r="E29" s="62" t="s">
        <v>755</v>
      </c>
      <c r="H29" s="307" t="s">
        <v>753</v>
      </c>
      <c r="I29" s="62" t="s">
        <v>484</v>
      </c>
      <c r="J29" s="62" t="s">
        <v>152</v>
      </c>
      <c r="K29" s="62" t="s">
        <v>754</v>
      </c>
      <c r="L29" s="62" t="s">
        <v>755</v>
      </c>
    </row>
    <row r="30" spans="1:12" x14ac:dyDescent="0.35">
      <c r="A30" s="1" t="s">
        <v>756</v>
      </c>
      <c r="B30" s="96">
        <v>3.9387999999999998E-7</v>
      </c>
      <c r="C30" s="1" t="s">
        <v>738</v>
      </c>
      <c r="D30" s="1" t="s">
        <v>757</v>
      </c>
      <c r="E30" s="154">
        <f>B30/$B$19</f>
        <v>8.5880367522970181E-6</v>
      </c>
      <c r="H30" s="1" t="s">
        <v>758</v>
      </c>
      <c r="I30" s="96">
        <v>1.50635E-7</v>
      </c>
      <c r="J30" s="1" t="s">
        <v>738</v>
      </c>
      <c r="K30" s="1" t="s">
        <v>757</v>
      </c>
      <c r="L30" s="154">
        <f>I30/$I$20</f>
        <v>4.1105380677548529E-6</v>
      </c>
    </row>
    <row r="31" spans="1:12" x14ac:dyDescent="0.35">
      <c r="A31" s="1" t="s">
        <v>759</v>
      </c>
      <c r="B31" s="96">
        <v>8.6000000000000002E-7</v>
      </c>
      <c r="C31" s="1" t="s">
        <v>738</v>
      </c>
      <c r="D31" s="1" t="s">
        <v>757</v>
      </c>
      <c r="E31" s="154">
        <f t="shared" ref="E31:E62" si="0">B31/$B$19</f>
        <v>1.8751171948246766E-5</v>
      </c>
      <c r="H31" s="1" t="s">
        <v>760</v>
      </c>
      <c r="I31" s="96">
        <v>5.8342299999999997E-8</v>
      </c>
      <c r="J31" s="1" t="s">
        <v>738</v>
      </c>
      <c r="K31" s="1" t="s">
        <v>757</v>
      </c>
      <c r="L31" s="154">
        <f t="shared" ref="L31:L63" si="1">I31/$I$20</f>
        <v>1.5920486282097385E-6</v>
      </c>
    </row>
    <row r="32" spans="1:12" x14ac:dyDescent="0.35">
      <c r="A32" s="1" t="s">
        <v>761</v>
      </c>
      <c r="B32" s="96">
        <v>2.002424E-7</v>
      </c>
      <c r="C32" s="1" t="s">
        <v>738</v>
      </c>
      <c r="D32" s="1" t="s">
        <v>757</v>
      </c>
      <c r="E32" s="154">
        <f t="shared" si="0"/>
        <v>4.3660228764297767E-6</v>
      </c>
      <c r="H32" s="1" t="s">
        <v>759</v>
      </c>
      <c r="I32" s="96">
        <v>5.1845699999999997E-7</v>
      </c>
      <c r="J32" s="1" t="s">
        <v>738</v>
      </c>
      <c r="K32" s="1" t="s">
        <v>757</v>
      </c>
      <c r="L32" s="154">
        <f t="shared" si="1"/>
        <v>1.4147689680313194E-5</v>
      </c>
    </row>
    <row r="33" spans="1:12" x14ac:dyDescent="0.35">
      <c r="A33" s="1" t="s">
        <v>762</v>
      </c>
      <c r="B33" s="96">
        <v>7.2411999999999998E-10</v>
      </c>
      <c r="C33" s="1" t="s">
        <v>738</v>
      </c>
      <c r="D33" s="1" t="s">
        <v>757</v>
      </c>
      <c r="E33" s="154">
        <f t="shared" si="0"/>
        <v>1.5788486780423773E-8</v>
      </c>
      <c r="H33" s="1" t="s">
        <v>763</v>
      </c>
      <c r="I33" s="96">
        <v>3.6646099999999997E-12</v>
      </c>
      <c r="J33" s="1" t="s">
        <v>738</v>
      </c>
      <c r="K33" s="1" t="s">
        <v>757</v>
      </c>
      <c r="L33" s="154">
        <f t="shared" si="1"/>
        <v>1.0000012552511111E-10</v>
      </c>
    </row>
    <row r="34" spans="1:12" x14ac:dyDescent="0.35">
      <c r="A34" s="1" t="s">
        <v>764</v>
      </c>
      <c r="B34" s="96">
        <v>6.8270240000000001E-3</v>
      </c>
      <c r="C34" s="1" t="s">
        <v>738</v>
      </c>
      <c r="D34" s="1" t="s">
        <v>757</v>
      </c>
      <c r="E34" s="154">
        <f t="shared" si="0"/>
        <v>0.14885430339396211</v>
      </c>
      <c r="H34" s="1" t="s">
        <v>765</v>
      </c>
      <c r="I34" s="96">
        <v>4.5157599999999998E-8</v>
      </c>
      <c r="J34" s="1" t="s">
        <v>738</v>
      </c>
      <c r="K34" s="1" t="s">
        <v>757</v>
      </c>
      <c r="L34" s="154">
        <f t="shared" si="1"/>
        <v>1.2322636429013613E-6</v>
      </c>
    </row>
    <row r="35" spans="1:12" x14ac:dyDescent="0.35">
      <c r="A35" s="1" t="s">
        <v>766</v>
      </c>
      <c r="B35" s="96">
        <v>0.12288712</v>
      </c>
      <c r="C35" s="1" t="s">
        <v>738</v>
      </c>
      <c r="D35" s="1" t="s">
        <v>757</v>
      </c>
      <c r="E35" s="154">
        <f t="shared" si="0"/>
        <v>2.6793924620288765</v>
      </c>
      <c r="H35" s="1" t="s">
        <v>761</v>
      </c>
      <c r="I35" s="96">
        <v>2.3073199999999998E-9</v>
      </c>
      <c r="J35" s="1" t="s">
        <v>738</v>
      </c>
      <c r="K35" s="1" t="s">
        <v>757</v>
      </c>
      <c r="L35" s="154">
        <f t="shared" si="1"/>
        <v>6.2962304208796939E-8</v>
      </c>
    </row>
    <row r="36" spans="1:12" x14ac:dyDescent="0.35">
      <c r="A36" s="1" t="s">
        <v>767</v>
      </c>
      <c r="B36" s="96">
        <v>8.5886480000000007E-6</v>
      </c>
      <c r="C36" s="1" t="s">
        <v>738</v>
      </c>
      <c r="D36" s="1" t="s">
        <v>757</v>
      </c>
      <c r="E36" s="154">
        <f t="shared" si="0"/>
        <v>1.8726420401275079E-4</v>
      </c>
      <c r="H36" s="1" t="s">
        <v>768</v>
      </c>
      <c r="I36" s="96">
        <v>4.9442599999999996E-9</v>
      </c>
      <c r="J36" s="1" t="s">
        <v>738</v>
      </c>
      <c r="K36" s="1" t="s">
        <v>757</v>
      </c>
      <c r="L36" s="154">
        <f t="shared" si="1"/>
        <v>1.3491930127047239E-7</v>
      </c>
    </row>
    <row r="37" spans="1:12" x14ac:dyDescent="0.35">
      <c r="A37" s="1" t="s">
        <v>769</v>
      </c>
      <c r="B37" s="96">
        <v>1.5459531999999999E-4</v>
      </c>
      <c r="C37" s="1" t="s">
        <v>738</v>
      </c>
      <c r="D37" s="1" t="s">
        <v>757</v>
      </c>
      <c r="E37" s="154">
        <f t="shared" si="0"/>
        <v>3.3707481717607343E-3</v>
      </c>
      <c r="H37" s="1" t="s">
        <v>762</v>
      </c>
      <c r="I37" s="96">
        <v>3.18821E-10</v>
      </c>
      <c r="J37" s="1" t="s">
        <v>738</v>
      </c>
      <c r="K37" s="1" t="s">
        <v>757</v>
      </c>
      <c r="L37" s="154">
        <f t="shared" si="1"/>
        <v>8.7000090105199322E-9</v>
      </c>
    </row>
    <row r="38" spans="1:12" x14ac:dyDescent="0.35">
      <c r="A38" s="1" t="s">
        <v>770</v>
      </c>
      <c r="B38" s="96">
        <v>6.5188000000000003E-9</v>
      </c>
      <c r="C38" s="1" t="s">
        <v>738</v>
      </c>
      <c r="D38" s="1" t="s">
        <v>757</v>
      </c>
      <c r="E38" s="154">
        <f t="shared" si="0"/>
        <v>1.4213388336771047E-7</v>
      </c>
      <c r="H38" s="1" t="s">
        <v>764</v>
      </c>
      <c r="I38" s="96">
        <v>0.114797235</v>
      </c>
      <c r="J38" s="1" t="s">
        <v>738</v>
      </c>
      <c r="K38" s="1" t="s">
        <v>757</v>
      </c>
      <c r="L38" s="154">
        <f t="shared" si="1"/>
        <v>3.1325947126531006</v>
      </c>
    </row>
    <row r="39" spans="1:12" x14ac:dyDescent="0.35">
      <c r="A39" s="1" t="s">
        <v>771</v>
      </c>
      <c r="B39" s="96">
        <v>1.0853200000000001E-8</v>
      </c>
      <c r="C39" s="1" t="s">
        <v>738</v>
      </c>
      <c r="D39" s="1" t="s">
        <v>757</v>
      </c>
      <c r="E39" s="154">
        <f t="shared" si="0"/>
        <v>2.3663978998687418E-7</v>
      </c>
      <c r="H39" s="1" t="s">
        <v>767</v>
      </c>
      <c r="I39" s="96">
        <v>1.12649E-4</v>
      </c>
      <c r="J39" s="1" t="s">
        <v>738</v>
      </c>
      <c r="K39" s="1" t="s">
        <v>757</v>
      </c>
      <c r="L39" s="154">
        <f t="shared" si="1"/>
        <v>3.0739735306835494E-3</v>
      </c>
    </row>
    <row r="40" spans="1:12" x14ac:dyDescent="0.35">
      <c r="A40" s="1" t="s">
        <v>772</v>
      </c>
      <c r="B40" s="96">
        <v>1.2106220000000001E-6</v>
      </c>
      <c r="C40" s="1" t="s">
        <v>738</v>
      </c>
      <c r="D40" s="1" t="s">
        <v>757</v>
      </c>
      <c r="E40" s="154">
        <f t="shared" si="0"/>
        <v>2.6396024751546972E-5</v>
      </c>
      <c r="H40" s="1" t="s">
        <v>770</v>
      </c>
      <c r="I40" s="96">
        <v>1.09938E-9</v>
      </c>
      <c r="J40" s="1" t="s">
        <v>738</v>
      </c>
      <c r="K40" s="1" t="s">
        <v>757</v>
      </c>
      <c r="L40" s="154">
        <f t="shared" si="1"/>
        <v>2.9999955793330436E-8</v>
      </c>
    </row>
    <row r="41" spans="1:12" x14ac:dyDescent="0.35">
      <c r="A41" s="1" t="s">
        <v>773</v>
      </c>
      <c r="B41" s="96">
        <v>3.6119999999999999E-9</v>
      </c>
      <c r="C41" s="1" t="s">
        <v>738</v>
      </c>
      <c r="D41" s="1" t="s">
        <v>757</v>
      </c>
      <c r="E41" s="154">
        <f t="shared" si="0"/>
        <v>7.8754922182636411E-8</v>
      </c>
      <c r="H41" s="1" t="s">
        <v>774</v>
      </c>
      <c r="I41" s="96">
        <v>2.1987599999999998E-12</v>
      </c>
      <c r="J41" s="1" t="s">
        <v>738</v>
      </c>
      <c r="K41" s="1" t="s">
        <v>757</v>
      </c>
      <c r="L41" s="154">
        <f t="shared" si="1"/>
        <v>5.9999911586660873E-11</v>
      </c>
    </row>
    <row r="42" spans="1:12" x14ac:dyDescent="0.35">
      <c r="A42" s="1" t="s">
        <v>775</v>
      </c>
      <c r="B42" s="96">
        <v>3.64554E-8</v>
      </c>
      <c r="C42" s="1" t="s">
        <v>738</v>
      </c>
      <c r="D42" s="1" t="s">
        <v>757</v>
      </c>
      <c r="E42" s="154">
        <f t="shared" si="0"/>
        <v>7.9486217888618029E-7</v>
      </c>
      <c r="H42" s="1" t="s">
        <v>771</v>
      </c>
      <c r="I42" s="96">
        <v>7.7689600000000004E-10</v>
      </c>
      <c r="J42" s="1" t="s">
        <v>738</v>
      </c>
      <c r="K42" s="1" t="s">
        <v>757</v>
      </c>
      <c r="L42" s="154">
        <f t="shared" si="1"/>
        <v>2.1199990591074283E-8</v>
      </c>
    </row>
    <row r="43" spans="1:12" x14ac:dyDescent="0.35">
      <c r="A43" s="1" t="s">
        <v>776</v>
      </c>
      <c r="B43" s="96">
        <v>6.5619719999999997E-7</v>
      </c>
      <c r="C43" s="1" t="s">
        <v>738</v>
      </c>
      <c r="D43" s="1" t="s">
        <v>757</v>
      </c>
      <c r="E43" s="154">
        <f t="shared" si="0"/>
        <v>1.4307519219951244E-5</v>
      </c>
      <c r="H43" s="1" t="s">
        <v>772</v>
      </c>
      <c r="I43" s="96">
        <v>6.1386900000000003E-6</v>
      </c>
      <c r="J43" s="1" t="s">
        <v>738</v>
      </c>
      <c r="K43" s="1" t="s">
        <v>757</v>
      </c>
      <c r="L43" s="154">
        <f t="shared" si="1"/>
        <v>1.6751298789222983E-4</v>
      </c>
    </row>
    <row r="44" spans="1:12" x14ac:dyDescent="0.35">
      <c r="A44" s="1" t="s">
        <v>777</v>
      </c>
      <c r="B44" s="96">
        <v>2.7980959999999999E-5</v>
      </c>
      <c r="C44" s="1" t="s">
        <v>738</v>
      </c>
      <c r="D44" s="1" t="s">
        <v>757</v>
      </c>
      <c r="E44" s="154">
        <f t="shared" si="0"/>
        <v>6.1008813050815675E-4</v>
      </c>
      <c r="H44" s="1" t="s">
        <v>778</v>
      </c>
      <c r="I44" s="96">
        <v>9.8885199999999997E-10</v>
      </c>
      <c r="J44" s="1" t="s">
        <v>738</v>
      </c>
      <c r="K44" s="1" t="s">
        <v>757</v>
      </c>
      <c r="L44" s="154">
        <f t="shared" si="1"/>
        <v>2.6983860254094479E-8</v>
      </c>
    </row>
    <row r="45" spans="1:12" x14ac:dyDescent="0.35">
      <c r="A45" s="1" t="s">
        <v>779</v>
      </c>
      <c r="B45" s="96">
        <v>5.7964000000000004E-9</v>
      </c>
      <c r="C45" s="1" t="s">
        <v>738</v>
      </c>
      <c r="D45" s="1" t="s">
        <v>757</v>
      </c>
      <c r="E45" s="154">
        <f t="shared" si="0"/>
        <v>1.2638289893118321E-7</v>
      </c>
      <c r="H45" s="1" t="s">
        <v>780</v>
      </c>
      <c r="I45" s="96">
        <v>2.76879E-7</v>
      </c>
      <c r="J45" s="1" t="s">
        <v>738</v>
      </c>
      <c r="K45" s="1" t="s">
        <v>757</v>
      </c>
      <c r="L45" s="154">
        <f t="shared" si="1"/>
        <v>7.5554928778962128E-6</v>
      </c>
    </row>
    <row r="46" spans="1:12" x14ac:dyDescent="0.35">
      <c r="A46" s="1" t="s">
        <v>781</v>
      </c>
      <c r="B46" s="96">
        <v>1.2026928000000001E-3</v>
      </c>
      <c r="C46" s="1" t="s">
        <v>738</v>
      </c>
      <c r="D46" s="1" t="s">
        <v>757</v>
      </c>
      <c r="E46" s="154">
        <f t="shared" si="0"/>
        <v>2.6223138946184135E-2</v>
      </c>
      <c r="H46" s="1" t="s">
        <v>782</v>
      </c>
      <c r="I46" s="96">
        <v>9.8885199999999993E-9</v>
      </c>
      <c r="J46" s="1" t="s">
        <v>738</v>
      </c>
      <c r="K46" s="1" t="s">
        <v>757</v>
      </c>
      <c r="L46" s="154">
        <f t="shared" si="1"/>
        <v>2.6983860254094478E-7</v>
      </c>
    </row>
    <row r="47" spans="1:12" x14ac:dyDescent="0.35">
      <c r="A47" s="1" t="s">
        <v>783</v>
      </c>
      <c r="B47" s="96">
        <v>2.3039399999999998E-5</v>
      </c>
      <c r="C47" s="1" t="s">
        <v>738</v>
      </c>
      <c r="D47" s="1" t="s">
        <v>757</v>
      </c>
      <c r="E47" s="154">
        <f t="shared" si="0"/>
        <v>5.0234389649353082E-4</v>
      </c>
      <c r="H47" s="1" t="s">
        <v>773</v>
      </c>
      <c r="I47" s="96">
        <v>1.9092600000000001E-9</v>
      </c>
      <c r="J47" s="1" t="s">
        <v>738</v>
      </c>
      <c r="K47" s="1" t="s">
        <v>757</v>
      </c>
      <c r="L47" s="154">
        <f t="shared" si="1"/>
        <v>5.2100016007180479E-8</v>
      </c>
    </row>
    <row r="48" spans="1:12" x14ac:dyDescent="0.35">
      <c r="A48" s="1" t="s">
        <v>784</v>
      </c>
      <c r="B48" s="96">
        <v>7.3607400000000003E-5</v>
      </c>
      <c r="C48" s="1" t="s">
        <v>738</v>
      </c>
      <c r="D48" s="1" t="s">
        <v>757</v>
      </c>
      <c r="E48" s="154">
        <f t="shared" si="0"/>
        <v>1.6049128070504406E-3</v>
      </c>
      <c r="H48" s="1" t="s">
        <v>785</v>
      </c>
      <c r="I48" s="96">
        <v>1.9422400000000001E-10</v>
      </c>
      <c r="J48" s="1" t="s">
        <v>738</v>
      </c>
      <c r="K48" s="1" t="s">
        <v>757</v>
      </c>
      <c r="L48" s="154">
        <f t="shared" si="1"/>
        <v>5.2999976477685707E-9</v>
      </c>
    </row>
    <row r="49" spans="1:12" x14ac:dyDescent="0.35">
      <c r="A49" s="1" t="s">
        <v>786</v>
      </c>
      <c r="B49" s="96">
        <v>1.3669184000000001E-5</v>
      </c>
      <c r="C49" s="1" t="s">
        <v>738</v>
      </c>
      <c r="D49" s="1" t="s">
        <v>757</v>
      </c>
      <c r="E49" s="154">
        <f t="shared" si="0"/>
        <v>2.9803862741421339E-4</v>
      </c>
      <c r="H49" s="1" t="s">
        <v>775</v>
      </c>
      <c r="I49" s="96">
        <v>8.1053500000000005E-8</v>
      </c>
      <c r="J49" s="1" t="s">
        <v>738</v>
      </c>
      <c r="K49" s="1" t="s">
        <v>757</v>
      </c>
      <c r="L49" s="154">
        <f t="shared" si="1"/>
        <v>2.2117933898149035E-6</v>
      </c>
    </row>
    <row r="50" spans="1:12" x14ac:dyDescent="0.35">
      <c r="A50" s="1" t="s">
        <v>787</v>
      </c>
      <c r="B50" s="96">
        <v>5.8136000000000001E-7</v>
      </c>
      <c r="C50" s="1" t="s">
        <v>738</v>
      </c>
      <c r="D50" s="1" t="s">
        <v>757</v>
      </c>
      <c r="E50" s="154">
        <f t="shared" si="0"/>
        <v>1.2675792237014812E-5</v>
      </c>
      <c r="H50" s="1" t="s">
        <v>777</v>
      </c>
      <c r="I50" s="96">
        <v>2.6774800000000001E-6</v>
      </c>
      <c r="J50" s="1" t="s">
        <v>738</v>
      </c>
      <c r="K50" s="1" t="s">
        <v>757</v>
      </c>
      <c r="L50" s="154">
        <f t="shared" si="1"/>
        <v>7.3063255323479036E-5</v>
      </c>
    </row>
    <row r="51" spans="1:12" x14ac:dyDescent="0.35">
      <c r="A51" s="1" t="s">
        <v>762</v>
      </c>
      <c r="B51" s="96">
        <v>1.7888000000000001E-9</v>
      </c>
      <c r="C51" s="1" t="s">
        <v>738</v>
      </c>
      <c r="D51" s="1" t="s">
        <v>788</v>
      </c>
      <c r="E51" s="154">
        <f t="shared" si="0"/>
        <v>3.9002437652353268E-8</v>
      </c>
      <c r="H51" s="1" t="s">
        <v>779</v>
      </c>
      <c r="I51" s="96">
        <v>3.22485E-10</v>
      </c>
      <c r="J51" s="1" t="s">
        <v>738</v>
      </c>
      <c r="K51" s="1" t="s">
        <v>757</v>
      </c>
      <c r="L51" s="154">
        <f t="shared" si="1"/>
        <v>8.7999924903237887E-9</v>
      </c>
    </row>
    <row r="52" spans="1:12" x14ac:dyDescent="0.35">
      <c r="A52" s="1" t="s">
        <v>770</v>
      </c>
      <c r="B52" s="96">
        <v>1.6099200000000002E-8</v>
      </c>
      <c r="C52" s="1" t="s">
        <v>738</v>
      </c>
      <c r="D52" s="1" t="s">
        <v>788</v>
      </c>
      <c r="E52" s="154">
        <f t="shared" si="0"/>
        <v>3.5102193887117944E-7</v>
      </c>
      <c r="H52" s="1" t="s">
        <v>781</v>
      </c>
      <c r="I52" s="96">
        <v>5.2243200000000002E-5</v>
      </c>
      <c r="J52" s="1" t="s">
        <v>738</v>
      </c>
      <c r="K52" s="1" t="s">
        <v>757</v>
      </c>
      <c r="L52" s="154">
        <f t="shared" si="1"/>
        <v>1.425615974915062E-3</v>
      </c>
    </row>
    <row r="53" spans="1:12" x14ac:dyDescent="0.35">
      <c r="A53" s="1" t="s">
        <v>771</v>
      </c>
      <c r="B53" s="96">
        <v>2.6832000000000002E-8</v>
      </c>
      <c r="C53" s="1" t="s">
        <v>738</v>
      </c>
      <c r="D53" s="1" t="s">
        <v>788</v>
      </c>
      <c r="E53" s="154">
        <f t="shared" si="0"/>
        <v>5.8503656478529905E-7</v>
      </c>
      <c r="H53" s="1" t="s">
        <v>789</v>
      </c>
      <c r="I53" s="96">
        <v>2.8657199999999999E-9</v>
      </c>
      <c r="J53" s="1" t="s">
        <v>738</v>
      </c>
      <c r="K53" s="1" t="s">
        <v>757</v>
      </c>
      <c r="L53" s="154">
        <f t="shared" si="1"/>
        <v>7.8199961174537375E-8</v>
      </c>
    </row>
    <row r="54" spans="1:12" x14ac:dyDescent="0.35">
      <c r="A54" s="1" t="s">
        <v>773</v>
      </c>
      <c r="B54" s="96">
        <v>8.9440000000000005E-9</v>
      </c>
      <c r="C54" s="1" t="s">
        <v>738</v>
      </c>
      <c r="D54" s="1" t="s">
        <v>788</v>
      </c>
      <c r="E54" s="154">
        <f t="shared" si="0"/>
        <v>1.9501218826176637E-7</v>
      </c>
      <c r="H54" s="1" t="s">
        <v>783</v>
      </c>
      <c r="I54" s="96">
        <v>4.9409999999999996E-7</v>
      </c>
      <c r="J54" s="1" t="s">
        <v>738</v>
      </c>
      <c r="K54" s="1" t="s">
        <v>757</v>
      </c>
      <c r="L54" s="154">
        <f t="shared" si="1"/>
        <v>1.348303421699919E-5</v>
      </c>
    </row>
    <row r="55" spans="1:12" x14ac:dyDescent="0.35">
      <c r="A55" s="1" t="s">
        <v>779</v>
      </c>
      <c r="B55" s="96">
        <v>1.4310400000000001E-8</v>
      </c>
      <c r="C55" s="1" t="s">
        <v>738</v>
      </c>
      <c r="D55" s="1" t="s">
        <v>788</v>
      </c>
      <c r="E55" s="154">
        <f t="shared" si="0"/>
        <v>3.1201950121882614E-7</v>
      </c>
      <c r="H55" s="1" t="s">
        <v>790</v>
      </c>
      <c r="I55" s="96">
        <v>1.9776999999999999E-9</v>
      </c>
      <c r="J55" s="1" t="s">
        <v>738</v>
      </c>
      <c r="K55" s="1" t="s">
        <v>757</v>
      </c>
      <c r="L55" s="154">
        <f t="shared" si="1"/>
        <v>5.3967611355918429E-8</v>
      </c>
    </row>
    <row r="56" spans="1:12" x14ac:dyDescent="0.35">
      <c r="A56" s="1" t="s">
        <v>787</v>
      </c>
      <c r="B56" s="96">
        <v>1.4361999999999999E-6</v>
      </c>
      <c r="C56" s="1" t="s">
        <v>738</v>
      </c>
      <c r="D56" s="1" t="s">
        <v>788</v>
      </c>
      <c r="E56" s="154">
        <f t="shared" si="0"/>
        <v>3.1314457153572097E-5</v>
      </c>
      <c r="H56" s="1" t="s">
        <v>791</v>
      </c>
      <c r="I56" s="96">
        <v>3.2961699999999998E-9</v>
      </c>
      <c r="J56" s="1" t="s">
        <v>738</v>
      </c>
      <c r="K56" s="1" t="s">
        <v>757</v>
      </c>
      <c r="L56" s="154">
        <f t="shared" si="1"/>
        <v>8.9946109886756161E-8</v>
      </c>
    </row>
    <row r="57" spans="1:12" x14ac:dyDescent="0.35">
      <c r="A57" s="1" t="s">
        <v>762</v>
      </c>
      <c r="B57" s="96">
        <v>1.7888000000000001E-9</v>
      </c>
      <c r="C57" s="1" t="s">
        <v>738</v>
      </c>
      <c r="D57" s="1" t="s">
        <v>792</v>
      </c>
      <c r="E57" s="154">
        <f t="shared" si="0"/>
        <v>3.9002437652353268E-8</v>
      </c>
      <c r="H57" s="1" t="s">
        <v>793</v>
      </c>
      <c r="I57" s="96">
        <v>3.6646099999999997E-12</v>
      </c>
      <c r="J57" s="1" t="s">
        <v>738</v>
      </c>
      <c r="K57" s="1" t="s">
        <v>757</v>
      </c>
      <c r="L57" s="154">
        <f t="shared" si="1"/>
        <v>1.0000012552511111E-10</v>
      </c>
    </row>
    <row r="58" spans="1:12" x14ac:dyDescent="0.35">
      <c r="A58" s="1" t="s">
        <v>770</v>
      </c>
      <c r="B58" s="96">
        <v>1.6099200000000002E-8</v>
      </c>
      <c r="C58" s="1" t="s">
        <v>738</v>
      </c>
      <c r="D58" s="1" t="s">
        <v>792</v>
      </c>
      <c r="E58" s="154">
        <f t="shared" si="0"/>
        <v>3.5102193887117944E-7</v>
      </c>
      <c r="H58" s="1" t="s">
        <v>794</v>
      </c>
      <c r="I58" s="96">
        <v>1.8458600000000002E-8</v>
      </c>
      <c r="J58" s="1" t="s">
        <v>738</v>
      </c>
      <c r="K58" s="1" t="s">
        <v>757</v>
      </c>
      <c r="L58" s="154">
        <f t="shared" si="1"/>
        <v>5.0369952519308086E-7</v>
      </c>
    </row>
    <row r="59" spans="1:12" x14ac:dyDescent="0.35">
      <c r="A59" s="1" t="s">
        <v>771</v>
      </c>
      <c r="B59" s="96">
        <v>2.6832000000000002E-8</v>
      </c>
      <c r="C59" s="1" t="s">
        <v>738</v>
      </c>
      <c r="D59" s="1" t="s">
        <v>792</v>
      </c>
      <c r="E59" s="154">
        <f t="shared" si="0"/>
        <v>5.8503656478529905E-7</v>
      </c>
      <c r="H59" s="1" t="s">
        <v>795</v>
      </c>
      <c r="I59" s="96">
        <v>5.6666799999999998E-7</v>
      </c>
      <c r="J59" s="1" t="s">
        <v>738</v>
      </c>
      <c r="K59" s="1" t="s">
        <v>757</v>
      </c>
      <c r="L59" s="154">
        <f t="shared" si="1"/>
        <v>1.5463274708922277E-5</v>
      </c>
    </row>
    <row r="60" spans="1:12" x14ac:dyDescent="0.35">
      <c r="A60" s="1" t="s">
        <v>773</v>
      </c>
      <c r="B60" s="96">
        <v>8.9440000000000005E-9</v>
      </c>
      <c r="C60" s="1" t="s">
        <v>738</v>
      </c>
      <c r="D60" s="1" t="s">
        <v>792</v>
      </c>
      <c r="E60" s="154">
        <f t="shared" si="0"/>
        <v>1.9501218826176637E-7</v>
      </c>
      <c r="H60" s="1" t="s">
        <v>796</v>
      </c>
      <c r="I60" s="96">
        <v>3.2961700000000002E-10</v>
      </c>
      <c r="J60" s="1" t="s">
        <v>738</v>
      </c>
      <c r="K60" s="1" t="s">
        <v>757</v>
      </c>
      <c r="L60" s="154">
        <f t="shared" si="1"/>
        <v>8.9946109886756167E-9</v>
      </c>
    </row>
    <row r="61" spans="1:12" x14ac:dyDescent="0.35">
      <c r="A61" s="1" t="s">
        <v>779</v>
      </c>
      <c r="B61" s="96">
        <v>1.4310400000000001E-8</v>
      </c>
      <c r="C61" s="1" t="s">
        <v>738</v>
      </c>
      <c r="D61" s="1" t="s">
        <v>792</v>
      </c>
      <c r="E61" s="154">
        <f t="shared" si="0"/>
        <v>3.1201950121882614E-7</v>
      </c>
      <c r="H61" s="1" t="s">
        <v>787</v>
      </c>
      <c r="I61" s="96">
        <v>6.36908E-8</v>
      </c>
      <c r="J61" s="1" t="s">
        <v>738</v>
      </c>
      <c r="K61" s="1" t="s">
        <v>757</v>
      </c>
      <c r="L61" s="154">
        <f t="shared" si="1"/>
        <v>1.7379988579397935E-6</v>
      </c>
    </row>
    <row r="62" spans="1:12" x14ac:dyDescent="0.35">
      <c r="A62" s="1" t="s">
        <v>787</v>
      </c>
      <c r="B62" s="96">
        <v>1.4361999999999999E-6</v>
      </c>
      <c r="C62" s="1" t="s">
        <v>738</v>
      </c>
      <c r="D62" s="1" t="s">
        <v>792</v>
      </c>
      <c r="E62" s="154">
        <f t="shared" si="0"/>
        <v>3.1314457153572097E-5</v>
      </c>
      <c r="H62" s="1" t="s">
        <v>797</v>
      </c>
      <c r="I62" s="96">
        <v>3.2302500000000001E-8</v>
      </c>
      <c r="J62" s="1" t="s">
        <v>738</v>
      </c>
      <c r="K62" s="1" t="s">
        <v>757</v>
      </c>
      <c r="L62" s="154">
        <f t="shared" si="1"/>
        <v>8.8147280468450995E-7</v>
      </c>
    </row>
    <row r="63" spans="1:12" x14ac:dyDescent="0.35">
      <c r="H63" s="1" t="s">
        <v>798</v>
      </c>
      <c r="I63" s="96">
        <v>1.3184700000000001E-8</v>
      </c>
      <c r="J63" s="1" t="s">
        <v>738</v>
      </c>
      <c r="K63" s="1" t="s">
        <v>757</v>
      </c>
      <c r="L63" s="154">
        <f t="shared" si="1"/>
        <v>3.5978498530837731E-7</v>
      </c>
    </row>
    <row r="64" spans="1:12" x14ac:dyDescent="0.35">
      <c r="A64" s="11"/>
    </row>
    <row r="66" spans="1:23" ht="72.5" x14ac:dyDescent="0.35">
      <c r="A66" s="104" t="s">
        <v>449</v>
      </c>
      <c r="B66" s="102" t="s">
        <v>799</v>
      </c>
      <c r="C66" s="302" t="s">
        <v>484</v>
      </c>
      <c r="D66" s="302" t="s">
        <v>152</v>
      </c>
      <c r="E66" s="302" t="s">
        <v>277</v>
      </c>
      <c r="F66" s="302" t="s">
        <v>278</v>
      </c>
      <c r="G66" s="302" t="s">
        <v>279</v>
      </c>
      <c r="H66" s="302" t="s">
        <v>280</v>
      </c>
      <c r="I66" s="302" t="s">
        <v>281</v>
      </c>
      <c r="J66" s="302" t="s">
        <v>282</v>
      </c>
      <c r="K66" s="302" t="s">
        <v>283</v>
      </c>
      <c r="L66" s="302" t="s">
        <v>284</v>
      </c>
      <c r="M66" s="302" t="s">
        <v>285</v>
      </c>
      <c r="N66" s="302" t="s">
        <v>286</v>
      </c>
      <c r="O66" s="302" t="s">
        <v>287</v>
      </c>
      <c r="P66" s="302" t="s">
        <v>288</v>
      </c>
      <c r="Q66" s="302" t="s">
        <v>289</v>
      </c>
      <c r="R66" s="302" t="s">
        <v>290</v>
      </c>
      <c r="S66" s="302" t="s">
        <v>291</v>
      </c>
      <c r="T66" s="302" t="s">
        <v>292</v>
      </c>
      <c r="U66" s="302" t="s">
        <v>293</v>
      </c>
      <c r="V66" s="302" t="s">
        <v>294</v>
      </c>
      <c r="W66" s="302" t="s">
        <v>295</v>
      </c>
    </row>
    <row r="67" spans="1:23" x14ac:dyDescent="0.35">
      <c r="A67" s="1" t="s">
        <v>800</v>
      </c>
      <c r="B67" s="7"/>
      <c r="C67" s="1">
        <v>1</v>
      </c>
      <c r="D67" s="141" t="s">
        <v>556</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801</v>
      </c>
      <c r="B68" s="7"/>
      <c r="C68" s="1">
        <v>1</v>
      </c>
      <c r="D68" s="141" t="s">
        <v>556</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802</v>
      </c>
      <c r="B69" s="1"/>
      <c r="C69" s="1">
        <v>1</v>
      </c>
      <c r="D69" s="1" t="s">
        <v>555</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803</v>
      </c>
      <c r="B70" s="1"/>
      <c r="C70" s="1">
        <v>1</v>
      </c>
      <c r="D70" s="1" t="s">
        <v>555</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449</v>
      </c>
      <c r="B73" s="102" t="s">
        <v>799</v>
      </c>
      <c r="C73" s="302" t="s">
        <v>484</v>
      </c>
      <c r="D73" s="302" t="s">
        <v>152</v>
      </c>
      <c r="E73" s="302" t="s">
        <v>277</v>
      </c>
      <c r="F73" s="302" t="s">
        <v>278</v>
      </c>
      <c r="G73" s="302" t="s">
        <v>279</v>
      </c>
      <c r="H73" s="302" t="s">
        <v>280</v>
      </c>
      <c r="I73" s="302" t="s">
        <v>281</v>
      </c>
      <c r="J73" s="302" t="s">
        <v>282</v>
      </c>
      <c r="K73" s="302" t="s">
        <v>283</v>
      </c>
      <c r="L73" s="302" t="s">
        <v>284</v>
      </c>
      <c r="M73" s="302" t="s">
        <v>285</v>
      </c>
      <c r="N73" s="302" t="s">
        <v>286</v>
      </c>
      <c r="O73" s="302" t="s">
        <v>287</v>
      </c>
      <c r="P73" s="302" t="s">
        <v>288</v>
      </c>
      <c r="Q73" s="302" t="s">
        <v>289</v>
      </c>
      <c r="R73" s="302" t="s">
        <v>290</v>
      </c>
      <c r="S73" s="302" t="s">
        <v>291</v>
      </c>
      <c r="T73" s="302" t="s">
        <v>292</v>
      </c>
      <c r="U73" s="302" t="s">
        <v>293</v>
      </c>
      <c r="V73" s="302" t="s">
        <v>294</v>
      </c>
      <c r="W73" s="302" t="s">
        <v>295</v>
      </c>
    </row>
    <row r="74" spans="1:23" x14ac:dyDescent="0.35">
      <c r="A74" s="6" t="s">
        <v>35</v>
      </c>
      <c r="B74" s="73"/>
      <c r="C74" s="125">
        <v>1</v>
      </c>
      <c r="D74" s="125" t="s">
        <v>556</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85</v>
      </c>
      <c r="B75" s="1"/>
      <c r="C75" s="1">
        <v>1</v>
      </c>
      <c r="D75" s="1" t="s">
        <v>556</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804</v>
      </c>
      <c r="B76" s="1"/>
      <c r="C76" s="1">
        <v>1</v>
      </c>
      <c r="D76" s="1" t="s">
        <v>556</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805</v>
      </c>
      <c r="B77" s="1"/>
      <c r="C77" s="1">
        <v>1</v>
      </c>
      <c r="D77" s="1" t="s">
        <v>556</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77</v>
      </c>
      <c r="B78" s="1"/>
      <c r="C78" s="1">
        <v>1</v>
      </c>
      <c r="D78" s="1" t="s">
        <v>556</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806</v>
      </c>
      <c r="B79" s="1"/>
      <c r="C79" s="1">
        <v>1</v>
      </c>
      <c r="D79" s="1" t="s">
        <v>556</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80</v>
      </c>
      <c r="B80" s="1"/>
      <c r="C80" s="1">
        <v>1</v>
      </c>
      <c r="D80" s="1" t="s">
        <v>555</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90</v>
      </c>
      <c r="B81" s="1"/>
      <c r="C81" s="1">
        <v>1</v>
      </c>
      <c r="D81" s="1" t="s">
        <v>555</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807</v>
      </c>
    </row>
    <row r="85" spans="1:23" ht="72.5" x14ac:dyDescent="0.35">
      <c r="A85" s="104" t="s">
        <v>449</v>
      </c>
      <c r="B85" s="102" t="s">
        <v>799</v>
      </c>
      <c r="C85" s="302" t="s">
        <v>484</v>
      </c>
      <c r="D85" s="302" t="s">
        <v>152</v>
      </c>
      <c r="E85" s="302" t="s">
        <v>277</v>
      </c>
      <c r="F85" s="302" t="s">
        <v>278</v>
      </c>
      <c r="G85" s="302" t="s">
        <v>279</v>
      </c>
      <c r="H85" s="302" t="s">
        <v>280</v>
      </c>
      <c r="I85" s="302" t="s">
        <v>281</v>
      </c>
      <c r="J85" s="302" t="s">
        <v>282</v>
      </c>
      <c r="K85" s="302" t="s">
        <v>283</v>
      </c>
      <c r="L85" s="302" t="s">
        <v>284</v>
      </c>
      <c r="M85" s="302" t="s">
        <v>285</v>
      </c>
      <c r="N85" s="302" t="s">
        <v>286</v>
      </c>
      <c r="O85" s="302" t="s">
        <v>287</v>
      </c>
      <c r="P85" s="302" t="s">
        <v>288</v>
      </c>
      <c r="Q85" s="302" t="s">
        <v>289</v>
      </c>
      <c r="R85" s="302" t="s">
        <v>290</v>
      </c>
      <c r="S85" s="302" t="s">
        <v>291</v>
      </c>
      <c r="T85" s="302" t="s">
        <v>292</v>
      </c>
      <c r="U85" s="302" t="s">
        <v>293</v>
      </c>
      <c r="V85" s="302" t="s">
        <v>294</v>
      </c>
      <c r="W85" s="302" t="s">
        <v>295</v>
      </c>
    </row>
    <row r="86" spans="1:23" ht="43.5" x14ac:dyDescent="0.35">
      <c r="A86" s="53" t="s">
        <v>808</v>
      </c>
      <c r="B86" s="1"/>
      <c r="C86" s="1">
        <v>1</v>
      </c>
      <c r="D86" s="1" t="s">
        <v>809</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810</v>
      </c>
      <c r="B87" s="1"/>
      <c r="C87" s="1">
        <v>1</v>
      </c>
      <c r="D87" s="1" t="s">
        <v>809</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811</v>
      </c>
      <c r="B88" s="1"/>
      <c r="C88" s="1">
        <v>1</v>
      </c>
      <c r="D88" s="1" t="s">
        <v>812</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813</v>
      </c>
      <c r="B89" s="1"/>
      <c r="C89" s="1">
        <v>1</v>
      </c>
      <c r="D89" s="1" t="s">
        <v>812</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449</v>
      </c>
      <c r="B92" s="102" t="s">
        <v>799</v>
      </c>
      <c r="C92" s="302" t="s">
        <v>484</v>
      </c>
      <c r="D92" s="302" t="s">
        <v>152</v>
      </c>
      <c r="E92" s="302" t="s">
        <v>277</v>
      </c>
      <c r="F92" s="302" t="s">
        <v>278</v>
      </c>
      <c r="G92" s="302" t="s">
        <v>279</v>
      </c>
      <c r="H92" s="302" t="s">
        <v>280</v>
      </c>
      <c r="I92" s="302" t="s">
        <v>281</v>
      </c>
      <c r="J92" s="302" t="s">
        <v>282</v>
      </c>
      <c r="K92" s="302" t="s">
        <v>283</v>
      </c>
      <c r="L92" s="302" t="s">
        <v>284</v>
      </c>
      <c r="M92" s="302" t="s">
        <v>285</v>
      </c>
      <c r="N92" s="302" t="s">
        <v>286</v>
      </c>
      <c r="O92" s="302" t="s">
        <v>287</v>
      </c>
      <c r="P92" s="302" t="s">
        <v>288</v>
      </c>
      <c r="Q92" s="302" t="s">
        <v>289</v>
      </c>
      <c r="R92" s="302" t="s">
        <v>290</v>
      </c>
      <c r="S92" s="302" t="s">
        <v>291</v>
      </c>
      <c r="T92" s="302" t="s">
        <v>292</v>
      </c>
      <c r="U92" s="302" t="s">
        <v>293</v>
      </c>
      <c r="V92" s="302" t="s">
        <v>294</v>
      </c>
      <c r="W92" s="302" t="s">
        <v>295</v>
      </c>
    </row>
    <row r="93" spans="1:23" x14ac:dyDescent="0.35">
      <c r="A93" s="6" t="s">
        <v>35</v>
      </c>
      <c r="B93" s="1"/>
      <c r="C93" s="1">
        <v>1</v>
      </c>
      <c r="D93" s="1" t="s">
        <v>809</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85</v>
      </c>
      <c r="B94" s="1"/>
      <c r="C94" s="1">
        <v>1</v>
      </c>
      <c r="D94" s="1" t="s">
        <v>809</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804</v>
      </c>
      <c r="B95" s="1"/>
      <c r="C95" s="1">
        <v>1</v>
      </c>
      <c r="D95" s="1" t="s">
        <v>809</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805</v>
      </c>
      <c r="B96" s="1"/>
      <c r="C96" s="1">
        <v>1</v>
      </c>
      <c r="D96" s="1" t="s">
        <v>809</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77</v>
      </c>
      <c r="B97" s="1"/>
      <c r="C97" s="1">
        <v>1</v>
      </c>
      <c r="D97" s="1" t="s">
        <v>809</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806</v>
      </c>
      <c r="B98" s="1"/>
      <c r="C98" s="1">
        <v>1</v>
      </c>
      <c r="D98" s="1" t="s">
        <v>809</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814</v>
      </c>
      <c r="B99" s="1"/>
      <c r="C99" s="1">
        <v>1</v>
      </c>
      <c r="D99" s="1" t="s">
        <v>812</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815</v>
      </c>
      <c r="B100" s="1"/>
      <c r="C100" s="1">
        <v>1</v>
      </c>
      <c r="D100" s="1" t="s">
        <v>812</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816</v>
      </c>
    </row>
    <row r="105" spans="1:23" ht="72.5" x14ac:dyDescent="0.35">
      <c r="A105" s="104" t="s">
        <v>449</v>
      </c>
      <c r="B105" s="102" t="s">
        <v>799</v>
      </c>
      <c r="C105" s="302" t="s">
        <v>484</v>
      </c>
      <c r="D105" s="302" t="s">
        <v>152</v>
      </c>
      <c r="E105" s="302" t="s">
        <v>277</v>
      </c>
      <c r="F105" s="302" t="s">
        <v>278</v>
      </c>
      <c r="G105" s="302" t="s">
        <v>279</v>
      </c>
      <c r="H105" s="302" t="s">
        <v>280</v>
      </c>
      <c r="I105" s="302" t="s">
        <v>281</v>
      </c>
      <c r="J105" s="302" t="s">
        <v>282</v>
      </c>
      <c r="K105" s="302" t="s">
        <v>283</v>
      </c>
      <c r="L105" s="302" t="s">
        <v>284</v>
      </c>
      <c r="M105" s="302" t="s">
        <v>285</v>
      </c>
      <c r="N105" s="302" t="s">
        <v>286</v>
      </c>
      <c r="O105" s="302" t="s">
        <v>287</v>
      </c>
      <c r="P105" s="302" t="s">
        <v>288</v>
      </c>
      <c r="Q105" s="302" t="s">
        <v>289</v>
      </c>
      <c r="R105" s="302" t="s">
        <v>290</v>
      </c>
      <c r="S105" s="302" t="s">
        <v>291</v>
      </c>
      <c r="T105" s="302" t="s">
        <v>292</v>
      </c>
      <c r="U105" s="302" t="s">
        <v>293</v>
      </c>
      <c r="V105" s="302" t="s">
        <v>294</v>
      </c>
      <c r="W105" s="302" t="s">
        <v>295</v>
      </c>
    </row>
    <row r="106" spans="1:23" ht="43.5" x14ac:dyDescent="0.35">
      <c r="A106" s="53" t="s">
        <v>808</v>
      </c>
      <c r="B106" s="1"/>
      <c r="C106" s="1">
        <v>1</v>
      </c>
      <c r="D106" s="1" t="s">
        <v>809</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817</v>
      </c>
      <c r="B107" s="1"/>
      <c r="C107" s="1">
        <v>1</v>
      </c>
      <c r="D107" s="1" t="s">
        <v>809</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811</v>
      </c>
      <c r="B108" s="1"/>
      <c r="C108" s="1">
        <v>1</v>
      </c>
      <c r="D108" s="1" t="s">
        <v>812</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813</v>
      </c>
      <c r="B109" s="1"/>
      <c r="C109" s="1">
        <v>1</v>
      </c>
      <c r="D109" s="1" t="s">
        <v>812</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449</v>
      </c>
      <c r="B112" s="102" t="s">
        <v>799</v>
      </c>
      <c r="C112" s="302" t="s">
        <v>484</v>
      </c>
      <c r="D112" s="302" t="s">
        <v>152</v>
      </c>
      <c r="E112" s="302" t="s">
        <v>277</v>
      </c>
      <c r="F112" s="302" t="s">
        <v>278</v>
      </c>
      <c r="G112" s="302" t="s">
        <v>279</v>
      </c>
      <c r="H112" s="302" t="s">
        <v>280</v>
      </c>
      <c r="I112" s="302" t="s">
        <v>281</v>
      </c>
      <c r="J112" s="302" t="s">
        <v>282</v>
      </c>
      <c r="K112" s="302" t="s">
        <v>283</v>
      </c>
      <c r="L112" s="302" t="s">
        <v>284</v>
      </c>
      <c r="M112" s="302" t="s">
        <v>285</v>
      </c>
      <c r="N112" s="302" t="s">
        <v>286</v>
      </c>
      <c r="O112" s="302" t="s">
        <v>287</v>
      </c>
      <c r="P112" s="302" t="s">
        <v>288</v>
      </c>
      <c r="Q112" s="302" t="s">
        <v>289</v>
      </c>
      <c r="R112" s="302" t="s">
        <v>290</v>
      </c>
      <c r="S112" s="302" t="s">
        <v>291</v>
      </c>
      <c r="T112" s="302" t="s">
        <v>292</v>
      </c>
      <c r="U112" s="302" t="s">
        <v>293</v>
      </c>
      <c r="V112" s="302" t="s">
        <v>294</v>
      </c>
      <c r="W112" s="302" t="s">
        <v>295</v>
      </c>
    </row>
    <row r="113" spans="1:23" x14ac:dyDescent="0.35">
      <c r="A113" s="6" t="s">
        <v>35</v>
      </c>
      <c r="B113" s="1"/>
      <c r="C113" s="1">
        <v>1</v>
      </c>
      <c r="D113" s="1" t="s">
        <v>809</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85</v>
      </c>
      <c r="B114" s="1"/>
      <c r="C114" s="1">
        <v>1</v>
      </c>
      <c r="D114" s="1" t="s">
        <v>809</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804</v>
      </c>
      <c r="B115" s="1"/>
      <c r="C115" s="1">
        <v>1</v>
      </c>
      <c r="D115" s="1" t="s">
        <v>809</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805</v>
      </c>
      <c r="B116" s="1"/>
      <c r="C116" s="1">
        <v>1</v>
      </c>
      <c r="D116" s="1" t="s">
        <v>809</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77</v>
      </c>
      <c r="B117" s="1"/>
      <c r="C117" s="1">
        <v>1</v>
      </c>
      <c r="D117" s="1" t="s">
        <v>809</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806</v>
      </c>
      <c r="B118" s="1"/>
      <c r="C118" s="1">
        <v>1</v>
      </c>
      <c r="D118" s="1" t="s">
        <v>809</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814</v>
      </c>
      <c r="B119" s="1"/>
      <c r="C119" s="1">
        <v>1</v>
      </c>
      <c r="D119" s="1" t="s">
        <v>812</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944</v>
      </c>
    </row>
    <row r="3" spans="1:10" ht="23.5" x14ac:dyDescent="0.55000000000000004">
      <c r="A3" s="132" t="s">
        <v>945</v>
      </c>
    </row>
    <row r="4" spans="1:10" x14ac:dyDescent="0.35">
      <c r="A4" s="133" t="s">
        <v>946</v>
      </c>
      <c r="B4" s="133" t="s">
        <v>27</v>
      </c>
      <c r="C4" s="133" t="s">
        <v>67</v>
      </c>
      <c r="D4" s="133" t="s">
        <v>923</v>
      </c>
      <c r="E4" s="133" t="s">
        <v>60</v>
      </c>
      <c r="F4" s="133" t="s">
        <v>62</v>
      </c>
      <c r="G4" s="133" t="s">
        <v>72</v>
      </c>
      <c r="I4" s="3"/>
      <c r="J4" s="3"/>
    </row>
    <row r="5" spans="1:10" x14ac:dyDescent="0.35">
      <c r="A5" s="98" t="s">
        <v>27</v>
      </c>
      <c r="B5" s="98" t="s">
        <v>27</v>
      </c>
      <c r="C5" s="98" t="s">
        <v>68</v>
      </c>
      <c r="D5" s="98" t="s">
        <v>35</v>
      </c>
      <c r="E5" s="98" t="s">
        <v>35</v>
      </c>
      <c r="F5" s="98" t="s">
        <v>973</v>
      </c>
      <c r="G5" s="98" t="s">
        <v>35</v>
      </c>
    </row>
    <row r="6" spans="1:10" x14ac:dyDescent="0.35">
      <c r="A6" s="98" t="s">
        <v>67</v>
      </c>
      <c r="C6" s="98" t="s">
        <v>487</v>
      </c>
      <c r="G6" s="98" t="s">
        <v>80</v>
      </c>
    </row>
    <row r="7" spans="1:10" x14ac:dyDescent="0.35">
      <c r="A7" s="98" t="s">
        <v>923</v>
      </c>
      <c r="C7" s="98" t="s">
        <v>85</v>
      </c>
    </row>
    <row r="8" spans="1:10" x14ac:dyDescent="0.35">
      <c r="A8" s="98" t="s">
        <v>60</v>
      </c>
      <c r="C8" s="98" t="s">
        <v>804</v>
      </c>
    </row>
    <row r="9" spans="1:10" x14ac:dyDescent="0.35">
      <c r="A9" s="98" t="s">
        <v>62</v>
      </c>
      <c r="C9" s="98" t="s">
        <v>805</v>
      </c>
    </row>
    <row r="10" spans="1:10" x14ac:dyDescent="0.35">
      <c r="A10" s="98" t="s">
        <v>72</v>
      </c>
      <c r="C10" s="98" t="s">
        <v>77</v>
      </c>
    </row>
    <row r="11" spans="1:10" x14ac:dyDescent="0.35">
      <c r="C11" s="98" t="s">
        <v>806</v>
      </c>
    </row>
    <row r="12" spans="1:10" x14ac:dyDescent="0.35">
      <c r="C12" s="98" t="s">
        <v>80</v>
      </c>
    </row>
    <row r="13" spans="1:10" x14ac:dyDescent="0.35">
      <c r="C13" s="98" t="s">
        <v>90</v>
      </c>
    </row>
    <row r="15" spans="1:10" ht="23.5" x14ac:dyDescent="0.55000000000000004">
      <c r="A15" s="132" t="s">
        <v>947</v>
      </c>
      <c r="I15" s="3"/>
    </row>
    <row r="16" spans="1:10" x14ac:dyDescent="0.35">
      <c r="A16" s="133" t="s">
        <v>948</v>
      </c>
      <c r="B16" s="133" t="s">
        <v>448</v>
      </c>
      <c r="C16" s="133" t="s">
        <v>34</v>
      </c>
      <c r="D16" s="3"/>
    </row>
    <row r="17" spans="1:3" x14ac:dyDescent="0.35">
      <c r="A17" s="98" t="s">
        <v>448</v>
      </c>
      <c r="B17" s="98" t="s">
        <v>27</v>
      </c>
      <c r="C17" s="98" t="s">
        <v>35</v>
      </c>
    </row>
    <row r="18" spans="1:3" x14ac:dyDescent="0.35">
      <c r="A18" s="98" t="s">
        <v>34</v>
      </c>
      <c r="C18" s="98" t="s">
        <v>85</v>
      </c>
    </row>
    <row r="19" spans="1:3" x14ac:dyDescent="0.35">
      <c r="C19" s="98" t="s">
        <v>804</v>
      </c>
    </row>
    <row r="20" spans="1:3" x14ac:dyDescent="0.35">
      <c r="C20" s="98" t="s">
        <v>805</v>
      </c>
    </row>
    <row r="21" spans="1:3" x14ac:dyDescent="0.35">
      <c r="C21" s="98" t="s">
        <v>77</v>
      </c>
    </row>
    <row r="22" spans="1:3" x14ac:dyDescent="0.35">
      <c r="C22" s="98" t="s">
        <v>806</v>
      </c>
    </row>
    <row r="23" spans="1:3" x14ac:dyDescent="0.35">
      <c r="C23" s="98" t="s">
        <v>80</v>
      </c>
    </row>
    <row r="24" spans="1:3" x14ac:dyDescent="0.35">
      <c r="C24" s="98" t="s">
        <v>90</v>
      </c>
    </row>
    <row r="27" spans="1:3" x14ac:dyDescent="0.35">
      <c r="A27" s="133" t="s">
        <v>949</v>
      </c>
      <c r="B27" s="133" t="s">
        <v>448</v>
      </c>
      <c r="C27" s="133" t="s">
        <v>357</v>
      </c>
    </row>
    <row r="28" spans="1:3" x14ac:dyDescent="0.35">
      <c r="A28" s="98" t="s">
        <v>448</v>
      </c>
      <c r="B28" s="98" t="s">
        <v>27</v>
      </c>
      <c r="C28" s="98" t="s">
        <v>35</v>
      </c>
    </row>
    <row r="29" spans="1:3" x14ac:dyDescent="0.35">
      <c r="A29" s="98" t="s">
        <v>357</v>
      </c>
      <c r="C29" s="98" t="s">
        <v>85</v>
      </c>
    </row>
    <row r="30" spans="1:3" x14ac:dyDescent="0.35">
      <c r="C30" s="98" t="s">
        <v>804</v>
      </c>
    </row>
    <row r="31" spans="1:3" x14ac:dyDescent="0.35">
      <c r="C31" s="98" t="s">
        <v>805</v>
      </c>
    </row>
    <row r="32" spans="1:3" x14ac:dyDescent="0.35">
      <c r="C32" s="98" t="s">
        <v>77</v>
      </c>
    </row>
    <row r="33" spans="1:4" x14ac:dyDescent="0.35">
      <c r="C33" s="98" t="s">
        <v>806</v>
      </c>
    </row>
    <row r="34" spans="1:4" x14ac:dyDescent="0.35">
      <c r="C34" s="98" t="s">
        <v>80</v>
      </c>
    </row>
    <row r="35" spans="1:4" x14ac:dyDescent="0.35">
      <c r="C35" s="98" t="s">
        <v>90</v>
      </c>
    </row>
    <row r="37" spans="1:4" x14ac:dyDescent="0.35">
      <c r="A37" s="133" t="s">
        <v>950</v>
      </c>
      <c r="B37" s="133" t="s">
        <v>448</v>
      </c>
      <c r="C37" s="133" t="s">
        <v>366</v>
      </c>
    </row>
    <row r="38" spans="1:4" x14ac:dyDescent="0.35">
      <c r="A38" s="98" t="s">
        <v>448</v>
      </c>
      <c r="B38" s="98" t="s">
        <v>27</v>
      </c>
      <c r="C38" s="98" t="s">
        <v>35</v>
      </c>
    </row>
    <row r="39" spans="1:4" x14ac:dyDescent="0.35">
      <c r="A39" s="98" t="s">
        <v>366</v>
      </c>
      <c r="C39" s="98" t="s">
        <v>85</v>
      </c>
    </row>
    <row r="40" spans="1:4" x14ac:dyDescent="0.35">
      <c r="C40" s="98" t="s">
        <v>804</v>
      </c>
    </row>
    <row r="41" spans="1:4" x14ac:dyDescent="0.35">
      <c r="C41" s="98" t="s">
        <v>805</v>
      </c>
    </row>
    <row r="42" spans="1:4" x14ac:dyDescent="0.35">
      <c r="C42" s="98" t="s">
        <v>77</v>
      </c>
    </row>
    <row r="43" spans="1:4" x14ac:dyDescent="0.35">
      <c r="C43" s="98" t="s">
        <v>806</v>
      </c>
    </row>
    <row r="44" spans="1:4" x14ac:dyDescent="0.35">
      <c r="C44" s="98" t="s">
        <v>80</v>
      </c>
    </row>
    <row r="45" spans="1:4" x14ac:dyDescent="0.35">
      <c r="C45" s="98" t="s">
        <v>90</v>
      </c>
    </row>
    <row r="46" spans="1:4" ht="23.5" x14ac:dyDescent="0.55000000000000004">
      <c r="A46" s="132" t="s">
        <v>951</v>
      </c>
    </row>
    <row r="47" spans="1:4" x14ac:dyDescent="0.35">
      <c r="A47" s="133" t="s">
        <v>952</v>
      </c>
      <c r="B47" s="133" t="s">
        <v>442</v>
      </c>
      <c r="C47" s="133" t="s">
        <v>355</v>
      </c>
      <c r="D47" s="3"/>
    </row>
    <row r="48" spans="1:4" x14ac:dyDescent="0.35">
      <c r="A48" s="98" t="s">
        <v>442</v>
      </c>
      <c r="B48" s="98" t="s">
        <v>27</v>
      </c>
      <c r="C48" s="98" t="s">
        <v>35</v>
      </c>
    </row>
    <row r="49" spans="1:3" x14ac:dyDescent="0.35">
      <c r="A49" s="98" t="s">
        <v>355</v>
      </c>
      <c r="C49" s="98" t="s">
        <v>85</v>
      </c>
    </row>
    <row r="50" spans="1:3" x14ac:dyDescent="0.35">
      <c r="C50" s="98" t="s">
        <v>804</v>
      </c>
    </row>
    <row r="51" spans="1:3" x14ac:dyDescent="0.35">
      <c r="C51" s="98" t="s">
        <v>805</v>
      </c>
    </row>
    <row r="52" spans="1:3" x14ac:dyDescent="0.35">
      <c r="C52" s="98" t="s">
        <v>77</v>
      </c>
    </row>
    <row r="53" spans="1:3" x14ac:dyDescent="0.35">
      <c r="C53" s="98" t="s">
        <v>806</v>
      </c>
    </row>
    <row r="54" spans="1:3" x14ac:dyDescent="0.35">
      <c r="C54" s="98" t="s">
        <v>80</v>
      </c>
    </row>
    <row r="55" spans="1:3" x14ac:dyDescent="0.35">
      <c r="C55" s="98" t="s">
        <v>90</v>
      </c>
    </row>
    <row r="57" spans="1:3" x14ac:dyDescent="0.35">
      <c r="A57" s="133" t="s">
        <v>953</v>
      </c>
      <c r="B57" s="133" t="s">
        <v>443</v>
      </c>
      <c r="C57" s="133" t="s">
        <v>365</v>
      </c>
    </row>
    <row r="58" spans="1:3" x14ac:dyDescent="0.35">
      <c r="A58" s="98" t="s">
        <v>443</v>
      </c>
      <c r="B58" s="98" t="s">
        <v>27</v>
      </c>
      <c r="C58" s="98" t="s">
        <v>35</v>
      </c>
    </row>
    <row r="59" spans="1:3" x14ac:dyDescent="0.35">
      <c r="A59" s="98" t="s">
        <v>365</v>
      </c>
      <c r="C59" s="98" t="s">
        <v>85</v>
      </c>
    </row>
    <row r="60" spans="1:3" x14ac:dyDescent="0.35">
      <c r="C60" s="98" t="s">
        <v>804</v>
      </c>
    </row>
    <row r="61" spans="1:3" x14ac:dyDescent="0.35">
      <c r="C61" s="98" t="s">
        <v>805</v>
      </c>
    </row>
    <row r="62" spans="1:3" x14ac:dyDescent="0.35">
      <c r="C62" s="98" t="s">
        <v>77</v>
      </c>
    </row>
    <row r="63" spans="1:3" x14ac:dyDescent="0.35">
      <c r="C63" s="98" t="s">
        <v>806</v>
      </c>
    </row>
    <row r="64" spans="1:3" x14ac:dyDescent="0.35">
      <c r="C64" s="98" t="s">
        <v>80</v>
      </c>
    </row>
    <row r="65" spans="1:4" x14ac:dyDescent="0.35">
      <c r="C65" s="98" t="s">
        <v>90</v>
      </c>
    </row>
    <row r="66" spans="1:4" ht="23.5" x14ac:dyDescent="0.55000000000000004">
      <c r="A66" s="132" t="s">
        <v>954</v>
      </c>
    </row>
    <row r="67" spans="1:4" x14ac:dyDescent="0.35">
      <c r="A67" s="133" t="s">
        <v>955</v>
      </c>
      <c r="B67" s="133" t="s">
        <v>444</v>
      </c>
      <c r="C67" s="133" t="s">
        <v>359</v>
      </c>
      <c r="D67" s="3"/>
    </row>
    <row r="68" spans="1:4" x14ac:dyDescent="0.35">
      <c r="A68" s="98" t="s">
        <v>444</v>
      </c>
      <c r="B68" s="98" t="s">
        <v>27</v>
      </c>
      <c r="C68" s="98" t="s">
        <v>35</v>
      </c>
    </row>
    <row r="69" spans="1:4" x14ac:dyDescent="0.35">
      <c r="A69" s="98" t="s">
        <v>359</v>
      </c>
      <c r="C69" s="98" t="s">
        <v>85</v>
      </c>
    </row>
    <row r="70" spans="1:4" x14ac:dyDescent="0.35">
      <c r="C70" s="98" t="s">
        <v>804</v>
      </c>
    </row>
    <row r="71" spans="1:4" x14ac:dyDescent="0.35">
      <c r="C71" s="98" t="s">
        <v>805</v>
      </c>
    </row>
    <row r="72" spans="1:4" x14ac:dyDescent="0.35">
      <c r="C72" s="98" t="s">
        <v>77</v>
      </c>
    </row>
    <row r="73" spans="1:4" x14ac:dyDescent="0.35">
      <c r="C73" s="98" t="s">
        <v>806</v>
      </c>
    </row>
    <row r="74" spans="1:4" x14ac:dyDescent="0.35">
      <c r="C74" s="98" t="s">
        <v>80</v>
      </c>
    </row>
    <row r="75" spans="1:4" x14ac:dyDescent="0.35">
      <c r="C75" s="98" t="s">
        <v>90</v>
      </c>
    </row>
    <row r="79" spans="1:4" x14ac:dyDescent="0.35">
      <c r="A79" s="133" t="s">
        <v>956</v>
      </c>
      <c r="B79" s="133" t="s">
        <v>445</v>
      </c>
      <c r="C79" s="133" t="s">
        <v>367</v>
      </c>
      <c r="D79" s="3"/>
    </row>
    <row r="80" spans="1:4" x14ac:dyDescent="0.35">
      <c r="A80" s="98" t="s">
        <v>445</v>
      </c>
      <c r="B80" s="98" t="s">
        <v>27</v>
      </c>
      <c r="C80" s="98" t="s">
        <v>35</v>
      </c>
    </row>
    <row r="81" spans="1:4" x14ac:dyDescent="0.35">
      <c r="A81" s="98" t="s">
        <v>367</v>
      </c>
      <c r="C81" s="98" t="s">
        <v>85</v>
      </c>
    </row>
    <row r="82" spans="1:4" x14ac:dyDescent="0.35">
      <c r="C82" s="98" t="s">
        <v>804</v>
      </c>
    </row>
    <row r="83" spans="1:4" x14ac:dyDescent="0.35">
      <c r="C83" s="98" t="s">
        <v>805</v>
      </c>
    </row>
    <row r="84" spans="1:4" x14ac:dyDescent="0.35">
      <c r="C84" s="98" t="s">
        <v>77</v>
      </c>
    </row>
    <row r="85" spans="1:4" x14ac:dyDescent="0.35">
      <c r="C85" s="98" t="s">
        <v>806</v>
      </c>
    </row>
    <row r="86" spans="1:4" x14ac:dyDescent="0.35">
      <c r="C86" s="98" t="s">
        <v>80</v>
      </c>
    </row>
    <row r="87" spans="1:4" x14ac:dyDescent="0.35">
      <c r="C87" s="98" t="s">
        <v>90</v>
      </c>
    </row>
    <row r="89" spans="1:4" ht="23.5" x14ac:dyDescent="0.55000000000000004">
      <c r="A89" s="132" t="s">
        <v>957</v>
      </c>
    </row>
    <row r="90" spans="1:4" x14ac:dyDescent="0.35">
      <c r="A90" s="133" t="s">
        <v>958</v>
      </c>
      <c r="B90" s="133" t="s">
        <v>446</v>
      </c>
      <c r="C90" s="133" t="s">
        <v>361</v>
      </c>
      <c r="D90" s="3"/>
    </row>
    <row r="91" spans="1:4" x14ac:dyDescent="0.35">
      <c r="A91" s="98" t="s">
        <v>446</v>
      </c>
      <c r="B91" s="98" t="s">
        <v>27</v>
      </c>
      <c r="C91" s="98" t="s">
        <v>35</v>
      </c>
    </row>
    <row r="92" spans="1:4" x14ac:dyDescent="0.35">
      <c r="A92" s="98" t="s">
        <v>361</v>
      </c>
      <c r="C92" s="98" t="s">
        <v>85</v>
      </c>
    </row>
    <row r="93" spans="1:4" x14ac:dyDescent="0.35">
      <c r="C93" s="98" t="s">
        <v>804</v>
      </c>
    </row>
    <row r="94" spans="1:4" x14ac:dyDescent="0.35">
      <c r="C94" s="98" t="s">
        <v>805</v>
      </c>
    </row>
    <row r="95" spans="1:4" x14ac:dyDescent="0.35">
      <c r="C95" s="98" t="s">
        <v>77</v>
      </c>
    </row>
    <row r="96" spans="1:4" x14ac:dyDescent="0.35">
      <c r="C96" s="98" t="s">
        <v>806</v>
      </c>
    </row>
    <row r="97" spans="1:8" x14ac:dyDescent="0.35">
      <c r="C97" s="98" t="s">
        <v>80</v>
      </c>
    </row>
    <row r="98" spans="1:8" x14ac:dyDescent="0.35">
      <c r="C98" s="98" t="s">
        <v>90</v>
      </c>
    </row>
    <row r="100" spans="1:8" x14ac:dyDescent="0.35">
      <c r="A100" s="133" t="s">
        <v>959</v>
      </c>
      <c r="B100" s="133" t="s">
        <v>447</v>
      </c>
      <c r="C100" s="133" t="s">
        <v>368</v>
      </c>
      <c r="D100" s="3"/>
    </row>
    <row r="101" spans="1:8" x14ac:dyDescent="0.35">
      <c r="A101" s="98" t="s">
        <v>447</v>
      </c>
      <c r="B101" s="98" t="s">
        <v>27</v>
      </c>
      <c r="C101" s="98" t="s">
        <v>35</v>
      </c>
    </row>
    <row r="102" spans="1:8" x14ac:dyDescent="0.35">
      <c r="A102" s="98" t="s">
        <v>368</v>
      </c>
      <c r="C102" s="98" t="s">
        <v>85</v>
      </c>
    </row>
    <row r="103" spans="1:8" x14ac:dyDescent="0.35">
      <c r="C103" s="98" t="s">
        <v>804</v>
      </c>
    </row>
    <row r="104" spans="1:8" x14ac:dyDescent="0.35">
      <c r="C104" s="98" t="s">
        <v>805</v>
      </c>
    </row>
    <row r="105" spans="1:8" x14ac:dyDescent="0.35">
      <c r="C105" s="98" t="s">
        <v>77</v>
      </c>
    </row>
    <row r="106" spans="1:8" x14ac:dyDescent="0.35">
      <c r="C106" s="98" t="s">
        <v>806</v>
      </c>
    </row>
    <row r="107" spans="1:8" x14ac:dyDescent="0.35">
      <c r="C107" s="98" t="s">
        <v>80</v>
      </c>
    </row>
    <row r="108" spans="1:8" x14ac:dyDescent="0.35">
      <c r="C108" s="98" t="s">
        <v>90</v>
      </c>
    </row>
    <row r="110" spans="1:8" ht="23.5" x14ac:dyDescent="0.55000000000000004">
      <c r="A110" s="132" t="s">
        <v>960</v>
      </c>
    </row>
    <row r="111" spans="1:8" x14ac:dyDescent="0.35">
      <c r="A111" s="133" t="s">
        <v>961</v>
      </c>
      <c r="B111" s="133" t="s">
        <v>104</v>
      </c>
      <c r="C111" s="133" t="s">
        <v>675</v>
      </c>
      <c r="D111" s="133" t="s">
        <v>102</v>
      </c>
      <c r="E111" s="133" t="s">
        <v>676</v>
      </c>
      <c r="F111" s="3"/>
      <c r="G111" s="3"/>
      <c r="H111" s="3"/>
    </row>
    <row r="112" spans="1:8" x14ac:dyDescent="0.35">
      <c r="A112" s="98" t="s">
        <v>104</v>
      </c>
      <c r="B112" s="98" t="s">
        <v>27</v>
      </c>
      <c r="C112" s="98" t="s">
        <v>35</v>
      </c>
      <c r="D112" s="98" t="s">
        <v>35</v>
      </c>
      <c r="E112" s="98" t="s">
        <v>35</v>
      </c>
    </row>
    <row r="113" spans="1:8" x14ac:dyDescent="0.35">
      <c r="A113" s="98" t="s">
        <v>675</v>
      </c>
      <c r="C113" s="98" t="s">
        <v>85</v>
      </c>
      <c r="D113" s="98" t="s">
        <v>85</v>
      </c>
      <c r="E113" s="98" t="s">
        <v>85</v>
      </c>
    </row>
    <row r="114" spans="1:8" x14ac:dyDescent="0.35">
      <c r="A114" s="98" t="s">
        <v>102</v>
      </c>
      <c r="C114" s="98" t="s">
        <v>804</v>
      </c>
      <c r="D114" s="98" t="s">
        <v>804</v>
      </c>
      <c r="E114" s="98" t="s">
        <v>804</v>
      </c>
    </row>
    <row r="115" spans="1:8" x14ac:dyDescent="0.35">
      <c r="A115" s="98" t="s">
        <v>676</v>
      </c>
      <c r="C115" s="98" t="s">
        <v>805</v>
      </c>
      <c r="D115" s="98" t="s">
        <v>805</v>
      </c>
      <c r="E115" s="98" t="s">
        <v>805</v>
      </c>
    </row>
    <row r="116" spans="1:8" x14ac:dyDescent="0.35">
      <c r="C116" s="98" t="s">
        <v>77</v>
      </c>
      <c r="D116" s="98" t="s">
        <v>77</v>
      </c>
      <c r="E116" s="98" t="s">
        <v>77</v>
      </c>
    </row>
    <row r="117" spans="1:8" x14ac:dyDescent="0.35">
      <c r="C117" s="98" t="s">
        <v>806</v>
      </c>
      <c r="D117" s="98" t="s">
        <v>806</v>
      </c>
      <c r="E117" s="98" t="s">
        <v>806</v>
      </c>
    </row>
    <row r="118" spans="1:8" x14ac:dyDescent="0.35">
      <c r="C118" s="98" t="s">
        <v>80</v>
      </c>
      <c r="D118" s="98" t="s">
        <v>80</v>
      </c>
      <c r="E118" s="98" t="s">
        <v>80</v>
      </c>
    </row>
    <row r="119" spans="1:8" x14ac:dyDescent="0.35">
      <c r="C119" s="98" t="s">
        <v>90</v>
      </c>
      <c r="D119" s="98" t="s">
        <v>90</v>
      </c>
      <c r="E119" s="98" t="s">
        <v>90</v>
      </c>
    </row>
    <row r="121" spans="1:8" ht="23.5" x14ac:dyDescent="0.55000000000000004">
      <c r="A121" s="132" t="s">
        <v>962</v>
      </c>
    </row>
    <row r="122" spans="1:8" x14ac:dyDescent="0.35">
      <c r="A122" s="133" t="s">
        <v>963</v>
      </c>
      <c r="B122" s="133" t="s">
        <v>680</v>
      </c>
      <c r="F122" s="3"/>
      <c r="G122" s="3"/>
      <c r="H122" s="3"/>
    </row>
    <row r="123" spans="1:8" x14ac:dyDescent="0.35">
      <c r="A123" s="98" t="s">
        <v>680</v>
      </c>
      <c r="B123" s="98" t="s">
        <v>27</v>
      </c>
      <c r="C123" s="133" t="s">
        <v>677</v>
      </c>
      <c r="D123" s="133" t="s">
        <v>109</v>
      </c>
      <c r="E123" s="133" t="s">
        <v>678</v>
      </c>
    </row>
    <row r="124" spans="1:8" x14ac:dyDescent="0.35">
      <c r="A124" s="98" t="s">
        <v>677</v>
      </c>
      <c r="C124" s="98" t="s">
        <v>35</v>
      </c>
      <c r="D124" s="98" t="s">
        <v>35</v>
      </c>
      <c r="E124" s="98" t="s">
        <v>35</v>
      </c>
    </row>
    <row r="125" spans="1:8" x14ac:dyDescent="0.35">
      <c r="A125" s="98" t="s">
        <v>109</v>
      </c>
      <c r="C125" s="98" t="s">
        <v>85</v>
      </c>
      <c r="D125" s="98" t="s">
        <v>85</v>
      </c>
      <c r="E125" s="98" t="s">
        <v>85</v>
      </c>
    </row>
    <row r="126" spans="1:8" x14ac:dyDescent="0.35">
      <c r="A126" s="98" t="s">
        <v>678</v>
      </c>
      <c r="C126" s="98" t="s">
        <v>804</v>
      </c>
      <c r="D126" s="98" t="s">
        <v>804</v>
      </c>
      <c r="E126" s="98" t="s">
        <v>804</v>
      </c>
    </row>
    <row r="127" spans="1:8" x14ac:dyDescent="0.35">
      <c r="C127" s="98" t="s">
        <v>805</v>
      </c>
      <c r="D127" s="98" t="s">
        <v>805</v>
      </c>
      <c r="E127" s="98" t="s">
        <v>805</v>
      </c>
    </row>
    <row r="128" spans="1:8" x14ac:dyDescent="0.35">
      <c r="C128" s="98" t="s">
        <v>77</v>
      </c>
      <c r="D128" s="98" t="s">
        <v>77</v>
      </c>
      <c r="E128" s="98" t="s">
        <v>77</v>
      </c>
    </row>
    <row r="129" spans="1:8" x14ac:dyDescent="0.35">
      <c r="C129" s="98" t="s">
        <v>806</v>
      </c>
      <c r="D129" s="98" t="s">
        <v>806</v>
      </c>
      <c r="E129" s="98" t="s">
        <v>806</v>
      </c>
    </row>
    <row r="130" spans="1:8" x14ac:dyDescent="0.35">
      <c r="C130" s="98" t="s">
        <v>80</v>
      </c>
      <c r="D130" s="98" t="s">
        <v>80</v>
      </c>
      <c r="E130" s="98" t="s">
        <v>80</v>
      </c>
    </row>
    <row r="131" spans="1:8" x14ac:dyDescent="0.35">
      <c r="C131" s="98" t="s">
        <v>90</v>
      </c>
      <c r="D131" s="98" t="s">
        <v>90</v>
      </c>
      <c r="E131" s="98" t="s">
        <v>90</v>
      </c>
    </row>
    <row r="132" spans="1:8" ht="23.5" x14ac:dyDescent="0.55000000000000004">
      <c r="A132" s="132" t="s">
        <v>964</v>
      </c>
    </row>
    <row r="133" spans="1:8" x14ac:dyDescent="0.35">
      <c r="A133" s="133" t="s">
        <v>965</v>
      </c>
      <c r="B133" s="133" t="s">
        <v>117</v>
      </c>
      <c r="F133" s="3"/>
      <c r="G133" s="3"/>
      <c r="H133" s="3"/>
    </row>
    <row r="134" spans="1:8" x14ac:dyDescent="0.35">
      <c r="A134" s="98" t="s">
        <v>117</v>
      </c>
      <c r="B134" s="98" t="s">
        <v>27</v>
      </c>
      <c r="C134" s="133" t="s">
        <v>720</v>
      </c>
      <c r="D134" s="133" t="s">
        <v>115</v>
      </c>
      <c r="E134" s="133" t="s">
        <v>721</v>
      </c>
    </row>
    <row r="135" spans="1:8" x14ac:dyDescent="0.35">
      <c r="A135" s="98" t="s">
        <v>720</v>
      </c>
      <c r="C135" s="98" t="s">
        <v>35</v>
      </c>
      <c r="D135" s="98" t="s">
        <v>35</v>
      </c>
      <c r="E135" s="98" t="s">
        <v>35</v>
      </c>
    </row>
    <row r="136" spans="1:8" x14ac:dyDescent="0.35">
      <c r="A136" s="98" t="s">
        <v>115</v>
      </c>
      <c r="C136" s="98" t="s">
        <v>85</v>
      </c>
      <c r="D136" s="98" t="s">
        <v>85</v>
      </c>
      <c r="E136" s="98" t="s">
        <v>85</v>
      </c>
    </row>
    <row r="137" spans="1:8" x14ac:dyDescent="0.35">
      <c r="A137" s="98" t="s">
        <v>721</v>
      </c>
      <c r="C137" s="98" t="s">
        <v>804</v>
      </c>
      <c r="D137" s="98" t="s">
        <v>804</v>
      </c>
      <c r="E137" s="98" t="s">
        <v>804</v>
      </c>
    </row>
    <row r="138" spans="1:8" x14ac:dyDescent="0.35">
      <c r="C138" s="98" t="s">
        <v>805</v>
      </c>
      <c r="D138" s="98" t="s">
        <v>805</v>
      </c>
      <c r="E138" s="98" t="s">
        <v>805</v>
      </c>
    </row>
    <row r="139" spans="1:8" x14ac:dyDescent="0.35">
      <c r="C139" s="98" t="s">
        <v>77</v>
      </c>
      <c r="D139" s="98" t="s">
        <v>77</v>
      </c>
      <c r="E139" s="98" t="s">
        <v>77</v>
      </c>
    </row>
    <row r="140" spans="1:8" x14ac:dyDescent="0.35">
      <c r="C140" s="98" t="s">
        <v>806</v>
      </c>
      <c r="D140" s="98" t="s">
        <v>806</v>
      </c>
      <c r="E140" s="98" t="s">
        <v>806</v>
      </c>
    </row>
    <row r="141" spans="1:8" x14ac:dyDescent="0.35">
      <c r="C141" s="98" t="s">
        <v>80</v>
      </c>
      <c r="D141" s="98" t="s">
        <v>80</v>
      </c>
      <c r="E141" s="98" t="s">
        <v>80</v>
      </c>
    </row>
    <row r="142" spans="1:8" x14ac:dyDescent="0.35">
      <c r="C142" s="98" t="s">
        <v>90</v>
      </c>
      <c r="D142" s="98" t="s">
        <v>90</v>
      </c>
      <c r="E142" s="98" t="s">
        <v>90</v>
      </c>
    </row>
    <row r="143" spans="1:8" ht="23.5" x14ac:dyDescent="0.55000000000000004">
      <c r="A143" s="132" t="s">
        <v>966</v>
      </c>
    </row>
    <row r="144" spans="1:8" x14ac:dyDescent="0.35">
      <c r="A144" s="133" t="s">
        <v>967</v>
      </c>
      <c r="B144" s="133" t="s">
        <v>679</v>
      </c>
    </row>
    <row r="145" spans="1:4" x14ac:dyDescent="0.35">
      <c r="A145" s="98" t="s">
        <v>679</v>
      </c>
      <c r="B145" s="98" t="s">
        <v>27</v>
      </c>
      <c r="C145" s="133" t="s">
        <v>106</v>
      </c>
      <c r="D145" s="3"/>
    </row>
    <row r="146" spans="1:4" x14ac:dyDescent="0.35">
      <c r="A146" s="98" t="s">
        <v>106</v>
      </c>
      <c r="C146" s="98" t="s">
        <v>35</v>
      </c>
    </row>
    <row r="147" spans="1:4" x14ac:dyDescent="0.35">
      <c r="C147" s="98" t="s">
        <v>85</v>
      </c>
    </row>
    <row r="148" spans="1:4" x14ac:dyDescent="0.35">
      <c r="C148" s="98" t="s">
        <v>804</v>
      </c>
    </row>
    <row r="149" spans="1:4" x14ac:dyDescent="0.35">
      <c r="C149" s="98" t="s">
        <v>805</v>
      </c>
    </row>
    <row r="150" spans="1:4" x14ac:dyDescent="0.35">
      <c r="C150" s="98" t="s">
        <v>77</v>
      </c>
    </row>
    <row r="151" spans="1:4" x14ac:dyDescent="0.35">
      <c r="C151" s="98" t="s">
        <v>806</v>
      </c>
    </row>
    <row r="152" spans="1:4" x14ac:dyDescent="0.35">
      <c r="C152" s="98" t="s">
        <v>80</v>
      </c>
    </row>
    <row r="153" spans="1:4" x14ac:dyDescent="0.35">
      <c r="C153" s="98" t="s">
        <v>90</v>
      </c>
    </row>
    <row r="154" spans="1:4" x14ac:dyDescent="0.35">
      <c r="A154" t="s">
        <v>968</v>
      </c>
    </row>
    <row r="155" spans="1:4" x14ac:dyDescent="0.35">
      <c r="A155" s="133" t="s">
        <v>969</v>
      </c>
      <c r="B155" s="133" t="s">
        <v>970</v>
      </c>
    </row>
    <row r="156" spans="1:4" x14ac:dyDescent="0.35">
      <c r="A156" s="98" t="s">
        <v>970</v>
      </c>
      <c r="B156" s="98" t="s">
        <v>27</v>
      </c>
      <c r="C156" s="133" t="s">
        <v>119</v>
      </c>
      <c r="D156" s="3"/>
    </row>
    <row r="157" spans="1:4" x14ac:dyDescent="0.35">
      <c r="A157" s="98" t="s">
        <v>119</v>
      </c>
      <c r="C157" s="98" t="s">
        <v>35</v>
      </c>
    </row>
    <row r="158" spans="1:4" x14ac:dyDescent="0.35">
      <c r="C158" s="98" t="s">
        <v>85</v>
      </c>
    </row>
    <row r="159" spans="1:4" x14ac:dyDescent="0.35">
      <c r="C159" s="98" t="s">
        <v>804</v>
      </c>
    </row>
    <row r="160" spans="1:4" x14ac:dyDescent="0.35">
      <c r="C160" s="98" t="s">
        <v>805</v>
      </c>
    </row>
    <row r="161" spans="1:3" x14ac:dyDescent="0.35">
      <c r="C161" s="98" t="s">
        <v>77</v>
      </c>
    </row>
    <row r="162" spans="1:3" x14ac:dyDescent="0.35">
      <c r="C162" s="98" t="s">
        <v>806</v>
      </c>
    </row>
    <row r="163" spans="1:3" x14ac:dyDescent="0.35">
      <c r="C163" s="98" t="s">
        <v>80</v>
      </c>
    </row>
    <row r="164" spans="1:3" x14ac:dyDescent="0.35">
      <c r="C164" s="98" t="s">
        <v>90</v>
      </c>
    </row>
    <row r="167" spans="1:3" ht="23.5" x14ac:dyDescent="0.55000000000000004">
      <c r="A167" s="132" t="s">
        <v>939</v>
      </c>
    </row>
    <row r="168" spans="1:3" x14ac:dyDescent="0.35">
      <c r="A168" s="133" t="s">
        <v>971</v>
      </c>
      <c r="B168" s="133" t="s">
        <v>24</v>
      </c>
    </row>
    <row r="169" spans="1:3" x14ac:dyDescent="0.35">
      <c r="A169" s="98" t="s">
        <v>24</v>
      </c>
      <c r="B169" s="98" t="s">
        <v>25</v>
      </c>
      <c r="C169" s="133" t="s">
        <v>27</v>
      </c>
    </row>
    <row r="170" spans="1:3" x14ac:dyDescent="0.35">
      <c r="A170" s="98" t="s">
        <v>27</v>
      </c>
      <c r="B170" s="98" t="s">
        <v>933</v>
      </c>
      <c r="C170" s="98" t="s">
        <v>27</v>
      </c>
    </row>
    <row r="174" spans="1:3" ht="23.5" x14ac:dyDescent="0.55000000000000004">
      <c r="A174" s="132" t="s">
        <v>1029</v>
      </c>
    </row>
    <row r="175" spans="1:3" x14ac:dyDescent="0.35">
      <c r="A175" s="349" t="s">
        <v>28</v>
      </c>
    </row>
    <row r="176" spans="1:3" x14ac:dyDescent="0.35">
      <c r="A176" s="2" t="s">
        <v>541</v>
      </c>
    </row>
    <row r="177" spans="1:1" x14ac:dyDescent="0.35">
      <c r="A177" s="2" t="s">
        <v>543</v>
      </c>
    </row>
    <row r="178" spans="1:1" x14ac:dyDescent="0.35">
      <c r="A178" s="61" t="s">
        <v>544</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2026-04-28T11:15:31Z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