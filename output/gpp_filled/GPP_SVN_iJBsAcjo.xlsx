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9E906953-EFFD-42A9-BB17-F1EDD59BBE2D}" xr6:coauthVersionLast="47" xr6:coauthVersionMax="47" xr10:uidLastSave="{00000000-0000-0000-0000-000000000000}"/>
  <bookViews>
    <workbookView xWindow="2280" yWindow="228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74" i="20" l="1"/>
  <c r="AN69" i="20"/>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<sst xmlns="http://schemas.openxmlformats.org/spreadsheetml/2006/main" count="4829" uniqueCount="1051">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</sst>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0.24926520273245478</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1.0720217545247328</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-2.5840479192054935</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0.14586012053166042</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1.3717930120820689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0.30415042411027976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1.937833645373346</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2.6979728905512881E-2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5.7219033209101315E-2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9.2420753453990909E-2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1.930483909024323E-2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4.0696690779198332E-2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3.4957244614398426E-2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4.2005455520832111E-2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3.2979414154932694E-7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3.6264485169496966E-3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0.37969737822737926</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0.19275062038844659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3.8996523140591051E-2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4.2384877352999997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19.582533382424096</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-15.13219347994762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4.2384877352999997</c:v>
                </c:pt>
                <c:pt idx="8">
                  <c:v>0</c:v>
                </c:pt>
                <c:pt idx="9">
                  <c:v>0</c:v>
                </c:pt>
                <c:pt idx="10">
                  <c:v>0.65423526228811013</c:v>
                </c:pt>
                <c:pt idx="11">
                  <c:v>0.64922773956440383</c:v>
                </c:pt>
                <c:pt idx="12">
                  <c:v>19.582533382424096</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0.24926520273245478</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1.0720217545247328</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-2.5840479192054935</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0.15403848820616983</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1.507209963489776</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0.30578051994802496</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2.0188398093060407</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2.8641441333884941E-2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5.9677843683652899E-2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9.6101586365648403E-2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1.9816109098983119E-2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4.2793255702296022E-2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3.528355602602052E-2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4.2401388422169541E-2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3.3468335622872179E-7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3.7635019415930403E-3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0.41234682437665426</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0.2083656331482733</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3.9987217652953502E-2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4.2384877352999997</c:v>
                </c:pt>
                <c:pt idx="8">
                  <c:v>0</c:v>
                </c:pt>
                <c:pt idx="9">
                  <c:v>0</c:v>
                </c:pt>
                <c:pt idx="10">
                  <c:v>0.65423526228811013</c:v>
                </c:pt>
                <c:pt idx="11">
                  <c:v>0.64922773956440383</c:v>
                </c:pt>
                <c:pt idx="12">
                  <c:v>19.582533382424096</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4.2384877352999997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19.582533382424096</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-15.13219347994762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4.7858918924631309E-2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0.20582817686874874</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-0.49613720048745469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0.8137896451776</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3.7598464094254265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-2.9053811481499432</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2.9575389735584611E-2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0.28938431299003697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5.8709859830020805E-2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0.38761724338675979</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5.4991567361059096E-3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1.1458145987261355E-2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1.8451504582204493E-2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3.8046929470047582E-3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8.216305094840835E-3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6.7744427569959393E-3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8.1410665770565507E-3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6.4259204395914574E-8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7.2259237278586368E-4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7.9170590280317615E-2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4.0006201564468477E-2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7.6775457893670735E-3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0.8137896451776</c:v>
                </c:pt>
                <c:pt idx="8">
                  <c:v>0</c:v>
                </c:pt>
                <c:pt idx="9">
                  <c:v>0</c:v>
                </c:pt>
                <c:pt idx="10">
                  <c:v>0.12561317035931716</c:v>
                </c:pt>
                <c:pt idx="11">
                  <c:v>0.12465172599636554</c:v>
                </c:pt>
                <c:pt idx="12">
                  <c:v>3.7598464094254265</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27</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24</v>
      </c>
      <c r="H51" s="1" t="s">
        <v>1049</v>
      </c>
      <c r="I51" s="154" t="str">
        <f t="shared" si="0"/>
        <v>Fill Transport</v>
      </c>
      <c r="J51" s="232" t="s">
        <v>69</v>
      </c>
      <c r="K51" s="232" t="s">
        <v>489</v>
      </c>
      <c r="L51" s="240">
        <v>89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0.33188069786850793</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4.6882922477381408</v>
      </c>
      <c r="F6" s="280" t="s">
        <v>128</v>
      </c>
      <c r="G6" s="29"/>
    </row>
    <row r="7" spans="1:11" ht="16.5" x14ac:dyDescent="0.45">
      <c r="A7" s="9" t="s">
        <v>11</v>
      </c>
      <c r="B7" s="272" t="str">
        <f>+Input!B8</f>
        <v>AC 20 onderlaag 50/70</v>
      </c>
      <c r="C7" s="29"/>
      <c r="D7" s="125" t="s">
        <v>129</v>
      </c>
      <c r="E7" s="281">
        <f>IF(ABS('Aux - Check'!$B$11)&gt;10^-10,"Error",Results!$L$53)</f>
        <v>52.761269695464186</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0.95520911489001536</v>
      </c>
      <c r="F58" s="283" t="s">
        <v>138</v>
      </c>
    </row>
    <row r="59" spans="1:7" ht="17.5" x14ac:dyDescent="0.45">
      <c r="A59" s="9" t="s">
        <v>11</v>
      </c>
      <c r="B59" s="268" t="str">
        <f>Input!$B$8</f>
        <v>AC 20 onderlaag 50/70</v>
      </c>
      <c r="C59" s="15"/>
      <c r="D59" s="125" t="s">
        <v>129</v>
      </c>
      <c r="E59" s="282">
        <f>IF(E7="Error","Error",Results!$M$118)</f>
        <v>11.130165884232193</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4.9750474733854979</v>
      </c>
      <c r="F110" s="285" t="s">
        <v>128</v>
      </c>
    </row>
    <row r="111" spans="1:6" ht="16.5" x14ac:dyDescent="0.45">
      <c r="A111" s="9" t="s">
        <v>11</v>
      </c>
      <c r="B111" s="268" t="str">
        <f>Input!$B$8</f>
        <v>AC 20 onderlaag 50/70</v>
      </c>
      <c r="C111" s="15"/>
      <c r="D111" s="125" t="s">
        <v>129</v>
      </c>
      <c r="E111" s="286">
        <f>IF(E7="Error","Error",Results!$M$53)</f>
        <v>57.969613980375996</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4.5474735088646412E-13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4.5474735088646412E-13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6.3204773999999998E-3</v>
      </c>
      <c r="G4" s="1">
        <f>'A3 - Production '!D206</f>
        <v>1.9614143620493921E-2</v>
      </c>
      <c r="H4" s="1">
        <f>'A4 - Transport'!B17</f>
        <v>4.7342506223999993E-3</v>
      </c>
      <c r="I4" s="1">
        <f>'A5 - Construction'!E139</f>
        <v>1.4781911191886577E-3</v>
      </c>
      <c r="J4" s="1">
        <f>'C1 - Deconstruction'!B87</f>
        <v>1.1217073342617407E-3</v>
      </c>
      <c r="K4" s="1">
        <f>'D- Benefits &amp; Burdens'!N161</f>
        <v>-7.22025521173561E-2</v>
      </c>
      <c r="L4" s="1">
        <f>+SUM(C4:G4)</f>
        <v>0.13080359196065028</v>
      </c>
      <c r="M4" s="1">
        <f t="shared" ref="M4:M22" si="0">SUM(C4:J4)</f>
        <v>0.13813774103650064</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4.2384877352999997</v>
      </c>
      <c r="G5" s="1">
        <f>'A3 - Production '!D207</f>
        <v>19.582533382424096</v>
      </c>
      <c r="H5" s="1">
        <f>'A4 - Transport'!B18</f>
        <v>3.1747701841127993</v>
      </c>
      <c r="I5" s="1">
        <f>'A5 - Construction'!E140</f>
        <v>1.1562033017188762</v>
      </c>
      <c r="J5" s="1">
        <f>'C1 - Deconstruction'!B88</f>
        <v>0.87737079908012983</v>
      </c>
      <c r="K5" s="1">
        <f>'D- Benefits &amp; Burdens'!N162</f>
        <v>-15.13219347994762</v>
      </c>
      <c r="L5" s="1">
        <f t="shared" ref="L5:L22" si="1">+SUM(C5:G5)</f>
        <v>52.761269695464193</v>
      </c>
      <c r="M5" s="1">
        <f t="shared" si="0"/>
        <v>57.969613980376003</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1.9808810099999998E-3</v>
      </c>
      <c r="G6" s="1">
        <f>'A3 - Production '!D208</f>
        <v>6.6398289883418315E-3</v>
      </c>
      <c r="H6" s="1">
        <f>'A4 - Transport'!B19</f>
        <v>1.4837466477599999E-3</v>
      </c>
      <c r="I6" s="1">
        <f>'A5 - Construction'!E141</f>
        <v>2.3895789556239896E-4</v>
      </c>
      <c r="J6" s="1">
        <f>'C1 - Deconstruction'!B89</f>
        <v>1.8133028980664895E-4</v>
      </c>
      <c r="K6" s="1">
        <f>'D- Benefits &amp; Burdens'!N163</f>
        <v>-6.6143088698569288E-2</v>
      </c>
      <c r="L6" s="1">
        <f t="shared" si="1"/>
        <v>0.17468888819790909</v>
      </c>
      <c r="M6" s="1">
        <f t="shared" si="0"/>
        <v>0.17659292303103813</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4.2361697213999996</v>
      </c>
      <c r="G7" s="1">
        <f>'A3 - Production '!D209</f>
        <v>19.572406573068495</v>
      </c>
      <c r="H7" s="1">
        <f>'A4 - Transport'!B20</f>
        <v>3.1730339135663996</v>
      </c>
      <c r="I7" s="1">
        <f>'A5 - Construction'!E142</f>
        <v>1.1559132134927155</v>
      </c>
      <c r="J7" s="1">
        <f>'C1 - Deconstruction'!B90</f>
        <v>0.87715066916144513</v>
      </c>
      <c r="K7" s="1">
        <f>'D- Benefits &amp; Burdens'!N164</f>
        <v>-15.066367086409356</v>
      </c>
      <c r="L7" s="1">
        <f t="shared" si="1"/>
        <v>52.582093670754517</v>
      </c>
      <c r="M7" s="1">
        <f t="shared" si="0"/>
        <v>57.788191466975078</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3.3712754999999997E-4</v>
      </c>
      <c r="G8" s="1">
        <f>'A3 - Production '!D210</f>
        <v>3.4869803672621076E-3</v>
      </c>
      <c r="H8" s="1">
        <f>'A4 - Transport'!B21</f>
        <v>2.5251989879999996E-4</v>
      </c>
      <c r="I8" s="1">
        <f>'A5 - Construction'!E143</f>
        <v>5.1130330598264246E-5</v>
      </c>
      <c r="J8" s="1">
        <f>'C1 - Deconstruction'!B91</f>
        <v>3.8799628878016996E-5</v>
      </c>
      <c r="K8" s="1">
        <f>'D- Benefits &amp; Burdens'!N165</f>
        <v>-8.209849376134554E-3</v>
      </c>
      <c r="L8" s="1">
        <f t="shared" si="1"/>
        <v>1.2575514300627047E-2</v>
      </c>
      <c r="M8" s="1">
        <f t="shared" si="0"/>
        <v>1.2917964158903327E-2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3.6403834382999998</v>
      </c>
      <c r="G9" s="1">
        <f>'A3 - Production '!D211</f>
        <v>10.813473980047528</v>
      </c>
      <c r="H9" s="1">
        <f>'A4 - Transport'!B22</f>
        <v>2.7267699048407996</v>
      </c>
      <c r="I9" s="1">
        <f>'A5 - Construction'!E144</f>
        <v>0.51084602839481119</v>
      </c>
      <c r="J9" s="1">
        <f>'C1 - Deconstruction'!B92</f>
        <v>0.38764928924986203</v>
      </c>
      <c r="K9" s="1">
        <f>'D- Benefits &amp; Burdens'!N166</f>
        <v>-677.4543827313845</v>
      </c>
      <c r="L9" s="1">
        <f t="shared" si="1"/>
        <v>676.41787028692443</v>
      </c>
      <c r="M9" s="1">
        <f t="shared" si="0"/>
        <v>680.04313550940992</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57.045638291999992</v>
      </c>
      <c r="G10" s="1">
        <f>'A3 - Production '!D212</f>
        <v>365.86081393749328</v>
      </c>
      <c r="H10" s="1">
        <f>'A4 - Transport'!B23</f>
        <v>42.729105967391988</v>
      </c>
      <c r="I10" s="1">
        <f>'A5 - Construction'!E145</f>
        <v>15.357470529031247</v>
      </c>
      <c r="J10" s="1">
        <f>'C1 - Deconstruction'!B93</f>
        <v>11.65382953834693</v>
      </c>
      <c r="K10" s="1">
        <f>'D- Benefits &amp; Burdens'!N167</f>
        <v>-1110.2458896932246</v>
      </c>
      <c r="L10" s="1">
        <f t="shared" si="1"/>
        <v>1668.3336019770529</v>
      </c>
      <c r="M10" s="1">
        <f t="shared" si="0"/>
        <v>1738.0740080118228</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9.8861823000000006E-5</v>
      </c>
      <c r="G11" s="1">
        <f>'A3 - Production '!D213</f>
        <v>6.8456367854698966E-4</v>
      </c>
      <c r="H11" s="1">
        <f>'A4 - Transport'!B24</f>
        <v>7.4050837847999975E-5</v>
      </c>
      <c r="I11" s="1">
        <f>'A5 - Construction'!E146</f>
        <v>1.2222631600350229E-5</v>
      </c>
      <c r="J11" s="1">
        <f>'C1 - Deconstruction'!B94</f>
        <v>9.2749951830432911E-6</v>
      </c>
      <c r="K11" s="1">
        <f>'D- Benefits &amp; Burdens'!N168</f>
        <v>-6.9174689331843911E-4</v>
      </c>
      <c r="L11" s="1">
        <f t="shared" si="1"/>
        <v>1.5513344120669909E-3</v>
      </c>
      <c r="M11" s="1">
        <f t="shared" si="0"/>
        <v>1.6468828766983844E-3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1.3776452399999999E-3</v>
      </c>
      <c r="G12" s="1">
        <f>'A3 - Production '!D214</f>
        <v>5.1149606694385254E-3</v>
      </c>
      <c r="H12" s="1">
        <f>'A4 - Transport'!B25</f>
        <v>1.0319027222399997E-3</v>
      </c>
      <c r="I12" s="1">
        <f>'A5 - Construction'!E147</f>
        <v>3.3426717195615875E-4</v>
      </c>
      <c r="J12" s="1">
        <f>'C1 - Deconstruction'!B95</f>
        <v>2.5365457383613185E-4</v>
      </c>
      <c r="K12" s="1">
        <f>'D- Benefits &amp; Burdens'!N169</f>
        <v>-2.1931701285842056E-2</v>
      </c>
      <c r="L12" s="1">
        <f t="shared" si="1"/>
        <v>3.7694971201941742E-2</v>
      </c>
      <c r="M12" s="1">
        <f t="shared" si="0"/>
        <v>3.9314795669974027E-2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1.4911763099999999E-2</v>
      </c>
      <c r="G13" s="1">
        <f>'A3 - Production '!D215</f>
        <v>5.5145335859629045E-2</v>
      </c>
      <c r="H13" s="1">
        <f>'A4 - Transport'!B26</f>
        <v>1.1169413205599998E-2</v>
      </c>
      <c r="I13" s="1">
        <f>'A5 - Construction'!E148</f>
        <v>3.6338960575558604E-3</v>
      </c>
      <c r="J13" s="1">
        <f>'C1 - Deconstruction'!B96</f>
        <v>2.7575377816790978E-3</v>
      </c>
      <c r="K13" s="1">
        <f>'D- Benefits &amp; Burdens'!N170</f>
        <v>-0.25749396051969053</v>
      </c>
      <c r="L13" s="1">
        <f t="shared" si="1"/>
        <v>0.4409292011147275</v>
      </c>
      <c r="M13" s="1">
        <f t="shared" si="0"/>
        <v>0.45849004815956246</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3.7566098999999999E-10</v>
      </c>
      <c r="G14" s="1">
        <f>'A3 - Production '!D216</f>
        <v>1.9461311239827322E-9</v>
      </c>
      <c r="H14" s="1">
        <f>'A4 - Transport'!B27</f>
        <v>2.8138274423999994E-10</v>
      </c>
      <c r="I14" s="1">
        <f>'A5 - Construction'!E149</f>
        <v>7.0656203097876641E-11</v>
      </c>
      <c r="J14" s="1">
        <f>'C1 - Deconstruction'!B97</f>
        <v>5.3616599502692708E-11</v>
      </c>
      <c r="K14" s="1">
        <f>'D- Benefits &amp; Burdens'!N171</f>
        <v>-1.2065738637515994E-8</v>
      </c>
      <c r="L14" s="1">
        <f t="shared" si="1"/>
        <v>1.5316985005873739E-8</v>
      </c>
      <c r="M14" s="1">
        <f t="shared" si="0"/>
        <v>1.5722640552714312E-8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3.0565626000000004E-8</v>
      </c>
      <c r="G15" s="1">
        <f>'A3 - Production '!D217</f>
        <v>3.7968893174066107E-8</v>
      </c>
      <c r="H15" s="1">
        <f>'A4 - Transport'!B28</f>
        <v>2.2894684175999996E-8</v>
      </c>
      <c r="I15" s="1">
        <f>'A5 - Construction'!E150</f>
        <v>1.8832761696818848E-9</v>
      </c>
      <c r="J15" s="1">
        <f>'C1 - Deconstruction'!B98</f>
        <v>1.4291011930392459E-9</v>
      </c>
      <c r="K15" s="1">
        <f>'D- Benefits &amp; Burdens'!N172</f>
        <v>-3.5145573580688045E-7</v>
      </c>
      <c r="L15" s="1">
        <f t="shared" si="1"/>
        <v>5.0870863473997918E-7</v>
      </c>
      <c r="M15" s="1">
        <f t="shared" si="0"/>
        <v>5.3491569627870034E-7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2.58671202E-2</v>
      </c>
      <c r="G16" s="1">
        <f>'A3 - Production '!D218</f>
        <v>2.4411247387958128</v>
      </c>
      <c r="H16" s="1">
        <f>'A4 - Transport'!B29</f>
        <v>1.9375344955199998E-2</v>
      </c>
      <c r="I16" s="1">
        <f>'A5 - Construction'!E151</f>
        <v>4.6112078359980043E-3</v>
      </c>
      <c r="J16" s="1">
        <f>'C1 - Deconstruction'!B99</f>
        <v>3.4991589262714472E-3</v>
      </c>
      <c r="K16" s="1">
        <f>'D- Benefits &amp; Burdens'!N173</f>
        <v>-0.52010650464991559</v>
      </c>
      <c r="L16" s="1">
        <f t="shared" si="1"/>
        <v>2.9445024405740789</v>
      </c>
      <c r="M16" s="1">
        <f t="shared" si="0"/>
        <v>2.9719881522915483</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3.5982659238000001</v>
      </c>
      <c r="G17" s="1">
        <f>'A3 - Production '!D219</f>
        <v>12.671818933622003</v>
      </c>
      <c r="H17" s="1">
        <f>'A4 - Transport'!B30</f>
        <v>2.6952224667887998</v>
      </c>
      <c r="I17" s="1">
        <f>'A5 - Construction'!E152</f>
        <v>0.78959557178350104</v>
      </c>
      <c r="J17" s="1">
        <f>'C1 - Deconstruction'!B100</f>
        <v>0.59917498655808599</v>
      </c>
      <c r="K17" s="1">
        <f>'D- Benefits &amp; Burdens'!N174</f>
        <v>-495.14779855716648</v>
      </c>
      <c r="L17" s="1">
        <f t="shared" si="1"/>
        <v>433.28045430178213</v>
      </c>
      <c r="M17" s="1">
        <f t="shared" si="0"/>
        <v>437.36444732691245</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4.6761578999999995E-6</v>
      </c>
      <c r="G18" s="1">
        <f>'A3 - Production '!D220</f>
        <v>2.9954224694572073E-5</v>
      </c>
      <c r="H18" s="1">
        <f>'A4 - Transport'!B31</f>
        <v>3.5025998903999994E-6</v>
      </c>
      <c r="I18" s="1">
        <f>'A5 - Construction'!E153</f>
        <v>1.8028898020957092E-7</v>
      </c>
      <c r="J18" s="1">
        <f>'C1 - Deconstruction'!B101</f>
        <v>1.3681009766764487E-7</v>
      </c>
      <c r="K18" s="1">
        <f>'D- Benefits &amp; Burdens'!N175</f>
        <v>-8.7641125758090004E-6</v>
      </c>
      <c r="L18" s="1">
        <f t="shared" si="1"/>
        <v>2.576516730854117E-4</v>
      </c>
      <c r="M18" s="1">
        <f t="shared" si="0"/>
        <v>2.614713720536889E-4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9.4246193999999998E-8</v>
      </c>
      <c r="G19" s="1">
        <f>'A3 - Production '!D221</f>
        <v>2.6295657710108605E-6</v>
      </c>
      <c r="H19" s="1">
        <f>'A4 - Transport'!B32</f>
        <v>7.0593576143999996E-8</v>
      </c>
      <c r="I19" s="1">
        <f>'A5 - Construction'!E154</f>
        <v>2.6054599246773572E-8</v>
      </c>
      <c r="J19" s="1">
        <f>'C1 - Deconstruction'!B102</f>
        <v>1.9771215431464347E-8</v>
      </c>
      <c r="K19" s="1">
        <f>'D- Benefits &amp; Burdens'!N176</f>
        <v>-3.9897015742938797E-8</v>
      </c>
      <c r="L19" s="1">
        <f t="shared" si="1"/>
        <v>3.0804697386450682E-6</v>
      </c>
      <c r="M19" s="1">
        <f t="shared" si="0"/>
        <v>3.1968891294673061E-6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2.6271651899999998E-7</v>
      </c>
      <c r="G20" s="1">
        <f>'A3 - Production '!D222</f>
        <v>8.701914436458356E-8</v>
      </c>
      <c r="H20" s="1">
        <f>'A4 - Transport'!B33</f>
        <v>1.9678352834399996E-7</v>
      </c>
      <c r="I20" s="1">
        <f>'A5 - Construction'!E155</f>
        <v>1.138774689907637E-8</v>
      </c>
      <c r="J20" s="1">
        <f>'C1 - Deconstruction'!B103</f>
        <v>8.6414530919530463E-9</v>
      </c>
      <c r="K20" s="1">
        <f>'D- Benefits &amp; Burdens'!N177</f>
        <v>-1.2382418050634864E-6</v>
      </c>
      <c r="L20" s="1">
        <f t="shared" si="1"/>
        <v>2.5214279022911895E-6</v>
      </c>
      <c r="M20" s="1">
        <f t="shared" si="0"/>
        <v>2.7382406306262188E-6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1.1019517199999999E-2</v>
      </c>
      <c r="G21" s="1">
        <f>'A3 - Production '!D223</f>
        <v>1.8627555673985035E-2</v>
      </c>
      <c r="H21" s="1">
        <f>'A4 - Transport'!B34</f>
        <v>8.2539898271999975E-3</v>
      </c>
      <c r="I21" s="1">
        <f>'A5 - Construction'!E156</f>
        <v>2.8478866723185801E-3</v>
      </c>
      <c r="J21" s="1">
        <f>'C1 - Deconstruction'!B104</f>
        <v>2.1610841291208631E-3</v>
      </c>
      <c r="K21" s="1">
        <f>'D- Benefits &amp; Burdens'!N178</f>
        <v>-8.4101418515597742E-2</v>
      </c>
      <c r="L21" s="1">
        <f t="shared" si="1"/>
        <v>0.16371705413746715</v>
      </c>
      <c r="M21" s="1">
        <f t="shared" si="0"/>
        <v>0.17698001476610659</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0.12992724629999999</v>
      </c>
      <c r="G22" s="1">
        <f>'A3 - Production '!D224</f>
        <v>0.82719864213532579</v>
      </c>
      <c r="H22" s="1">
        <f>'A4 - Transport'!B35</f>
        <v>9.7319887048799986E-2</v>
      </c>
      <c r="I22" s="1">
        <f>'A5 - Construction'!E157</f>
        <v>2.0785173727269492E-2</v>
      </c>
      <c r="J22" s="1">
        <f>'C1 - Deconstruction'!B105</f>
        <v>1.5772576029667661E-2</v>
      </c>
      <c r="K22" s="1">
        <f>'D- Benefits &amp; Burdens'!N179</f>
        <v>-4.5357785139957096</v>
      </c>
      <c r="L22" s="1">
        <f t="shared" si="1"/>
        <v>5.2698004244041972</v>
      </c>
      <c r="M22" s="1">
        <f t="shared" si="0"/>
        <v>5.4036780612099342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7.0480143669064743E-6</v>
      </c>
      <c r="H28" s="1">
        <f t="shared" ref="H28" si="6">(G4/$B28)*$C28</f>
        <v>2.1871886771054371E-5</v>
      </c>
      <c r="I28" s="1">
        <f t="shared" ref="I28" si="7">(H4/$B28)*$C28</f>
        <v>5.279200334330934E-6</v>
      </c>
      <c r="J28" s="1">
        <f t="shared" ref="J28" si="8">(I4/$B28)*$C28</f>
        <v>1.6483426149226037E-6</v>
      </c>
      <c r="K28" s="1">
        <f t="shared" ref="K28" si="9">(J4/$B28)*$C28</f>
        <v>1.2508247252558979E-6</v>
      </c>
      <c r="L28" s="1">
        <f t="shared" ref="L28" si="10">(K4/$B28)*$C28</f>
        <v>-8.0513637253166868E-5</v>
      </c>
      <c r="M28" s="1">
        <f>SUM(D28:H28)*1000</f>
        <v>0.14586012053166042</v>
      </c>
      <c r="N28" s="1">
        <f>SUM(D28:K28)*1000</f>
        <v>0.15403848820616983</v>
      </c>
      <c r="O28" s="1">
        <f>SUM(D28:L28)*1000</f>
        <v>7.3524850953002957E-2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1.1020068111779997E-4</v>
      </c>
      <c r="H29" s="1">
        <f t="shared" ref="H29:H46" si="15">(G5/$B29)*$C29</f>
        <v>5.091458679430265E-4</v>
      </c>
      <c r="I29" s="1">
        <f t="shared" ref="I29:I46" si="16">(H5/$B29)*$C29</f>
        <v>8.2544024786932775E-5</v>
      </c>
      <c r="J29" s="1">
        <f t="shared" ref="J29:J46" si="17">(I5/$B29)*$C29</f>
        <v>3.0061285844690778E-5</v>
      </c>
      <c r="K29" s="1">
        <f t="shared" ref="K29:K46" si="18">(J5/$B29)*$C29</f>
        <v>2.2811640776083373E-5</v>
      </c>
      <c r="L29" s="1">
        <f t="shared" ref="L29:L46" si="19">(K5/$B29)*$C29</f>
        <v>-3.9343703047863812E-4</v>
      </c>
      <c r="M29" s="1">
        <f>SUM(D29:H29)*1000</f>
        <v>1.3717930120820689</v>
      </c>
      <c r="N29" s="1">
        <f t="shared" ref="N29:N46" si="20">SUM(D29:K29)*1000</f>
        <v>1.507209963489776</v>
      </c>
      <c r="O29" s="1">
        <f>SUM(D29:L29)*1000</f>
        <v>1.1137729330111379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1.6368937240131147E-6</v>
      </c>
      <c r="H33" s="1">
        <f t="shared" si="15"/>
        <v>4.8622646467661014E-6</v>
      </c>
      <c r="I33" s="1">
        <f t="shared" si="16"/>
        <v>1.2260885754787671E-6</v>
      </c>
      <c r="J33" s="1">
        <f t="shared" si="17"/>
        <v>2.2970125866932963E-7</v>
      </c>
      <c r="K33" s="1">
        <f t="shared" si="18"/>
        <v>1.7430600359712764E-7</v>
      </c>
      <c r="L33" s="1">
        <f t="shared" si="19"/>
        <v>-3.0461649059584499E-4</v>
      </c>
      <c r="M33" s="1">
        <f t="shared" ref="M33:M46" si="21">SUM(D33:H33)*1000</f>
        <v>0.30415042411027976</v>
      </c>
      <c r="N33" s="1">
        <f t="shared" si="20"/>
        <v>0.30578051994802496</v>
      </c>
      <c r="O33" s="1">
        <f t="shared" ref="O33:O46" si="22">SUM(D33:L33)*1000</f>
        <v>1.1640293521799792E-3</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6.6260702939169213E-5</v>
      </c>
      <c r="H34" s="1">
        <f t="shared" si="15"/>
        <v>4.2496140695816526E-4</v>
      </c>
      <c r="I34" s="1">
        <f t="shared" si="16"/>
        <v>4.9631500008278386E-5</v>
      </c>
      <c r="J34" s="1">
        <f t="shared" si="17"/>
        <v>1.7838292691413218E-5</v>
      </c>
      <c r="K34" s="1">
        <f t="shared" si="18"/>
        <v>1.3536371233002972E-5</v>
      </c>
      <c r="L34" s="1">
        <f t="shared" si="19"/>
        <v>-1.2895933026436687E-3</v>
      </c>
      <c r="M34" s="1">
        <f t="shared" si="21"/>
        <v>1.937833645373346</v>
      </c>
      <c r="N34" s="1">
        <f t="shared" si="20"/>
        <v>2.0188398093060407</v>
      </c>
      <c r="O34" s="1">
        <f t="shared" si="22"/>
        <v>0.72924650666237201</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1.7193360521739129E-6</v>
      </c>
      <c r="H35" s="1">
        <f t="shared" si="15"/>
        <v>1.1905455279078079E-5</v>
      </c>
      <c r="I35" s="1">
        <f t="shared" si="16"/>
        <v>1.2878406582260863E-6</v>
      </c>
      <c r="J35" s="1">
        <f t="shared" si="17"/>
        <v>2.1256750609304743E-7</v>
      </c>
      <c r="K35" s="1">
        <f t="shared" si="18"/>
        <v>1.6130426405292678E-7</v>
      </c>
      <c r="L35" s="1">
        <f t="shared" si="19"/>
        <v>-1.2030380753364157E-5</v>
      </c>
      <c r="M35" s="1">
        <f t="shared" si="21"/>
        <v>2.6979728905512881E-2</v>
      </c>
      <c r="N35" s="1">
        <f t="shared" si="20"/>
        <v>2.8641441333884941E-2</v>
      </c>
      <c r="O35" s="1">
        <f t="shared" si="22"/>
        <v>1.6611060580520785E-2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2.0911948258461539E-6</v>
      </c>
      <c r="H36" s="1">
        <f t="shared" si="15"/>
        <v>7.7642479905323271E-6</v>
      </c>
      <c r="I36" s="1">
        <f t="shared" si="16"/>
        <v>1.5663754142719996E-6</v>
      </c>
      <c r="J36" s="1">
        <f t="shared" si="17"/>
        <v>5.0740042512319476E-7</v>
      </c>
      <c r="K36" s="1">
        <f t="shared" si="18"/>
        <v>3.8503463515638476E-7</v>
      </c>
      <c r="L36" s="1">
        <f t="shared" si="19"/>
        <v>-3.3291197849278197E-5</v>
      </c>
      <c r="M36" s="1">
        <f t="shared" si="21"/>
        <v>5.7219033209101315E-2</v>
      </c>
      <c r="N36" s="1">
        <f t="shared" si="20"/>
        <v>5.9677843683652899E-2</v>
      </c>
      <c r="O36" s="1">
        <f t="shared" si="22"/>
        <v>2.6386645834374702E-2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3.1255729435593221E-6</v>
      </c>
      <c r="H37" s="1">
        <f t="shared" si="15"/>
        <v>1.1558711640634112E-5</v>
      </c>
      <c r="I37" s="1">
        <f t="shared" si="16"/>
        <v>2.3411594911172881E-6</v>
      </c>
      <c r="J37" s="1">
        <f t="shared" si="17"/>
        <v>7.6168103805266902E-7</v>
      </c>
      <c r="K37" s="1">
        <f t="shared" si="18"/>
        <v>5.7799238248753979E-7</v>
      </c>
      <c r="L37" s="1">
        <f t="shared" si="19"/>
        <v>-5.3971897939437963E-5</v>
      </c>
      <c r="M37" s="1">
        <f t="shared" si="21"/>
        <v>9.2420753453990909E-2</v>
      </c>
      <c r="N37" s="1">
        <f t="shared" si="20"/>
        <v>9.6101586365648403E-2</v>
      </c>
      <c r="O37" s="1">
        <f t="shared" si="22"/>
        <v>4.2129688426210433E-2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4.7346621816568045E-7</v>
      </c>
      <c r="H38" s="1">
        <f t="shared" si="15"/>
        <v>2.4528161503451003E-6</v>
      </c>
      <c r="I38" s="1">
        <f t="shared" si="16"/>
        <v>3.5464215694153836E-7</v>
      </c>
      <c r="J38" s="1">
        <f t="shared" si="17"/>
        <v>8.9051900945844519E-8</v>
      </c>
      <c r="K38" s="1">
        <f t="shared" si="18"/>
        <v>6.7575950852506183E-8</v>
      </c>
      <c r="L38" s="1">
        <f t="shared" si="19"/>
        <v>-1.5207114377460987E-5</v>
      </c>
      <c r="M38" s="1">
        <f t="shared" si="21"/>
        <v>1.930483909024323E-2</v>
      </c>
      <c r="N38" s="1">
        <f t="shared" si="20"/>
        <v>1.9816109098983119E-2</v>
      </c>
      <c r="O38" s="1">
        <f t="shared" si="22"/>
        <v>4.608994721522131E-3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2.4452500800000003E-6</v>
      </c>
      <c r="H39" s="1">
        <f t="shared" si="15"/>
        <v>3.0375114539252887E-6</v>
      </c>
      <c r="I39" s="1">
        <f t="shared" si="16"/>
        <v>1.8315747340799997E-6</v>
      </c>
      <c r="J39" s="1">
        <f t="shared" si="17"/>
        <v>1.5066209357455078E-7</v>
      </c>
      <c r="K39" s="1">
        <f t="shared" si="18"/>
        <v>1.1432809544313966E-7</v>
      </c>
      <c r="L39" s="1">
        <f t="shared" si="19"/>
        <v>-2.8116458864550435E-5</v>
      </c>
      <c r="M39" s="1">
        <f t="shared" si="21"/>
        <v>4.0696690779198332E-2</v>
      </c>
      <c r="N39" s="1">
        <f t="shared" si="20"/>
        <v>4.2793255702296022E-2</v>
      </c>
      <c r="O39" s="1">
        <f t="shared" si="22"/>
        <v>1.4676796837745587E-2</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3.0709543175829384E-7</v>
      </c>
      <c r="H40" s="1">
        <f t="shared" si="15"/>
        <v>2.8981125453476359E-5</v>
      </c>
      <c r="I40" s="1">
        <f t="shared" si="16"/>
        <v>2.3002482991836962E-7</v>
      </c>
      <c r="J40" s="1">
        <f t="shared" si="17"/>
        <v>5.4744434261492891E-8</v>
      </c>
      <c r="K40" s="1">
        <f t="shared" si="18"/>
        <v>4.1542147442227365E-8</v>
      </c>
      <c r="L40" s="1">
        <f t="shared" si="19"/>
        <v>-6.1747241428816995E-6</v>
      </c>
      <c r="M40" s="1">
        <f t="shared" si="21"/>
        <v>3.4957244614398426E-2</v>
      </c>
      <c r="N40" s="1">
        <f t="shared" si="20"/>
        <v>3.528355602602052E-2</v>
      </c>
      <c r="O40" s="1">
        <f t="shared" si="22"/>
        <v>2.9108831883138824E-2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3.4884287466388276E-7</v>
      </c>
      <c r="H41" s="1">
        <f t="shared" si="15"/>
        <v>1.2285011273865532E-6</v>
      </c>
      <c r="I41" s="1">
        <f t="shared" si="16"/>
        <v>2.6129507187183238E-7</v>
      </c>
      <c r="J41" s="1">
        <f t="shared" si="17"/>
        <v>7.6549314285238074E-8</v>
      </c>
      <c r="K41" s="1">
        <f t="shared" si="18"/>
        <v>5.8088515180356561E-8</v>
      </c>
      <c r="L41" s="1">
        <f t="shared" si="19"/>
        <v>-4.8003339689180729E-5</v>
      </c>
      <c r="M41" s="1">
        <f t="shared" si="21"/>
        <v>4.2005455520832111E-2</v>
      </c>
      <c r="N41" s="1">
        <f t="shared" si="20"/>
        <v>4.2401388422169541E-2</v>
      </c>
      <c r="O41" s="1">
        <f t="shared" si="22"/>
        <v>-5.6019512670111892E-3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5.9854821119999993E-12</v>
      </c>
      <c r="H42" s="1">
        <f t="shared" si="15"/>
        <v>3.834140760905225E-11</v>
      </c>
      <c r="I42" s="1">
        <f t="shared" si="16"/>
        <v>4.4833278597119991E-12</v>
      </c>
      <c r="J42" s="1">
        <f t="shared" si="17"/>
        <v>2.3076989466825078E-13</v>
      </c>
      <c r="K42" s="1">
        <f t="shared" si="18"/>
        <v>1.7511692501458543E-13</v>
      </c>
      <c r="L42" s="1">
        <f t="shared" si="19"/>
        <v>-1.121806409703552E-11</v>
      </c>
      <c r="M42" s="1">
        <f t="shared" si="21"/>
        <v>3.2979414154932694E-7</v>
      </c>
      <c r="N42" s="1">
        <f t="shared" si="20"/>
        <v>3.3468335622872179E-7</v>
      </c>
      <c r="O42" s="1">
        <f t="shared" si="22"/>
        <v>3.2346529213168625E-7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1.1095027689179102E-7</v>
      </c>
      <c r="H43" s="1">
        <f t="shared" si="15"/>
        <v>3.0956268684847994E-6</v>
      </c>
      <c r="I43" s="1">
        <f t="shared" si="16"/>
        <v>8.3105497288925339E-8</v>
      </c>
      <c r="J43" s="1">
        <f t="shared" si="17"/>
        <v>3.0672485307302459E-8</v>
      </c>
      <c r="K43" s="1">
        <f t="shared" si="18"/>
        <v>2.3275442047115675E-8</v>
      </c>
      <c r="L43" s="1">
        <f t="shared" si="19"/>
        <v>-4.6968315174989508E-8</v>
      </c>
      <c r="M43" s="1">
        <f t="shared" si="21"/>
        <v>3.6264485169496966E-3</v>
      </c>
      <c r="N43" s="1">
        <f t="shared" si="20"/>
        <v>3.7635019415930403E-3</v>
      </c>
      <c r="O43" s="1">
        <f t="shared" si="22"/>
        <v>3.7165336264180508E-3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3.9562016978823531E-5</v>
      </c>
      <c r="H44" s="1">
        <f t="shared" si="15"/>
        <v>1.3104059386666702E-5</v>
      </c>
      <c r="I44" s="1">
        <f t="shared" si="16"/>
        <v>2.9633284268272938E-5</v>
      </c>
      <c r="J44" s="1">
        <f t="shared" si="17"/>
        <v>1.7148607095079711E-6</v>
      </c>
      <c r="K44" s="1">
        <f t="shared" si="18"/>
        <v>1.3013011714941059E-6</v>
      </c>
      <c r="L44" s="1">
        <f t="shared" si="19"/>
        <v>-1.8646464829191324E-4</v>
      </c>
      <c r="M44" s="1">
        <f t="shared" si="21"/>
        <v>0.37969737822737926</v>
      </c>
      <c r="N44" s="1">
        <f t="shared" si="20"/>
        <v>0.41234682437665426</v>
      </c>
      <c r="O44" s="1">
        <f t="shared" si="22"/>
        <v>0.22588217608474101</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1.297371729458128E-5</v>
      </c>
      <c r="H45" s="1">
        <f t="shared" si="15"/>
        <v>2.1930964561982381E-5</v>
      </c>
      <c r="I45" s="1">
        <f t="shared" si="16"/>
        <v>9.7177515699546768E-6</v>
      </c>
      <c r="J45" s="1">
        <f t="shared" si="17"/>
        <v>3.3529306142075896E-6</v>
      </c>
      <c r="K45" s="1">
        <f t="shared" si="18"/>
        <v>2.5443305756644643E-6</v>
      </c>
      <c r="L45" s="1">
        <f t="shared" si="19"/>
        <v>-9.9015955789299797E-5</v>
      </c>
      <c r="M45" s="1">
        <f t="shared" si="21"/>
        <v>0.19275062038844659</v>
      </c>
      <c r="N45" s="1">
        <f t="shared" si="20"/>
        <v>0.2083656331482733</v>
      </c>
      <c r="O45" s="1">
        <f t="shared" si="22"/>
        <v>0.1093496773589735</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9.6146162261999989E-7</v>
      </c>
      <c r="H46" s="1">
        <f t="shared" si="15"/>
        <v>6.1212699518014102E-6</v>
      </c>
      <c r="I46" s="1">
        <f t="shared" si="16"/>
        <v>7.2016716416111986E-7</v>
      </c>
      <c r="J46" s="1">
        <f t="shared" si="17"/>
        <v>1.5381028558179424E-7</v>
      </c>
      <c r="K46" s="1">
        <f t="shared" si="18"/>
        <v>1.1671706261954069E-7</v>
      </c>
      <c r="L46" s="1">
        <f t="shared" si="19"/>
        <v>-3.3564761003568253E-5</v>
      </c>
      <c r="M46" s="1">
        <f t="shared" si="21"/>
        <v>3.8996523140591051E-2</v>
      </c>
      <c r="N46" s="1">
        <f t="shared" si="20"/>
        <v>3.9987217652953502E-2</v>
      </c>
      <c r="O46" s="1">
        <f t="shared" si="22"/>
        <v>6.4224566493852504E-3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0.24926520273245478</v>
      </c>
      <c r="H47" s="88">
        <f t="shared" si="23"/>
        <v>1.0720217545247328</v>
      </c>
      <c r="I47" s="88">
        <f t="shared" si="23"/>
        <v>0.18670803904445349</v>
      </c>
      <c r="J47" s="88">
        <f t="shared" si="23"/>
        <v>5.688255344740651E-2</v>
      </c>
      <c r="K47" s="88">
        <f t="shared" si="23"/>
        <v>4.3164633155496616E-2</v>
      </c>
      <c r="L47" s="88">
        <f t="shared" si="23"/>
        <v>-2.5840479192054935</v>
      </c>
      <c r="M47" s="1">
        <f>+SUM(M28:M46)</f>
        <v>4.6882922477381408</v>
      </c>
      <c r="N47" s="1">
        <f>+SUM(N28:N46)</f>
        <v>4.9750474733854979</v>
      </c>
      <c r="O47" s="1">
        <f>SUM(O28:O46)</f>
        <v>2.3909995541800035</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4.2384877352999997</v>
      </c>
      <c r="G53" s="88">
        <f>'A3 - Production '!D207</f>
        <v>19.582533382424096</v>
      </c>
      <c r="H53" s="88">
        <f>'A4 - Transport'!B18</f>
        <v>3.1747701841127993</v>
      </c>
      <c r="I53" s="88">
        <f>'A5 - Construction'!E140</f>
        <v>1.1562033017188762</v>
      </c>
      <c r="J53" s="88">
        <f>'C1 - Deconstruction'!B88</f>
        <v>0.87737079908012983</v>
      </c>
      <c r="K53" s="1">
        <f>'D- Benefits &amp; Burdens'!N162</f>
        <v>-15.13219347994762</v>
      </c>
      <c r="L53" s="1">
        <f>SUM(C53:G53)</f>
        <v>52.761269695464186</v>
      </c>
      <c r="M53" s="1">
        <f>SUM(C53:J53)</f>
        <v>57.969613980375996</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4.2384877352999997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19.582533382424096</v>
      </c>
      <c r="P60" s="245">
        <f>'D- Benefits &amp; Burdens'!N162</f>
        <v>-15.13219347994762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6.3204773999999998E-3</v>
      </c>
      <c r="N67" s="62">
        <f t="shared" ref="N67" si="25">SUM(L67:M67)</f>
        <v>6.5337167117742821E-3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1.9614143620493921E-2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2.75825151E-2</v>
      </c>
      <c r="AC67" s="1">
        <f>'D- Benefits &amp; Burdens'!C161</f>
        <v>9.7208322691190062E-4</v>
      </c>
      <c r="AD67" s="62">
        <f>SUM(AB67:AC67)</f>
        <v>2.8554598326911901E-2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-7.22025521173561E-2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4.2384877352999997</v>
      </c>
      <c r="N68" s="62">
        <f t="shared" ref="N68:N85" si="30">SUM(L68:M68)</f>
        <v>4.4052780732537347</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19.582533382424096</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10.0823796227</v>
      </c>
      <c r="AC68" s="1">
        <f>'D- Benefits &amp; Burdens'!C162</f>
        <v>0.76033864762898462</v>
      </c>
      <c r="AD68" s="62">
        <f t="shared" ref="AD68:AD85" si="34">SUM(AB68:AC68)</f>
        <v>10.842718270328984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-15.13219347994762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1.9808810099999998E-3</v>
      </c>
      <c r="N69" s="62">
        <f t="shared" si="30"/>
        <v>2.0153523422460798E-3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6.6398289883418315E-3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4.6599652400000002E-3</v>
      </c>
      <c r="AC69" s="1">
        <f>'D- Benefits &amp; Burdens'!C163</f>
        <v>1.5714271260259654E-4</v>
      </c>
      <c r="AD69" s="62">
        <f t="shared" si="34"/>
        <v>4.8171079526025968E-3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-6.6143088698569288E-2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4.2361697213999996</v>
      </c>
      <c r="N70" s="62">
        <f t="shared" si="30"/>
        <v>4.4029182121170019</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19.572406573068495</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10.076926877499998</v>
      </c>
      <c r="AC70" s="1">
        <f>'D- Benefits &amp; Burdens'!C164</f>
        <v>0.76014788075498918</v>
      </c>
      <c r="AD70" s="62">
        <f t="shared" si="34"/>
        <v>10.837074758254987</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-15.066367086409356</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3.3712754999999997E-4</v>
      </c>
      <c r="N71" s="62">
        <f t="shared" si="30"/>
        <v>3.4450345448625458E-4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3.4869803672621076E-3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7.9276127000000001E-4</v>
      </c>
      <c r="AC71" s="1">
        <f>'D- Benefits &amp; Burdens'!C165</f>
        <v>3.3624161392820239E-5</v>
      </c>
      <c r="AD71" s="62">
        <f t="shared" si="34"/>
        <v>8.2638543139282024E-4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-8.209849376134554E-3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3.6403834382999998</v>
      </c>
      <c r="N72" s="62">
        <f t="shared" si="30"/>
        <v>3.7140765177018875</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10.813473980047528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8.5685443843999991</v>
      </c>
      <c r="AC72" s="1">
        <f>'D- Benefits &amp; Burdens'!C166</f>
        <v>0.33594090053099462</v>
      </c>
      <c r="AD72" s="62">
        <f t="shared" si="34"/>
        <v>8.9044852849309937</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-677.4543827313845</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57.045638291999992</v>
      </c>
      <c r="N73" s="62">
        <f t="shared" si="30"/>
        <v>59.261059832349865</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365.86081393749328</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135.56103770299998</v>
      </c>
      <c r="AC73" s="1">
        <f>'D- Benefits &amp; Burdens'!C167</f>
        <v>10.099329724872872</v>
      </c>
      <c r="AD73" s="62">
        <f t="shared" si="34"/>
        <v>145.66036742787284</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-1110.2458896932246</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9.8861823000000006E-5</v>
      </c>
      <c r="N74" s="62">
        <f t="shared" si="30"/>
        <v>1.0062502230264487E-4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6.8456367854698966E-4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2.3194289999999999E-4</v>
      </c>
      <c r="AC74" s="1">
        <f>'D- Benefits &amp; Burdens'!C168</f>
        <v>8.0378071638972046E-6</v>
      </c>
      <c r="AD74" s="62">
        <f t="shared" si="34"/>
        <v>2.399807071638972E-4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-6.9174689331843911E-4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1.3776452399999999E-3</v>
      </c>
      <c r="N75" s="62">
        <f t="shared" si="30"/>
        <v>1.4258655957925513E-3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5.1149606694385254E-3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9.896604199999999E-3</v>
      </c>
      <c r="AC75" s="1">
        <f>'D- Benefits &amp; Burdens'!C169</f>
        <v>2.1981968836628309E-4</v>
      </c>
      <c r="AD75" s="62">
        <f t="shared" si="34"/>
        <v>1.0116423888366283E-2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-2.1931701285842056E-2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1.4911763099999999E-2</v>
      </c>
      <c r="N76" s="62">
        <f t="shared" si="30"/>
        <v>1.5435977786662307E-2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5.5145335859629045E-2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0.1079568665</v>
      </c>
      <c r="AC76" s="1">
        <f>'D- Benefits &amp; Burdens'!C170</f>
        <v>2.3897108838200898E-3</v>
      </c>
      <c r="AD76" s="62">
        <f t="shared" si="34"/>
        <v>0.11034657738382009</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-0.25749396051969053</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3.7566098999999999E-10</v>
      </c>
      <c r="N77" s="62">
        <f t="shared" si="30"/>
        <v>3.858536368949731E-10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1.9461311239827322E-9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9.4241832999999994E-10</v>
      </c>
      <c r="AC77" s="1">
        <f>'D- Benefits &amp; Burdens'!C171</f>
        <v>4.6464702038275903E-11</v>
      </c>
      <c r="AD77" s="62">
        <f t="shared" si="34"/>
        <v>9.8888303203827586E-10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-1.2065738637515994E-8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3.0565626000000004E-8</v>
      </c>
      <c r="N78" s="62">
        <f t="shared" si="30"/>
        <v>3.0837301637264212E-8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3.7968893174066107E-8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7.2258654999999991E-8</v>
      </c>
      <c r="AC78" s="1">
        <f>'D- Benefits &amp; Burdens'!C172</f>
        <v>1.2384739377919393E-9</v>
      </c>
      <c r="AD78" s="62">
        <f t="shared" si="34"/>
        <v>7.3497128937791933E-8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-3.5145573580688045E-7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2.58671202E-2</v>
      </c>
      <c r="N79" s="62">
        <f t="shared" si="30"/>
        <v>2.6532318882790149E-2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2.4411247387958128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6.1030824399999996E-2</v>
      </c>
      <c r="AC79" s="1">
        <f>'D- Benefits &amp; Burdens'!C173</f>
        <v>3.0324074708544474E-3</v>
      </c>
      <c r="AD79" s="62">
        <f t="shared" si="34"/>
        <v>6.4063231870854442E-2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-0.52010650464991559</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3.5982659238000001</v>
      </c>
      <c r="N80" s="62">
        <f t="shared" si="30"/>
        <v>3.7121705563752183</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12.671818933622003</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8.5065566319999988</v>
      </c>
      <c r="AC80" s="1">
        <f>'D- Benefits &amp; Burdens'!C174</f>
        <v>0.51925126691056267</v>
      </c>
      <c r="AD80" s="62">
        <f t="shared" si="34"/>
        <v>9.0258078989105606</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-495.14779855716648</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4.6761578999999995E-6</v>
      </c>
      <c r="N81" s="62">
        <f t="shared" si="30"/>
        <v>4.7021658346718555E-6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2.9954224694572073E-5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1.0928728299999999E-5</v>
      </c>
      <c r="AC81" s="1">
        <f>'D- Benefits &amp; Burdens'!C175</f>
        <v>1.1856105166899467E-7</v>
      </c>
      <c r="AD81" s="62">
        <f t="shared" si="34"/>
        <v>1.1047289351668994E-5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-8.7641125758090004E-6</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9.4246193999999998E-8</v>
      </c>
      <c r="N82" s="62">
        <f t="shared" si="30"/>
        <v>9.8004750481509778E-8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2.6295657710108605E-6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2.2427127799999999E-7</v>
      </c>
      <c r="AC82" s="1">
        <f>'D- Benefits &amp; Burdens'!C176</f>
        <v>1.7133940654170295E-8</v>
      </c>
      <c r="AD82" s="62">
        <f t="shared" si="34"/>
        <v>2.4140521865417028E-7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-3.9897015742938797E-8</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2.6271651899999998E-7</v>
      </c>
      <c r="N83" s="62">
        <f t="shared" si="30"/>
        <v>2.6435928039931865E-7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8.701914436458356E-8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6.8174890000000001E-7</v>
      </c>
      <c r="AC83" s="1">
        <f>'D- Benefits &amp; Burdens'!C177</f>
        <v>7.4887730072320456E-9</v>
      </c>
      <c r="AD83" s="62">
        <f t="shared" si="34"/>
        <v>6.8923767300723205E-7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-1.2382418050634864E-6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1.1019517199999999E-2</v>
      </c>
      <c r="N84" s="62">
        <f t="shared" si="30"/>
        <v>1.1430344586346147E-2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1.8627555673985035E-2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4.34265265E-2</v>
      </c>
      <c r="AC84" s="1">
        <f>'D- Benefits &amp; Burdens'!C178</f>
        <v>1.872817953219971E-3</v>
      </c>
      <c r="AD84" s="62">
        <f t="shared" si="34"/>
        <v>4.5299344453219974E-2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-8.4101418515597742E-2</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0.12992724629999999</v>
      </c>
      <c r="N85" s="62">
        <f t="shared" si="30"/>
        <v>0.13292565163688536</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0.82719864213532579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0.30597037659999998</v>
      </c>
      <c r="AC85" s="1">
        <f>'D- Benefits &amp; Burdens'!C179</f>
        <v>1.366867821518138E-2</v>
      </c>
      <c r="AD85" s="62">
        <f t="shared" si="34"/>
        <v>0.31963905481518134</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-4.5357785139957096</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1.353218758446043E-6</v>
      </c>
      <c r="H92" s="1">
        <f>((G4/$B92)*$C92)*Input!$C$31</f>
        <v>4.199402260042439E-6</v>
      </c>
      <c r="I92" s="1">
        <f>((H4/$B92)*$C92)*Input!$C$31</f>
        <v>1.0136064641915394E-6</v>
      </c>
      <c r="J92" s="1">
        <f>((I4/$B92)*$C92)*Input!$C$31</f>
        <v>3.164817820651399E-7</v>
      </c>
      <c r="K92" s="1">
        <f>((J4/$B92)*$C92)*Input!$C$31</f>
        <v>2.4015834724913239E-7</v>
      </c>
      <c r="L92" s="1">
        <f>((K4/$B92)*$C92)*Input!$C$31</f>
        <v>-1.5458618352608039E-5</v>
      </c>
      <c r="M92" s="1">
        <f>(SUM(D92:H92))*1000</f>
        <v>2.8005143142078796E-2</v>
      </c>
      <c r="N92" s="1">
        <f>SUM(D92:K92)*1000</f>
        <v>2.9575389735584611E-2</v>
      </c>
      <c r="O92" s="1">
        <f>SUM(D92:L92)*1000</f>
        <v>1.4116771382976573E-2</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2.1158530774617596E-5</v>
      </c>
      <c r="H93" s="1">
        <f>((G5/$B93)*$C93)*Input!$C$31</f>
        <v>9.7756006645061092E-5</v>
      </c>
      <c r="I93" s="1">
        <f>((H5/$B93)*$C93)*Input!$C$31</f>
        <v>1.5848452759091094E-5</v>
      </c>
      <c r="J93" s="1">
        <f>((I5/$B93)*$C93)*Input!$C$31</f>
        <v>5.7717668821806292E-6</v>
      </c>
      <c r="K93" s="1">
        <f>((J5/$B93)*$C93)*Input!$C$31</f>
        <v>4.3798350290080077E-6</v>
      </c>
      <c r="L93" s="1">
        <f>((K5/$B93)*$C93)*Input!$C$31</f>
        <v>-7.5539909851898517E-5</v>
      </c>
      <c r="M93" s="1">
        <f>(SUM(D93:H93))*1000</f>
        <v>0.26338425831975726</v>
      </c>
      <c r="N93" s="1">
        <f>SUM(D93:K93)*1000</f>
        <v>0.28938431299003697</v>
      </c>
      <c r="O93" s="1">
        <f>SUM(D93:L93)*1000</f>
        <v>0.21384440313813846</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3.1428359501051803E-7</v>
      </c>
      <c r="H97" s="1">
        <f>((G9/$B97)*$C97)*Input!$C$31</f>
        <v>9.3355481217909149E-7</v>
      </c>
      <c r="I97" s="1">
        <f>((H9/$B97)*$C97)*Input!$C$31</f>
        <v>2.3540900649192329E-7</v>
      </c>
      <c r="J97" s="1">
        <f>((I9/$B97)*$C97)*Input!$C$31</f>
        <v>4.4102641664511286E-8</v>
      </c>
      <c r="K97" s="1">
        <f>((J9/$B97)*$C97)*Input!$C$31</f>
        <v>3.3466752690648508E-8</v>
      </c>
      <c r="L97" s="1">
        <f>((K9/$B97)*$C97)*Input!$C$31</f>
        <v>-5.8486366194402237E-5</v>
      </c>
      <c r="M97" s="1">
        <f t="shared" ref="M97:M110" si="37">(SUM(D97:H97))*1000</f>
        <v>5.8396881429173722E-2</v>
      </c>
      <c r="N97" s="1">
        <f t="shared" ref="N97:N110" si="38">SUM(D97:K97)*1000</f>
        <v>5.8709859830020805E-2</v>
      </c>
      <c r="O97" s="1">
        <f t="shared" ref="O97:O110" si="39">SUM(D97:L97)*1000</f>
        <v>2.2349363561856821E-4</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1.2722054964320489E-5</v>
      </c>
      <c r="H98" s="1">
        <f>((G10/$B98)*$C98)*Input!$C$31</f>
        <v>8.1592590135967736E-5</v>
      </c>
      <c r="I98" s="1">
        <f>((H10/$B98)*$C98)*Input!$C$31</f>
        <v>9.5292480015894504E-6</v>
      </c>
      <c r="J98" s="1">
        <f>((I10/$B98)*$C98)*Input!$C$31</f>
        <v>3.4249521967513378E-6</v>
      </c>
      <c r="K98" s="1">
        <f>((J10/$B98)*$C98)*Input!$C$31</f>
        <v>2.5989832767365709E-6</v>
      </c>
      <c r="L98" s="1">
        <f>((K10/$B98)*$C98)*Input!$C$31</f>
        <v>-2.476019141075844E-4</v>
      </c>
      <c r="M98" s="1">
        <f t="shared" si="37"/>
        <v>0.3720640599116824</v>
      </c>
      <c r="N98" s="1">
        <f t="shared" si="38"/>
        <v>0.38761724338675979</v>
      </c>
      <c r="O98" s="1">
        <f t="shared" si="39"/>
        <v>0.14001532927917537</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3.3011252201739131E-7</v>
      </c>
      <c r="H99" s="1">
        <f>((G11/$B99)*$C99)*Input!$C$31</f>
        <v>2.2858474135829913E-6</v>
      </c>
      <c r="I99" s="1">
        <f>((H11/$B99)*$C99)*Input!$C$31</f>
        <v>2.4726540637940858E-7</v>
      </c>
      <c r="J99" s="1">
        <f>((I11/$B99)*$C99)*Input!$C$31</f>
        <v>4.0812961169865106E-8</v>
      </c>
      <c r="K99" s="1">
        <f>((J11/$B99)*$C99)*Input!$C$31</f>
        <v>3.0970418698161943E-8</v>
      </c>
      <c r="L99" s="1">
        <f>((K11/$B99)*$C99)*Input!$C$31</f>
        <v>-2.3098331046459182E-6</v>
      </c>
      <c r="M99" s="1">
        <f t="shared" si="37"/>
        <v>5.1801079498584738E-3</v>
      </c>
      <c r="N99" s="1">
        <f t="shared" si="38"/>
        <v>5.4991567361059096E-3</v>
      </c>
      <c r="O99" s="1">
        <f t="shared" si="39"/>
        <v>3.1893236314599911E-3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4.0150940656246155E-7</v>
      </c>
      <c r="H100" s="1">
        <f>((G12/$B100)*$C100)*Input!$C$31</f>
        <v>1.4907356141822067E-6</v>
      </c>
      <c r="I100" s="1">
        <f>((H12/$B100)*$C100)*Input!$C$31</f>
        <v>3.0074407954022391E-7</v>
      </c>
      <c r="J100" s="1">
        <f>((I12/$B100)*$C100)*Input!$C$31</f>
        <v>9.7420881623653393E-8</v>
      </c>
      <c r="K100" s="1">
        <f>((J12/$B100)*$C100)*Input!$C$31</f>
        <v>7.3926649950025875E-8</v>
      </c>
      <c r="L100" s="1">
        <f>((K12/$B100)*$C100)*Input!$C$31</f>
        <v>-6.3919099870614138E-6</v>
      </c>
      <c r="M100" s="1">
        <f t="shared" si="37"/>
        <v>1.098605437614745E-2</v>
      </c>
      <c r="N100" s="1">
        <f t="shared" si="38"/>
        <v>1.1458145987261355E-2</v>
      </c>
      <c r="O100" s="1">
        <f t="shared" si="39"/>
        <v>5.0662360001999416E-3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6.0011000516338986E-7</v>
      </c>
      <c r="H101" s="1">
        <f>((G13/$B101)*$C101)*Input!$C$31</f>
        <v>2.2192726350017496E-6</v>
      </c>
      <c r="I101" s="1">
        <f>((H13/$B101)*$C101)*Input!$C$31</f>
        <v>4.4950262229451932E-7</v>
      </c>
      <c r="J101" s="1">
        <f>((I13/$B101)*$C101)*Input!$C$31</f>
        <v>1.4624275930611246E-7</v>
      </c>
      <c r="K101" s="1">
        <f>((J13/$B101)*$C101)*Input!$C$31</f>
        <v>1.1097453743760765E-7</v>
      </c>
      <c r="L101" s="1">
        <f>((K13/$B101)*$C101)*Input!$C$31</f>
        <v>-1.036260440437209E-5</v>
      </c>
      <c r="M101" s="1">
        <f t="shared" si="37"/>
        <v>1.7744784663166254E-2</v>
      </c>
      <c r="N101" s="1">
        <f t="shared" si="38"/>
        <v>1.8451504582204493E-2</v>
      </c>
      <c r="O101" s="1">
        <f t="shared" si="39"/>
        <v>8.0889001778324029E-3</v>
      </c>
      <c r="R101" s="87">
        <f>+Results!B23+Results!B54+Results!B61+Results!B86+Results!B112+Results!B119+Results!B126+Results!B152+Results!B160</f>
        <v>4.5474735088646412E-13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9.0905513887810649E-8</v>
      </c>
      <c r="H102" s="1">
        <f>((G14/$B102)*$C102)*Input!$C$31</f>
        <v>4.7094070086625928E-7</v>
      </c>
      <c r="I102" s="1">
        <f>((H14/$B102)*$C102)*Input!$C$31</f>
        <v>6.8091294132775371E-8</v>
      </c>
      <c r="J102" s="1">
        <f>((I14/$B102)*$C102)*Input!$C$31</f>
        <v>1.7097964981602147E-8</v>
      </c>
      <c r="K102" s="1">
        <f>((J14/$B102)*$C102)*Input!$C$31</f>
        <v>1.2974582563681187E-8</v>
      </c>
      <c r="L102" s="1">
        <f>((K14/$B102)*$C102)*Input!$C$31</f>
        <v>-2.9197659604725094E-6</v>
      </c>
      <c r="M102" s="1">
        <f t="shared" si="37"/>
        <v>3.7065291053267001E-3</v>
      </c>
      <c r="N102" s="1">
        <f t="shared" si="38"/>
        <v>3.8046929470047582E-3</v>
      </c>
      <c r="O102" s="1">
        <f t="shared" si="39"/>
        <v>8.8492698653224887E-4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4.6948801536000007E-7</v>
      </c>
      <c r="H103" s="1">
        <f>((G15/$B103)*$C103)*Input!$C$31</f>
        <v>5.8320219915365539E-7</v>
      </c>
      <c r="I103" s="1">
        <f>((H15/$B103)*$C103)*Input!$C$31</f>
        <v>3.5166234894335998E-7</v>
      </c>
      <c r="J103" s="1">
        <f>((I15/$B103)*$C103)*Input!$C$31</f>
        <v>2.8927121966313752E-8</v>
      </c>
      <c r="K103" s="1">
        <f>((J15/$B103)*$C103)*Input!$C$31</f>
        <v>2.1950994325082815E-8</v>
      </c>
      <c r="L103" s="1">
        <f>((K15/$B103)*$C103)*Input!$C$31</f>
        <v>-5.3983601019936838E-6</v>
      </c>
      <c r="M103" s="1">
        <f t="shared" si="37"/>
        <v>7.8137646296060799E-3</v>
      </c>
      <c r="N103" s="1">
        <f t="shared" si="38"/>
        <v>8.216305094840835E-3</v>
      </c>
      <c r="O103" s="1">
        <f t="shared" si="39"/>
        <v>2.8179449928471519E-3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5.8962322897592422E-8</v>
      </c>
      <c r="H104" s="1">
        <f>((G16/$B104)*$C104)*Input!$C$31</f>
        <v>5.5643760870674609E-6</v>
      </c>
      <c r="I104" s="1">
        <f>((H16/$B104)*$C104)*Input!$C$31</f>
        <v>4.4164767344326967E-8</v>
      </c>
      <c r="J104" s="1">
        <f>((I16/$B104)*$C104)*Input!$C$31</f>
        <v>1.0510931378206635E-8</v>
      </c>
      <c r="K104" s="1">
        <f>((J16/$B104)*$C104)*Input!$C$31</f>
        <v>7.9760923089076543E-9</v>
      </c>
      <c r="L104" s="1">
        <f>((K16/$B104)*$C104)*Input!$C$31</f>
        <v>-1.1855470354332863E-6</v>
      </c>
      <c r="M104" s="1">
        <f t="shared" si="37"/>
        <v>6.711790965964499E-3</v>
      </c>
      <c r="N104" s="1">
        <f t="shared" si="38"/>
        <v>6.7744427569959393E-3</v>
      </c>
      <c r="O104" s="1">
        <f t="shared" si="39"/>
        <v>5.5888957215626525E-3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6.6977831935465491E-8</v>
      </c>
      <c r="H105" s="1">
        <f>((G17/$B105)*$C105)*Input!$C$31</f>
        <v>2.3587221645821822E-7</v>
      </c>
      <c r="I105" s="1">
        <f>((H17/$B105)*$C105)*Input!$C$31</f>
        <v>5.016865379939182E-8</v>
      </c>
      <c r="J105" s="1">
        <f>((I17/$B105)*$C105)*Input!$C$31</f>
        <v>1.469746834276571E-8</v>
      </c>
      <c r="K105" s="1">
        <f>((J17/$B105)*$C105)*Input!$C$31</f>
        <v>1.115299491462846E-8</v>
      </c>
      <c r="L105" s="1">
        <f>((K17/$B105)*$C105)*Input!$C$31</f>
        <v>-9.2166412203227001E-6</v>
      </c>
      <c r="M105" s="1">
        <f t="shared" si="37"/>
        <v>8.0650474599997662E-3</v>
      </c>
      <c r="N105" s="1">
        <f t="shared" si="38"/>
        <v>8.1410665770565507E-3</v>
      </c>
      <c r="O105" s="1">
        <f t="shared" si="39"/>
        <v>-1.0755746432661486E-3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1.1492125655039999E-12</v>
      </c>
      <c r="H106" s="1">
        <f>((G18/$B106)*$C106)*Input!$C$31</f>
        <v>7.3615502609380314E-12</v>
      </c>
      <c r="I106" s="1">
        <f>((H18/$B106)*$C106)*Input!$C$31</f>
        <v>8.6079894906470382E-13</v>
      </c>
      <c r="J106" s="1">
        <f>((I18/$B106)*$C106)*Input!$C$31</f>
        <v>4.4307819776304149E-14</v>
      </c>
      <c r="K106" s="1">
        <f>((J18/$B106)*$C106)*Input!$C$31</f>
        <v>3.36224496028004E-14</v>
      </c>
      <c r="L106" s="1">
        <f>((K18/$B106)*$C106)*Input!$C$31</f>
        <v>-2.1538683066308198E-12</v>
      </c>
      <c r="M106" s="1">
        <f t="shared" si="37"/>
        <v>6.332047517747077E-8</v>
      </c>
      <c r="N106" s="1">
        <f t="shared" si="38"/>
        <v>6.4259204395914574E-8</v>
      </c>
      <c r="O106" s="1">
        <f t="shared" si="39"/>
        <v>6.2105336089283745E-8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2.1302453163223878E-8</v>
      </c>
      <c r="H107" s="1">
        <f>((G19/$B107)*$C107)*Input!$C$31</f>
        <v>5.9436035874908149E-7</v>
      </c>
      <c r="I107" s="1">
        <f>((H19/$B107)*$C107)*Input!$C$31</f>
        <v>1.5956255479473666E-8</v>
      </c>
      <c r="J107" s="1">
        <f>((I19/$B107)*$C107)*Input!$C$31</f>
        <v>5.8891171790020722E-9</v>
      </c>
      <c r="K107" s="1">
        <f>((J19/$B107)*$C107)*Input!$C$31</f>
        <v>4.4688848730462096E-9</v>
      </c>
      <c r="L107" s="1">
        <f>((K19/$B107)*$C107)*Input!$C$31</f>
        <v>-9.0179165135979856E-9</v>
      </c>
      <c r="M107" s="1">
        <f t="shared" si="37"/>
        <v>6.9627811525434181E-4</v>
      </c>
      <c r="N107" s="1">
        <f t="shared" si="38"/>
        <v>7.2259237278586368E-4</v>
      </c>
      <c r="O107" s="1">
        <f t="shared" si="39"/>
        <v>7.1357445627226565E-4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7.5959072599341178E-6</v>
      </c>
      <c r="H108" s="1">
        <f>((G20/$B108)*$C108)*Input!$C$31</f>
        <v>2.515979402240007E-6</v>
      </c>
      <c r="I108" s="1">
        <f>((H20/$B108)*$C108)*Input!$C$31</f>
        <v>5.6895905795084039E-6</v>
      </c>
      <c r="J108" s="1">
        <f>((I20/$B108)*$C108)*Input!$C$31</f>
        <v>3.2925325622553048E-7</v>
      </c>
      <c r="K108" s="1">
        <f>((J20/$B108)*$C108)*Input!$C$31</f>
        <v>2.4984982492686832E-7</v>
      </c>
      <c r="L108" s="1">
        <f>((K20/$B108)*$C108)*Input!$C$31</f>
        <v>-3.5801212472047346E-5</v>
      </c>
      <c r="M108" s="1">
        <f t="shared" si="37"/>
        <v>7.290189661965682E-2</v>
      </c>
      <c r="N108" s="1">
        <f t="shared" si="38"/>
        <v>7.9170590280317615E-2</v>
      </c>
      <c r="O108" s="1">
        <f t="shared" si="39"/>
        <v>4.3369377808270271E-2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2.4909537205596057E-6</v>
      </c>
      <c r="H109" s="1">
        <f>((G21/$B109)*$C109)*Input!$C$31</f>
        <v>4.210745195900617E-6</v>
      </c>
      <c r="I109" s="1">
        <f>((H21/$B109)*$C109)*Input!$C$31</f>
        <v>1.8658083014312979E-6</v>
      </c>
      <c r="J109" s="1">
        <f>((I21/$B109)*$C109)*Input!$C$31</f>
        <v>6.4376267792785716E-7</v>
      </c>
      <c r="K109" s="1">
        <f>((J21/$B109)*$C109)*Input!$C$31</f>
        <v>4.8851147052757718E-7</v>
      </c>
      <c r="L109" s="1">
        <f>((K21/$B109)*$C109)*Input!$C$31</f>
        <v>-1.9011063511545562E-5</v>
      </c>
      <c r="M109" s="1">
        <f t="shared" si="37"/>
        <v>3.7008119114581739E-2</v>
      </c>
      <c r="N109" s="1">
        <f t="shared" si="38"/>
        <v>4.0006201564468477E-2</v>
      </c>
      <c r="O109" s="1">
        <f t="shared" si="39"/>
        <v>2.0995138052922913E-2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1.8460063154303998E-7</v>
      </c>
      <c r="H110" s="1">
        <f>((G22/$B110)*$C110)*Input!$C$31</f>
        <v>1.1752838307458707E-6</v>
      </c>
      <c r="I110" s="1">
        <f>((H22/$B110)*$C110)*Input!$C$31</f>
        <v>1.3827209551893501E-7</v>
      </c>
      <c r="J110" s="1">
        <f>((I22/$B110)*$C110)*Input!$C$31</f>
        <v>2.9531574831704496E-8</v>
      </c>
      <c r="K110" s="1">
        <f>((J22/$B110)*$C110)*Input!$C$31</f>
        <v>2.2409676022951813E-8</v>
      </c>
      <c r="L110" s="1">
        <f>((K22/$B110)*$C110)*Input!$C$31</f>
        <v>-6.4444341126851045E-6</v>
      </c>
      <c r="M110" s="1">
        <f t="shared" si="37"/>
        <v>7.4873324429934832E-3</v>
      </c>
      <c r="N110" s="1">
        <f t="shared" si="38"/>
        <v>7.6775457893670735E-3</v>
      </c>
      <c r="O110" s="1">
        <f t="shared" si="39"/>
        <v>1.2331116766819688E-3</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4.7858918924631309E-2</v>
      </c>
      <c r="H111" s="13">
        <f t="shared" si="40"/>
        <v>0.20582817686874874</v>
      </c>
      <c r="I111" s="13">
        <f t="shared" si="40"/>
        <v>3.5847943496535084E-2</v>
      </c>
      <c r="J111" s="13">
        <f t="shared" si="40"/>
        <v>1.0921450261902051E-2</v>
      </c>
      <c r="K111" s="13">
        <f t="shared" si="40"/>
        <v>8.2876095658553448E-3</v>
      </c>
      <c r="L111" s="13">
        <f t="shared" si="40"/>
        <v>-0.49613720048745469</v>
      </c>
      <c r="M111" s="1">
        <f>SUM(M92:M110)</f>
        <v>0.90015211156572283</v>
      </c>
      <c r="N111" s="1">
        <f>SUM(N92:N110)</f>
        <v>0.95520911489001536</v>
      </c>
      <c r="O111" s="1">
        <f>SUM(O92:O110)</f>
        <v>0.45907191440256079</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0.8137896451776</v>
      </c>
      <c r="G118" s="1">
        <f>'A3 - Production '!$D$207*Input!$C$31</f>
        <v>3.7598464094254265</v>
      </c>
      <c r="H118" s="1">
        <f>'A4 - Transport'!$B$18*Input!$C$31</f>
        <v>0.60955587534965749</v>
      </c>
      <c r="I118" s="1">
        <f>'A5 - Construction'!$E$140*Input!$C$31</f>
        <v>0.22199103393002423</v>
      </c>
      <c r="J118" s="1">
        <f>'C1 - Deconstruction'!$B$88*Input!$C$31</f>
        <v>0.16845519342338494</v>
      </c>
      <c r="K118" s="1">
        <f>'D- Benefits &amp; Burdens'!$N$162*Input!$C$31</f>
        <v>-2.9053811481499432</v>
      </c>
      <c r="L118" s="1">
        <f>SUM(C118:G118)</f>
        <v>10.130163781529125</v>
      </c>
      <c r="M118" s="1">
        <f>SUM(C118:J118)</f>
        <v>11.130165884232193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0.8137896451776</v>
      </c>
      <c r="K125" s="1">
        <f>O68*Input!$C$31</f>
        <v>0</v>
      </c>
      <c r="L125" s="1">
        <f>P68*Input!$C$31</f>
        <v>0</v>
      </c>
      <c r="M125" s="1">
        <f>R68*Input!$C$31</f>
        <v>0.12561317035931716</v>
      </c>
      <c r="N125" s="1">
        <f>S68*Input!$C$31</f>
        <v>0.12465172599636554</v>
      </c>
      <c r="O125" s="1">
        <f>U68*Input!$C$31</f>
        <v>3.7598464094254265</v>
      </c>
      <c r="P125" s="1">
        <f>V68*Input!$C$31</f>
        <v>0.60955587534965749</v>
      </c>
      <c r="Q125" s="1">
        <f>Z68*Input!$C$31</f>
        <v>0.22199103393002423</v>
      </c>
      <c r="R125" s="1">
        <f>AA68*Input!$C$31</f>
        <v>0.16845519342338494</v>
      </c>
      <c r="S125" s="1">
        <f>$AC$68*Input!$C$31</f>
        <v>0.14598502034476504</v>
      </c>
      <c r="T125" s="1">
        <f>$AB$68*Input!$C$31</f>
        <v>1.9358168875583999</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1.2135316607999999E-3</v>
      </c>
      <c r="N133" s="62">
        <f>N67*Input!$C$31</f>
        <v>1.2544736086606621E-3</v>
      </c>
      <c r="O133" s="1">
        <f>O67*Input!$C$31</f>
        <v>0</v>
      </c>
      <c r="P133" s="1">
        <f>P67*Input!$C$31</f>
        <v>0</v>
      </c>
      <c r="Q133" s="62">
        <f>Q67*Input!$C$31</f>
        <v>0</v>
      </c>
      <c r="R133" s="1">
        <f>R67*Input!$C$31</f>
        <v>1.0016361889498566E-3</v>
      </c>
      <c r="S133" s="1">
        <f>S67*Input!$C$31</f>
        <v>1.85881962207744E-4</v>
      </c>
      <c r="T133" s="62">
        <f>T67*Input!$C$31</f>
        <v>1.1875181511576006E-3</v>
      </c>
      <c r="U133" s="62">
        <f>U67*Input!$C$31</f>
        <v>3.7659155751348329E-3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5.2958428992000003E-3</v>
      </c>
      <c r="AC133" s="89">
        <f>AC67*Input!$C$31</f>
        <v>1.8663997956708492E-4</v>
      </c>
      <c r="AD133" s="250">
        <f>AD67*Input!$C$31</f>
        <v>5.4824828787670855E-3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-1.3862890006532371E-2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0.8137896451776</v>
      </c>
      <c r="N134" s="62">
        <f>N68*Input!$C$31</f>
        <v>0.84581339006471712</v>
      </c>
      <c r="O134" s="1">
        <f>O68*Input!$C$31</f>
        <v>0</v>
      </c>
      <c r="P134" s="1">
        <f>P68*Input!$C$31</f>
        <v>0</v>
      </c>
      <c r="Q134" s="62">
        <f>Q68*Input!$C$31</f>
        <v>0</v>
      </c>
      <c r="R134" s="1">
        <f>R68*Input!$C$31</f>
        <v>0.12561317035931716</v>
      </c>
      <c r="S134" s="1">
        <f>S68*Input!$C$31</f>
        <v>0.12465172599636554</v>
      </c>
      <c r="T134" s="62">
        <f>T68*Input!$C$31</f>
        <v>0.25026489635568266</v>
      </c>
      <c r="U134" s="62">
        <f>U68*Input!$C$31</f>
        <v>3.7598464094254265</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1.9358168875583999</v>
      </c>
      <c r="AC134" s="1">
        <f>AC68*Input!$C$31</f>
        <v>0.14598502034476504</v>
      </c>
      <c r="AD134" s="62">
        <f>AD68*Input!$C$31</f>
        <v>2.0818019079031651</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-2.9053811481499432</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3.8032915391999995E-4</v>
      </c>
      <c r="N135" s="62">
        <f>N69*Input!$C$31</f>
        <v>3.8694764971124732E-4</v>
      </c>
      <c r="O135" s="1">
        <f>O69*Input!$C$31</f>
        <v>0</v>
      </c>
      <c r="P135" s="1">
        <f>P69*Input!$C$31</f>
        <v>0</v>
      </c>
      <c r="Q135" s="62">
        <f>Q69*Input!$C$31</f>
        <v>0</v>
      </c>
      <c r="R135" s="1">
        <f>R69*Input!$C$31</f>
        <v>2.0518677208664949E-2</v>
      </c>
      <c r="S135" s="1">
        <f>S69*Input!$C$31</f>
        <v>5.8256683116825597E-5</v>
      </c>
      <c r="T135" s="62">
        <f>T69*Input!$C$31</f>
        <v>2.0576933891781772E-2</v>
      </c>
      <c r="U135" s="62">
        <f>U69*Input!$C$31</f>
        <v>1.2748471657616316E-3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8.9471332608000002E-4</v>
      </c>
      <c r="AC135" s="1">
        <f>AC69*Input!$C$31</f>
        <v>3.0171400819698537E-5</v>
      </c>
      <c r="AD135" s="62">
        <f>AD69*Input!$C$31</f>
        <v>9.2488472689969859E-4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-1.2699473030125304E-2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0.81334458650879993</v>
      </c>
      <c r="N136" s="62">
        <f>N70*Input!$C$31</f>
        <v>0.8453602967264644</v>
      </c>
      <c r="O136" s="1">
        <f>O70*Input!$C$31</f>
        <v>0</v>
      </c>
      <c r="P136" s="1">
        <f>P70*Input!$C$31</f>
        <v>0</v>
      </c>
      <c r="Q136" s="62">
        <f>Q70*Input!$C$31</f>
        <v>0</v>
      </c>
      <c r="R136" s="1">
        <f>R70*Input!$C$31</f>
        <v>0.10500791454553669</v>
      </c>
      <c r="S136" s="1">
        <f>S70*Input!$C$31</f>
        <v>0.12458355440980838</v>
      </c>
      <c r="T136" s="62">
        <f>T70*Input!$C$31</f>
        <v>0.22959146895534507</v>
      </c>
      <c r="U136" s="62">
        <f>U70*Input!$C$31</f>
        <v>3.7579020620291512</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1.9347699604799997</v>
      </c>
      <c r="AC136" s="1">
        <f>AC70*Input!$C$31</f>
        <v>0.14594839310495791</v>
      </c>
      <c r="AD136" s="62">
        <f>AD70*Input!$C$31</f>
        <v>2.0807183535849574</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-2.8927424805905964</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6.4728489599999995E-5</v>
      </c>
      <c r="N137" s="62">
        <f>N71*Input!$C$31</f>
        <v>6.6144663261360882E-5</v>
      </c>
      <c r="O137" s="1">
        <f>O71*Input!$C$31</f>
        <v>0</v>
      </c>
      <c r="P137" s="1">
        <f>P71*Input!$C$31</f>
        <v>0</v>
      </c>
      <c r="Q137" s="62">
        <f>Q71*Input!$C$31</f>
        <v>0</v>
      </c>
      <c r="R137" s="1">
        <f>R71*Input!$C$31</f>
        <v>8.6578605115472321E-5</v>
      </c>
      <c r="S137" s="1">
        <f>S71*Input!$C$31</f>
        <v>9.9147463937279996E-6</v>
      </c>
      <c r="T137" s="62">
        <f>T71*Input!$C$31</f>
        <v>9.6493351509200327E-5</v>
      </c>
      <c r="U137" s="62">
        <f>U71*Input!$C$31</f>
        <v>6.6950023051432471E-4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1.5221016384000001E-4</v>
      </c>
      <c r="AC137" s="1">
        <f>AC71*Input!$C$31</f>
        <v>6.4558389874214863E-6</v>
      </c>
      <c r="AD137" s="62">
        <f>AD71*Input!$C$31</f>
        <v>1.586660028274215E-4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-1.5762910802178344E-3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0.69895362015359996</v>
      </c>
      <c r="N138" s="62">
        <f>N72*Input!$C$31</f>
        <v>0.71310269139876237</v>
      </c>
      <c r="O138" s="1">
        <f>O72*Input!$C$31</f>
        <v>0</v>
      </c>
      <c r="P138" s="1">
        <f>P72*Input!$C$31</f>
        <v>0</v>
      </c>
      <c r="Q138" s="62">
        <f>Q72*Input!$C$31</f>
        <v>0</v>
      </c>
      <c r="R138" s="1">
        <f>R72*Input!$C$31</f>
        <v>0.52461785879565603</v>
      </c>
      <c r="S138" s="1">
        <f>S72*Input!$C$31</f>
        <v>0.10706178882939724</v>
      </c>
      <c r="T138" s="62">
        <f>T72*Input!$C$31</f>
        <v>0.63167964762505335</v>
      </c>
      <c r="U138" s="62">
        <f>U72*Input!$C$31</f>
        <v>2.0761870041691255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1.6451605218047998</v>
      </c>
      <c r="AC138" s="1">
        <f>AC72*Input!$C$31</f>
        <v>6.4500652901950964E-2</v>
      </c>
      <c r="AD138" s="62">
        <f>AD72*Input!$C$31</f>
        <v>1.7096611747067507</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-130.07124148442583</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10.952762552063998</v>
      </c>
      <c r="N139" s="62">
        <f>N73*Input!$C$31</f>
        <v>11.378123487811175</v>
      </c>
      <c r="O139" s="1">
        <f>O73*Input!$C$31</f>
        <v>0</v>
      </c>
      <c r="P139" s="1">
        <f>P73*Input!$C$31</f>
        <v>0</v>
      </c>
      <c r="Q139" s="62">
        <f>Q73*Input!$C$31</f>
        <v>0</v>
      </c>
      <c r="R139" s="1">
        <f>R73*Input!$C$31</f>
        <v>1.4499807105429279</v>
      </c>
      <c r="S139" s="1">
        <f>S73*Input!$C$31</f>
        <v>1.6776826353512755</v>
      </c>
      <c r="T139" s="62">
        <f>T73*Input!$C$31</f>
        <v>3.1276633458942036</v>
      </c>
      <c r="U139" s="62">
        <f>U73*Input!$C$31</f>
        <v>70.245276275998705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26.027719238975997</v>
      </c>
      <c r="AC139" s="1">
        <f>AC73*Input!$C$31</f>
        <v>1.9390713071755914</v>
      </c>
      <c r="AD139" s="62">
        <f>AD73*Input!$C$31</f>
        <v>27.966790546151586</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-213.16721082109913</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1.8981470016000001E-5</v>
      </c>
      <c r="N140" s="62">
        <f>N74*Input!$C$31</f>
        <v>1.9320004282107815E-5</v>
      </c>
      <c r="O140" s="1">
        <f>O74*Input!$C$31</f>
        <v>0</v>
      </c>
      <c r="P140" s="1">
        <f>P74*Input!$C$31</f>
        <v>0</v>
      </c>
      <c r="Q140" s="62">
        <f>Q74*Input!$C$31</f>
        <v>0</v>
      </c>
      <c r="R140" s="1">
        <f>R74*Input!$C$31</f>
        <v>3.312277560601401E-5</v>
      </c>
      <c r="S140" s="1">
        <f>S74*Input!$C$31</f>
        <v>2.9074749395788796E-6</v>
      </c>
      <c r="T140" s="62">
        <f>T74*Input!$C$31</f>
        <v>3.6030250545592891E-5</v>
      </c>
      <c r="U140" s="62">
        <f>U74*Input!$C$31</f>
        <v>1.3143622628102202E-4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4.45330368E-5</v>
      </c>
      <c r="AC140" s="1">
        <f>AC74*Input!$C$31</f>
        <v>1.5432589754682634E-6</v>
      </c>
      <c r="AD140" s="62">
        <f>AD74*Input!$C$31</f>
        <v>4.6076295775468263E-5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-1.3281540351714032E-4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2.6450788607999999E-4</v>
      </c>
      <c r="N141" s="62">
        <f>N75*Input!$C$31</f>
        <v>2.7376619439216984E-4</v>
      </c>
      <c r="O141" s="1">
        <f>O75*Input!$C$31</f>
        <v>0</v>
      </c>
      <c r="P141" s="1">
        <f>P75*Input!$C$31</f>
        <v>0</v>
      </c>
      <c r="Q141" s="62">
        <f>Q75*Input!$C$31</f>
        <v>0</v>
      </c>
      <c r="R141" s="1">
        <f>R75*Input!$C$31</f>
        <v>1.9790745591982768E-4</v>
      </c>
      <c r="S141" s="1">
        <f>S75*Input!$C$31</f>
        <v>4.0515831990374402E-5</v>
      </c>
      <c r="T141" s="62">
        <f>T75*Input!$C$31</f>
        <v>2.3842328791020209E-4</v>
      </c>
      <c r="U141" s="62">
        <f>U75*Input!$C$31</f>
        <v>9.8207244853219691E-4</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1.9001480063999998E-3</v>
      </c>
      <c r="AC141" s="1">
        <f>AC75*Input!$C$31</f>
        <v>4.220538016632635E-5</v>
      </c>
      <c r="AD141" s="62">
        <f>AD75*Input!$C$31</f>
        <v>1.9423533865663262E-3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-4.2108866468816746E-3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2.8630585151999998E-3</v>
      </c>
      <c r="N142" s="62">
        <f>N76*Input!$C$31</f>
        <v>2.9637077350391631E-3</v>
      </c>
      <c r="O142" s="1">
        <f>O76*Input!$C$31</f>
        <v>0</v>
      </c>
      <c r="P142" s="1">
        <f>P76*Input!$C$31</f>
        <v>0</v>
      </c>
      <c r="Q142" s="62">
        <f>Q76*Input!$C$31</f>
        <v>0</v>
      </c>
      <c r="R142" s="1">
        <f>R76*Input!$C$31</f>
        <v>2.0312124714815557E-3</v>
      </c>
      <c r="S142" s="1">
        <f>S76*Input!$C$31</f>
        <v>4.3854721875993602E-4</v>
      </c>
      <c r="T142" s="62">
        <f>T76*Input!$C$31</f>
        <v>2.4697596902414918E-3</v>
      </c>
      <c r="U142" s="62">
        <f>U76*Input!$C$31</f>
        <v>1.0587904485048778E-2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2.0727718368000001E-2</v>
      </c>
      <c r="AC142" s="1">
        <f>AC76*Input!$C$31</f>
        <v>4.5882448969345726E-4</v>
      </c>
      <c r="AD142" s="62">
        <f>AD76*Input!$C$31</f>
        <v>2.1186542857693457E-2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-4.9438840419780583E-2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7.2126910079999998E-11</v>
      </c>
      <c r="N143" s="62">
        <f>N77*Input!$C$31</f>
        <v>7.4083898283834832E-11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3.7365717580468457E-10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1.8094431936E-10</v>
      </c>
      <c r="AC143" s="1">
        <f>AC77*Input!$C$31</f>
        <v>8.9212227913489734E-12</v>
      </c>
      <c r="AD143" s="62">
        <f>AD77*Input!$C$31</f>
        <v>1.8986554215134896E-10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-2.3166218184030708E-9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5.8686001920000007E-9</v>
      </c>
      <c r="N144" s="62">
        <f>N78*Input!$C$31</f>
        <v>5.9207619143547285E-9</v>
      </c>
      <c r="O144" s="1">
        <f>O78*Input!$C$31</f>
        <v>0</v>
      </c>
      <c r="P144" s="1">
        <f>P78*Input!$C$31</f>
        <v>0</v>
      </c>
      <c r="Q144" s="62">
        <f>Q78*Input!$C$31</f>
        <v>0</v>
      </c>
      <c r="R144" s="1">
        <f>R78*Input!$C$31</f>
        <v>2.917560380931721E-9</v>
      </c>
      <c r="S144" s="1">
        <f>S78*Input!$C$31</f>
        <v>8.9891920774655986E-10</v>
      </c>
      <c r="T144" s="62">
        <f>T78*Input!$C$31</f>
        <v>3.8164795886782804E-9</v>
      </c>
      <c r="U144" s="62">
        <f>U78*Input!$C$31</f>
        <v>7.2900274894206924E-9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1.3873661759999999E-8</v>
      </c>
      <c r="AC144" s="1">
        <f>AC78*Input!$C$31</f>
        <v>2.3778699605605235E-10</v>
      </c>
      <c r="AD144" s="62">
        <f>AD78*Input!$C$31</f>
        <v>1.4111448756056052E-8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-6.7479501274921043E-8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4.9664870784000004E-3</v>
      </c>
      <c r="N145" s="62">
        <f>N79*Input!$C$31</f>
        <v>5.094205225495709E-3</v>
      </c>
      <c r="O145" s="1">
        <f>O79*Input!$C$31</f>
        <v>0</v>
      </c>
      <c r="P145" s="1">
        <f>P79*Input!$C$31</f>
        <v>0</v>
      </c>
      <c r="Q145" s="62">
        <f>Q79*Input!$C$31</f>
        <v>0</v>
      </c>
      <c r="R145" s="1">
        <f>R79*Input!$C$31</f>
        <v>2.0435182900459595E-2</v>
      </c>
      <c r="S145" s="1">
        <f>S79*Input!$C$31</f>
        <v>7.6073858905651207E-4</v>
      </c>
      <c r="T145" s="62">
        <f>T79*Input!$C$31</f>
        <v>2.1195921489516108E-2</v>
      </c>
      <c r="U145" s="62">
        <f>U79*Input!$C$31</f>
        <v>0.46869594984879609</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1.1717918284799999E-2</v>
      </c>
      <c r="AC145" s="1">
        <f>AC79*Input!$C$31</f>
        <v>5.8222223440405397E-4</v>
      </c>
      <c r="AD145" s="62">
        <f>AD79*Input!$C$31</f>
        <v>1.2300140519204052E-2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-9.9860448892783796E-2</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0.69086705736960008</v>
      </c>
      <c r="N146" s="62">
        <f>N80*Input!$C$31</f>
        <v>0.71273674682404198</v>
      </c>
      <c r="O146" s="1">
        <f>O80*Input!$C$31</f>
        <v>0</v>
      </c>
      <c r="P146" s="1">
        <f>P80*Input!$C$31</f>
        <v>0</v>
      </c>
      <c r="Q146" s="62">
        <f>Q80*Input!$C$31</f>
        <v>0</v>
      </c>
      <c r="R146" s="1">
        <f>R80*Input!$C$31</f>
        <v>0.56137269945621215</v>
      </c>
      <c r="S146" s="1">
        <f>S80*Input!$C$31</f>
        <v>0.10582313457227213</v>
      </c>
      <c r="T146" s="62">
        <f>T80*Input!$C$31</f>
        <v>0.66719583402848437</v>
      </c>
      <c r="U146" s="62">
        <f>U80*Input!$C$31</f>
        <v>2.4329892352554245</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1.6332588733439999</v>
      </c>
      <c r="AC146" s="1">
        <f>AC80*Input!$C$31</f>
        <v>9.9696243246828034E-2</v>
      </c>
      <c r="AD146" s="62">
        <f>AD80*Input!$C$31</f>
        <v>1.7329551165908277</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-95.068377322975962</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8.9782231679999992E-7</v>
      </c>
      <c r="N147" s="62">
        <f>N81*Input!$C$31</f>
        <v>9.0281584025699629E-7</v>
      </c>
      <c r="O147" s="1">
        <f>O81*Input!$C$31</f>
        <v>0</v>
      </c>
      <c r="P147" s="1">
        <f>P81*Input!$C$31</f>
        <v>0</v>
      </c>
      <c r="Q147" s="62">
        <f>Q81*Input!$C$31</f>
        <v>0</v>
      </c>
      <c r="R147" s="1">
        <f>R81*Input!$C$31</f>
        <v>3.8405416586632021E-5</v>
      </c>
      <c r="S147" s="1">
        <f>S81*Input!$C$31</f>
        <v>1.37523378541824E-7</v>
      </c>
      <c r="T147" s="62">
        <f>T81*Input!$C$31</f>
        <v>3.8542939965173843E-5</v>
      </c>
      <c r="U147" s="62">
        <f>U81*Input!$C$31</f>
        <v>5.7512111413578381E-6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2.0983158335999996E-6</v>
      </c>
      <c r="AC147" s="1">
        <f>AC81*Input!$C$31</f>
        <v>2.2763721920446975E-8</v>
      </c>
      <c r="AD147" s="62">
        <f>AD81*Input!$C$31</f>
        <v>2.1210795555204471E-6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-1.6827096145553281E-6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1.8095269248000001E-8</v>
      </c>
      <c r="N148" s="62">
        <f>N82*Input!$C$31</f>
        <v>1.8816912092449878E-8</v>
      </c>
      <c r="O148" s="1">
        <f>O82*Input!$C$31</f>
        <v>0</v>
      </c>
      <c r="P148" s="1">
        <f>P82*Input!$C$31</f>
        <v>0</v>
      </c>
      <c r="Q148" s="62">
        <f>Q82*Input!$C$31</f>
        <v>0</v>
      </c>
      <c r="R148" s="1">
        <f>R82*Input!$C$31</f>
        <v>1.2838525942572228E-9</v>
      </c>
      <c r="S148" s="1">
        <f>S82*Input!$C$31</f>
        <v>2.7717316845926399E-9</v>
      </c>
      <c r="T148" s="62">
        <f>T82*Input!$C$31</f>
        <v>4.0555842788498626E-9</v>
      </c>
      <c r="U148" s="62">
        <f>U82*Input!$C$31</f>
        <v>5.0487662803408519E-7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4.3060085375999997E-8</v>
      </c>
      <c r="AC148" s="1">
        <f>AC82*Input!$C$31</f>
        <v>3.2897166056006967E-9</v>
      </c>
      <c r="AD148" s="62">
        <f>AD82*Input!$C$31</f>
        <v>4.6349801981600695E-8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-7.6602270226442496E-9</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5.0441571647999999E-8</v>
      </c>
      <c r="N149" s="62">
        <f>N83*Input!$C$31</f>
        <v>5.0756981836669181E-8</v>
      </c>
      <c r="O149" s="1">
        <f>O83*Input!$C$31</f>
        <v>0</v>
      </c>
      <c r="P149" s="1">
        <f>P83*Input!$C$31</f>
        <v>0</v>
      </c>
      <c r="Q149" s="62">
        <f>Q83*Input!$C$31</f>
        <v>0</v>
      </c>
      <c r="R149" s="1">
        <f>R83*Input!$C$31</f>
        <v>1.3426745522372374E-8</v>
      </c>
      <c r="S149" s="1">
        <f>S83*Input!$C$31</f>
        <v>7.7263565654246399E-9</v>
      </c>
      <c r="T149" s="62">
        <f>T83*Input!$C$31</f>
        <v>2.1153102087797013E-8</v>
      </c>
      <c r="U149" s="62">
        <f>U83*Input!$C$31</f>
        <v>1.6707675718000043E-8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1.308957888E-7</v>
      </c>
      <c r="AC149" s="1">
        <f>AC83*Input!$C$31</f>
        <v>1.4378444173885529E-9</v>
      </c>
      <c r="AD149" s="62">
        <f>AD83*Input!$C$31</f>
        <v>1.3233363321738856E-7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-2.3774242657218939E-7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2.1157473023999999E-3</v>
      </c>
      <c r="N150" s="62">
        <f>N84*Input!$C$31</f>
        <v>2.1946261605784601E-3</v>
      </c>
      <c r="O150" s="1">
        <f>O84*Input!$C$31</f>
        <v>0</v>
      </c>
      <c r="P150" s="1">
        <f>P84*Input!$C$31</f>
        <v>0</v>
      </c>
      <c r="Q150" s="62">
        <f>Q84*Input!$C$31</f>
        <v>0</v>
      </c>
      <c r="R150" s="1">
        <f>R84*Input!$C$31</f>
        <v>6.7057551379197172E-4</v>
      </c>
      <c r="S150" s="1">
        <f>S84*Input!$C$31</f>
        <v>3.2407828556083198E-4</v>
      </c>
      <c r="T150" s="62">
        <f>T84*Input!$C$31</f>
        <v>9.9465379935280386E-4</v>
      </c>
      <c r="U150" s="62">
        <f>U84*Input!$C$31</f>
        <v>3.5764906894051266E-3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8.3378930880000004E-3</v>
      </c>
      <c r="AC150" s="1">
        <f>AC84*Input!$C$31</f>
        <v>3.5958104701823445E-4</v>
      </c>
      <c r="AD150" s="62">
        <f>AD84*Input!$C$31</f>
        <v>8.6974741350182346E-3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-1.6147472354994766E-2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2.4946031289600001E-2</v>
      </c>
      <c r="N151" s="62">
        <f>N85*Input!$C$31</f>
        <v>2.5521725114281989E-2</v>
      </c>
      <c r="O151" s="1">
        <f>O85*Input!$C$31</f>
        <v>0</v>
      </c>
      <c r="P151" s="1">
        <f>P85*Input!$C$31</f>
        <v>0</v>
      </c>
      <c r="Q151" s="62">
        <f>Q85*Input!$C$31</f>
        <v>0</v>
      </c>
      <c r="R151" s="1">
        <f>R85*Input!$C$31</f>
        <v>6.3401153233966473E-2</v>
      </c>
      <c r="S151" s="1">
        <f>S85*Input!$C$31</f>
        <v>3.8210929266977276E-3</v>
      </c>
      <c r="T151" s="62">
        <f>T85*Input!$C$31</f>
        <v>6.7222246160664204E-2</v>
      </c>
      <c r="U151" s="62">
        <f>U85*Input!$C$31</f>
        <v>0.15882213928998257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5.8746312307199997E-2</v>
      </c>
      <c r="AC151" s="1">
        <f>AC85*Input!$C$31</f>
        <v>2.6243862173148248E-3</v>
      </c>
      <c r="AD151" s="62">
        <f>AD85*Input!$C$31</f>
        <v>6.1370698524514822E-2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-0.87086947468717624</v>
      </c>
    </row>
    <row r="152" spans="1:40" x14ac:dyDescent="0.35">
      <c r="A152" s="148" t="s">
        <v>58</v>
      </c>
      <c r="B152" s="338">
        <f>+SUM(E133:E151,H133:H151,K133:K151,N133:N151,Q133:Q151,T133:T151,U133:V151,Z133:Z151,AA133:AA151,AD133:AD151,AM133:AM151)-SUM(C4:K22)*Input!$C$31</f>
        <v>4.5474735088646412E-13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4.2384877352999997</v>
      </c>
      <c r="K159" s="1">
        <f>+K125/Input!$C$31</f>
        <v>0</v>
      </c>
      <c r="L159" s="1">
        <f>+L125/Input!$C$31</f>
        <v>0</v>
      </c>
      <c r="M159" s="1">
        <f>+M125/Input!$C$31</f>
        <v>0.65423526228811013</v>
      </c>
      <c r="N159" s="1">
        <f>+N125/Input!$C$31</f>
        <v>0.64922773956440383</v>
      </c>
      <c r="O159" s="1">
        <f>+O125/Input!$C$31</f>
        <v>19.582533382424096</v>
      </c>
      <c r="P159" s="1">
        <f>+P125/Input!$C$31</f>
        <v>3.1747701841127993</v>
      </c>
      <c r="Q159" s="1">
        <f>+Q125/Input!$C$31</f>
        <v>1.1562033017188762</v>
      </c>
      <c r="R159" s="1">
        <f>+R125/Input!$C$31</f>
        <v>0.87737079908012994</v>
      </c>
      <c r="S159" s="1">
        <f>+S125/Input!$C$31</f>
        <v>0.76033864762898462</v>
      </c>
      <c r="T159" s="1">
        <f>+T125/Input!$C$31</f>
        <v>10.0823796227</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89</v>
      </c>
      <c r="E15" s="158" t="str">
        <f>Input!$J51</f>
        <v>Truck</v>
      </c>
      <c r="F15" s="158" t="str">
        <f>Input!$K51</f>
        <v>Diesel_Euro6</v>
      </c>
      <c r="G15" s="158" cm="1">
        <f t="array" ref="G15">INDEX(LCI!H$2:H$73, MATCH($E15&amp;$F15, LCI!$B$2:$B$73&amp;LCI!$D$2:$D$73, 0))* IF(AND($E15="Truck", OR($F15="Electric", $F15="Electric_green")), $B$6, 1)* $C15* $D15</f>
        <v>6.3204773999999998E-3</v>
      </c>
      <c r="H15" s="158" cm="1">
        <f t="array" ref="H15">INDEX(LCI!I$2:I$73, MATCH($E15&amp;$F15, LCI!$B$2:$B$73&amp;LCI!$D$2:$D$73, 0))* IF(AND($E15="Truck", OR($F15="Electric", $F15="Electric_green")), $B$6, 1)* $C15* $D15</f>
        <v>4.2384877352999997</v>
      </c>
      <c r="I15" s="158" cm="1">
        <f t="array" ref="I15">INDEX(LCI!J$2:J$73, MATCH($E15&amp;$F15, LCI!$B$2:$B$73&amp;LCI!$D$2:$D$73, 0))* IF(AND($E15="Truck", OR($F15="Electric", $F15="Electric_green")), $B$6, 1)* $C15* $D15</f>
        <v>1.9808810099999998E-3</v>
      </c>
      <c r="J15" s="158" cm="1">
        <f t="array" ref="J15">INDEX(LCI!K$2:K$73, MATCH($E15&amp;$F15, LCI!$B$2:$B$73&amp;LCI!$D$2:$D$73, 0))* IF(AND($E15="Truck", OR($F15="Electric", $F15="Electric_green")), $B$6, 1)* $C15* $D15</f>
        <v>4.2361697213999996</v>
      </c>
      <c r="K15" s="158" cm="1">
        <f t="array" ref="K15">INDEX(LCI!L$2:L$73, MATCH($E15&amp;$F15, LCI!$B$2:$B$73&amp;LCI!$D$2:$D$73, 0))* IF(AND($E15="Truck", OR($F15="Electric", $F15="Electric_green")), $B$6, 1)* $C15* $D15</f>
        <v>3.3712754999999997E-4</v>
      </c>
      <c r="L15" s="158" cm="1">
        <f t="array" ref="L15">INDEX(LCI!M$2:M$73, MATCH($E15&amp;$F15, LCI!$B$2:$B$73&amp;LCI!$D$2:$D$73, 0))* IF(AND($E15="Truck", OR($F15="Electric", $F15="Electric_green")), $B$6, 1)* $C15* $D15</f>
        <v>3.6403834382999998</v>
      </c>
      <c r="M15" s="158" cm="1">
        <f t="array" ref="M15">INDEX(LCI!N$2:N$73, MATCH($E15&amp;$F15, LCI!$B$2:$B$73&amp;LCI!$D$2:$D$73, 0))* IF(AND($E15="Truck", OR($F15="Electric", $F15="Electric_green")), $B$6, 1)* $C15* $D15</f>
        <v>57.045638291999992</v>
      </c>
      <c r="N15" s="158" cm="1">
        <f t="array" ref="N15">INDEX(LCI!O$2:O$73, MATCH($E15&amp;$F15, LCI!$B$2:$B$73&amp;LCI!$D$2:$D$73, 0))* IF(AND($E15="Truck", OR($F15="Electric", $F15="Electric_green")), $B$6, 1)* $C15* $D15</f>
        <v>9.8861823000000006E-5</v>
      </c>
      <c r="O15" s="158" cm="1">
        <f t="array" ref="O15">INDEX(LCI!P$2:P$73, MATCH($E15&amp;$F15, LCI!$B$2:$B$73&amp;LCI!$D$2:$D$73, 0))* IF(AND($E15="Truck", OR($F15="Electric", $F15="Electric_green")), $B$6, 1)* $C15* $D15</f>
        <v>1.3776452399999999E-3</v>
      </c>
      <c r="P15" s="158" cm="1">
        <f t="array" ref="P15">INDEX(LCI!Q$2:Q$73, MATCH($E15&amp;$F15, LCI!$B$2:$B$73&amp;LCI!$D$2:$D$73, 0))* IF(AND($E15="Truck", OR($F15="Electric", $F15="Electric_green")), $B$6, 1)* $C15* $D15</f>
        <v>1.4911763099999999E-2</v>
      </c>
      <c r="Q15" s="158" cm="1">
        <f t="array" ref="Q15">INDEX(LCI!R$2:R$73, MATCH($E15&amp;$F15, LCI!$B$2:$B$73&amp;LCI!$D$2:$D$73, 0))* IF(AND($E15="Truck", OR($F15="Electric", $F15="Electric_green")), $B$6, 1)* $C15* $D15</f>
        <v>3.7566098999999999E-10</v>
      </c>
      <c r="R15" s="158" cm="1">
        <f t="array" ref="R15">INDEX(LCI!S$2:S$73, MATCH($E15&amp;$F15, LCI!$B$2:$B$73&amp;LCI!$D$2:$D$73, 0))* IF(AND($E15="Truck", OR($F15="Electric", $F15="Electric_green")), $B$6, 1)* $C15* $D15</f>
        <v>3.0565626000000004E-8</v>
      </c>
      <c r="S15" s="158" cm="1">
        <f t="array" ref="S15">INDEX(LCI!T$2:T$73, MATCH($E15&amp;$F15, LCI!$B$2:$B$73&amp;LCI!$D$2:$D$73, 0))* IF(AND($E15="Truck", OR($F15="Electric", $F15="Electric_green")), $B$6, 1)* $C15* $D15</f>
        <v>2.58671202E-2</v>
      </c>
      <c r="T15" s="158" cm="1">
        <f t="array" ref="T15">INDEX(LCI!U$2:U$73, MATCH($E15&amp;$F15, LCI!$B$2:$B$73&amp;LCI!$D$2:$D$73, 0))* IF(AND($E15="Truck", OR($F15="Electric", $F15="Electric_green")), $B$6, 1)* $C15* $D15</f>
        <v>3.5982659238000001</v>
      </c>
      <c r="U15" s="158" cm="1">
        <f t="array" ref="U15">INDEX(LCI!V$2:V$73, MATCH($E15&amp;$F15, LCI!$B$2:$B$73&amp;LCI!$D$2:$D$73, 0))* IF(AND($E15="Truck", OR($F15="Electric", $F15="Electric_green")), $B$6, 1)* $C15* $D15</f>
        <v>4.6761578999999995E-6</v>
      </c>
      <c r="V15" s="158" cm="1">
        <f t="array" ref="V15">INDEX(LCI!W$2:W$73, MATCH($E15&amp;$F15, LCI!$B$2:$B$73&amp;LCI!$D$2:$D$73, 0))* IF(AND($E15="Truck", OR($F15="Electric", $F15="Electric_green")), $B$6, 1)* $C15* $D15</f>
        <v>9.4246193999999998E-8</v>
      </c>
      <c r="W15" s="158" cm="1">
        <f t="array" ref="W15">INDEX(LCI!X$2:X$73, MATCH($E15&amp;$F15, LCI!$B$2:$B$73&amp;LCI!$D$2:$D$73, 0))* IF(AND($E15="Truck", OR($F15="Electric", $F15="Electric_green")), $B$6, 1)* $C15* $D15</f>
        <v>2.6271651899999998E-7</v>
      </c>
      <c r="X15" s="158" cm="1">
        <f t="array" ref="X15">INDEX(LCI!Y$2:Y$73, MATCH($E15&amp;$F15, LCI!$B$2:$B$73&amp;LCI!$D$2:$D$73, 0))* IF(AND($E15="Truck", OR($F15="Electric", $F15="Electric_green")), $B$6, 1)* $C15* $D15</f>
        <v>1.1019517199999999E-2</v>
      </c>
      <c r="Y15" s="158" cm="1">
        <f t="array" ref="Y15">INDEX(LCI!Z$2:Z$73, MATCH($E15&amp;$F15, LCI!$B$2:$B$73&amp;LCI!$D$2:$D$73, 0))* IF(AND($E15="Truck", OR($F15="Electric", $F15="Electric_green")), $B$6, 1)* $C15* $D15</f>
        <v>0.12992724629999999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6.3204773999999998E-3</v>
      </c>
      <c r="H19" s="139">
        <f t="shared" si="0"/>
        <v>4.2384877352999997</v>
      </c>
      <c r="I19" s="139">
        <f t="shared" si="0"/>
        <v>1.9808810099999998E-3</v>
      </c>
      <c r="J19" s="139">
        <f t="shared" si="0"/>
        <v>4.2361697213999996</v>
      </c>
      <c r="K19" s="139">
        <f t="shared" si="0"/>
        <v>3.3712754999999997E-4</v>
      </c>
      <c r="L19" s="139">
        <f t="shared" si="0"/>
        <v>3.6403834382999998</v>
      </c>
      <c r="M19" s="139">
        <f t="shared" si="0"/>
        <v>57.045638291999992</v>
      </c>
      <c r="N19" s="139">
        <f t="shared" si="0"/>
        <v>9.8861823000000006E-5</v>
      </c>
      <c r="O19" s="139">
        <f t="shared" si="0"/>
        <v>1.3776452399999999E-3</v>
      </c>
      <c r="P19" s="139">
        <f t="shared" si="0"/>
        <v>1.4911763099999999E-2</v>
      </c>
      <c r="Q19" s="139">
        <f t="shared" si="0"/>
        <v>3.7566098999999999E-10</v>
      </c>
      <c r="R19" s="139">
        <f t="shared" si="0"/>
        <v>3.0565626000000004E-8</v>
      </c>
      <c r="S19" s="139">
        <f t="shared" si="0"/>
        <v>2.58671202E-2</v>
      </c>
      <c r="T19" s="139">
        <f t="shared" si="0"/>
        <v>3.5982659238000001</v>
      </c>
      <c r="U19" s="139">
        <f t="shared" si="0"/>
        <v>4.6761578999999995E-6</v>
      </c>
      <c r="V19" s="139">
        <f t="shared" si="0"/>
        <v>9.4246193999999998E-8</v>
      </c>
      <c r="W19" s="139">
        <f t="shared" si="0"/>
        <v>2.6271651899999998E-7</v>
      </c>
      <c r="X19" s="139">
        <f t="shared" si="0"/>
        <v>1.1019517199999999E-2</v>
      </c>
      <c r="Y19" s="139">
        <f t="shared" si="0"/>
        <v>0.12992724629999999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89</v>
      </c>
      <c r="E46" s="154" t="s">
        <v>346</v>
      </c>
      <c r="F46" s="154" t="s">
        <v>346</v>
      </c>
      <c r="G46" s="154">
        <f t="shared" ref="G46:Y46" si="3">G15+G25+G35</f>
        <v>6.3204773999999998E-3</v>
      </c>
      <c r="H46" s="154">
        <f t="shared" si="3"/>
        <v>4.2384877352999997</v>
      </c>
      <c r="I46" s="154">
        <f t="shared" si="3"/>
        <v>1.9808810099999998E-3</v>
      </c>
      <c r="J46" s="154">
        <f t="shared" si="3"/>
        <v>4.2361697213999996</v>
      </c>
      <c r="K46" s="154">
        <f t="shared" si="3"/>
        <v>3.3712754999999997E-4</v>
      </c>
      <c r="L46" s="154">
        <f t="shared" si="3"/>
        <v>3.6403834382999998</v>
      </c>
      <c r="M46" s="154">
        <f t="shared" si="3"/>
        <v>57.045638291999992</v>
      </c>
      <c r="N46" s="154">
        <f t="shared" si="3"/>
        <v>9.8861823000000006E-5</v>
      </c>
      <c r="O46" s="154">
        <f t="shared" si="3"/>
        <v>1.3776452399999999E-3</v>
      </c>
      <c r="P46" s="154">
        <f t="shared" si="3"/>
        <v>1.4911763099999999E-2</v>
      </c>
      <c r="Q46" s="154">
        <f t="shared" si="3"/>
        <v>3.7566098999999999E-10</v>
      </c>
      <c r="R46" s="154">
        <f t="shared" si="3"/>
        <v>3.0565626000000004E-8</v>
      </c>
      <c r="S46" s="154">
        <f t="shared" si="3"/>
        <v>2.58671202E-2</v>
      </c>
      <c r="T46" s="154">
        <f t="shared" si="3"/>
        <v>3.5982659238000001</v>
      </c>
      <c r="U46" s="154">
        <f t="shared" si="3"/>
        <v>4.6761578999999995E-6</v>
      </c>
      <c r="V46" s="154">
        <f t="shared" si="3"/>
        <v>9.4246193999999998E-8</v>
      </c>
      <c r="W46" s="154">
        <f t="shared" si="3"/>
        <v>2.6271651899999998E-7</v>
      </c>
      <c r="X46" s="154">
        <f t="shared" si="3"/>
        <v>1.1019517199999999E-2</v>
      </c>
      <c r="Y46" s="154">
        <f t="shared" si="3"/>
        <v>0.12992724629999999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6.3204773999999998E-3</v>
      </c>
      <c r="H50" s="139">
        <f t="shared" si="7"/>
        <v>4.2384877352999997</v>
      </c>
      <c r="I50" s="139">
        <f t="shared" si="7"/>
        <v>1.9808810099999998E-3</v>
      </c>
      <c r="J50" s="139">
        <f t="shared" si="7"/>
        <v>4.2361697213999996</v>
      </c>
      <c r="K50" s="139">
        <f t="shared" si="7"/>
        <v>3.3712754999999997E-4</v>
      </c>
      <c r="L50" s="139">
        <f t="shared" si="7"/>
        <v>3.6403834382999998</v>
      </c>
      <c r="M50" s="139">
        <f t="shared" si="7"/>
        <v>57.045638291999992</v>
      </c>
      <c r="N50" s="139">
        <f t="shared" si="7"/>
        <v>9.8861823000000006E-5</v>
      </c>
      <c r="O50" s="139">
        <f t="shared" si="7"/>
        <v>1.3776452399999999E-3</v>
      </c>
      <c r="P50" s="139">
        <f t="shared" si="7"/>
        <v>1.4911763099999999E-2</v>
      </c>
      <c r="Q50" s="139">
        <f t="shared" si="7"/>
        <v>3.7566098999999999E-10</v>
      </c>
      <c r="R50" s="139">
        <f t="shared" si="7"/>
        <v>3.0565626000000004E-8</v>
      </c>
      <c r="S50" s="139">
        <f t="shared" si="7"/>
        <v>2.58671202E-2</v>
      </c>
      <c r="T50" s="139">
        <f t="shared" si="7"/>
        <v>3.5982659238000001</v>
      </c>
      <c r="U50" s="139">
        <f t="shared" si="7"/>
        <v>4.6761578999999995E-6</v>
      </c>
      <c r="V50" s="139">
        <f t="shared" si="7"/>
        <v>9.4246193999999998E-8</v>
      </c>
      <c r="W50" s="139">
        <f t="shared" si="7"/>
        <v>2.6271651899999998E-7</v>
      </c>
      <c r="X50" s="139">
        <f t="shared" si="7"/>
        <v>1.1019517199999999E-2</v>
      </c>
      <c r="Y50" s="139">
        <f t="shared" si="7"/>
        <v>0.12992724629999999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6.3204773999999998E-3</v>
      </c>
      <c r="C58" s="154">
        <f>'C2''- Transport Secondary'!G47</f>
        <v>0</v>
      </c>
      <c r="D58" s="154">
        <f>SUM(B58:C58)</f>
        <v>6.3204773999999998E-3</v>
      </c>
      <c r="E58" s="154">
        <f>'C2''- Transport Secondary'!G48</f>
        <v>0</v>
      </c>
      <c r="F58" s="154">
        <f>'C2''- Transport Secondary'!G49</f>
        <v>0</v>
      </c>
      <c r="G58" s="154">
        <f>SUM(E58:F58)</f>
        <v>0</v>
      </c>
      <c r="H58" s="154">
        <f>+D58+G58</f>
        <v>6.3204773999999998E-3</v>
      </c>
    </row>
    <row r="59" spans="1:25" x14ac:dyDescent="0.35">
      <c r="A59" s="1" t="s">
        <v>280</v>
      </c>
      <c r="B59" s="154">
        <f>'C2''- Transport Secondary'!H46</f>
        <v>4.2384877352999997</v>
      </c>
      <c r="C59" s="154">
        <f>'C2''- Transport Secondary'!H47</f>
        <v>0</v>
      </c>
      <c r="D59" s="154">
        <f t="shared" ref="D59:D76" si="8">SUM(B59:C59)</f>
        <v>4.2384877352999997</v>
      </c>
      <c r="E59" s="154">
        <f>'C2''- Transport Secondary'!H48</f>
        <v>0</v>
      </c>
      <c r="F59" s="154">
        <f>'C2''- Transport Secondary'!H49</f>
        <v>0</v>
      </c>
      <c r="G59" s="154">
        <f>SUM(E59:F59)</f>
        <v>0</v>
      </c>
      <c r="H59" s="154">
        <f t="shared" ref="H59:H76" si="9">+D59+G59</f>
        <v>4.2384877352999997</v>
      </c>
    </row>
    <row r="60" spans="1:25" x14ac:dyDescent="0.35">
      <c r="A60" s="1" t="s">
        <v>281</v>
      </c>
      <c r="B60" s="154">
        <f>'C2''- Transport Secondary'!I46</f>
        <v>1.9808810099999998E-3</v>
      </c>
      <c r="C60" s="154">
        <f>'C2''- Transport Secondary'!I47</f>
        <v>0</v>
      </c>
      <c r="D60" s="154">
        <f t="shared" si="8"/>
        <v>1.9808810099999998E-3</v>
      </c>
      <c r="E60" s="154">
        <f>'C2''- Transport Secondary'!I48</f>
        <v>0</v>
      </c>
      <c r="F60" s="154">
        <f>'C2''- Transport Secondary'!I49</f>
        <v>0</v>
      </c>
      <c r="G60" s="154">
        <f t="shared" ref="G60:G76" si="10">SUM(E60:F60)</f>
        <v>0</v>
      </c>
      <c r="H60" s="154">
        <f t="shared" si="9"/>
        <v>1.9808810099999998E-3</v>
      </c>
    </row>
    <row r="61" spans="1:25" x14ac:dyDescent="0.35">
      <c r="A61" s="1" t="s">
        <v>282</v>
      </c>
      <c r="B61" s="154">
        <f>'C2''- Transport Secondary'!J46</f>
        <v>4.2361697213999996</v>
      </c>
      <c r="C61" s="154">
        <f>'C2''- Transport Secondary'!J47</f>
        <v>0</v>
      </c>
      <c r="D61" s="154">
        <f t="shared" si="8"/>
        <v>4.2361697213999996</v>
      </c>
      <c r="E61" s="154">
        <f>'C2''- Transport Secondary'!J48</f>
        <v>0</v>
      </c>
      <c r="F61" s="154">
        <f>'C2''- Transport Secondary'!J49</f>
        <v>0</v>
      </c>
      <c r="G61" s="154">
        <f t="shared" si="10"/>
        <v>0</v>
      </c>
      <c r="H61" s="154">
        <f t="shared" si="9"/>
        <v>4.2361697213999996</v>
      </c>
    </row>
    <row r="62" spans="1:25" x14ac:dyDescent="0.35">
      <c r="A62" s="1" t="s">
        <v>283</v>
      </c>
      <c r="B62" s="154">
        <f>'C2''- Transport Secondary'!K46</f>
        <v>3.3712754999999997E-4</v>
      </c>
      <c r="C62" s="154">
        <f>'C2''- Transport Secondary'!K47</f>
        <v>0</v>
      </c>
      <c r="D62" s="154">
        <f t="shared" si="8"/>
        <v>3.3712754999999997E-4</v>
      </c>
      <c r="E62" s="154">
        <f>'C2''- Transport Secondary'!K48</f>
        <v>0</v>
      </c>
      <c r="F62" s="154">
        <f>'C2''- Transport Secondary'!K49</f>
        <v>0</v>
      </c>
      <c r="G62" s="154">
        <f t="shared" si="10"/>
        <v>0</v>
      </c>
      <c r="H62" s="154">
        <f t="shared" si="9"/>
        <v>3.3712754999999997E-4</v>
      </c>
    </row>
    <row r="63" spans="1:25" x14ac:dyDescent="0.35">
      <c r="A63" s="1" t="s">
        <v>284</v>
      </c>
      <c r="B63" s="154">
        <f>'C2''- Transport Secondary'!L46</f>
        <v>3.6403834382999998</v>
      </c>
      <c r="C63" s="154">
        <f>'C2''- Transport Secondary'!L47</f>
        <v>0</v>
      </c>
      <c r="D63" s="154">
        <f t="shared" si="8"/>
        <v>3.6403834382999998</v>
      </c>
      <c r="E63" s="154">
        <f>'C2''- Transport Secondary'!L48</f>
        <v>0</v>
      </c>
      <c r="F63" s="154">
        <f>'C2''- Transport Secondary'!L49</f>
        <v>0</v>
      </c>
      <c r="G63" s="154">
        <f t="shared" si="10"/>
        <v>0</v>
      </c>
      <c r="H63" s="154">
        <f t="shared" si="9"/>
        <v>3.6403834382999998</v>
      </c>
    </row>
    <row r="64" spans="1:25" x14ac:dyDescent="0.35">
      <c r="A64" s="1" t="s">
        <v>285</v>
      </c>
      <c r="B64" s="154">
        <f>'C2''- Transport Secondary'!M46</f>
        <v>57.045638291999992</v>
      </c>
      <c r="C64" s="154">
        <f>'C2''- Transport Secondary'!M47</f>
        <v>0</v>
      </c>
      <c r="D64" s="154">
        <f t="shared" si="8"/>
        <v>57.045638291999992</v>
      </c>
      <c r="E64" s="154">
        <f>'C2''- Transport Secondary'!M48</f>
        <v>0</v>
      </c>
      <c r="F64" s="154">
        <f>'C2''- Transport Secondary'!M49</f>
        <v>0</v>
      </c>
      <c r="G64" s="154">
        <f t="shared" si="10"/>
        <v>0</v>
      </c>
      <c r="H64" s="154">
        <f t="shared" si="9"/>
        <v>57.045638291999992</v>
      </c>
    </row>
    <row r="65" spans="1:8" x14ac:dyDescent="0.35">
      <c r="A65" s="1" t="s">
        <v>286</v>
      </c>
      <c r="B65" s="154">
        <f>'C2''- Transport Secondary'!N46</f>
        <v>9.8861823000000006E-5</v>
      </c>
      <c r="C65" s="154">
        <f>'C2''- Transport Secondary'!N47</f>
        <v>0</v>
      </c>
      <c r="D65" s="154">
        <f t="shared" si="8"/>
        <v>9.8861823000000006E-5</v>
      </c>
      <c r="E65" s="154">
        <f>'C2''- Transport Secondary'!N48</f>
        <v>0</v>
      </c>
      <c r="F65" s="154">
        <f>'C2''- Transport Secondary'!N49</f>
        <v>0</v>
      </c>
      <c r="G65" s="154">
        <f t="shared" si="10"/>
        <v>0</v>
      </c>
      <c r="H65" s="154">
        <f t="shared" si="9"/>
        <v>9.8861823000000006E-5</v>
      </c>
    </row>
    <row r="66" spans="1:8" x14ac:dyDescent="0.35">
      <c r="A66" s="1" t="s">
        <v>287</v>
      </c>
      <c r="B66" s="154">
        <f>'C2''- Transport Secondary'!O46</f>
        <v>1.3776452399999999E-3</v>
      </c>
      <c r="C66" s="154">
        <f>'C2''- Transport Secondary'!O47</f>
        <v>0</v>
      </c>
      <c r="D66" s="154">
        <f t="shared" si="8"/>
        <v>1.3776452399999999E-3</v>
      </c>
      <c r="E66" s="154">
        <f>'C2''- Transport Secondary'!O48</f>
        <v>0</v>
      </c>
      <c r="F66" s="154">
        <f>'C2''- Transport Secondary'!O49</f>
        <v>0</v>
      </c>
      <c r="G66" s="154">
        <f t="shared" si="10"/>
        <v>0</v>
      </c>
      <c r="H66" s="154">
        <f t="shared" si="9"/>
        <v>1.3776452399999999E-3</v>
      </c>
    </row>
    <row r="67" spans="1:8" x14ac:dyDescent="0.35">
      <c r="A67" s="1" t="s">
        <v>288</v>
      </c>
      <c r="B67" s="154">
        <f>'C2''- Transport Secondary'!P46</f>
        <v>1.4911763099999999E-2</v>
      </c>
      <c r="C67" s="154">
        <f>'C2''- Transport Secondary'!P47</f>
        <v>0</v>
      </c>
      <c r="D67" s="154">
        <f t="shared" si="8"/>
        <v>1.4911763099999999E-2</v>
      </c>
      <c r="E67" s="154">
        <f>'C2''- Transport Secondary'!P48</f>
        <v>0</v>
      </c>
      <c r="F67" s="154">
        <f>'C2''- Transport Secondary'!P49</f>
        <v>0</v>
      </c>
      <c r="G67" s="154">
        <f t="shared" si="10"/>
        <v>0</v>
      </c>
      <c r="H67" s="154">
        <f t="shared" si="9"/>
        <v>1.4911763099999999E-2</v>
      </c>
    </row>
    <row r="68" spans="1:8" x14ac:dyDescent="0.35">
      <c r="A68" s="1" t="s">
        <v>289</v>
      </c>
      <c r="B68" s="154">
        <f>'C2''- Transport Secondary'!Q46</f>
        <v>3.7566098999999999E-10</v>
      </c>
      <c r="C68" s="154">
        <f>'C2''- Transport Secondary'!Q47</f>
        <v>0</v>
      </c>
      <c r="D68" s="154">
        <f t="shared" si="8"/>
        <v>3.7566098999999999E-10</v>
      </c>
      <c r="E68" s="154">
        <f>'C2''- Transport Secondary'!Q48</f>
        <v>0</v>
      </c>
      <c r="F68" s="154">
        <f>'C2''- Transport Secondary'!Q49</f>
        <v>0</v>
      </c>
      <c r="G68" s="154">
        <f t="shared" si="10"/>
        <v>0</v>
      </c>
      <c r="H68" s="154">
        <f t="shared" si="9"/>
        <v>3.7566098999999999E-10</v>
      </c>
    </row>
    <row r="69" spans="1:8" x14ac:dyDescent="0.35">
      <c r="A69" s="1" t="s">
        <v>319</v>
      </c>
      <c r="B69" s="154">
        <f>'C2''- Transport Secondary'!R46</f>
        <v>3.0565626000000004E-8</v>
      </c>
      <c r="C69" s="154">
        <f>'C2''- Transport Secondary'!R47</f>
        <v>0</v>
      </c>
      <c r="D69" s="154">
        <f t="shared" si="8"/>
        <v>3.0565626000000004E-8</v>
      </c>
      <c r="E69" s="154">
        <f>'C2''- Transport Secondary'!R48</f>
        <v>0</v>
      </c>
      <c r="F69" s="154">
        <f>'C2''- Transport Secondary'!R49</f>
        <v>0</v>
      </c>
      <c r="G69" s="154">
        <f t="shared" si="10"/>
        <v>0</v>
      </c>
      <c r="H69" s="154">
        <f t="shared" si="9"/>
        <v>3.0565626000000004E-8</v>
      </c>
    </row>
    <row r="70" spans="1:8" x14ac:dyDescent="0.35">
      <c r="A70" s="1" t="s">
        <v>291</v>
      </c>
      <c r="B70" s="154">
        <f>'C2''- Transport Secondary'!S46</f>
        <v>2.58671202E-2</v>
      </c>
      <c r="C70" s="154">
        <f>'C2''- Transport Secondary'!S47</f>
        <v>0</v>
      </c>
      <c r="D70" s="154">
        <f t="shared" si="8"/>
        <v>2.58671202E-2</v>
      </c>
      <c r="E70" s="154">
        <f>'C2''- Transport Secondary'!S48</f>
        <v>0</v>
      </c>
      <c r="F70" s="154">
        <f>'C2''- Transport Secondary'!S49</f>
        <v>0</v>
      </c>
      <c r="G70" s="154">
        <f t="shared" si="10"/>
        <v>0</v>
      </c>
      <c r="H70" s="154">
        <f t="shared" si="9"/>
        <v>2.58671202E-2</v>
      </c>
    </row>
    <row r="71" spans="1:8" x14ac:dyDescent="0.35">
      <c r="A71" s="1" t="s">
        <v>292</v>
      </c>
      <c r="B71" s="154">
        <f>'C2''- Transport Secondary'!T46</f>
        <v>3.5982659238000001</v>
      </c>
      <c r="C71" s="154">
        <f>'C2''- Transport Secondary'!T47</f>
        <v>0</v>
      </c>
      <c r="D71" s="154">
        <f t="shared" si="8"/>
        <v>3.5982659238000001</v>
      </c>
      <c r="E71" s="154">
        <f>'C2''- Transport Secondary'!T48</f>
        <v>0</v>
      </c>
      <c r="F71" s="154">
        <f>'C2''- Transport Secondary'!T49</f>
        <v>0</v>
      </c>
      <c r="G71" s="154">
        <f t="shared" si="10"/>
        <v>0</v>
      </c>
      <c r="H71" s="154">
        <f t="shared" si="9"/>
        <v>3.5982659238000001</v>
      </c>
    </row>
    <row r="72" spans="1:8" x14ac:dyDescent="0.35">
      <c r="A72" s="1" t="s">
        <v>293</v>
      </c>
      <c r="B72" s="154">
        <f>'C2''- Transport Secondary'!U46</f>
        <v>4.6761578999999995E-6</v>
      </c>
      <c r="C72" s="154">
        <f>'C2''- Transport Secondary'!U47</f>
        <v>0</v>
      </c>
      <c r="D72" s="154">
        <f t="shared" si="8"/>
        <v>4.6761578999999995E-6</v>
      </c>
      <c r="E72" s="154">
        <f>'C2''- Transport Secondary'!U48</f>
        <v>0</v>
      </c>
      <c r="F72" s="154">
        <f>'C2''- Transport Secondary'!U49</f>
        <v>0</v>
      </c>
      <c r="G72" s="154">
        <f t="shared" si="10"/>
        <v>0</v>
      </c>
      <c r="H72" s="154">
        <f t="shared" si="9"/>
        <v>4.6761578999999995E-6</v>
      </c>
    </row>
    <row r="73" spans="1:8" x14ac:dyDescent="0.35">
      <c r="A73" s="1" t="s">
        <v>294</v>
      </c>
      <c r="B73" s="154">
        <f>'C2''- Transport Secondary'!V46</f>
        <v>9.4246193999999998E-8</v>
      </c>
      <c r="C73" s="154">
        <f>'C2''- Transport Secondary'!V47</f>
        <v>0</v>
      </c>
      <c r="D73" s="154">
        <f t="shared" si="8"/>
        <v>9.4246193999999998E-8</v>
      </c>
      <c r="E73" s="154">
        <f>'C2''- Transport Secondary'!V48</f>
        <v>0</v>
      </c>
      <c r="F73" s="154">
        <f>'C2''- Transport Secondary'!V49</f>
        <v>0</v>
      </c>
      <c r="G73" s="154">
        <f t="shared" si="10"/>
        <v>0</v>
      </c>
      <c r="H73" s="154">
        <f t="shared" si="9"/>
        <v>9.4246193999999998E-8</v>
      </c>
    </row>
    <row r="74" spans="1:8" ht="14" customHeight="1" x14ac:dyDescent="0.35">
      <c r="A74" s="1" t="s">
        <v>295</v>
      </c>
      <c r="B74" s="154">
        <f>'C2''- Transport Secondary'!W46</f>
        <v>2.6271651899999998E-7</v>
      </c>
      <c r="C74" s="154">
        <f>'C2''- Transport Secondary'!W47</f>
        <v>0</v>
      </c>
      <c r="D74" s="154">
        <f t="shared" si="8"/>
        <v>2.6271651899999998E-7</v>
      </c>
      <c r="E74" s="154">
        <f>'C2''- Transport Secondary'!W48</f>
        <v>0</v>
      </c>
      <c r="F74" s="154">
        <f>'C2''- Transport Secondary'!W49</f>
        <v>0</v>
      </c>
      <c r="G74" s="154">
        <f t="shared" si="10"/>
        <v>0</v>
      </c>
      <c r="H74" s="154">
        <f t="shared" si="9"/>
        <v>2.6271651899999998E-7</v>
      </c>
    </row>
    <row r="75" spans="1:8" x14ac:dyDescent="0.35">
      <c r="A75" s="1" t="s">
        <v>296</v>
      </c>
      <c r="B75" s="154">
        <f>'C2''- Transport Secondary'!X46</f>
        <v>1.1019517199999999E-2</v>
      </c>
      <c r="C75" s="154">
        <f>'C2''- Transport Secondary'!X47</f>
        <v>0</v>
      </c>
      <c r="D75" s="154">
        <f t="shared" si="8"/>
        <v>1.1019517199999999E-2</v>
      </c>
      <c r="E75" s="154">
        <f>'C2''- Transport Secondary'!X48</f>
        <v>0</v>
      </c>
      <c r="F75" s="154">
        <f>'C2''- Transport Secondary'!X49</f>
        <v>0</v>
      </c>
      <c r="G75" s="154">
        <f t="shared" si="10"/>
        <v>0</v>
      </c>
      <c r="H75" s="154">
        <f t="shared" si="9"/>
        <v>1.1019517199999999E-2</v>
      </c>
    </row>
    <row r="76" spans="1:8" x14ac:dyDescent="0.35">
      <c r="A76" s="1" t="s">
        <v>297</v>
      </c>
      <c r="B76" s="154">
        <f>'C2''- Transport Secondary'!Y46</f>
        <v>0.12992724629999999</v>
      </c>
      <c r="C76" s="154">
        <f>'C2''- Transport Secondary'!Y47</f>
        <v>0</v>
      </c>
      <c r="D76" s="154">
        <f t="shared" si="8"/>
        <v>0.12992724629999999</v>
      </c>
      <c r="E76" s="154">
        <f>'C2''- Transport Secondary'!Y48</f>
        <v>0</v>
      </c>
      <c r="F76" s="154">
        <f>'C2''- Transport Secondary'!Y49</f>
        <v>0</v>
      </c>
      <c r="G76" s="154">
        <f t="shared" si="10"/>
        <v>0</v>
      </c>
      <c r="H76" s="154">
        <f t="shared" si="9"/>
        <v>0.12992724629999999</v>
      </c>
    </row>
    <row r="79" spans="1:8" x14ac:dyDescent="0.35">
      <c r="B79" t="s">
        <v>354</v>
      </c>
    </row>
    <row r="80" spans="1:8" x14ac:dyDescent="0.35">
      <c r="A80" s="95" t="s">
        <v>326</v>
      </c>
      <c r="B80" s="1">
        <f>SUM(G50:Y50)</f>
        <v>72.950790814684908</v>
      </c>
    </row>
    <row r="81" spans="1:2" x14ac:dyDescent="0.35">
      <c r="A81" s="95" t="s">
        <v>327</v>
      </c>
      <c r="B81" s="1">
        <f>SUM(B58:C76)+SUM(E58:F76)</f>
        <v>72.950790814684908</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6.3204773999999998E-3</v>
      </c>
      <c r="AB109" s="87" t="e">
        <f>+AA109-Z109</f>
        <v>#REF!</v>
      </c>
    </row>
    <row r="110" spans="26:28" x14ac:dyDescent="0.35">
      <c r="Z110" t="e">
        <f>+SUM(#REF!+#REF!+#REF!+D59+G59+#REF!)</f>
        <v>#REF!</v>
      </c>
      <c r="AA110">
        <f>+$H$50</f>
        <v>4.2384877352999997</v>
      </c>
      <c r="AB110" s="87" t="e">
        <f t="shared" ref="AB110:AB127" si="11">+AA110-Z110</f>
        <v>#REF!</v>
      </c>
    </row>
    <row r="111" spans="26:28" x14ac:dyDescent="0.35">
      <c r="Z111" t="e">
        <f>+SUM(#REF!+#REF!+#REF!+D60+G60+#REF!)</f>
        <v>#REF!</v>
      </c>
      <c r="AA111">
        <f>+$I$50</f>
        <v>1.9808810099999998E-3</v>
      </c>
      <c r="AB111" s="87" t="e">
        <f t="shared" si="11"/>
        <v>#REF!</v>
      </c>
    </row>
    <row r="112" spans="26:28" x14ac:dyDescent="0.35">
      <c r="Z112" t="e">
        <f>+SUM(#REF!+#REF!+#REF!+D61+G61+#REF!)</f>
        <v>#REF!</v>
      </c>
      <c r="AA112">
        <f>+$J$50</f>
        <v>4.2361697213999996</v>
      </c>
      <c r="AB112" s="87" t="e">
        <f t="shared" si="11"/>
        <v>#REF!</v>
      </c>
    </row>
    <row r="113" spans="26:28" x14ac:dyDescent="0.35">
      <c r="Z113" t="e">
        <f>+SUM(#REF!+#REF!+#REF!+D62+G62+#REF!)</f>
        <v>#REF!</v>
      </c>
      <c r="AA113">
        <f>+$K$50</f>
        <v>3.3712754999999997E-4</v>
      </c>
      <c r="AB113" s="87" t="e">
        <f t="shared" si="11"/>
        <v>#REF!</v>
      </c>
    </row>
    <row r="114" spans="26:28" x14ac:dyDescent="0.35">
      <c r="Z114" t="e">
        <f>+SUM(#REF!+#REF!+#REF!+D63+G63+#REF!)</f>
        <v>#REF!</v>
      </c>
      <c r="AA114">
        <f>+$L$50</f>
        <v>3.6403834382999998</v>
      </c>
      <c r="AB114" s="87" t="e">
        <f t="shared" si="11"/>
        <v>#REF!</v>
      </c>
    </row>
    <row r="115" spans="26:28" x14ac:dyDescent="0.35">
      <c r="Z115" t="e">
        <f>+SUM(#REF!+#REF!+#REF!+D64+G64+#REF!)</f>
        <v>#REF!</v>
      </c>
      <c r="AA115">
        <f>+$M$50</f>
        <v>57.045638291999992</v>
      </c>
      <c r="AB115" s="87" t="e">
        <f t="shared" si="11"/>
        <v>#REF!</v>
      </c>
    </row>
    <row r="116" spans="26:28" x14ac:dyDescent="0.35">
      <c r="Z116" t="e">
        <f>+SUM(#REF!+#REF!+#REF!+D65+G65+#REF!)</f>
        <v>#REF!</v>
      </c>
      <c r="AA116">
        <f>+N$50</f>
        <v>9.8861823000000006E-5</v>
      </c>
      <c r="AB116" s="87" t="e">
        <f t="shared" si="11"/>
        <v>#REF!</v>
      </c>
    </row>
    <row r="117" spans="26:28" x14ac:dyDescent="0.35">
      <c r="Z117" t="e">
        <f>+SUM(#REF!+#REF!+#REF!+D66+G66+#REF!)</f>
        <v>#REF!</v>
      </c>
      <c r="AA117">
        <f>+$O$50</f>
        <v>1.3776452399999999E-3</v>
      </c>
      <c r="AB117" s="87" t="e">
        <f t="shared" si="11"/>
        <v>#REF!</v>
      </c>
    </row>
    <row r="118" spans="26:28" x14ac:dyDescent="0.35">
      <c r="Z118" t="e">
        <f>+SUM(#REF!+#REF!+#REF!+D67+G67+#REF!)</f>
        <v>#REF!</v>
      </c>
      <c r="AA118">
        <f>+$P$50</f>
        <v>1.4911763099999999E-2</v>
      </c>
      <c r="AB118" s="87" t="e">
        <f t="shared" si="11"/>
        <v>#REF!</v>
      </c>
    </row>
    <row r="119" spans="26:28" x14ac:dyDescent="0.35">
      <c r="Z119" t="e">
        <f>+SUM(#REF!+#REF!+#REF!+D68+G68+#REF!)</f>
        <v>#REF!</v>
      </c>
      <c r="AA119">
        <f>+$Q$50</f>
        <v>3.7566098999999999E-10</v>
      </c>
      <c r="AB119" s="87" t="e">
        <f t="shared" si="11"/>
        <v>#REF!</v>
      </c>
    </row>
    <row r="120" spans="26:28" x14ac:dyDescent="0.35">
      <c r="Z120" t="e">
        <f>+SUM(#REF!+#REF!+#REF!+D69+G69+#REF!)</f>
        <v>#REF!</v>
      </c>
      <c r="AA120">
        <f>+$R$50</f>
        <v>3.0565626000000004E-8</v>
      </c>
      <c r="AB120" s="87" t="e">
        <f t="shared" si="11"/>
        <v>#REF!</v>
      </c>
    </row>
    <row r="121" spans="26:28" x14ac:dyDescent="0.35">
      <c r="Z121" t="e">
        <f>+SUM(#REF!+#REF!+#REF!+D70+G70+#REF!)</f>
        <v>#REF!</v>
      </c>
      <c r="AA121">
        <f>+$S$50</f>
        <v>2.58671202E-2</v>
      </c>
      <c r="AB121" s="87" t="e">
        <f t="shared" si="11"/>
        <v>#REF!</v>
      </c>
    </row>
    <row r="122" spans="26:28" x14ac:dyDescent="0.35">
      <c r="Z122" t="e">
        <f>+SUM(#REF!+#REF!+#REF!+D71+G71+#REF!)</f>
        <v>#REF!</v>
      </c>
      <c r="AA122">
        <f>+$T$50</f>
        <v>3.5982659238000001</v>
      </c>
      <c r="AB122" s="87" t="e">
        <f t="shared" si="11"/>
        <v>#REF!</v>
      </c>
    </row>
    <row r="123" spans="26:28" x14ac:dyDescent="0.35">
      <c r="Z123" t="e">
        <f>+SUM(#REF!+#REF!+#REF!+D72+G72+#REF!)</f>
        <v>#REF!</v>
      </c>
      <c r="AA123">
        <f>+$U$50</f>
        <v>4.6761578999999995E-6</v>
      </c>
      <c r="AB123" s="87" t="e">
        <f t="shared" si="11"/>
        <v>#REF!</v>
      </c>
    </row>
    <row r="124" spans="26:28" x14ac:dyDescent="0.35">
      <c r="Z124" t="e">
        <f>+SUM(#REF!+#REF!+#REF!+D73+G73+#REF!)</f>
        <v>#REF!</v>
      </c>
      <c r="AA124">
        <f>+$V$50</f>
        <v>9.4246193999999998E-8</v>
      </c>
      <c r="AB124" s="87" t="e">
        <f t="shared" si="11"/>
        <v>#REF!</v>
      </c>
    </row>
    <row r="125" spans="26:28" x14ac:dyDescent="0.35">
      <c r="Z125" t="e">
        <f>+SUM(#REF!+#REF!+#REF!+D74+G74+#REF!)</f>
        <v>#REF!</v>
      </c>
      <c r="AA125">
        <f>+$W$50</f>
        <v>2.6271651899999998E-7</v>
      </c>
      <c r="AB125" s="87" t="e">
        <f t="shared" si="11"/>
        <v>#REF!</v>
      </c>
    </row>
    <row r="126" spans="26:28" x14ac:dyDescent="0.35">
      <c r="Z126" t="e">
        <f>+SUM(#REF!+#REF!+#REF!+D75+G75+#REF!)</f>
        <v>#REF!</v>
      </c>
      <c r="AA126">
        <f>+$X$50</f>
        <v>1.1019517199999999E-2</v>
      </c>
      <c r="AB126" s="87" t="e">
        <f t="shared" si="11"/>
        <v>#REF!</v>
      </c>
    </row>
    <row r="127" spans="26:28" x14ac:dyDescent="0.35">
      <c r="Z127" t="e">
        <f>+SUM(#REF!+#REF!+#REF!+D76+G76+#REF!)</f>
        <v>#REF!</v>
      </c>
      <c r="AA127">
        <f>+$Y$50</f>
        <v>0.12992724629999999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No</v>
      </c>
      <c r="E157" s="154">
        <f>+Input!B42</f>
        <v>0.35299999999999998</v>
      </c>
      <c r="F157" s="165" cm="1">
        <f t="array" ref="F157">INDEX($C$101:$C$150,MATCH($B157&amp;$D157,$A$101:$A$150&amp;$B$101:$B$150,0))</f>
        <v>0.02</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Yes</v>
      </c>
      <c r="E166" s="154">
        <f>+Input!B51</f>
        <v>0.3</v>
      </c>
      <c r="F166" s="165" cm="1">
        <f t="array" ref="F166">INDEX($C$101:$C$150,MATCH($B166&amp;$D166,$A$101:$A$150&amp;$B$101:$B$150,0))</f>
        <v>0.02</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0.29399999999999998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6.0000000000000001E-3</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32.133023999999999</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2.2324320000000002</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13.542</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0.94275000000000009</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48.850206</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262.92265282530002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0.33188069786850793</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1.5551181752569469E-2</v>
      </c>
      <c r="G196" s="154" cm="1">
        <f t="array" ref="G196">INDEX(LCI!I$2:I$137,MATCH('A3 - Production '!$A$196&amp;'A3 - Production '!$D$196,LCI!$B$2:$B$137&amp;LCI!$D$2:$D$137,0))*$C$188*IF(OR($D$196="Electricity", $D$196="Electricity_green"),$B$52, 1)*IF($D$196="Hydrogen (grey)",$B$53,1)*$E$196</f>
        <v>18.41120432015212</v>
      </c>
      <c r="H196" s="154" cm="1">
        <f t="array" ref="H196">INDEX(LCI!J$2:J$137,MATCH('A3 - Production '!$A$196&amp;'A3 - Production '!$D$196,LCI!$B$2:$B$137&amp;LCI!$D$2:$D$137,0))*$C$188*IF(OR($D$196="Electricity", $D$196="Electricity_green"),$B$52, 1)*IF($D$196="Hydrogen (grey)",$B$53,1)*$E$196</f>
        <v>4.8135399911913637E-3</v>
      </c>
      <c r="I196" s="154" cm="1">
        <f t="array" ref="I196">INDEX(LCI!K$2:K$137,MATCH('A3 - Production '!$A$196&amp;'A3 - Production '!$D$196,LCI!$B$2:$B$137&amp;LCI!$D$2:$D$137,0))*$C$188*IF(OR($D$196="Electricity", $D$196="Electricity_green"),$B$52, 1)*IF($D$196="Hydrogen (grey)",$B$53,1)*$E$196</f>
        <v>18.405640427051544</v>
      </c>
      <c r="J196" s="154" cm="1">
        <f t="array" ref="J196">INDEX(LCI!L$2:L$137,MATCH('A3 - Production '!$A$196&amp;'A3 - Production '!$D$196,LCI!$B$2:$B$137&amp;LCI!$D$2:$D$137,0))*$C$188*IF(OR($D$196="Electricity", $D$196="Electricity_green"),$B$52, 1)*IF($D$196="Hydrogen (grey)",$B$53,1)*$E$196</f>
        <v>7.5035310938750344E-4</v>
      </c>
      <c r="K196" s="154" cm="1">
        <f t="array" ref="K196">INDEX(LCI!M$2:M$137,MATCH('A3 - Production '!$A$196&amp;'A3 - Production '!$D$196,LCI!$B$2:$B$137&amp;LCI!$D$2:$D$137,0))*$C$188*IF(OR($D$196="Electricity", $D$196="Electricity_green"),$B$52, 1)*IF($D$196="Hydrogen (grey)",$B$53,1)*$E$196</f>
        <v>6.962983405180962</v>
      </c>
      <c r="L196" s="154" cm="1">
        <f t="array" ref="L196">INDEX(LCI!N$2:N$137,MATCH('A3 - Production '!$A$196&amp;'A3 - Production '!$D$196,LCI!$B$2:$B$137&amp;LCI!$D$2:$D$137,0))*$C$188*IF(OR($D$196="Electricity", $D$196="Electricity_green"),$B$52, 1)*IF($D$196="Hydrogen (grey)",$B$53,1)*$E$196</f>
        <v>311.35092736094049</v>
      </c>
      <c r="M196" s="154" cm="1">
        <f t="array" ref="M196">INDEX(LCI!O$2:O$137,MATCH('A3 - Production '!$A$196&amp;'A3 - Production '!$D$196,LCI!$B$2:$B$137&amp;LCI!$D$2:$D$137,0))*$C$188*IF(OR($D$196="Electricity", $D$196="Electricity_green"),$B$52, 1)*IF($D$196="Hydrogen (grey)",$B$53,1)*$E$196</f>
        <v>2.7600516184263073E-4</v>
      </c>
      <c r="N196" s="154" cm="1">
        <f t="array" ref="N196">INDEX(LCI!P$2:P$137,MATCH('A3 - Production '!$A$196&amp;'A3 - Production '!$D$196,LCI!$B$2:$B$137&amp;LCI!$D$2:$D$137,0))*$C$188*IF(OR($D$196="Electricity", $D$196="Electricity_green"),$B$52, 1)*IF($D$196="Hydrogen (grey)",$B$53,1)*$E$196</f>
        <v>4.2773081352812277E-3</v>
      </c>
      <c r="O196" s="154" cm="1">
        <f t="array" ref="O196">INDEX(LCI!Q$2:Q$137,MATCH('A3 - Production '!$A$196&amp;'A3 - Production '!$D$196,LCI!$B$2:$B$137&amp;LCI!$D$2:$D$137,0))*$C$188*IF(OR($D$196="Electricity", $D$196="Electricity_green"),$B$52, 1)*IF($D$196="Hydrogen (grey)",$B$53,1)*$E$196</f>
        <v>4.7161606140300433E-2</v>
      </c>
      <c r="P196" s="154" cm="1">
        <f t="array" ref="P196">INDEX(LCI!R$2:R$137,MATCH('A3 - Production '!$A$196&amp;'A3 - Production '!$D$196,LCI!$B$2:$B$137&amp;LCI!$D$2:$D$137,0))*$C$188*IF(OR($D$196="Electricity", $D$196="Electricity_green"),$B$52, 1)*IF($D$196="Hydrogen (grey)",$B$53,1)*$E$196</f>
        <v>1.486827251174378E-9</v>
      </c>
      <c r="Q196" s="154" cm="1">
        <f t="array" ref="Q196">INDEX(LCI!S$2:S$137,MATCH('A3 - Production '!$A$196&amp;'A3 - Production '!$D$196,LCI!$B$2:$B$137&amp;LCI!$D$2:$D$137,0))*$C$188*IF(OR($D$196="Electricity", $D$196="Electricity_green"),$B$52, 1)*IF($D$196="Hydrogen (grey)",$B$53,1)*$E$196</f>
        <v>1.271324765172711E-8</v>
      </c>
      <c r="R196" s="154" cm="1">
        <f t="array" ref="R196">INDEX(LCI!T$2:T$137,MATCH('A3 - Production '!$A$196&amp;'A3 - Production '!$D$196,LCI!$B$2:$B$137&amp;LCI!$D$2:$D$137,0))*$C$188*IF(OR($D$196="Electricity", $D$196="Electricity_green"),$B$52, 1)*IF($D$196="Hydrogen (grey)",$B$53,1)*$E$196</f>
        <v>0.19597088764306847</v>
      </c>
      <c r="S196" s="154" cm="1">
        <f t="array" ref="S196">INDEX(LCI!U$2:U$137,MATCH('A3 - Production '!$A$196&amp;'A3 - Production '!$D$196,LCI!$B$2:$B$137&amp;LCI!$D$2:$D$137,0))*$C$188*IF(OR($D$196="Electricity", $D$196="Electricity_green"),$B$52, 1)*IF($D$196="Hydrogen (grey)",$B$53,1)*$E$196</f>
        <v>4.1837521206713886</v>
      </c>
      <c r="T196" s="154" cm="1">
        <f t="array" ref="T196">INDEX(LCI!V$2:V$137,MATCH('A3 - Production '!$A$196&amp;'A3 - Production '!$D$196,LCI!$B$2:$B$137&amp;LCI!$D$2:$D$137,0))*$C$188*IF(OR($D$196="Electricity", $D$196="Electricity_green"),$B$52, 1)*IF($D$196="Hydrogen (grey)",$B$53,1)*$E$196</f>
        <v>1.002389491380501E-6</v>
      </c>
      <c r="U196" s="154" cm="1">
        <f t="array" ref="U196">INDEX(LCI!W$2:W$137,MATCH('A3 - Production '!$A$196&amp;'A3 - Production '!$D$196,LCI!$B$2:$B$137&amp;LCI!$D$2:$D$137,0))*$C$188*IF(OR($D$196="Electricity", $D$196="Electricity_green"),$B$52, 1)*IF($D$196="Hydrogen (grey)",$B$53,1)*$E$196</f>
        <v>2.5930481160515822E-6</v>
      </c>
      <c r="V196" s="154" cm="1">
        <f t="array" ref="V196">INDEX(LCI!X$2:X$137,MATCH('A3 - Production '!$A$196&amp;'A3 - Production '!$D$196,LCI!$B$2:$B$137&amp;LCI!$D$2:$D$137,0))*$C$188*IF(OR($D$196="Electricity", $D$196="Electricity_green"),$B$52, 1)*IF($D$196="Hydrogen (grey)",$B$53,1)*$E$196</f>
        <v>5.7126071273888617E-8</v>
      </c>
      <c r="W196" s="154" cm="1">
        <f t="array" ref="W196">INDEX(LCI!Y$2:Y$137,MATCH('A3 - Production '!$A$196&amp;'A3 - Production '!$D$196,LCI!$B$2:$B$137&amp;LCI!$D$2:$D$137,0))*$C$188*IF(OR($D$196="Electricity", $D$196="Electricity_green"),$B$52, 1)*IF($D$196="Hydrogen (grey)",$B$53,1)*$E$196</f>
        <v>1.5958754533585216E-2</v>
      </c>
      <c r="X196" s="154" cm="1">
        <f t="array" ref="X196">INDEX(LCI!Z$2:Z$137,MATCH('A3 - Production '!$A$196&amp;'A3 - Production '!$D$196,LCI!$B$2:$B$137&amp;LCI!$D$2:$D$137,0))*$C$188*IF(OR($D$196="Electricity", $D$196="Electricity_green"),$B$52, 1)*IF($D$196="Hydrogen (grey)",$B$53,1)*$E$196</f>
        <v>0.1837694265254779</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1.9511148020880546E-2</v>
      </c>
      <c r="G199" s="139">
        <f t="shared" si="9"/>
        <v>19.501972857611271</v>
      </c>
      <c r="H199" s="139">
        <f t="shared" si="9"/>
        <v>6.6231791712672251E-3</v>
      </c>
      <c r="I199" s="139">
        <f t="shared" si="9"/>
        <v>19.491866260669617</v>
      </c>
      <c r="J199" s="139">
        <f t="shared" si="9"/>
        <v>3.4834177703894592E-3</v>
      </c>
      <c r="K199" s="139">
        <f t="shared" si="9"/>
        <v>10.777879872951612</v>
      </c>
      <c r="L199" s="139">
        <f t="shared" si="9"/>
        <v>364.79075481919034</v>
      </c>
      <c r="M199" s="139">
        <f t="shared" si="9"/>
        <v>6.8371204491572929E-4</v>
      </c>
      <c r="N199" s="139">
        <f t="shared" si="9"/>
        <v>5.0916700087385832E-3</v>
      </c>
      <c r="O199" s="139">
        <f t="shared" si="9"/>
        <v>5.4892137678066388E-2</v>
      </c>
      <c r="P199" s="139">
        <f t="shared" si="9"/>
        <v>1.9412080271585108E-9</v>
      </c>
      <c r="Q199" s="139">
        <f t="shared" si="9"/>
        <v>3.783767255190432E-8</v>
      </c>
      <c r="R199" s="139">
        <f t="shared" si="9"/>
        <v>2.4408034446750153</v>
      </c>
      <c r="S199" s="139">
        <f t="shared" si="9"/>
        <v>12.616802455500729</v>
      </c>
      <c r="T199" s="139">
        <f t="shared" si="9"/>
        <v>2.994166273869281E-5</v>
      </c>
      <c r="U199" s="139">
        <f t="shared" si="9"/>
        <v>2.6277503703923124E-6</v>
      </c>
      <c r="V199" s="139">
        <f t="shared" si="9"/>
        <v>8.6225682812223895E-8</v>
      </c>
      <c r="W199" s="139">
        <f t="shared" si="9"/>
        <v>1.8429124096607286E-2</v>
      </c>
      <c r="X199" s="139">
        <f t="shared" si="9"/>
        <v>0.82575039812728224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1.9511148020880546E-2</v>
      </c>
      <c r="C206" s="154">
        <f>'A3 - Production '!H28</f>
        <v>1.0299559961337281E-4</v>
      </c>
      <c r="D206" s="154">
        <f>SUM(B206:C206)</f>
        <v>1.9614143620493921E-2</v>
      </c>
    </row>
    <row r="207" spans="1:24" x14ac:dyDescent="0.35">
      <c r="A207" s="1" t="s">
        <v>280</v>
      </c>
      <c r="B207" s="154">
        <f>SUM(G196:G198)</f>
        <v>19.501972857611271</v>
      </c>
      <c r="C207" s="154">
        <f>'A3 - Production '!I28</f>
        <v>8.056052481282612E-2</v>
      </c>
      <c r="D207" s="154">
        <f t="shared" ref="D207:D224" si="10">SUM(B207:C207)</f>
        <v>19.582533382424096</v>
      </c>
    </row>
    <row r="208" spans="1:24" x14ac:dyDescent="0.35">
      <c r="A208" s="1" t="s">
        <v>281</v>
      </c>
      <c r="B208" s="154">
        <f>SUM(H196:H198)</f>
        <v>6.6231791712672251E-3</v>
      </c>
      <c r="C208" s="154">
        <f>'A3 - Production '!J28</f>
        <v>1.66498170746065E-5</v>
      </c>
      <c r="D208" s="154">
        <f t="shared" si="10"/>
        <v>6.6398289883418315E-3</v>
      </c>
    </row>
    <row r="209" spans="1:4" x14ac:dyDescent="0.35">
      <c r="A209" s="1" t="s">
        <v>282</v>
      </c>
      <c r="B209" s="154">
        <f>SUM(I196:I198)</f>
        <v>19.491866260669617</v>
      </c>
      <c r="C209" s="154">
        <f>'A3 - Production '!K28</f>
        <v>8.0540312398878863E-2</v>
      </c>
      <c r="D209" s="154">
        <f t="shared" si="10"/>
        <v>19.572406573068495</v>
      </c>
    </row>
    <row r="210" spans="1:4" x14ac:dyDescent="0.35">
      <c r="A210" s="1" t="s">
        <v>283</v>
      </c>
      <c r="B210" s="154">
        <f>SUM(J196:J198)</f>
        <v>3.4834177703894592E-3</v>
      </c>
      <c r="C210" s="154">
        <f>'A3 - Production '!L28</f>
        <v>3.5625968726484402E-6</v>
      </c>
      <c r="D210" s="154">
        <f t="shared" si="10"/>
        <v>3.4869803672621076E-3</v>
      </c>
    </row>
    <row r="211" spans="1:4" x14ac:dyDescent="0.35">
      <c r="A211" s="1" t="s">
        <v>284</v>
      </c>
      <c r="B211" s="154">
        <f>SUM(K196:K198)</f>
        <v>10.777879872951612</v>
      </c>
      <c r="C211" s="154">
        <f>'A3 - Production '!M28</f>
        <v>3.5594107095916434E-2</v>
      </c>
      <c r="D211" s="154">
        <f t="shared" si="10"/>
        <v>10.813473980047528</v>
      </c>
    </row>
    <row r="212" spans="1:4" x14ac:dyDescent="0.35">
      <c r="A212" s="1" t="s">
        <v>285</v>
      </c>
      <c r="B212" s="154">
        <f>SUM(L196:L198)</f>
        <v>364.79075481919034</v>
      </c>
      <c r="C212" s="154">
        <f>'A3 - Production '!N28</f>
        <v>1.0700591183029562</v>
      </c>
      <c r="D212" s="154">
        <f t="shared" si="10"/>
        <v>365.86081393749328</v>
      </c>
    </row>
    <row r="213" spans="1:4" x14ac:dyDescent="0.35">
      <c r="A213" s="1" t="s">
        <v>286</v>
      </c>
      <c r="B213" s="154">
        <f>SUM(M196:M198)</f>
        <v>6.8371204491572929E-4</v>
      </c>
      <c r="C213" s="154">
        <f>'A3 - Production '!O28</f>
        <v>8.5163363126034537E-7</v>
      </c>
      <c r="D213" s="154">
        <f t="shared" si="10"/>
        <v>6.8456367854698966E-4</v>
      </c>
    </row>
    <row r="214" spans="1:4" x14ac:dyDescent="0.35">
      <c r="A214" s="1" t="s">
        <v>287</v>
      </c>
      <c r="B214" s="154">
        <f>SUM(N196:N198)</f>
        <v>5.0916700087385832E-3</v>
      </c>
      <c r="C214" s="154">
        <f>'A3 - Production '!P28</f>
        <v>2.3290660699942286E-5</v>
      </c>
      <c r="D214" s="154">
        <f t="shared" si="10"/>
        <v>5.1149606694385254E-3</v>
      </c>
    </row>
    <row r="215" spans="1:4" x14ac:dyDescent="0.35">
      <c r="A215" s="1" t="s">
        <v>288</v>
      </c>
      <c r="B215" s="154">
        <f>SUM(O196:O198)</f>
        <v>5.4892137678066388E-2</v>
      </c>
      <c r="C215" s="154">
        <f>'A3 - Production '!Q28</f>
        <v>2.5319818156265738E-4</v>
      </c>
      <c r="D215" s="154">
        <f t="shared" si="10"/>
        <v>5.5145335859629045E-2</v>
      </c>
    </row>
    <row r="216" spans="1:4" x14ac:dyDescent="0.35">
      <c r="A216" s="1" t="s">
        <v>289</v>
      </c>
      <c r="B216" s="154">
        <f>SUM(P196:P198)</f>
        <v>1.9412080271585108E-9</v>
      </c>
      <c r="C216" s="154">
        <f>'A3 - Production '!R28</f>
        <v>4.9230968242214656E-12</v>
      </c>
      <c r="D216" s="154">
        <f t="shared" si="10"/>
        <v>1.9461311239827322E-9</v>
      </c>
    </row>
    <row r="217" spans="1:4" x14ac:dyDescent="0.35">
      <c r="A217" s="1" t="s">
        <v>319</v>
      </c>
      <c r="B217" s="154">
        <f>SUM(Q196:Q198)</f>
        <v>3.783767255190432E-8</v>
      </c>
      <c r="C217" s="154">
        <f>'A3 - Production '!S28</f>
        <v>1.3122062216178557E-10</v>
      </c>
      <c r="D217" s="154">
        <f t="shared" si="10"/>
        <v>3.7968893174066107E-8</v>
      </c>
    </row>
    <row r="218" spans="1:4" x14ac:dyDescent="0.35">
      <c r="A218" s="1" t="s">
        <v>291</v>
      </c>
      <c r="B218" s="154">
        <f>SUM(R196:R198)</f>
        <v>2.4408034446750153</v>
      </c>
      <c r="C218" s="154">
        <f>'A3 - Production '!T28</f>
        <v>3.212941207975714E-4</v>
      </c>
      <c r="D218" s="154">
        <f t="shared" si="10"/>
        <v>2.4411247387958128</v>
      </c>
    </row>
    <row r="219" spans="1:4" x14ac:dyDescent="0.35">
      <c r="A219" s="1" t="s">
        <v>292</v>
      </c>
      <c r="B219" s="154">
        <f>SUM(S196:S198)</f>
        <v>12.616802455500729</v>
      </c>
      <c r="C219" s="154">
        <f>'A3 - Production '!U28</f>
        <v>5.5016478121274907E-2</v>
      </c>
      <c r="D219" s="154">
        <f t="shared" si="10"/>
        <v>12.671818933622003</v>
      </c>
    </row>
    <row r="220" spans="1:4" x14ac:dyDescent="0.35">
      <c r="A220" s="1" t="s">
        <v>293</v>
      </c>
      <c r="B220" s="154">
        <f>SUM(T196:T198)</f>
        <v>2.994166273869281E-5</v>
      </c>
      <c r="C220" s="154">
        <f>'A3 - Production '!V28</f>
        <v>1.2561955879264319E-8</v>
      </c>
      <c r="D220" s="154">
        <f t="shared" si="10"/>
        <v>2.9954224694572073E-5</v>
      </c>
    </row>
    <row r="221" spans="1:4" x14ac:dyDescent="0.35">
      <c r="A221" s="1" t="s">
        <v>294</v>
      </c>
      <c r="B221" s="154">
        <f>SUM(U196:U198)</f>
        <v>2.6277503703923124E-6</v>
      </c>
      <c r="C221" s="154">
        <f>'A3 - Production '!W28</f>
        <v>1.8154006185482207E-9</v>
      </c>
      <c r="D221" s="154">
        <f t="shared" si="10"/>
        <v>2.6295657710108605E-6</v>
      </c>
    </row>
    <row r="222" spans="1:4" x14ac:dyDescent="0.35">
      <c r="A222" s="1" t="s">
        <v>295</v>
      </c>
      <c r="B222" s="154">
        <f>SUM(V196:V198)</f>
        <v>8.6225682812223895E-8</v>
      </c>
      <c r="C222" s="154">
        <f>'A3 - Production '!X28</f>
        <v>7.9346155235966147E-10</v>
      </c>
      <c r="D222" s="154">
        <f t="shared" si="10"/>
        <v>8.701914436458356E-8</v>
      </c>
    </row>
    <row r="223" spans="1:4" x14ac:dyDescent="0.35">
      <c r="A223" s="1" t="s">
        <v>296</v>
      </c>
      <c r="B223" s="154">
        <f>SUM(W196:W198)</f>
        <v>1.8429124096607286E-2</v>
      </c>
      <c r="C223" s="154">
        <f>'A3 - Production '!Y28</f>
        <v>1.9843157737774877E-4</v>
      </c>
      <c r="D223" s="154">
        <f t="shared" si="10"/>
        <v>1.8627555673985035E-2</v>
      </c>
    </row>
    <row r="224" spans="1:4" x14ac:dyDescent="0.35">
      <c r="A224" s="1" t="s">
        <v>297</v>
      </c>
      <c r="B224" s="154">
        <f>SUM(X196:X198)</f>
        <v>0.82575039812728224</v>
      </c>
      <c r="C224" s="154">
        <f>'A3 - Production '!Z28</f>
        <v>1.4482440080436057E-3</v>
      </c>
      <c r="D224" s="154">
        <f t="shared" si="10"/>
        <v>0.82719864213532579</v>
      </c>
    </row>
    <row r="227" spans="1:3" x14ac:dyDescent="0.35">
      <c r="B227" t="s">
        <v>352</v>
      </c>
    </row>
    <row r="228" spans="1:3" x14ac:dyDescent="0.35">
      <c r="B228" s="205" t="s">
        <v>623</v>
      </c>
      <c r="C228" s="205" t="s">
        <v>622</v>
      </c>
    </row>
    <row r="229" spans="1:3" x14ac:dyDescent="0.35">
      <c r="A229" s="95" t="s">
        <v>624</v>
      </c>
      <c r="B229" s="1">
        <f>SUM($F$199:$X$199)+SUM($H$28:$Z$28)</f>
        <v>431.87871626716878</v>
      </c>
      <c r="C229" s="1">
        <f>+SUM(H28:Z28)</f>
        <v>1.3241390742344876</v>
      </c>
    </row>
    <row r="230" spans="1:3" x14ac:dyDescent="0.35">
      <c r="A230" s="95" t="s">
        <v>625</v>
      </c>
      <c r="B230" s="1">
        <f>SUM($D$206:$D$224)</f>
        <v>431.87871626716878</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89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89</v>
      </c>
      <c r="E30" s="154" t="str">
        <f>$B$12</f>
        <v>Truck</v>
      </c>
      <c r="F30" s="154" t="str">
        <f>$C$12</f>
        <v>Diesel_Euro5</v>
      </c>
      <c r="G30" s="154" cm="1">
        <f t="array" ref="G30">INDEX(LCI!H$2:H$137,MATCH('D- Benefits &amp; Burdens'!$E$30&amp;'D- Benefits &amp; Burdens'!$F$30,LCI!$B$2:$B$137&amp;LCI!$D$2:$D$137,0))*IF(AND($E30="Truck",$F30="Electric"),$B$26,1)*$D$30*$C$30</f>
        <v>2.75825151E-2</v>
      </c>
      <c r="H30" s="154" cm="1">
        <f t="array" ref="H30">INDEX(LCI!I$2:I$137,MATCH('D- Benefits &amp; Burdens'!$E$30&amp;'D- Benefits &amp; Burdens'!$F$30,LCI!$B$2:$B$137&amp;LCI!$D$2:$D$137,0))*IF(AND($E30="Truck",$F30="Electric"),$B$26,1)*$D$30*$C$30</f>
        <v>10.0823796227</v>
      </c>
      <c r="I30" s="154" cm="1">
        <f t="array" ref="I30">INDEX(LCI!J$2:J$137,MATCH('D- Benefits &amp; Burdens'!$E$30&amp;'D- Benefits &amp; Burdens'!$F$30,LCI!$B$2:$B$137&amp;LCI!$D$2:$D$137,0))*IF(AND($E30="Truck",$F30="Electric"),$B$26,1)*$D$30*$C$30</f>
        <v>4.6599652400000002E-3</v>
      </c>
      <c r="J30" s="154" cm="1">
        <f t="array" ref="J30">INDEX(LCI!K$2:K$137,MATCH('D- Benefits &amp; Burdens'!$E$30&amp;'D- Benefits &amp; Burdens'!$F$30,LCI!$B$2:$B$137&amp;LCI!$D$2:$D$137,0))*IF(AND($E30="Truck",$F30="Electric"),$B$26,1)*$D$30*$C$30</f>
        <v>10.076926877499998</v>
      </c>
      <c r="K30" s="154" cm="1">
        <f t="array" ref="K30">INDEX(LCI!L$2:L$137,MATCH('D- Benefits &amp; Burdens'!$E$30&amp;'D- Benefits &amp; Burdens'!$F$30,LCI!$B$2:$B$137&amp;LCI!$D$2:$D$137,0))*IF(AND($E30="Truck",$F30="Electric"),$B$26,1)*$D$30*$C$30</f>
        <v>7.9276127000000001E-4</v>
      </c>
      <c r="L30" s="154" cm="1">
        <f t="array" ref="L30">INDEX(LCI!M$2:M$137,MATCH('D- Benefits &amp; Burdens'!$E$30&amp;'D- Benefits &amp; Burdens'!$F$30,LCI!$B$2:$B$137&amp;LCI!$D$2:$D$137,0))*IF(AND($E30="Truck",$F30="Electric"),$B$26,1)*$D$30*$C$30</f>
        <v>8.5685443843999991</v>
      </c>
      <c r="M30" s="154" cm="1">
        <f t="array" ref="M30">INDEX(LCI!N$2:N$137,MATCH('D- Benefits &amp; Burdens'!$E$30&amp;'D- Benefits &amp; Burdens'!$F$30,LCI!$B$2:$B$137&amp;LCI!$D$2:$D$137,0))*IF(AND($E30="Truck",$F30="Electric"),$B$26,1)*$D$30*$C$30</f>
        <v>135.56103770299998</v>
      </c>
      <c r="N30" s="154" cm="1">
        <f t="array" ref="N30">INDEX(LCI!O$2:O$137,MATCH('D- Benefits &amp; Burdens'!$E$30&amp;'D- Benefits &amp; Burdens'!$F$30,LCI!$B$2:$B$137&amp;LCI!$D$2:$D$137,0))*IF(AND($E30="Truck",$F30="Electric"),$B$26,1)*$D$30*$C$30</f>
        <v>2.3194289999999999E-4</v>
      </c>
      <c r="O30" s="154" cm="1">
        <f t="array" ref="O30">INDEX(LCI!P$2:P$137,MATCH('D- Benefits &amp; Burdens'!$E$30&amp;'D- Benefits &amp; Burdens'!$F$30,LCI!$B$2:$B$137&amp;LCI!$D$2:$D$137,0))*IF(AND($E30="Truck",$F30="Electric"),$B$26,1)*$D$30*$C$30</f>
        <v>9.896604199999999E-3</v>
      </c>
      <c r="P30" s="154" cm="1">
        <f t="array" ref="P30">INDEX(LCI!Q$2:Q$137,MATCH('D- Benefits &amp; Burdens'!$E$30&amp;'D- Benefits &amp; Burdens'!$F$30,LCI!$B$2:$B$137&amp;LCI!$D$2:$D$137,0))*IF(AND($E30="Truck",$F30="Electric"),$B$26,1)*$D$30*$C$30</f>
        <v>0.1079568665</v>
      </c>
      <c r="Q30" s="154" cm="1">
        <f t="array" ref="Q30">INDEX(LCI!R$2:R$137,MATCH('D- Benefits &amp; Burdens'!$E$30&amp;'D- Benefits &amp; Burdens'!$F$30,LCI!$B$2:$B$137&amp;LCI!$D$2:$D$137,0))*IF(AND($E30="Truck",$F30="Electric"),$B$26,1)*$D$30*$C$30</f>
        <v>9.4241832999999994E-10</v>
      </c>
      <c r="R30" s="154" cm="1">
        <f t="array" ref="R30">INDEX(LCI!S$2:S$137,MATCH('D- Benefits &amp; Burdens'!$E$30&amp;'D- Benefits &amp; Burdens'!$F$30,LCI!$B$2:$B$137&amp;LCI!$D$2:$D$137,0))*IF(AND($E30="Truck",$F30="Electric"),$B$26,1)*$D$30*$C$30</f>
        <v>7.2258654999999991E-8</v>
      </c>
      <c r="S30" s="154" cm="1">
        <f t="array" ref="S30">INDEX(LCI!T$2:T$137,MATCH('D- Benefits &amp; Burdens'!$E$30&amp;'D- Benefits &amp; Burdens'!$F$30,LCI!$B$2:$B$137&amp;LCI!$D$2:$D$137,0))*IF(AND($E30="Truck",$F30="Electric"),$B$26,1)*$D$30*$C$30</f>
        <v>6.1030824399999996E-2</v>
      </c>
      <c r="T30" s="154" cm="1">
        <f t="array" ref="T30">INDEX(LCI!U$2:U$137,MATCH('D- Benefits &amp; Burdens'!$E$30&amp;'D- Benefits &amp; Burdens'!$F$30,LCI!$B$2:$B$137&amp;LCI!$D$2:$D$137,0))*IF(AND($E30="Truck",$F30="Electric"),$B$26,1)*$D$30*$C$30</f>
        <v>8.5065566319999988</v>
      </c>
      <c r="U30" s="154" cm="1">
        <f t="array" ref="U30">INDEX(LCI!V$2:V$137,MATCH('D- Benefits &amp; Burdens'!$E$30&amp;'D- Benefits &amp; Burdens'!$F$30,LCI!$B$2:$B$137&amp;LCI!$D$2:$D$137,0))*IF(AND($E30="Truck",$F30="Electric"),$B$26,1)*$D$30*$C$30</f>
        <v>1.0928728299999999E-5</v>
      </c>
      <c r="V30" s="154" cm="1">
        <f t="array" ref="V30">INDEX(LCI!W$2:W$137,MATCH('D- Benefits &amp; Burdens'!$E$30&amp;'D- Benefits &amp; Burdens'!$F$30,LCI!$B$2:$B$137&amp;LCI!$D$2:$D$137,0))*IF(AND($E30="Truck",$F30="Electric"),$B$26,1)*$D$30*$C$30</f>
        <v>2.2427127799999999E-7</v>
      </c>
      <c r="W30" s="154" cm="1">
        <f t="array" ref="W30">INDEX(LCI!X$2:X$137,MATCH('D- Benefits &amp; Burdens'!$E$30&amp;'D- Benefits &amp; Burdens'!$F$30,LCI!$B$2:$B$137&amp;LCI!$D$2:$D$137,0))*IF(AND($E30="Truck",$F30="Electric"),$B$26,1)*$D$30*$C$30</f>
        <v>6.8174890000000001E-7</v>
      </c>
      <c r="X30" s="154" cm="1">
        <f t="array" ref="X30">INDEX(LCI!Y$2:Y$137,MATCH('D- Benefits &amp; Burdens'!$E$30&amp;'D- Benefits &amp; Burdens'!$F$30,LCI!$B$2:$B$137&amp;LCI!$D$2:$D$137,0))*IF(AND($E30="Truck",$F30="Electric"),$B$26,1)*$D$30*$C$30</f>
        <v>4.34265265E-2</v>
      </c>
      <c r="Y30" s="154" cm="1">
        <f t="array" ref="Y30">INDEX(LCI!Z$2:Z$137,MATCH('D- Benefits &amp; Burdens'!$E$30&amp;'D- Benefits &amp; Burdens'!$F$30,LCI!$B$2:$B$137&amp;LCI!$D$2:$D$137,0))*IF(AND($E30="Truck",$F30="Electric"),$B$26,1)*$D$30*$C$30</f>
        <v>0.30597037659999998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2.75825151E-2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2.8554598326911901E-2</v>
      </c>
      <c r="M161" s="154">
        <f>SUM(D161:K161)</f>
        <v>-0.100757150444268</v>
      </c>
      <c r="N161" s="154">
        <f>SUM(L161:M161)</f>
        <v>-7.22025521173561E-2</v>
      </c>
    </row>
    <row r="162" spans="1:14" ht="14" customHeight="1" x14ac:dyDescent="0.35">
      <c r="A162" s="53" t="s">
        <v>280</v>
      </c>
      <c r="B162" s="154" cm="1">
        <f t="array" ref="B162">INDEX(LCI!I$2:I$137,MATCH('D- Benefits &amp; Burdens'!$E$30&amp;'D- Benefits &amp; Burdens'!$F$30,LCI!$B$2:$B$137&amp;LCI!$D$2:$D$137,0))*IF(AND($E30="Truck",$F30="Electric"),$B$26,1)*$D$30*$C$30</f>
        <v>10.0823796227</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10.842718270328984</v>
      </c>
      <c r="M162" s="154">
        <f t="shared" ref="M162:M179" si="5">SUM(D162:K162)</f>
        <v>-25.974911750276604</v>
      </c>
      <c r="N162" s="154">
        <f t="shared" ref="N162:N179" si="6">SUM(L162:M162)</f>
        <v>-15.13219347994762</v>
      </c>
    </row>
    <row r="163" spans="1:14" ht="14" customHeight="1" x14ac:dyDescent="0.35">
      <c r="A163" s="53" t="s">
        <v>281</v>
      </c>
      <c r="B163" s="154" cm="1">
        <f t="array" ref="B163">INDEX(LCI!J$2:J$137,MATCH('D- Benefits &amp; Burdens'!$E$30&amp;'D- Benefits &amp; Burdens'!$F$30,LCI!$B$2:$B$137&amp;LCI!$D$2:$D$137,0))*IF(AND($E30="Truck",$F30="Electric"),$B$26,1)*$D$30*$C$30</f>
        <v>4.6599652400000002E-3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4.8171079526025968E-3</v>
      </c>
      <c r="M163" s="154">
        <f t="shared" si="5"/>
        <v>-7.0960196651171883E-2</v>
      </c>
      <c r="N163" s="154">
        <f t="shared" si="6"/>
        <v>-6.6143088698569288E-2</v>
      </c>
    </row>
    <row r="164" spans="1:14" ht="14" customHeight="1" x14ac:dyDescent="0.35">
      <c r="A164" s="53" t="s">
        <v>282</v>
      </c>
      <c r="B164" s="154" cm="1">
        <f t="array" ref="B164">INDEX(LCI!K$2:K$137,MATCH('D- Benefits &amp; Burdens'!$E$30&amp;'D- Benefits &amp; Burdens'!$F$30,LCI!$B$2:$B$137&amp;LCI!$D$2:$D$137,0))*IF(AND($E30="Truck",$F30="Electric"),$B$26,1)*$D$30*$C$30</f>
        <v>10.076926877499998</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10.837074758254987</v>
      </c>
      <c r="M164" s="154">
        <f t="shared" si="5"/>
        <v>-25.903441844664343</v>
      </c>
      <c r="N164" s="154">
        <f t="shared" si="6"/>
        <v>-15.066367086409356</v>
      </c>
    </row>
    <row r="165" spans="1:14" ht="14" customHeight="1" x14ac:dyDescent="0.35">
      <c r="A165" s="53" t="s">
        <v>283</v>
      </c>
      <c r="B165" s="154" cm="1">
        <f t="array" ref="B165">INDEX(LCI!L$2:L$137,MATCH('D- Benefits &amp; Burdens'!$E$30&amp;'D- Benefits &amp; Burdens'!$F$30,LCI!$B$2:$B$137&amp;LCI!$D$2:$D$137,0))*IF(AND($E30="Truck",$F30="Electric"),$B$26,1)*$D$30*$C$30</f>
        <v>7.9276127000000001E-4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8.2638543139282024E-4</v>
      </c>
      <c r="M165" s="154">
        <f t="shared" si="5"/>
        <v>-9.0362348075273737E-3</v>
      </c>
      <c r="N165" s="154">
        <f t="shared" si="6"/>
        <v>-8.209849376134554E-3</v>
      </c>
    </row>
    <row r="166" spans="1:14" ht="14" customHeight="1" x14ac:dyDescent="0.35">
      <c r="A166" s="53" t="s">
        <v>284</v>
      </c>
      <c r="B166" s="154" cm="1">
        <f t="array" ref="B166">INDEX(LCI!M$2:M$137,MATCH('D- Benefits &amp; Burdens'!$E$30&amp;'D- Benefits &amp; Burdens'!$F$30,LCI!$B$2:$B$137&amp;LCI!$D$2:$D$137,0))*IF(AND($E30="Truck",$F30="Electric"),$B$26,1)*$D$30*$C$30</f>
        <v>8.5685443843999991</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8.9044852849309937</v>
      </c>
      <c r="M166" s="154">
        <f t="shared" si="5"/>
        <v>-686.35886801631545</v>
      </c>
      <c r="N166" s="154">
        <f t="shared" si="6"/>
        <v>-677.4543827313845</v>
      </c>
    </row>
    <row r="167" spans="1:14" ht="14" customHeight="1" x14ac:dyDescent="0.35">
      <c r="A167" s="53" t="s">
        <v>285</v>
      </c>
      <c r="B167" s="154" cm="1">
        <f t="array" ref="B167">INDEX(LCI!N$2:N$137,MATCH('D- Benefits &amp; Burdens'!$E$30&amp;'D- Benefits &amp; Burdens'!$F$30,LCI!$B$2:$B$137&amp;LCI!$D$2:$D$137,0))*IF(AND($E30="Truck",$F30="Electric"),$B$26,1)*$D$30*$C$30</f>
        <v>135.56103770299998</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145.66036742787284</v>
      </c>
      <c r="M167" s="154">
        <f t="shared" si="5"/>
        <v>-1255.9062571210975</v>
      </c>
      <c r="N167" s="154">
        <f t="shared" si="6"/>
        <v>-1110.2458896932246</v>
      </c>
    </row>
    <row r="168" spans="1:14" ht="14" customHeight="1" x14ac:dyDescent="0.35">
      <c r="A168" s="53" t="s">
        <v>286</v>
      </c>
      <c r="B168" s="154" cm="1">
        <f t="array" ref="B168">INDEX(LCI!O$2:O$137,MATCH('D- Benefits &amp; Burdens'!$E$30&amp;'D- Benefits &amp; Burdens'!$F$30,LCI!$B$2:$B$137&amp;LCI!$D$2:$D$137,0))*IF(AND($E30="Truck",$F30="Electric"),$B$26,1)*$D$30*$C$30</f>
        <v>2.3194289999999999E-4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2.399807071638972E-4</v>
      </c>
      <c r="M168" s="154">
        <f t="shared" si="5"/>
        <v>-9.317276004823363E-4</v>
      </c>
      <c r="N168" s="154">
        <f t="shared" si="6"/>
        <v>-6.9174689331843911E-4</v>
      </c>
    </row>
    <row r="169" spans="1:14" ht="14" customHeight="1" x14ac:dyDescent="0.35">
      <c r="A169" s="53" t="s">
        <v>287</v>
      </c>
      <c r="B169" s="154" cm="1">
        <f t="array" ref="B169">INDEX(LCI!P$2:P$137,MATCH('D- Benefits &amp; Burdens'!$E$30&amp;'D- Benefits &amp; Burdens'!$F$30,LCI!$B$2:$B$137&amp;LCI!$D$2:$D$137,0))*IF(AND($E30="Truck",$F30="Electric"),$B$26,1)*$D$30*$C$30</f>
        <v>9.896604199999999E-3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1.0116423888366283E-2</v>
      </c>
      <c r="M169" s="154">
        <f t="shared" si="5"/>
        <v>-3.2048125174208339E-2</v>
      </c>
      <c r="N169" s="154">
        <f t="shared" si="6"/>
        <v>-2.1931701285842056E-2</v>
      </c>
    </row>
    <row r="170" spans="1:14" ht="14" customHeight="1" x14ac:dyDescent="0.35">
      <c r="A170" s="53" t="s">
        <v>288</v>
      </c>
      <c r="B170" s="154" cm="1">
        <f t="array" ref="B170">INDEX(LCI!Q$2:Q$137,MATCH('D- Benefits &amp; Burdens'!$E$30&amp;'D- Benefits &amp; Burdens'!$F$30,LCI!$B$2:$B$137&amp;LCI!$D$2:$D$137,0))*IF(AND($E30="Truck",$F30="Electric"),$B$26,1)*$D$30*$C$30</f>
        <v>0.1079568665</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0.11034657738382009</v>
      </c>
      <c r="M170" s="154">
        <f t="shared" si="5"/>
        <v>-0.36784053790351062</v>
      </c>
      <c r="N170" s="154">
        <f t="shared" si="6"/>
        <v>-0.25749396051969053</v>
      </c>
    </row>
    <row r="171" spans="1:14" ht="14" customHeight="1" x14ac:dyDescent="0.35">
      <c r="A171" s="53" t="s">
        <v>289</v>
      </c>
      <c r="B171" s="154" cm="1">
        <f t="array" ref="B171">INDEX(LCI!R$2:R$137,MATCH('D- Benefits &amp; Burdens'!$E$30&amp;'D- Benefits &amp; Burdens'!$F$30,LCI!$B$2:$B$137&amp;LCI!$D$2:$D$137,0))*IF(AND($E30="Truck",$F30="Electric"),$B$26,1)*$D$30*$C$30</f>
        <v>9.4241832999999994E-10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9.8888303203827586E-10</v>
      </c>
      <c r="M171" s="154">
        <f t="shared" si="5"/>
        <v>-1.305462166955427E-8</v>
      </c>
      <c r="N171" s="154">
        <f t="shared" si="6"/>
        <v>-1.2065738637515994E-8</v>
      </c>
    </row>
    <row r="172" spans="1:14" ht="14" customHeight="1" x14ac:dyDescent="0.35">
      <c r="A172" s="53" t="s">
        <v>290</v>
      </c>
      <c r="B172" s="154" cm="1">
        <f t="array" ref="B172">INDEX(LCI!S$2:S$137,MATCH('D- Benefits &amp; Burdens'!$E$30&amp;'D- Benefits &amp; Burdens'!$F$30,LCI!$B$2:$B$137&amp;LCI!$D$2:$D$137,0))*IF(AND($E30="Truck",$F30="Electric"),$B$26,1)*$D$30*$C$30</f>
        <v>7.2258654999999991E-8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7.3497128937791933E-8</v>
      </c>
      <c r="M172" s="154">
        <f t="shared" si="5"/>
        <v>-4.2495286474467237E-7</v>
      </c>
      <c r="N172" s="154">
        <f t="shared" si="6"/>
        <v>-3.5145573580688045E-7</v>
      </c>
    </row>
    <row r="173" spans="1:14" ht="14" customHeight="1" x14ac:dyDescent="0.35">
      <c r="A173" s="53" t="s">
        <v>291</v>
      </c>
      <c r="B173" s="154" cm="1">
        <f t="array" ref="B173">INDEX(LCI!T$2:T$137,MATCH('D- Benefits &amp; Burdens'!$E$30&amp;'D- Benefits &amp; Burdens'!$F$30,LCI!$B$2:$B$137&amp;LCI!$D$2:$D$137,0))*IF(AND($E30="Truck",$F30="Electric"),$B$26,1)*$D$30*$C$30</f>
        <v>6.1030824399999996E-2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6.4063231870854442E-2</v>
      </c>
      <c r="M173" s="154">
        <f t="shared" si="5"/>
        <v>-0.58416973652077009</v>
      </c>
      <c r="N173" s="154">
        <f t="shared" si="6"/>
        <v>-0.52010650464991559</v>
      </c>
    </row>
    <row r="174" spans="1:14" ht="14" customHeight="1" x14ac:dyDescent="0.35">
      <c r="A174" s="53" t="s">
        <v>292</v>
      </c>
      <c r="B174" s="154" cm="1">
        <f t="array" ref="B174">INDEX(LCI!U$2:U$137,MATCH('D- Benefits &amp; Burdens'!$E$30&amp;'D- Benefits &amp; Burdens'!$F$30,LCI!$B$2:$B$137&amp;LCI!$D$2:$D$137,0))*IF(AND($E30="Truck",$F30="Electric"),$B$26,1)*$D$30*$C$30</f>
        <v>8.5065566319999988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9.0258078989105606</v>
      </c>
      <c r="M174" s="154">
        <f t="shared" si="5"/>
        <v>-504.17360645607704</v>
      </c>
      <c r="N174" s="154">
        <f t="shared" si="6"/>
        <v>-495.14779855716648</v>
      </c>
    </row>
    <row r="175" spans="1:14" ht="14" customHeight="1" x14ac:dyDescent="0.35">
      <c r="A175" s="53" t="s">
        <v>293</v>
      </c>
      <c r="B175" s="154" cm="1">
        <f t="array" ref="B175">INDEX(LCI!V$2:V$137,MATCH('D- Benefits &amp; Burdens'!$E$30&amp;'D- Benefits &amp; Burdens'!$F$30,LCI!$B$2:$B$137&amp;LCI!$D$2:$D$137,0))*IF(AND($E30="Truck",$F30="Electric"),$B$26,1)*$D$30*$C$30</f>
        <v>1.0928728299999999E-5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1.1047289351668994E-5</v>
      </c>
      <c r="M175" s="154">
        <f t="shared" si="5"/>
        <v>-1.9811401927477995E-5</v>
      </c>
      <c r="N175" s="154">
        <f t="shared" si="6"/>
        <v>-8.7641125758090004E-6</v>
      </c>
    </row>
    <row r="176" spans="1:14" ht="14" customHeight="1" x14ac:dyDescent="0.35">
      <c r="A176" s="53" t="s">
        <v>294</v>
      </c>
      <c r="B176" s="154" cm="1">
        <f t="array" ref="B176">INDEX(LCI!W$2:W$137,MATCH('D- Benefits &amp; Burdens'!$E$30&amp;'D- Benefits &amp; Burdens'!$F$30,LCI!$B$2:$B$137&amp;LCI!$D$2:$D$137,0))*IF(AND($E30="Truck",$F30="Electric"),$B$26,1)*$D$30*$C$30</f>
        <v>2.2427127799999999E-7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2.4140521865417028E-7</v>
      </c>
      <c r="M176" s="154">
        <f t="shared" si="5"/>
        <v>-2.8130223439710907E-7</v>
      </c>
      <c r="N176" s="154">
        <f t="shared" si="6"/>
        <v>-3.9897015742938797E-8</v>
      </c>
    </row>
    <row r="177" spans="1:14" ht="14" customHeight="1" x14ac:dyDescent="0.35">
      <c r="A177" s="53" t="s">
        <v>295</v>
      </c>
      <c r="B177" s="154" cm="1">
        <f t="array" ref="B177">INDEX(LCI!X$2:X$137,MATCH('D- Benefits &amp; Burdens'!$E$30&amp;'D- Benefits &amp; Burdens'!$F$30,LCI!$B$2:$B$137&amp;LCI!$D$2:$D$137,0))*IF(AND($E30="Truck",$F30="Electric"),$B$26,1)*$D$30*$C$30</f>
        <v>6.8174890000000001E-7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6.8923767300723205E-7</v>
      </c>
      <c r="M177" s="154">
        <f t="shared" si="5"/>
        <v>-1.9274794780707184E-6</v>
      </c>
      <c r="N177" s="154">
        <f t="shared" si="6"/>
        <v>-1.2382418050634864E-6</v>
      </c>
    </row>
    <row r="178" spans="1:14" ht="14" customHeight="1" x14ac:dyDescent="0.35">
      <c r="A178" s="53" t="s">
        <v>296</v>
      </c>
      <c r="B178" s="154" cm="1">
        <f t="array" ref="B178">INDEX(LCI!Y$2:Y$137,MATCH('D- Benefits &amp; Burdens'!$E$30&amp;'D- Benefits &amp; Burdens'!$F$30,LCI!$B$2:$B$137&amp;LCI!$D$2:$D$137,0))*IF(AND($E30="Truck",$F30="Electric"),$B$26,1)*$D$30*$C$30</f>
        <v>4.34265265E-2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4.5299344453219974E-2</v>
      </c>
      <c r="M178" s="154">
        <f t="shared" si="5"/>
        <v>-0.12940076296881772</v>
      </c>
      <c r="N178" s="154">
        <f t="shared" si="6"/>
        <v>-8.4101418515597742E-2</v>
      </c>
    </row>
    <row r="179" spans="1:14" ht="14" customHeight="1" x14ac:dyDescent="0.35">
      <c r="A179" s="53" t="s">
        <v>297</v>
      </c>
      <c r="B179" s="154" cm="1">
        <f t="array" ref="B179">INDEX(LCI!Z$2:Z$137,MATCH('D- Benefits &amp; Burdens'!$E$30&amp;'D- Benefits &amp; Burdens'!$F$30,LCI!$B$2:$B$137&amp;LCI!$D$2:$D$137,0))*IF(AND($E30="Truck",$F30="Electric"),$B$26,1)*$D$30*$C$30</f>
        <v>0.30597037659999998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0.31963905481518134</v>
      </c>
      <c r="M179" s="154">
        <f t="shared" si="5"/>
        <v>-4.8554175688108909</v>
      </c>
      <c r="N179" s="154">
        <f t="shared" si="6"/>
        <v>-4.5357785139957096</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5.2958428992000003E-3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5.4824828787670855E-3</v>
      </c>
      <c r="M187" s="154">
        <f>SUM(D187:K187)</f>
        <v>-1.9345372885299455E-2</v>
      </c>
      <c r="N187" s="154">
        <f>SUM(L187:M187)</f>
        <v>-1.3862890006532369E-2</v>
      </c>
    </row>
    <row r="188" spans="1:14" ht="14" customHeight="1" x14ac:dyDescent="0.35">
      <c r="A188" s="53" t="s">
        <v>280</v>
      </c>
      <c r="B188" s="154">
        <f>B162*Input!$C$31</f>
        <v>1.9358168875583999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2.0818019079031651</v>
      </c>
      <c r="M188" s="154">
        <f t="shared" ref="M188:M205" si="8">SUM(D188:K188)</f>
        <v>-4.9871830560531087</v>
      </c>
      <c r="N188" s="154">
        <f t="shared" ref="N188:N205" si="9">SUM(L188:M188)</f>
        <v>-2.9053811481499436</v>
      </c>
    </row>
    <row r="189" spans="1:14" ht="14" customHeight="1" x14ac:dyDescent="0.35">
      <c r="A189" s="53" t="s">
        <v>281</v>
      </c>
      <c r="B189" s="154">
        <f>B163*Input!$C$31</f>
        <v>8.9471332608000002E-4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9.2488472689969859E-4</v>
      </c>
      <c r="M189" s="154">
        <f t="shared" si="8"/>
        <v>-1.3624357757025E-2</v>
      </c>
      <c r="N189" s="154">
        <f t="shared" si="9"/>
        <v>-1.2699473030125301E-2</v>
      </c>
    </row>
    <row r="190" spans="1:14" ht="14" customHeight="1" x14ac:dyDescent="0.35">
      <c r="A190" s="53" t="s">
        <v>282</v>
      </c>
      <c r="B190" s="154">
        <f>B164*Input!$C$31</f>
        <v>1.9347699604799997</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2.0807183535849578</v>
      </c>
      <c r="M190" s="154">
        <f t="shared" si="8"/>
        <v>-4.9734608341755546</v>
      </c>
      <c r="N190" s="154">
        <f t="shared" si="9"/>
        <v>-2.8927424805905968</v>
      </c>
    </row>
    <row r="191" spans="1:14" ht="14" customHeight="1" x14ac:dyDescent="0.35">
      <c r="A191" s="53" t="s">
        <v>283</v>
      </c>
      <c r="B191" s="154">
        <f>B165*Input!$C$31</f>
        <v>1.5221016384000001E-4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1.586660028274215E-4</v>
      </c>
      <c r="M191" s="154">
        <f t="shared" si="8"/>
        <v>-1.7349570830452556E-3</v>
      </c>
      <c r="N191" s="154">
        <f t="shared" si="9"/>
        <v>-1.5762910802178342E-3</v>
      </c>
    </row>
    <row r="192" spans="1:14" ht="14" customHeight="1" x14ac:dyDescent="0.35">
      <c r="A192" s="53" t="s">
        <v>284</v>
      </c>
      <c r="B192" s="154">
        <f>B166*Input!$C$31</f>
        <v>1.6451605218047998</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1.7096611747067507</v>
      </c>
      <c r="M192" s="154">
        <f t="shared" si="8"/>
        <v>-131.78090265913255</v>
      </c>
      <c r="N192" s="154">
        <f t="shared" si="9"/>
        <v>-130.0712414844258</v>
      </c>
    </row>
    <row r="193" spans="1:14" ht="14" customHeight="1" x14ac:dyDescent="0.35">
      <c r="A193" s="53" t="s">
        <v>285</v>
      </c>
      <c r="B193" s="154">
        <f>B167*Input!$C$31</f>
        <v>26.027719238975997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27.966790546151589</v>
      </c>
      <c r="M193" s="154">
        <f t="shared" si="8"/>
        <v>-241.1340013672507</v>
      </c>
      <c r="N193" s="154">
        <f t="shared" si="9"/>
        <v>-213.1672108210991</v>
      </c>
    </row>
    <row r="194" spans="1:14" ht="14" customHeight="1" x14ac:dyDescent="0.35">
      <c r="A194" s="53" t="s">
        <v>286</v>
      </c>
      <c r="B194" s="154">
        <f>B168*Input!$C$31</f>
        <v>4.45330368E-5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4.6076295775468263E-5</v>
      </c>
      <c r="M194" s="154">
        <f t="shared" si="8"/>
        <v>-1.7889169929260858E-4</v>
      </c>
      <c r="N194" s="154">
        <f t="shared" si="9"/>
        <v>-1.3281540351714032E-4</v>
      </c>
    </row>
    <row r="195" spans="1:14" ht="14" customHeight="1" x14ac:dyDescent="0.35">
      <c r="A195" s="53" t="s">
        <v>287</v>
      </c>
      <c r="B195" s="154">
        <f>B169*Input!$C$31</f>
        <v>1.9001480063999998E-3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1.9423533865663262E-3</v>
      </c>
      <c r="M195" s="154">
        <f t="shared" si="8"/>
        <v>-6.1532400334480012E-3</v>
      </c>
      <c r="N195" s="154">
        <f t="shared" si="9"/>
        <v>-4.2108866468816755E-3</v>
      </c>
    </row>
    <row r="196" spans="1:14" ht="14" customHeight="1" x14ac:dyDescent="0.35">
      <c r="A196" s="53" t="s">
        <v>288</v>
      </c>
      <c r="B196" s="154">
        <f>B170*Input!$C$31</f>
        <v>2.0727718368000001E-2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2.1186542857693457E-2</v>
      </c>
      <c r="M196" s="154">
        <f t="shared" si="8"/>
        <v>-7.0625383277474044E-2</v>
      </c>
      <c r="N196" s="154">
        <f t="shared" si="9"/>
        <v>-4.9438840419780583E-2</v>
      </c>
    </row>
    <row r="197" spans="1:14" ht="14" customHeight="1" x14ac:dyDescent="0.35">
      <c r="A197" s="53" t="s">
        <v>289</v>
      </c>
      <c r="B197" s="154">
        <f>B171*Input!$C$31</f>
        <v>1.8094431936E-10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1.8986554215134899E-10</v>
      </c>
      <c r="M197" s="154">
        <f t="shared" si="8"/>
        <v>-2.506487360554419E-9</v>
      </c>
      <c r="N197" s="154">
        <f t="shared" si="9"/>
        <v>-2.31662181840307E-9</v>
      </c>
    </row>
    <row r="198" spans="1:14" ht="14" customHeight="1" x14ac:dyDescent="0.35">
      <c r="A198" s="53" t="s">
        <v>290</v>
      </c>
      <c r="B198" s="154">
        <f>B172*Input!$C$31</f>
        <v>1.3873661759999999E-8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1.4111448756056052E-8</v>
      </c>
      <c r="M198" s="154">
        <f t="shared" si="8"/>
        <v>-8.159095003097709E-8</v>
      </c>
      <c r="N198" s="154">
        <f t="shared" si="9"/>
        <v>-6.7479501274921043E-8</v>
      </c>
    </row>
    <row r="199" spans="1:14" ht="14" customHeight="1" x14ac:dyDescent="0.35">
      <c r="A199" s="53" t="s">
        <v>291</v>
      </c>
      <c r="B199" s="154">
        <f>B173*Input!$C$31</f>
        <v>1.1717918284799999E-2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1.2300140519204052E-2</v>
      </c>
      <c r="M199" s="154">
        <f t="shared" si="8"/>
        <v>-0.11216058941198785</v>
      </c>
      <c r="N199" s="154">
        <f t="shared" si="9"/>
        <v>-9.9860448892783796E-2</v>
      </c>
    </row>
    <row r="200" spans="1:14" ht="14" customHeight="1" x14ac:dyDescent="0.35">
      <c r="A200" s="53" t="s">
        <v>292</v>
      </c>
      <c r="B200" s="154">
        <f>B174*Input!$C$31</f>
        <v>1.6332588733439999</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1.7329551165908279</v>
      </c>
      <c r="M200" s="154">
        <f t="shared" si="8"/>
        <v>-96.801332439566821</v>
      </c>
      <c r="N200" s="154">
        <f t="shared" si="9"/>
        <v>-95.068377322975991</v>
      </c>
    </row>
    <row r="201" spans="1:14" ht="14" customHeight="1" x14ac:dyDescent="0.35">
      <c r="A201" s="53" t="s">
        <v>293</v>
      </c>
      <c r="B201" s="154">
        <f>B175*Input!$C$31</f>
        <v>2.0983158335999996E-6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2.1210795555204466E-6</v>
      </c>
      <c r="M201" s="154">
        <f t="shared" si="8"/>
        <v>-3.8037891700757749E-6</v>
      </c>
      <c r="N201" s="154">
        <f t="shared" si="9"/>
        <v>-1.6827096145553283E-6</v>
      </c>
    </row>
    <row r="202" spans="1:14" ht="14" customHeight="1" x14ac:dyDescent="0.35">
      <c r="A202" s="53" t="s">
        <v>294</v>
      </c>
      <c r="B202" s="154">
        <f>B176*Input!$C$31</f>
        <v>4.3060085375999997E-8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4.6349801981600695E-8</v>
      </c>
      <c r="M202" s="154">
        <f t="shared" si="8"/>
        <v>-5.401002900424495E-8</v>
      </c>
      <c r="N202" s="154">
        <f t="shared" si="9"/>
        <v>-7.6602270226442546E-9</v>
      </c>
    </row>
    <row r="203" spans="1:14" ht="14" customHeight="1" x14ac:dyDescent="0.35">
      <c r="A203" s="53" t="s">
        <v>295</v>
      </c>
      <c r="B203" s="154">
        <f>B177*Input!$C$31</f>
        <v>1.308957888E-7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1.3233363321738854E-7</v>
      </c>
      <c r="M203" s="154">
        <f t="shared" si="8"/>
        <v>-3.70076059789578E-7</v>
      </c>
      <c r="N203" s="154">
        <f t="shared" si="9"/>
        <v>-2.3774242657218947E-7</v>
      </c>
    </row>
    <row r="204" spans="1:14" ht="14" customHeight="1" x14ac:dyDescent="0.35">
      <c r="A204" s="53" t="s">
        <v>296</v>
      </c>
      <c r="B204" s="154">
        <f>B178*Input!$C$31</f>
        <v>8.3378930880000004E-3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8.6974741350182346E-3</v>
      </c>
      <c r="M204" s="154">
        <f t="shared" si="8"/>
        <v>-2.4844946490013002E-2</v>
      </c>
      <c r="N204" s="154">
        <f t="shared" si="9"/>
        <v>-1.6147472354994766E-2</v>
      </c>
    </row>
    <row r="205" spans="1:14" ht="14" customHeight="1" x14ac:dyDescent="0.35">
      <c r="A205" s="53" t="s">
        <v>297</v>
      </c>
      <c r="B205" s="154">
        <f>B179*Input!$C$31</f>
        <v>5.8746312307199997E-2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6.1370698524514822E-2</v>
      </c>
      <c r="M205" s="154">
        <f t="shared" si="8"/>
        <v>-0.93224017321169106</v>
      </c>
      <c r="N205" s="154">
        <f t="shared" si="9"/>
        <v>-0.87086947468717624</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-2318.6133012899572</v>
      </c>
      <c r="C211" s="1">
        <f>+SUM(B161:N179)*Input!C31</f>
        <v>-1335.5212615430162</v>
      </c>
    </row>
    <row r="212" spans="1:3" ht="14" customHeight="1" x14ac:dyDescent="0.35">
      <c r="A212" s="95" t="s">
        <v>531</v>
      </c>
      <c r="B212" s="1">
        <f>SUM($B$161:$K$179)</f>
        <v>-2318.6133012899586</v>
      </c>
      <c r="C212" s="1">
        <f>+SUM(B187:N205)</f>
        <v>-1335.5212615430164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2026-04-29T08:56:05Z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